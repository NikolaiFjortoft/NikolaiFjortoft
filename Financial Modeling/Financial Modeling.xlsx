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nikolapf_ntnu_no/Documents/BØA2042 Financial Modeling/Mandatory assignments/"/>
    </mc:Choice>
  </mc:AlternateContent>
  <xr:revisionPtr revIDLastSave="1547" documentId="8_{57799013-53AF-455B-83A8-0DC4A1E620FB}" xr6:coauthVersionLast="47" xr6:coauthVersionMax="47" xr10:uidLastSave="{0AA5C4C1-46DE-44F1-A470-5EEB1A649CA4}"/>
  <bookViews>
    <workbookView xWindow="-110" yWindow="-110" windowWidth="19420" windowHeight="10300" activeTab="4" xr2:uid="{0B06852B-BE8F-4985-979A-4E178D6358A9}"/>
  </bookViews>
  <sheets>
    <sheet name="Diagram 1" sheetId="4" r:id="rId1"/>
    <sheet name="Diagram 2" sheetId="6" r:id="rId2"/>
    <sheet name="Diagram 3" sheetId="7" r:id="rId3"/>
    <sheet name="Diagram 4" sheetId="8" r:id="rId4"/>
    <sheet name="Mandatory Assigment " sheetId="1" r:id="rId5"/>
  </sheets>
  <definedNames>
    <definedName name="solver_adj" localSheetId="4" hidden="1">'Mandatory Assigment '!$Y$20:$AC$20</definedName>
    <definedName name="solver_cvg" localSheetId="4" hidden="1">0.0001</definedName>
    <definedName name="solver_drv" localSheetId="4" hidden="1">2</definedName>
    <definedName name="solver_eng" localSheetId="4" hidden="1">1</definedName>
    <definedName name="solver_est" localSheetId="4" hidden="1">1</definedName>
    <definedName name="solver_itr" localSheetId="4" hidden="1">2147483647</definedName>
    <definedName name="solver_lhs1" localSheetId="4" hidden="1">'Mandatory Assigment '!$AD$20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2</definedName>
    <definedName name="solver_nod" localSheetId="4" hidden="1">2147483647</definedName>
    <definedName name="solver_num" localSheetId="4" hidden="1">1</definedName>
    <definedName name="solver_nwt" localSheetId="4" hidden="1">1</definedName>
    <definedName name="solver_opt" localSheetId="4" hidden="1">'Mandatory Assigment '!$AG$20</definedName>
    <definedName name="solver_pre" localSheetId="4" hidden="1">0.000001</definedName>
    <definedName name="solver_rbv" localSheetId="4" hidden="1">2</definedName>
    <definedName name="solver_rel1" localSheetId="4" hidden="1">2</definedName>
    <definedName name="solver_rhs1" localSheetId="4" hidden="1">1</definedName>
    <definedName name="solver_rlx" localSheetId="4" hidden="1">2</definedName>
    <definedName name="solver_rsd" localSheetId="4" hidden="1">0</definedName>
    <definedName name="solver_scl" localSheetId="4" hidden="1">2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AJ16" i="1"/>
  <c r="R3" i="1"/>
  <c r="S3" i="1"/>
  <c r="T3" i="1"/>
  <c r="U3" i="1"/>
  <c r="R4" i="1"/>
  <c r="S4" i="1"/>
  <c r="T4" i="1"/>
  <c r="T5" i="1" s="1"/>
  <c r="U4" i="1"/>
  <c r="U5" i="1" s="1"/>
  <c r="R5" i="1"/>
  <c r="S5" i="1"/>
  <c r="R6" i="1"/>
  <c r="S6" i="1"/>
  <c r="T6" i="1"/>
  <c r="U6" i="1"/>
  <c r="AD20" i="1" l="1"/>
  <c r="AD17" i="1"/>
  <c r="T11" i="1" l="1" a="1"/>
  <c r="T11" i="1" s="1"/>
  <c r="S10" i="1" a="1"/>
  <c r="S10" i="1" s="1"/>
  <c r="R9" i="1" a="1"/>
  <c r="R9" i="1" s="1"/>
  <c r="T18" i="1"/>
  <c r="S17" i="1" a="1"/>
  <c r="S17" i="1" s="1"/>
  <c r="R16" i="1" a="1"/>
  <c r="R16" i="1" s="1"/>
  <c r="I4" i="1" l="1"/>
  <c r="J4" i="1"/>
  <c r="K4" i="1"/>
  <c r="L4" i="1"/>
  <c r="M4" i="1"/>
  <c r="I5" i="1"/>
  <c r="J5" i="1"/>
  <c r="K5" i="1"/>
  <c r="L5" i="1"/>
  <c r="M5" i="1"/>
  <c r="I6" i="1"/>
  <c r="J6" i="1"/>
  <c r="K6" i="1"/>
  <c r="L6" i="1"/>
  <c r="M6" i="1"/>
  <c r="I7" i="1"/>
  <c r="J7" i="1"/>
  <c r="K7" i="1"/>
  <c r="L7" i="1"/>
  <c r="M7" i="1"/>
  <c r="I8" i="1"/>
  <c r="J8" i="1"/>
  <c r="K8" i="1"/>
  <c r="L8" i="1"/>
  <c r="M8" i="1"/>
  <c r="I9" i="1"/>
  <c r="J9" i="1"/>
  <c r="K9" i="1"/>
  <c r="L9" i="1"/>
  <c r="M9" i="1"/>
  <c r="I10" i="1"/>
  <c r="J10" i="1"/>
  <c r="K10" i="1"/>
  <c r="L10" i="1"/>
  <c r="M10" i="1"/>
  <c r="I11" i="1"/>
  <c r="J11" i="1"/>
  <c r="K11" i="1"/>
  <c r="L11" i="1"/>
  <c r="M11" i="1"/>
  <c r="I12" i="1"/>
  <c r="J12" i="1"/>
  <c r="K12" i="1"/>
  <c r="L12" i="1"/>
  <c r="M12" i="1"/>
  <c r="I13" i="1"/>
  <c r="J13" i="1"/>
  <c r="K13" i="1"/>
  <c r="L13" i="1"/>
  <c r="M13" i="1"/>
  <c r="I14" i="1"/>
  <c r="J14" i="1"/>
  <c r="K14" i="1"/>
  <c r="L14" i="1"/>
  <c r="M14" i="1"/>
  <c r="I15" i="1"/>
  <c r="J15" i="1"/>
  <c r="K15" i="1"/>
  <c r="L15" i="1"/>
  <c r="M15" i="1"/>
  <c r="I16" i="1"/>
  <c r="J16" i="1"/>
  <c r="K16" i="1"/>
  <c r="L16" i="1"/>
  <c r="M16" i="1"/>
  <c r="I17" i="1"/>
  <c r="J17" i="1"/>
  <c r="K17" i="1"/>
  <c r="L17" i="1"/>
  <c r="M17" i="1"/>
  <c r="I18" i="1"/>
  <c r="J18" i="1"/>
  <c r="K18" i="1"/>
  <c r="L18" i="1"/>
  <c r="M18" i="1"/>
  <c r="I19" i="1"/>
  <c r="J19" i="1"/>
  <c r="K19" i="1"/>
  <c r="L19" i="1"/>
  <c r="M19" i="1"/>
  <c r="I20" i="1"/>
  <c r="J20" i="1"/>
  <c r="K20" i="1"/>
  <c r="L20" i="1"/>
  <c r="M20" i="1"/>
  <c r="I21" i="1"/>
  <c r="J21" i="1"/>
  <c r="K21" i="1"/>
  <c r="L21" i="1"/>
  <c r="M21" i="1"/>
  <c r="I22" i="1"/>
  <c r="J22" i="1"/>
  <c r="K22" i="1"/>
  <c r="L22" i="1"/>
  <c r="M22" i="1"/>
  <c r="I23" i="1"/>
  <c r="J23" i="1"/>
  <c r="K23" i="1"/>
  <c r="L23" i="1"/>
  <c r="M23" i="1"/>
  <c r="I24" i="1"/>
  <c r="J24" i="1"/>
  <c r="K24" i="1"/>
  <c r="L24" i="1"/>
  <c r="M24" i="1"/>
  <c r="I25" i="1"/>
  <c r="J25" i="1"/>
  <c r="K25" i="1"/>
  <c r="L25" i="1"/>
  <c r="M25" i="1"/>
  <c r="I26" i="1"/>
  <c r="J26" i="1"/>
  <c r="K26" i="1"/>
  <c r="L26" i="1"/>
  <c r="M26" i="1"/>
  <c r="I27" i="1"/>
  <c r="J27" i="1"/>
  <c r="K27" i="1"/>
  <c r="L27" i="1"/>
  <c r="M27" i="1"/>
  <c r="I28" i="1"/>
  <c r="J28" i="1"/>
  <c r="K28" i="1"/>
  <c r="L28" i="1"/>
  <c r="M28" i="1"/>
  <c r="I29" i="1"/>
  <c r="J29" i="1"/>
  <c r="K29" i="1"/>
  <c r="L29" i="1"/>
  <c r="M29" i="1"/>
  <c r="I30" i="1"/>
  <c r="J30" i="1"/>
  <c r="K30" i="1"/>
  <c r="L30" i="1"/>
  <c r="M30" i="1"/>
  <c r="I31" i="1"/>
  <c r="J31" i="1"/>
  <c r="K31" i="1"/>
  <c r="L31" i="1"/>
  <c r="M31" i="1"/>
  <c r="I32" i="1"/>
  <c r="J32" i="1"/>
  <c r="K32" i="1"/>
  <c r="L32" i="1"/>
  <c r="M32" i="1"/>
  <c r="I33" i="1"/>
  <c r="J33" i="1"/>
  <c r="K33" i="1"/>
  <c r="L33" i="1"/>
  <c r="M33" i="1"/>
  <c r="I34" i="1"/>
  <c r="J34" i="1"/>
  <c r="K34" i="1"/>
  <c r="L34" i="1"/>
  <c r="M34" i="1"/>
  <c r="I35" i="1"/>
  <c r="J35" i="1"/>
  <c r="K35" i="1"/>
  <c r="L35" i="1"/>
  <c r="M35" i="1"/>
  <c r="I36" i="1"/>
  <c r="J36" i="1"/>
  <c r="K36" i="1"/>
  <c r="L36" i="1"/>
  <c r="M36" i="1"/>
  <c r="I37" i="1"/>
  <c r="J37" i="1"/>
  <c r="K37" i="1"/>
  <c r="L37" i="1"/>
  <c r="M37" i="1"/>
  <c r="I38" i="1"/>
  <c r="J38" i="1"/>
  <c r="K38" i="1"/>
  <c r="L38" i="1"/>
  <c r="M38" i="1"/>
  <c r="I39" i="1"/>
  <c r="J39" i="1"/>
  <c r="K39" i="1"/>
  <c r="L39" i="1"/>
  <c r="M39" i="1"/>
  <c r="I40" i="1"/>
  <c r="J40" i="1"/>
  <c r="K40" i="1"/>
  <c r="L40" i="1"/>
  <c r="M40" i="1"/>
  <c r="I41" i="1"/>
  <c r="J41" i="1"/>
  <c r="K41" i="1"/>
  <c r="L41" i="1"/>
  <c r="M41" i="1"/>
  <c r="I42" i="1"/>
  <c r="J42" i="1"/>
  <c r="K42" i="1"/>
  <c r="L42" i="1"/>
  <c r="M42" i="1"/>
  <c r="I43" i="1"/>
  <c r="J43" i="1"/>
  <c r="K43" i="1"/>
  <c r="L43" i="1"/>
  <c r="M43" i="1"/>
  <c r="I44" i="1"/>
  <c r="J44" i="1"/>
  <c r="K44" i="1"/>
  <c r="L44" i="1"/>
  <c r="M44" i="1"/>
  <c r="I45" i="1"/>
  <c r="J45" i="1"/>
  <c r="K45" i="1"/>
  <c r="L45" i="1"/>
  <c r="M45" i="1"/>
  <c r="I46" i="1"/>
  <c r="J46" i="1"/>
  <c r="K46" i="1"/>
  <c r="L46" i="1"/>
  <c r="M46" i="1"/>
  <c r="I47" i="1"/>
  <c r="J47" i="1"/>
  <c r="K47" i="1"/>
  <c r="L47" i="1"/>
  <c r="M47" i="1"/>
  <c r="I48" i="1"/>
  <c r="J48" i="1"/>
  <c r="K48" i="1"/>
  <c r="L48" i="1"/>
  <c r="M48" i="1"/>
  <c r="I49" i="1"/>
  <c r="J49" i="1"/>
  <c r="K49" i="1"/>
  <c r="L49" i="1"/>
  <c r="M49" i="1"/>
  <c r="I50" i="1"/>
  <c r="J50" i="1"/>
  <c r="K50" i="1"/>
  <c r="L50" i="1"/>
  <c r="M50" i="1"/>
  <c r="I51" i="1"/>
  <c r="J51" i="1"/>
  <c r="K51" i="1"/>
  <c r="L51" i="1"/>
  <c r="M51" i="1"/>
  <c r="I52" i="1"/>
  <c r="J52" i="1"/>
  <c r="K52" i="1"/>
  <c r="L52" i="1"/>
  <c r="M52" i="1"/>
  <c r="I53" i="1"/>
  <c r="J53" i="1"/>
  <c r="K53" i="1"/>
  <c r="L53" i="1"/>
  <c r="M53" i="1"/>
  <c r="I54" i="1"/>
  <c r="J54" i="1"/>
  <c r="K54" i="1"/>
  <c r="L54" i="1"/>
  <c r="M54" i="1"/>
  <c r="I55" i="1"/>
  <c r="J55" i="1"/>
  <c r="K55" i="1"/>
  <c r="L55" i="1"/>
  <c r="M55" i="1"/>
  <c r="I56" i="1"/>
  <c r="J56" i="1"/>
  <c r="K56" i="1"/>
  <c r="L56" i="1"/>
  <c r="M56" i="1"/>
  <c r="I57" i="1"/>
  <c r="J57" i="1"/>
  <c r="K57" i="1"/>
  <c r="L57" i="1"/>
  <c r="M57" i="1"/>
  <c r="I58" i="1"/>
  <c r="J58" i="1"/>
  <c r="K58" i="1"/>
  <c r="L58" i="1"/>
  <c r="M58" i="1"/>
  <c r="I59" i="1"/>
  <c r="J59" i="1"/>
  <c r="K59" i="1"/>
  <c r="L59" i="1"/>
  <c r="M59" i="1"/>
  <c r="I60" i="1"/>
  <c r="J60" i="1"/>
  <c r="K60" i="1"/>
  <c r="L60" i="1"/>
  <c r="M60" i="1"/>
  <c r="I61" i="1"/>
  <c r="J61" i="1"/>
  <c r="K61" i="1"/>
  <c r="L61" i="1"/>
  <c r="M61" i="1"/>
  <c r="I62" i="1"/>
  <c r="J62" i="1"/>
  <c r="K62" i="1"/>
  <c r="L62" i="1"/>
  <c r="M62" i="1"/>
  <c r="I63" i="1"/>
  <c r="J63" i="1"/>
  <c r="K63" i="1"/>
  <c r="L63" i="1"/>
  <c r="M63" i="1"/>
  <c r="I64" i="1"/>
  <c r="J64" i="1"/>
  <c r="K64" i="1"/>
  <c r="L64" i="1"/>
  <c r="M64" i="1"/>
  <c r="I65" i="1"/>
  <c r="J65" i="1"/>
  <c r="K65" i="1"/>
  <c r="L65" i="1"/>
  <c r="M65" i="1"/>
  <c r="I66" i="1"/>
  <c r="J66" i="1"/>
  <c r="K66" i="1"/>
  <c r="L66" i="1"/>
  <c r="M66" i="1"/>
  <c r="I67" i="1"/>
  <c r="J67" i="1"/>
  <c r="K67" i="1"/>
  <c r="L67" i="1"/>
  <c r="M67" i="1"/>
  <c r="I68" i="1"/>
  <c r="J68" i="1"/>
  <c r="K68" i="1"/>
  <c r="L68" i="1"/>
  <c r="M68" i="1"/>
  <c r="I69" i="1"/>
  <c r="J69" i="1"/>
  <c r="K69" i="1"/>
  <c r="L69" i="1"/>
  <c r="M69" i="1"/>
  <c r="I70" i="1"/>
  <c r="J70" i="1"/>
  <c r="K70" i="1"/>
  <c r="L70" i="1"/>
  <c r="M70" i="1"/>
  <c r="I71" i="1"/>
  <c r="J71" i="1"/>
  <c r="K71" i="1"/>
  <c r="L71" i="1"/>
  <c r="M71" i="1"/>
  <c r="I72" i="1"/>
  <c r="J72" i="1"/>
  <c r="K72" i="1"/>
  <c r="L72" i="1"/>
  <c r="M72" i="1"/>
  <c r="I73" i="1"/>
  <c r="J73" i="1"/>
  <c r="K73" i="1"/>
  <c r="L73" i="1"/>
  <c r="M73" i="1"/>
  <c r="I74" i="1"/>
  <c r="J74" i="1"/>
  <c r="K74" i="1"/>
  <c r="L74" i="1"/>
  <c r="M74" i="1"/>
  <c r="I75" i="1"/>
  <c r="J75" i="1"/>
  <c r="K75" i="1"/>
  <c r="L75" i="1"/>
  <c r="M75" i="1"/>
  <c r="I76" i="1"/>
  <c r="J76" i="1"/>
  <c r="K76" i="1"/>
  <c r="L76" i="1"/>
  <c r="M76" i="1"/>
  <c r="I77" i="1"/>
  <c r="J77" i="1"/>
  <c r="K77" i="1"/>
  <c r="L77" i="1"/>
  <c r="M77" i="1"/>
  <c r="I78" i="1"/>
  <c r="J78" i="1"/>
  <c r="K78" i="1"/>
  <c r="L78" i="1"/>
  <c r="M78" i="1"/>
  <c r="I79" i="1"/>
  <c r="J79" i="1"/>
  <c r="K79" i="1"/>
  <c r="L79" i="1"/>
  <c r="M79" i="1"/>
  <c r="I80" i="1"/>
  <c r="J80" i="1"/>
  <c r="K80" i="1"/>
  <c r="L80" i="1"/>
  <c r="M80" i="1"/>
  <c r="I81" i="1"/>
  <c r="J81" i="1"/>
  <c r="K81" i="1"/>
  <c r="L81" i="1"/>
  <c r="M81" i="1"/>
  <c r="I82" i="1"/>
  <c r="J82" i="1"/>
  <c r="K82" i="1"/>
  <c r="L82" i="1"/>
  <c r="M82" i="1"/>
  <c r="I83" i="1"/>
  <c r="J83" i="1"/>
  <c r="K83" i="1"/>
  <c r="L83" i="1"/>
  <c r="M83" i="1"/>
  <c r="I84" i="1"/>
  <c r="J84" i="1"/>
  <c r="K84" i="1"/>
  <c r="L84" i="1"/>
  <c r="M84" i="1"/>
  <c r="I85" i="1"/>
  <c r="J85" i="1"/>
  <c r="K85" i="1"/>
  <c r="L85" i="1"/>
  <c r="M85" i="1"/>
  <c r="I86" i="1"/>
  <c r="J86" i="1"/>
  <c r="K86" i="1"/>
  <c r="L86" i="1"/>
  <c r="M86" i="1"/>
  <c r="I87" i="1"/>
  <c r="J87" i="1"/>
  <c r="K87" i="1"/>
  <c r="L87" i="1"/>
  <c r="M87" i="1"/>
  <c r="I88" i="1"/>
  <c r="J88" i="1"/>
  <c r="K88" i="1"/>
  <c r="L88" i="1"/>
  <c r="M88" i="1"/>
  <c r="I89" i="1"/>
  <c r="J89" i="1"/>
  <c r="K89" i="1"/>
  <c r="L89" i="1"/>
  <c r="M89" i="1"/>
  <c r="I90" i="1"/>
  <c r="J90" i="1"/>
  <c r="K90" i="1"/>
  <c r="L90" i="1"/>
  <c r="M90" i="1"/>
  <c r="I91" i="1"/>
  <c r="J91" i="1"/>
  <c r="K91" i="1"/>
  <c r="L91" i="1"/>
  <c r="M91" i="1"/>
  <c r="I92" i="1"/>
  <c r="J92" i="1"/>
  <c r="K92" i="1"/>
  <c r="L92" i="1"/>
  <c r="M92" i="1"/>
  <c r="I93" i="1"/>
  <c r="J93" i="1"/>
  <c r="K93" i="1"/>
  <c r="L93" i="1"/>
  <c r="M93" i="1"/>
  <c r="I94" i="1"/>
  <c r="J94" i="1"/>
  <c r="K94" i="1"/>
  <c r="L94" i="1"/>
  <c r="M94" i="1"/>
  <c r="I95" i="1"/>
  <c r="J95" i="1"/>
  <c r="K95" i="1"/>
  <c r="L95" i="1"/>
  <c r="M95" i="1"/>
  <c r="I96" i="1"/>
  <c r="J96" i="1"/>
  <c r="K96" i="1"/>
  <c r="L96" i="1"/>
  <c r="M96" i="1"/>
  <c r="I97" i="1"/>
  <c r="J97" i="1"/>
  <c r="K97" i="1"/>
  <c r="L97" i="1"/>
  <c r="M97" i="1"/>
  <c r="I98" i="1"/>
  <c r="J98" i="1"/>
  <c r="K98" i="1"/>
  <c r="L98" i="1"/>
  <c r="M98" i="1"/>
  <c r="I99" i="1"/>
  <c r="J99" i="1"/>
  <c r="K99" i="1"/>
  <c r="L99" i="1"/>
  <c r="M99" i="1"/>
  <c r="I100" i="1"/>
  <c r="J100" i="1"/>
  <c r="K100" i="1"/>
  <c r="L100" i="1"/>
  <c r="M100" i="1"/>
  <c r="I101" i="1"/>
  <c r="J101" i="1"/>
  <c r="K101" i="1"/>
  <c r="L101" i="1"/>
  <c r="M101" i="1"/>
  <c r="I102" i="1"/>
  <c r="J102" i="1"/>
  <c r="K102" i="1"/>
  <c r="L102" i="1"/>
  <c r="M102" i="1"/>
  <c r="I103" i="1"/>
  <c r="J103" i="1"/>
  <c r="K103" i="1"/>
  <c r="L103" i="1"/>
  <c r="M103" i="1"/>
  <c r="I104" i="1"/>
  <c r="J104" i="1"/>
  <c r="K104" i="1"/>
  <c r="L104" i="1"/>
  <c r="M104" i="1"/>
  <c r="I105" i="1"/>
  <c r="J105" i="1"/>
  <c r="K105" i="1"/>
  <c r="L105" i="1"/>
  <c r="M105" i="1"/>
  <c r="I106" i="1"/>
  <c r="J106" i="1"/>
  <c r="K106" i="1"/>
  <c r="L106" i="1"/>
  <c r="M106" i="1"/>
  <c r="I107" i="1"/>
  <c r="J107" i="1"/>
  <c r="K107" i="1"/>
  <c r="L107" i="1"/>
  <c r="M107" i="1"/>
  <c r="I108" i="1"/>
  <c r="J108" i="1"/>
  <c r="K108" i="1"/>
  <c r="L108" i="1"/>
  <c r="M108" i="1"/>
  <c r="I109" i="1"/>
  <c r="J109" i="1"/>
  <c r="K109" i="1"/>
  <c r="L109" i="1"/>
  <c r="M109" i="1"/>
  <c r="I110" i="1"/>
  <c r="J110" i="1"/>
  <c r="K110" i="1"/>
  <c r="L110" i="1"/>
  <c r="M110" i="1"/>
  <c r="I111" i="1"/>
  <c r="J111" i="1"/>
  <c r="K111" i="1"/>
  <c r="L111" i="1"/>
  <c r="M111" i="1"/>
  <c r="I112" i="1"/>
  <c r="J112" i="1"/>
  <c r="K112" i="1"/>
  <c r="L112" i="1"/>
  <c r="M112" i="1"/>
  <c r="I113" i="1"/>
  <c r="J113" i="1"/>
  <c r="K113" i="1"/>
  <c r="L113" i="1"/>
  <c r="M113" i="1"/>
  <c r="I114" i="1"/>
  <c r="J114" i="1"/>
  <c r="K114" i="1"/>
  <c r="L114" i="1"/>
  <c r="M114" i="1"/>
  <c r="I115" i="1"/>
  <c r="J115" i="1"/>
  <c r="K115" i="1"/>
  <c r="L115" i="1"/>
  <c r="M115" i="1"/>
  <c r="I116" i="1"/>
  <c r="J116" i="1"/>
  <c r="K116" i="1"/>
  <c r="L116" i="1"/>
  <c r="M116" i="1"/>
  <c r="I117" i="1"/>
  <c r="J117" i="1"/>
  <c r="K117" i="1"/>
  <c r="L117" i="1"/>
  <c r="M117" i="1"/>
  <c r="I118" i="1"/>
  <c r="J118" i="1"/>
  <c r="K118" i="1"/>
  <c r="L118" i="1"/>
  <c r="M118" i="1"/>
  <c r="I119" i="1"/>
  <c r="J119" i="1"/>
  <c r="K119" i="1"/>
  <c r="L119" i="1"/>
  <c r="M119" i="1"/>
  <c r="I120" i="1"/>
  <c r="J120" i="1"/>
  <c r="K120" i="1"/>
  <c r="L120" i="1"/>
  <c r="M120" i="1"/>
  <c r="I121" i="1"/>
  <c r="J121" i="1"/>
  <c r="K121" i="1"/>
  <c r="L121" i="1"/>
  <c r="M121" i="1"/>
  <c r="I122" i="1"/>
  <c r="J122" i="1"/>
  <c r="K122" i="1"/>
  <c r="L122" i="1"/>
  <c r="M122" i="1"/>
  <c r="I123" i="1"/>
  <c r="J123" i="1"/>
  <c r="K123" i="1"/>
  <c r="L123" i="1"/>
  <c r="M123" i="1"/>
  <c r="I124" i="1"/>
  <c r="J124" i="1"/>
  <c r="K124" i="1"/>
  <c r="L124" i="1"/>
  <c r="M124" i="1"/>
  <c r="I125" i="1"/>
  <c r="J125" i="1"/>
  <c r="K125" i="1"/>
  <c r="L125" i="1"/>
  <c r="M125" i="1"/>
  <c r="I126" i="1"/>
  <c r="J126" i="1"/>
  <c r="K126" i="1"/>
  <c r="L126" i="1"/>
  <c r="M126" i="1"/>
  <c r="I127" i="1"/>
  <c r="J127" i="1"/>
  <c r="K127" i="1"/>
  <c r="L127" i="1"/>
  <c r="M127" i="1"/>
  <c r="I128" i="1"/>
  <c r="J128" i="1"/>
  <c r="K128" i="1"/>
  <c r="L128" i="1"/>
  <c r="M128" i="1"/>
  <c r="I129" i="1"/>
  <c r="J129" i="1"/>
  <c r="K129" i="1"/>
  <c r="L129" i="1"/>
  <c r="M129" i="1"/>
  <c r="I130" i="1"/>
  <c r="J130" i="1"/>
  <c r="K130" i="1"/>
  <c r="L130" i="1"/>
  <c r="M130" i="1"/>
  <c r="I131" i="1"/>
  <c r="J131" i="1"/>
  <c r="K131" i="1"/>
  <c r="L131" i="1"/>
  <c r="M131" i="1"/>
  <c r="I132" i="1"/>
  <c r="J132" i="1"/>
  <c r="K132" i="1"/>
  <c r="L132" i="1"/>
  <c r="M132" i="1"/>
  <c r="I133" i="1"/>
  <c r="J133" i="1"/>
  <c r="K133" i="1"/>
  <c r="L133" i="1"/>
  <c r="M133" i="1"/>
  <c r="I134" i="1"/>
  <c r="J134" i="1"/>
  <c r="K134" i="1"/>
  <c r="L134" i="1"/>
  <c r="M134" i="1"/>
  <c r="I135" i="1"/>
  <c r="J135" i="1"/>
  <c r="K135" i="1"/>
  <c r="L135" i="1"/>
  <c r="M135" i="1"/>
  <c r="I136" i="1"/>
  <c r="J136" i="1"/>
  <c r="K136" i="1"/>
  <c r="L136" i="1"/>
  <c r="M136" i="1"/>
  <c r="I137" i="1"/>
  <c r="J137" i="1"/>
  <c r="K137" i="1"/>
  <c r="L137" i="1"/>
  <c r="M137" i="1"/>
  <c r="I138" i="1"/>
  <c r="J138" i="1"/>
  <c r="K138" i="1"/>
  <c r="L138" i="1"/>
  <c r="M138" i="1"/>
  <c r="I139" i="1"/>
  <c r="J139" i="1"/>
  <c r="K139" i="1"/>
  <c r="L139" i="1"/>
  <c r="M139" i="1"/>
  <c r="I140" i="1"/>
  <c r="J140" i="1"/>
  <c r="K140" i="1"/>
  <c r="L140" i="1"/>
  <c r="M140" i="1"/>
  <c r="I141" i="1"/>
  <c r="J141" i="1"/>
  <c r="K141" i="1"/>
  <c r="L141" i="1"/>
  <c r="M141" i="1"/>
  <c r="I142" i="1"/>
  <c r="J142" i="1"/>
  <c r="K142" i="1"/>
  <c r="L142" i="1"/>
  <c r="M142" i="1"/>
  <c r="I143" i="1"/>
  <c r="J143" i="1"/>
  <c r="K143" i="1"/>
  <c r="L143" i="1"/>
  <c r="M143" i="1"/>
  <c r="I144" i="1"/>
  <c r="J144" i="1"/>
  <c r="K144" i="1"/>
  <c r="L144" i="1"/>
  <c r="M144" i="1"/>
  <c r="I145" i="1"/>
  <c r="J145" i="1"/>
  <c r="K145" i="1"/>
  <c r="L145" i="1"/>
  <c r="M145" i="1"/>
  <c r="I146" i="1"/>
  <c r="J146" i="1"/>
  <c r="K146" i="1"/>
  <c r="L146" i="1"/>
  <c r="M146" i="1"/>
  <c r="I147" i="1"/>
  <c r="J147" i="1"/>
  <c r="K147" i="1"/>
  <c r="L147" i="1"/>
  <c r="M147" i="1"/>
  <c r="I148" i="1"/>
  <c r="J148" i="1"/>
  <c r="K148" i="1"/>
  <c r="L148" i="1"/>
  <c r="M148" i="1"/>
  <c r="I149" i="1"/>
  <c r="J149" i="1"/>
  <c r="K149" i="1"/>
  <c r="L149" i="1"/>
  <c r="M149" i="1"/>
  <c r="I150" i="1"/>
  <c r="J150" i="1"/>
  <c r="K150" i="1"/>
  <c r="L150" i="1"/>
  <c r="M150" i="1"/>
  <c r="I151" i="1"/>
  <c r="J151" i="1"/>
  <c r="K151" i="1"/>
  <c r="L151" i="1"/>
  <c r="M151" i="1"/>
  <c r="I152" i="1"/>
  <c r="J152" i="1"/>
  <c r="K152" i="1"/>
  <c r="L152" i="1"/>
  <c r="M152" i="1"/>
  <c r="I153" i="1"/>
  <c r="J153" i="1"/>
  <c r="K153" i="1"/>
  <c r="L153" i="1"/>
  <c r="M153" i="1"/>
  <c r="I154" i="1"/>
  <c r="J154" i="1"/>
  <c r="K154" i="1"/>
  <c r="L154" i="1"/>
  <c r="M154" i="1"/>
  <c r="I155" i="1"/>
  <c r="J155" i="1"/>
  <c r="K155" i="1"/>
  <c r="L155" i="1"/>
  <c r="M155" i="1"/>
  <c r="I156" i="1"/>
  <c r="J156" i="1"/>
  <c r="K156" i="1"/>
  <c r="L156" i="1"/>
  <c r="M156" i="1"/>
  <c r="I157" i="1"/>
  <c r="J157" i="1"/>
  <c r="K157" i="1"/>
  <c r="L157" i="1"/>
  <c r="M157" i="1"/>
  <c r="I158" i="1"/>
  <c r="J158" i="1"/>
  <c r="K158" i="1"/>
  <c r="L158" i="1"/>
  <c r="M158" i="1"/>
  <c r="I159" i="1"/>
  <c r="J159" i="1"/>
  <c r="K159" i="1"/>
  <c r="L159" i="1"/>
  <c r="M159" i="1"/>
  <c r="I160" i="1"/>
  <c r="J160" i="1"/>
  <c r="K160" i="1"/>
  <c r="L160" i="1"/>
  <c r="M160" i="1"/>
  <c r="I161" i="1"/>
  <c r="J161" i="1"/>
  <c r="K161" i="1"/>
  <c r="L161" i="1"/>
  <c r="M161" i="1"/>
  <c r="I162" i="1"/>
  <c r="J162" i="1"/>
  <c r="K162" i="1"/>
  <c r="L162" i="1"/>
  <c r="M162" i="1"/>
  <c r="I163" i="1"/>
  <c r="J163" i="1"/>
  <c r="K163" i="1"/>
  <c r="L163" i="1"/>
  <c r="M163" i="1"/>
  <c r="I164" i="1"/>
  <c r="J164" i="1"/>
  <c r="K164" i="1"/>
  <c r="L164" i="1"/>
  <c r="M164" i="1"/>
  <c r="I165" i="1"/>
  <c r="J165" i="1"/>
  <c r="K165" i="1"/>
  <c r="L165" i="1"/>
  <c r="M165" i="1"/>
  <c r="I166" i="1"/>
  <c r="J166" i="1"/>
  <c r="K166" i="1"/>
  <c r="L166" i="1"/>
  <c r="M166" i="1"/>
  <c r="I167" i="1"/>
  <c r="J167" i="1"/>
  <c r="K167" i="1"/>
  <c r="L167" i="1"/>
  <c r="M167" i="1"/>
  <c r="I168" i="1"/>
  <c r="J168" i="1"/>
  <c r="K168" i="1"/>
  <c r="L168" i="1"/>
  <c r="M168" i="1"/>
  <c r="I169" i="1"/>
  <c r="J169" i="1"/>
  <c r="K169" i="1"/>
  <c r="L169" i="1"/>
  <c r="M169" i="1"/>
  <c r="I170" i="1"/>
  <c r="J170" i="1"/>
  <c r="K170" i="1"/>
  <c r="L170" i="1"/>
  <c r="M170" i="1"/>
  <c r="I171" i="1"/>
  <c r="J171" i="1"/>
  <c r="K171" i="1"/>
  <c r="L171" i="1"/>
  <c r="M171" i="1"/>
  <c r="I172" i="1"/>
  <c r="J172" i="1"/>
  <c r="K172" i="1"/>
  <c r="L172" i="1"/>
  <c r="M172" i="1"/>
  <c r="I173" i="1"/>
  <c r="J173" i="1"/>
  <c r="K173" i="1"/>
  <c r="L173" i="1"/>
  <c r="M173" i="1"/>
  <c r="I174" i="1"/>
  <c r="J174" i="1"/>
  <c r="K174" i="1"/>
  <c r="L174" i="1"/>
  <c r="M174" i="1"/>
  <c r="I175" i="1"/>
  <c r="J175" i="1"/>
  <c r="K175" i="1"/>
  <c r="L175" i="1"/>
  <c r="M175" i="1"/>
  <c r="I176" i="1"/>
  <c r="J176" i="1"/>
  <c r="K176" i="1"/>
  <c r="L176" i="1"/>
  <c r="M176" i="1"/>
  <c r="I177" i="1"/>
  <c r="J177" i="1"/>
  <c r="K177" i="1"/>
  <c r="L177" i="1"/>
  <c r="M177" i="1"/>
  <c r="I178" i="1"/>
  <c r="J178" i="1"/>
  <c r="K178" i="1"/>
  <c r="L178" i="1"/>
  <c r="M178" i="1"/>
  <c r="I179" i="1"/>
  <c r="J179" i="1"/>
  <c r="K179" i="1"/>
  <c r="L179" i="1"/>
  <c r="M179" i="1"/>
  <c r="I180" i="1"/>
  <c r="J180" i="1"/>
  <c r="K180" i="1"/>
  <c r="L180" i="1"/>
  <c r="M180" i="1"/>
  <c r="I181" i="1"/>
  <c r="J181" i="1"/>
  <c r="K181" i="1"/>
  <c r="L181" i="1"/>
  <c r="M181" i="1"/>
  <c r="I182" i="1"/>
  <c r="J182" i="1"/>
  <c r="K182" i="1"/>
  <c r="L182" i="1"/>
  <c r="M182" i="1"/>
  <c r="I183" i="1"/>
  <c r="J183" i="1"/>
  <c r="K183" i="1"/>
  <c r="L183" i="1"/>
  <c r="M183" i="1"/>
  <c r="I184" i="1"/>
  <c r="J184" i="1"/>
  <c r="K184" i="1"/>
  <c r="L184" i="1"/>
  <c r="M184" i="1"/>
  <c r="I185" i="1"/>
  <c r="J185" i="1"/>
  <c r="K185" i="1"/>
  <c r="L185" i="1"/>
  <c r="M185" i="1"/>
  <c r="I186" i="1"/>
  <c r="J186" i="1"/>
  <c r="K186" i="1"/>
  <c r="L186" i="1"/>
  <c r="M186" i="1"/>
  <c r="I187" i="1"/>
  <c r="J187" i="1"/>
  <c r="K187" i="1"/>
  <c r="L187" i="1"/>
  <c r="M187" i="1"/>
  <c r="I188" i="1"/>
  <c r="J188" i="1"/>
  <c r="K188" i="1"/>
  <c r="L188" i="1"/>
  <c r="M188" i="1"/>
  <c r="I189" i="1"/>
  <c r="J189" i="1"/>
  <c r="K189" i="1"/>
  <c r="L189" i="1"/>
  <c r="M189" i="1"/>
  <c r="I190" i="1"/>
  <c r="J190" i="1"/>
  <c r="K190" i="1"/>
  <c r="L190" i="1"/>
  <c r="M190" i="1"/>
  <c r="I191" i="1"/>
  <c r="J191" i="1"/>
  <c r="K191" i="1"/>
  <c r="L191" i="1"/>
  <c r="M191" i="1"/>
  <c r="I192" i="1"/>
  <c r="J192" i="1"/>
  <c r="K192" i="1"/>
  <c r="L192" i="1"/>
  <c r="M192" i="1"/>
  <c r="I193" i="1"/>
  <c r="J193" i="1"/>
  <c r="K193" i="1"/>
  <c r="L193" i="1"/>
  <c r="M193" i="1"/>
  <c r="I194" i="1"/>
  <c r="J194" i="1"/>
  <c r="K194" i="1"/>
  <c r="L194" i="1"/>
  <c r="M194" i="1"/>
  <c r="I195" i="1"/>
  <c r="J195" i="1"/>
  <c r="K195" i="1"/>
  <c r="L195" i="1"/>
  <c r="M195" i="1"/>
  <c r="I196" i="1"/>
  <c r="J196" i="1"/>
  <c r="K196" i="1"/>
  <c r="L196" i="1"/>
  <c r="M196" i="1"/>
  <c r="I197" i="1"/>
  <c r="J197" i="1"/>
  <c r="K197" i="1"/>
  <c r="L197" i="1"/>
  <c r="M197" i="1"/>
  <c r="I198" i="1"/>
  <c r="J198" i="1"/>
  <c r="K198" i="1"/>
  <c r="L198" i="1"/>
  <c r="M198" i="1"/>
  <c r="I199" i="1"/>
  <c r="J199" i="1"/>
  <c r="K199" i="1"/>
  <c r="L199" i="1"/>
  <c r="M199" i="1"/>
  <c r="I200" i="1"/>
  <c r="J200" i="1"/>
  <c r="K200" i="1"/>
  <c r="L200" i="1"/>
  <c r="M200" i="1"/>
  <c r="I201" i="1"/>
  <c r="J201" i="1"/>
  <c r="K201" i="1"/>
  <c r="L201" i="1"/>
  <c r="M201" i="1"/>
  <c r="I202" i="1"/>
  <c r="J202" i="1"/>
  <c r="K202" i="1"/>
  <c r="L202" i="1"/>
  <c r="M202" i="1"/>
  <c r="I203" i="1"/>
  <c r="J203" i="1"/>
  <c r="K203" i="1"/>
  <c r="L203" i="1"/>
  <c r="M203" i="1"/>
  <c r="I204" i="1"/>
  <c r="J204" i="1"/>
  <c r="K204" i="1"/>
  <c r="L204" i="1"/>
  <c r="M204" i="1"/>
  <c r="I205" i="1"/>
  <c r="J205" i="1"/>
  <c r="K205" i="1"/>
  <c r="L205" i="1"/>
  <c r="M205" i="1"/>
  <c r="I206" i="1"/>
  <c r="J206" i="1"/>
  <c r="K206" i="1"/>
  <c r="L206" i="1"/>
  <c r="M206" i="1"/>
  <c r="I207" i="1"/>
  <c r="J207" i="1"/>
  <c r="K207" i="1"/>
  <c r="L207" i="1"/>
  <c r="M207" i="1"/>
  <c r="I208" i="1"/>
  <c r="J208" i="1"/>
  <c r="K208" i="1"/>
  <c r="L208" i="1"/>
  <c r="M208" i="1"/>
  <c r="I209" i="1"/>
  <c r="J209" i="1"/>
  <c r="K209" i="1"/>
  <c r="L209" i="1"/>
  <c r="M209" i="1"/>
  <c r="I210" i="1"/>
  <c r="J210" i="1"/>
  <c r="K210" i="1"/>
  <c r="L210" i="1"/>
  <c r="M210" i="1"/>
  <c r="I211" i="1"/>
  <c r="J211" i="1"/>
  <c r="K211" i="1"/>
  <c r="L211" i="1"/>
  <c r="M211" i="1"/>
  <c r="I212" i="1"/>
  <c r="J212" i="1"/>
  <c r="K212" i="1"/>
  <c r="L212" i="1"/>
  <c r="M212" i="1"/>
  <c r="I213" i="1"/>
  <c r="J213" i="1"/>
  <c r="K213" i="1"/>
  <c r="L213" i="1"/>
  <c r="M213" i="1"/>
  <c r="I214" i="1"/>
  <c r="J214" i="1"/>
  <c r="K214" i="1"/>
  <c r="L214" i="1"/>
  <c r="M214" i="1"/>
  <c r="I215" i="1"/>
  <c r="J215" i="1"/>
  <c r="K215" i="1"/>
  <c r="L215" i="1"/>
  <c r="M215" i="1"/>
  <c r="I216" i="1"/>
  <c r="J216" i="1"/>
  <c r="K216" i="1"/>
  <c r="L216" i="1"/>
  <c r="M216" i="1"/>
  <c r="I217" i="1"/>
  <c r="J217" i="1"/>
  <c r="K217" i="1"/>
  <c r="L217" i="1"/>
  <c r="M217" i="1"/>
  <c r="I218" i="1"/>
  <c r="J218" i="1"/>
  <c r="K218" i="1"/>
  <c r="L218" i="1"/>
  <c r="M218" i="1"/>
  <c r="I219" i="1"/>
  <c r="J219" i="1"/>
  <c r="K219" i="1"/>
  <c r="L219" i="1"/>
  <c r="M219" i="1"/>
  <c r="I220" i="1"/>
  <c r="J220" i="1"/>
  <c r="K220" i="1"/>
  <c r="L220" i="1"/>
  <c r="M220" i="1"/>
  <c r="I221" i="1"/>
  <c r="J221" i="1"/>
  <c r="K221" i="1"/>
  <c r="L221" i="1"/>
  <c r="M221" i="1"/>
  <c r="I222" i="1"/>
  <c r="J222" i="1"/>
  <c r="K222" i="1"/>
  <c r="L222" i="1"/>
  <c r="M222" i="1"/>
  <c r="I223" i="1"/>
  <c r="J223" i="1"/>
  <c r="K223" i="1"/>
  <c r="L223" i="1"/>
  <c r="M223" i="1"/>
  <c r="I224" i="1"/>
  <c r="J224" i="1"/>
  <c r="K224" i="1"/>
  <c r="L224" i="1"/>
  <c r="M224" i="1"/>
  <c r="I225" i="1"/>
  <c r="J225" i="1"/>
  <c r="K225" i="1"/>
  <c r="L225" i="1"/>
  <c r="M225" i="1"/>
  <c r="I226" i="1"/>
  <c r="J226" i="1"/>
  <c r="K226" i="1"/>
  <c r="L226" i="1"/>
  <c r="M226" i="1"/>
  <c r="I227" i="1"/>
  <c r="J227" i="1"/>
  <c r="K227" i="1"/>
  <c r="L227" i="1"/>
  <c r="M227" i="1"/>
  <c r="I228" i="1"/>
  <c r="J228" i="1"/>
  <c r="K228" i="1"/>
  <c r="L228" i="1"/>
  <c r="M228" i="1"/>
  <c r="I229" i="1"/>
  <c r="J229" i="1"/>
  <c r="K229" i="1"/>
  <c r="L229" i="1"/>
  <c r="M229" i="1"/>
  <c r="I230" i="1"/>
  <c r="J230" i="1"/>
  <c r="K230" i="1"/>
  <c r="L230" i="1"/>
  <c r="M230" i="1"/>
  <c r="I231" i="1"/>
  <c r="J231" i="1"/>
  <c r="K231" i="1"/>
  <c r="L231" i="1"/>
  <c r="M231" i="1"/>
  <c r="I232" i="1"/>
  <c r="J232" i="1"/>
  <c r="K232" i="1"/>
  <c r="L232" i="1"/>
  <c r="M232" i="1"/>
  <c r="I233" i="1"/>
  <c r="J233" i="1"/>
  <c r="K233" i="1"/>
  <c r="L233" i="1"/>
  <c r="M233" i="1"/>
  <c r="I234" i="1"/>
  <c r="J234" i="1"/>
  <c r="K234" i="1"/>
  <c r="L234" i="1"/>
  <c r="M234" i="1"/>
  <c r="I235" i="1"/>
  <c r="J235" i="1"/>
  <c r="K235" i="1"/>
  <c r="L235" i="1"/>
  <c r="M235" i="1"/>
  <c r="I236" i="1"/>
  <c r="J236" i="1"/>
  <c r="K236" i="1"/>
  <c r="L236" i="1"/>
  <c r="M236" i="1"/>
  <c r="I237" i="1"/>
  <c r="J237" i="1"/>
  <c r="K237" i="1"/>
  <c r="L237" i="1"/>
  <c r="M237" i="1"/>
  <c r="I238" i="1"/>
  <c r="J238" i="1"/>
  <c r="K238" i="1"/>
  <c r="L238" i="1"/>
  <c r="M238" i="1"/>
  <c r="I239" i="1"/>
  <c r="J239" i="1"/>
  <c r="K239" i="1"/>
  <c r="L239" i="1"/>
  <c r="M239" i="1"/>
  <c r="I240" i="1"/>
  <c r="J240" i="1"/>
  <c r="K240" i="1"/>
  <c r="L240" i="1"/>
  <c r="M240" i="1"/>
  <c r="I241" i="1"/>
  <c r="J241" i="1"/>
  <c r="K241" i="1"/>
  <c r="L241" i="1"/>
  <c r="M241" i="1"/>
  <c r="I242" i="1"/>
  <c r="J242" i="1"/>
  <c r="K242" i="1"/>
  <c r="L242" i="1"/>
  <c r="M242" i="1"/>
  <c r="I243" i="1"/>
  <c r="J243" i="1"/>
  <c r="K243" i="1"/>
  <c r="L243" i="1"/>
  <c r="M243" i="1"/>
  <c r="I244" i="1"/>
  <c r="J244" i="1"/>
  <c r="K244" i="1"/>
  <c r="L244" i="1"/>
  <c r="M244" i="1"/>
  <c r="I245" i="1"/>
  <c r="J245" i="1"/>
  <c r="K245" i="1"/>
  <c r="L245" i="1"/>
  <c r="M245" i="1"/>
  <c r="I246" i="1"/>
  <c r="J246" i="1"/>
  <c r="K246" i="1"/>
  <c r="L246" i="1"/>
  <c r="M246" i="1"/>
  <c r="I247" i="1"/>
  <c r="J247" i="1"/>
  <c r="K247" i="1"/>
  <c r="L247" i="1"/>
  <c r="M247" i="1"/>
  <c r="I248" i="1"/>
  <c r="J248" i="1"/>
  <c r="K248" i="1"/>
  <c r="L248" i="1"/>
  <c r="M248" i="1"/>
  <c r="I249" i="1"/>
  <c r="J249" i="1"/>
  <c r="K249" i="1"/>
  <c r="L249" i="1"/>
  <c r="M249" i="1"/>
  <c r="I250" i="1"/>
  <c r="J250" i="1"/>
  <c r="K250" i="1"/>
  <c r="L250" i="1"/>
  <c r="M250" i="1"/>
  <c r="I251" i="1"/>
  <c r="J251" i="1"/>
  <c r="K251" i="1"/>
  <c r="L251" i="1"/>
  <c r="M251" i="1"/>
  <c r="I252" i="1"/>
  <c r="J252" i="1"/>
  <c r="K252" i="1"/>
  <c r="L252" i="1"/>
  <c r="M252" i="1"/>
  <c r="I253" i="1"/>
  <c r="J253" i="1"/>
  <c r="K253" i="1"/>
  <c r="L253" i="1"/>
  <c r="M253" i="1"/>
  <c r="I254" i="1"/>
  <c r="J254" i="1"/>
  <c r="K254" i="1"/>
  <c r="L254" i="1"/>
  <c r="M254" i="1"/>
  <c r="I255" i="1"/>
  <c r="J255" i="1"/>
  <c r="K255" i="1"/>
  <c r="L255" i="1"/>
  <c r="M255" i="1"/>
  <c r="I256" i="1"/>
  <c r="J256" i="1"/>
  <c r="K256" i="1"/>
  <c r="L256" i="1"/>
  <c r="M256" i="1"/>
  <c r="I257" i="1"/>
  <c r="J257" i="1"/>
  <c r="K257" i="1"/>
  <c r="L257" i="1"/>
  <c r="M257" i="1"/>
  <c r="I258" i="1"/>
  <c r="J258" i="1"/>
  <c r="K258" i="1"/>
  <c r="L258" i="1"/>
  <c r="M258" i="1"/>
  <c r="I259" i="1"/>
  <c r="J259" i="1"/>
  <c r="K259" i="1"/>
  <c r="L259" i="1"/>
  <c r="M259" i="1"/>
  <c r="I260" i="1"/>
  <c r="J260" i="1"/>
  <c r="K260" i="1"/>
  <c r="L260" i="1"/>
  <c r="M260" i="1"/>
  <c r="I261" i="1"/>
  <c r="J261" i="1"/>
  <c r="K261" i="1"/>
  <c r="L261" i="1"/>
  <c r="M261" i="1"/>
  <c r="I262" i="1"/>
  <c r="J262" i="1"/>
  <c r="K262" i="1"/>
  <c r="L262" i="1"/>
  <c r="M262" i="1"/>
  <c r="I263" i="1"/>
  <c r="J263" i="1"/>
  <c r="K263" i="1"/>
  <c r="L263" i="1"/>
  <c r="M263" i="1"/>
  <c r="I264" i="1"/>
  <c r="J264" i="1"/>
  <c r="K264" i="1"/>
  <c r="L264" i="1"/>
  <c r="M264" i="1"/>
  <c r="I265" i="1"/>
  <c r="J265" i="1"/>
  <c r="K265" i="1"/>
  <c r="L265" i="1"/>
  <c r="M265" i="1"/>
  <c r="I266" i="1"/>
  <c r="J266" i="1"/>
  <c r="K266" i="1"/>
  <c r="L266" i="1"/>
  <c r="M266" i="1"/>
  <c r="I267" i="1"/>
  <c r="J267" i="1"/>
  <c r="K267" i="1"/>
  <c r="L267" i="1"/>
  <c r="M267" i="1"/>
  <c r="I268" i="1"/>
  <c r="J268" i="1"/>
  <c r="K268" i="1"/>
  <c r="L268" i="1"/>
  <c r="M268" i="1"/>
  <c r="I269" i="1"/>
  <c r="J269" i="1"/>
  <c r="K269" i="1"/>
  <c r="L269" i="1"/>
  <c r="M269" i="1"/>
  <c r="I270" i="1"/>
  <c r="J270" i="1"/>
  <c r="K270" i="1"/>
  <c r="L270" i="1"/>
  <c r="M270" i="1"/>
  <c r="I271" i="1"/>
  <c r="J271" i="1"/>
  <c r="K271" i="1"/>
  <c r="L271" i="1"/>
  <c r="M271" i="1"/>
  <c r="I272" i="1"/>
  <c r="J272" i="1"/>
  <c r="K272" i="1"/>
  <c r="L272" i="1"/>
  <c r="M272" i="1"/>
  <c r="I273" i="1"/>
  <c r="J273" i="1"/>
  <c r="K273" i="1"/>
  <c r="L273" i="1"/>
  <c r="M273" i="1"/>
  <c r="I274" i="1"/>
  <c r="J274" i="1"/>
  <c r="K274" i="1"/>
  <c r="L274" i="1"/>
  <c r="M274" i="1"/>
  <c r="I275" i="1"/>
  <c r="J275" i="1"/>
  <c r="K275" i="1"/>
  <c r="L275" i="1"/>
  <c r="M275" i="1"/>
  <c r="I276" i="1"/>
  <c r="J276" i="1"/>
  <c r="K276" i="1"/>
  <c r="L276" i="1"/>
  <c r="M276" i="1"/>
  <c r="I277" i="1"/>
  <c r="J277" i="1"/>
  <c r="K277" i="1"/>
  <c r="L277" i="1"/>
  <c r="M277" i="1"/>
  <c r="I278" i="1"/>
  <c r="J278" i="1"/>
  <c r="K278" i="1"/>
  <c r="L278" i="1"/>
  <c r="M278" i="1"/>
  <c r="I279" i="1"/>
  <c r="J279" i="1"/>
  <c r="K279" i="1"/>
  <c r="L279" i="1"/>
  <c r="M279" i="1"/>
  <c r="I280" i="1"/>
  <c r="J280" i="1"/>
  <c r="K280" i="1"/>
  <c r="L280" i="1"/>
  <c r="M280" i="1"/>
  <c r="I281" i="1"/>
  <c r="J281" i="1"/>
  <c r="K281" i="1"/>
  <c r="L281" i="1"/>
  <c r="M281" i="1"/>
  <c r="I282" i="1"/>
  <c r="J282" i="1"/>
  <c r="K282" i="1"/>
  <c r="L282" i="1"/>
  <c r="M282" i="1"/>
  <c r="I283" i="1"/>
  <c r="J283" i="1"/>
  <c r="K283" i="1"/>
  <c r="L283" i="1"/>
  <c r="M283" i="1"/>
  <c r="I284" i="1"/>
  <c r="J284" i="1"/>
  <c r="K284" i="1"/>
  <c r="L284" i="1"/>
  <c r="M284" i="1"/>
  <c r="I285" i="1"/>
  <c r="J285" i="1"/>
  <c r="K285" i="1"/>
  <c r="L285" i="1"/>
  <c r="M285" i="1"/>
  <c r="I286" i="1"/>
  <c r="J286" i="1"/>
  <c r="K286" i="1"/>
  <c r="L286" i="1"/>
  <c r="M286" i="1"/>
  <c r="I287" i="1"/>
  <c r="J287" i="1"/>
  <c r="K287" i="1"/>
  <c r="L287" i="1"/>
  <c r="M287" i="1"/>
  <c r="I288" i="1"/>
  <c r="J288" i="1"/>
  <c r="K288" i="1"/>
  <c r="L288" i="1"/>
  <c r="M288" i="1"/>
  <c r="I289" i="1"/>
  <c r="J289" i="1"/>
  <c r="K289" i="1"/>
  <c r="L289" i="1"/>
  <c r="M289" i="1"/>
  <c r="I290" i="1"/>
  <c r="J290" i="1"/>
  <c r="K290" i="1"/>
  <c r="L290" i="1"/>
  <c r="M290" i="1"/>
  <c r="I291" i="1"/>
  <c r="J291" i="1"/>
  <c r="K291" i="1"/>
  <c r="L291" i="1"/>
  <c r="M291" i="1"/>
  <c r="I292" i="1"/>
  <c r="J292" i="1"/>
  <c r="K292" i="1"/>
  <c r="L292" i="1"/>
  <c r="M292" i="1"/>
  <c r="I293" i="1"/>
  <c r="J293" i="1"/>
  <c r="K293" i="1"/>
  <c r="L293" i="1"/>
  <c r="M293" i="1"/>
  <c r="I294" i="1"/>
  <c r="J294" i="1"/>
  <c r="K294" i="1"/>
  <c r="L294" i="1"/>
  <c r="M294" i="1"/>
  <c r="I295" i="1"/>
  <c r="J295" i="1"/>
  <c r="K295" i="1"/>
  <c r="L295" i="1"/>
  <c r="M295" i="1"/>
  <c r="I296" i="1"/>
  <c r="J296" i="1"/>
  <c r="K296" i="1"/>
  <c r="L296" i="1"/>
  <c r="M296" i="1"/>
  <c r="I297" i="1"/>
  <c r="J297" i="1"/>
  <c r="K297" i="1"/>
  <c r="L297" i="1"/>
  <c r="M297" i="1"/>
  <c r="I298" i="1"/>
  <c r="J298" i="1"/>
  <c r="K298" i="1"/>
  <c r="L298" i="1"/>
  <c r="M298" i="1"/>
  <c r="I299" i="1"/>
  <c r="J299" i="1"/>
  <c r="K299" i="1"/>
  <c r="L299" i="1"/>
  <c r="M299" i="1"/>
  <c r="I300" i="1"/>
  <c r="J300" i="1"/>
  <c r="K300" i="1"/>
  <c r="L300" i="1"/>
  <c r="M300" i="1"/>
  <c r="I301" i="1"/>
  <c r="J301" i="1"/>
  <c r="K301" i="1"/>
  <c r="L301" i="1"/>
  <c r="M301" i="1"/>
  <c r="I302" i="1"/>
  <c r="J302" i="1"/>
  <c r="K302" i="1"/>
  <c r="L302" i="1"/>
  <c r="M302" i="1"/>
  <c r="I303" i="1"/>
  <c r="J303" i="1"/>
  <c r="K303" i="1"/>
  <c r="L303" i="1"/>
  <c r="M303" i="1"/>
  <c r="I304" i="1"/>
  <c r="J304" i="1"/>
  <c r="K304" i="1"/>
  <c r="L304" i="1"/>
  <c r="M304" i="1"/>
  <c r="I305" i="1"/>
  <c r="J305" i="1"/>
  <c r="K305" i="1"/>
  <c r="L305" i="1"/>
  <c r="M305" i="1"/>
  <c r="I306" i="1"/>
  <c r="J306" i="1"/>
  <c r="K306" i="1"/>
  <c r="L306" i="1"/>
  <c r="M306" i="1"/>
  <c r="I307" i="1"/>
  <c r="J307" i="1"/>
  <c r="K307" i="1"/>
  <c r="L307" i="1"/>
  <c r="M307" i="1"/>
  <c r="I308" i="1"/>
  <c r="J308" i="1"/>
  <c r="K308" i="1"/>
  <c r="L308" i="1"/>
  <c r="M308" i="1"/>
  <c r="I309" i="1"/>
  <c r="J309" i="1"/>
  <c r="K309" i="1"/>
  <c r="L309" i="1"/>
  <c r="M309" i="1"/>
  <c r="I310" i="1"/>
  <c r="J310" i="1"/>
  <c r="K310" i="1"/>
  <c r="L310" i="1"/>
  <c r="M310" i="1"/>
  <c r="I311" i="1"/>
  <c r="J311" i="1"/>
  <c r="K311" i="1"/>
  <c r="L311" i="1"/>
  <c r="M311" i="1"/>
  <c r="I312" i="1"/>
  <c r="J312" i="1"/>
  <c r="K312" i="1"/>
  <c r="L312" i="1"/>
  <c r="M312" i="1"/>
  <c r="I313" i="1"/>
  <c r="J313" i="1"/>
  <c r="K313" i="1"/>
  <c r="L313" i="1"/>
  <c r="M313" i="1"/>
  <c r="I314" i="1"/>
  <c r="J314" i="1"/>
  <c r="K314" i="1"/>
  <c r="L314" i="1"/>
  <c r="M314" i="1"/>
  <c r="I315" i="1"/>
  <c r="J315" i="1"/>
  <c r="K315" i="1"/>
  <c r="L315" i="1"/>
  <c r="M315" i="1"/>
  <c r="I316" i="1"/>
  <c r="J316" i="1"/>
  <c r="K316" i="1"/>
  <c r="L316" i="1"/>
  <c r="M316" i="1"/>
  <c r="I317" i="1"/>
  <c r="J317" i="1"/>
  <c r="K317" i="1"/>
  <c r="L317" i="1"/>
  <c r="M317" i="1"/>
  <c r="I318" i="1"/>
  <c r="J318" i="1"/>
  <c r="K318" i="1"/>
  <c r="L318" i="1"/>
  <c r="M318" i="1"/>
  <c r="I319" i="1"/>
  <c r="J319" i="1"/>
  <c r="K319" i="1"/>
  <c r="L319" i="1"/>
  <c r="M319" i="1"/>
  <c r="I320" i="1"/>
  <c r="J320" i="1"/>
  <c r="K320" i="1"/>
  <c r="L320" i="1"/>
  <c r="M320" i="1"/>
  <c r="I321" i="1"/>
  <c r="J321" i="1"/>
  <c r="K321" i="1"/>
  <c r="L321" i="1"/>
  <c r="M321" i="1"/>
  <c r="I322" i="1"/>
  <c r="J322" i="1"/>
  <c r="K322" i="1"/>
  <c r="L322" i="1"/>
  <c r="M322" i="1"/>
  <c r="I323" i="1"/>
  <c r="J323" i="1"/>
  <c r="K323" i="1"/>
  <c r="L323" i="1"/>
  <c r="M323" i="1"/>
  <c r="I324" i="1"/>
  <c r="J324" i="1"/>
  <c r="K324" i="1"/>
  <c r="L324" i="1"/>
  <c r="M324" i="1"/>
  <c r="I325" i="1"/>
  <c r="J325" i="1"/>
  <c r="K325" i="1"/>
  <c r="L325" i="1"/>
  <c r="M325" i="1"/>
  <c r="I326" i="1"/>
  <c r="J326" i="1"/>
  <c r="K326" i="1"/>
  <c r="L326" i="1"/>
  <c r="M326" i="1"/>
  <c r="I327" i="1"/>
  <c r="J327" i="1"/>
  <c r="K327" i="1"/>
  <c r="L327" i="1"/>
  <c r="M327" i="1"/>
  <c r="I328" i="1"/>
  <c r="J328" i="1"/>
  <c r="K328" i="1"/>
  <c r="L328" i="1"/>
  <c r="M328" i="1"/>
  <c r="I329" i="1"/>
  <c r="J329" i="1"/>
  <c r="K329" i="1"/>
  <c r="L329" i="1"/>
  <c r="M329" i="1"/>
  <c r="I330" i="1"/>
  <c r="J330" i="1"/>
  <c r="K330" i="1"/>
  <c r="L330" i="1"/>
  <c r="M330" i="1"/>
  <c r="I331" i="1"/>
  <c r="J331" i="1"/>
  <c r="K331" i="1"/>
  <c r="L331" i="1"/>
  <c r="M331" i="1"/>
  <c r="I332" i="1"/>
  <c r="J332" i="1"/>
  <c r="K332" i="1"/>
  <c r="L332" i="1"/>
  <c r="M332" i="1"/>
  <c r="I333" i="1"/>
  <c r="J333" i="1"/>
  <c r="K333" i="1"/>
  <c r="L333" i="1"/>
  <c r="M333" i="1"/>
  <c r="I334" i="1"/>
  <c r="J334" i="1"/>
  <c r="K334" i="1"/>
  <c r="L334" i="1"/>
  <c r="M334" i="1"/>
  <c r="I335" i="1"/>
  <c r="J335" i="1"/>
  <c r="K335" i="1"/>
  <c r="L335" i="1"/>
  <c r="M335" i="1"/>
  <c r="I336" i="1"/>
  <c r="J336" i="1"/>
  <c r="K336" i="1"/>
  <c r="L336" i="1"/>
  <c r="M336" i="1"/>
  <c r="I337" i="1"/>
  <c r="J337" i="1"/>
  <c r="K337" i="1"/>
  <c r="L337" i="1"/>
  <c r="M337" i="1"/>
  <c r="I338" i="1"/>
  <c r="J338" i="1"/>
  <c r="K338" i="1"/>
  <c r="L338" i="1"/>
  <c r="M338" i="1"/>
  <c r="I339" i="1"/>
  <c r="J339" i="1"/>
  <c r="K339" i="1"/>
  <c r="L339" i="1"/>
  <c r="M339" i="1"/>
  <c r="I340" i="1"/>
  <c r="J340" i="1"/>
  <c r="K340" i="1"/>
  <c r="L340" i="1"/>
  <c r="M340" i="1"/>
  <c r="I341" i="1"/>
  <c r="J341" i="1"/>
  <c r="K341" i="1"/>
  <c r="L341" i="1"/>
  <c r="M341" i="1"/>
  <c r="I342" i="1"/>
  <c r="J342" i="1"/>
  <c r="K342" i="1"/>
  <c r="L342" i="1"/>
  <c r="M342" i="1"/>
  <c r="I343" i="1"/>
  <c r="J343" i="1"/>
  <c r="K343" i="1"/>
  <c r="L343" i="1"/>
  <c r="M343" i="1"/>
  <c r="I344" i="1"/>
  <c r="J344" i="1"/>
  <c r="K344" i="1"/>
  <c r="L344" i="1"/>
  <c r="M344" i="1"/>
  <c r="I345" i="1"/>
  <c r="J345" i="1"/>
  <c r="K345" i="1"/>
  <c r="L345" i="1"/>
  <c r="M345" i="1"/>
  <c r="I346" i="1"/>
  <c r="J346" i="1"/>
  <c r="K346" i="1"/>
  <c r="L346" i="1"/>
  <c r="M346" i="1"/>
  <c r="I347" i="1"/>
  <c r="J347" i="1"/>
  <c r="K347" i="1"/>
  <c r="L347" i="1"/>
  <c r="M347" i="1"/>
  <c r="I348" i="1"/>
  <c r="J348" i="1"/>
  <c r="K348" i="1"/>
  <c r="L348" i="1"/>
  <c r="M348" i="1"/>
  <c r="I349" i="1"/>
  <c r="J349" i="1"/>
  <c r="K349" i="1"/>
  <c r="L349" i="1"/>
  <c r="M349" i="1"/>
  <c r="I350" i="1"/>
  <c r="J350" i="1"/>
  <c r="K350" i="1"/>
  <c r="L350" i="1"/>
  <c r="M350" i="1"/>
  <c r="I351" i="1"/>
  <c r="J351" i="1"/>
  <c r="K351" i="1"/>
  <c r="L351" i="1"/>
  <c r="M351" i="1"/>
  <c r="I352" i="1"/>
  <c r="J352" i="1"/>
  <c r="K352" i="1"/>
  <c r="L352" i="1"/>
  <c r="M352" i="1"/>
  <c r="I353" i="1"/>
  <c r="J353" i="1"/>
  <c r="K353" i="1"/>
  <c r="L353" i="1"/>
  <c r="M353" i="1"/>
  <c r="I354" i="1"/>
  <c r="J354" i="1"/>
  <c r="K354" i="1"/>
  <c r="L354" i="1"/>
  <c r="M354" i="1"/>
  <c r="I355" i="1"/>
  <c r="J355" i="1"/>
  <c r="K355" i="1"/>
  <c r="L355" i="1"/>
  <c r="M355" i="1"/>
  <c r="I356" i="1"/>
  <c r="J356" i="1"/>
  <c r="K356" i="1"/>
  <c r="L356" i="1"/>
  <c r="M356" i="1"/>
  <c r="I357" i="1"/>
  <c r="J357" i="1"/>
  <c r="K357" i="1"/>
  <c r="L357" i="1"/>
  <c r="M357" i="1"/>
  <c r="I358" i="1"/>
  <c r="J358" i="1"/>
  <c r="K358" i="1"/>
  <c r="L358" i="1"/>
  <c r="M358" i="1"/>
  <c r="I359" i="1"/>
  <c r="J359" i="1"/>
  <c r="K359" i="1"/>
  <c r="L359" i="1"/>
  <c r="M359" i="1"/>
  <c r="I360" i="1"/>
  <c r="J360" i="1"/>
  <c r="K360" i="1"/>
  <c r="L360" i="1"/>
  <c r="M360" i="1"/>
  <c r="I361" i="1"/>
  <c r="J361" i="1"/>
  <c r="K361" i="1"/>
  <c r="L361" i="1"/>
  <c r="M361" i="1"/>
  <c r="I362" i="1"/>
  <c r="J362" i="1"/>
  <c r="K362" i="1"/>
  <c r="L362" i="1"/>
  <c r="M362" i="1"/>
  <c r="I363" i="1"/>
  <c r="J363" i="1"/>
  <c r="K363" i="1"/>
  <c r="L363" i="1"/>
  <c r="M363" i="1"/>
  <c r="I364" i="1"/>
  <c r="J364" i="1"/>
  <c r="K364" i="1"/>
  <c r="L364" i="1"/>
  <c r="M364" i="1"/>
  <c r="I365" i="1"/>
  <c r="J365" i="1"/>
  <c r="K365" i="1"/>
  <c r="L365" i="1"/>
  <c r="M365" i="1"/>
  <c r="I366" i="1"/>
  <c r="J366" i="1"/>
  <c r="K366" i="1"/>
  <c r="L366" i="1"/>
  <c r="M366" i="1"/>
  <c r="I367" i="1"/>
  <c r="J367" i="1"/>
  <c r="K367" i="1"/>
  <c r="L367" i="1"/>
  <c r="M367" i="1"/>
  <c r="I368" i="1"/>
  <c r="J368" i="1"/>
  <c r="K368" i="1"/>
  <c r="L368" i="1"/>
  <c r="M368" i="1"/>
  <c r="I369" i="1"/>
  <c r="J369" i="1"/>
  <c r="K369" i="1"/>
  <c r="L369" i="1"/>
  <c r="M369" i="1"/>
  <c r="I370" i="1"/>
  <c r="J370" i="1"/>
  <c r="K370" i="1"/>
  <c r="L370" i="1"/>
  <c r="M370" i="1"/>
  <c r="I371" i="1"/>
  <c r="J371" i="1"/>
  <c r="K371" i="1"/>
  <c r="L371" i="1"/>
  <c r="M371" i="1"/>
  <c r="I372" i="1"/>
  <c r="J372" i="1"/>
  <c r="K372" i="1"/>
  <c r="L372" i="1"/>
  <c r="M372" i="1"/>
  <c r="I373" i="1"/>
  <c r="J373" i="1"/>
  <c r="K373" i="1"/>
  <c r="L373" i="1"/>
  <c r="M373" i="1"/>
  <c r="I374" i="1"/>
  <c r="J374" i="1"/>
  <c r="K374" i="1"/>
  <c r="L374" i="1"/>
  <c r="M374" i="1"/>
  <c r="I375" i="1"/>
  <c r="J375" i="1"/>
  <c r="K375" i="1"/>
  <c r="L375" i="1"/>
  <c r="M375" i="1"/>
  <c r="I376" i="1"/>
  <c r="J376" i="1"/>
  <c r="K376" i="1"/>
  <c r="L376" i="1"/>
  <c r="M376" i="1"/>
  <c r="I377" i="1"/>
  <c r="J377" i="1"/>
  <c r="K377" i="1"/>
  <c r="L377" i="1"/>
  <c r="M377" i="1"/>
  <c r="I378" i="1"/>
  <c r="J378" i="1"/>
  <c r="K378" i="1"/>
  <c r="L378" i="1"/>
  <c r="M378" i="1"/>
  <c r="I379" i="1"/>
  <c r="J379" i="1"/>
  <c r="K379" i="1"/>
  <c r="L379" i="1"/>
  <c r="M379" i="1"/>
  <c r="I380" i="1"/>
  <c r="J380" i="1"/>
  <c r="K380" i="1"/>
  <c r="L380" i="1"/>
  <c r="M380" i="1"/>
  <c r="I381" i="1"/>
  <c r="J381" i="1"/>
  <c r="K381" i="1"/>
  <c r="L381" i="1"/>
  <c r="M381" i="1"/>
  <c r="I382" i="1"/>
  <c r="J382" i="1"/>
  <c r="K382" i="1"/>
  <c r="L382" i="1"/>
  <c r="M382" i="1"/>
  <c r="I383" i="1"/>
  <c r="J383" i="1"/>
  <c r="K383" i="1"/>
  <c r="L383" i="1"/>
  <c r="M383" i="1"/>
  <c r="I384" i="1"/>
  <c r="J384" i="1"/>
  <c r="K384" i="1"/>
  <c r="L384" i="1"/>
  <c r="M384" i="1"/>
  <c r="I385" i="1"/>
  <c r="J385" i="1"/>
  <c r="K385" i="1"/>
  <c r="L385" i="1"/>
  <c r="M385" i="1"/>
  <c r="I386" i="1"/>
  <c r="J386" i="1"/>
  <c r="K386" i="1"/>
  <c r="L386" i="1"/>
  <c r="M386" i="1"/>
  <c r="I387" i="1"/>
  <c r="J387" i="1"/>
  <c r="K387" i="1"/>
  <c r="L387" i="1"/>
  <c r="M387" i="1"/>
  <c r="I388" i="1"/>
  <c r="J388" i="1"/>
  <c r="K388" i="1"/>
  <c r="L388" i="1"/>
  <c r="M388" i="1"/>
  <c r="I389" i="1"/>
  <c r="J389" i="1"/>
  <c r="K389" i="1"/>
  <c r="L389" i="1"/>
  <c r="M389" i="1"/>
  <c r="I390" i="1"/>
  <c r="J390" i="1"/>
  <c r="K390" i="1"/>
  <c r="L390" i="1"/>
  <c r="M390" i="1"/>
  <c r="I391" i="1"/>
  <c r="J391" i="1"/>
  <c r="K391" i="1"/>
  <c r="L391" i="1"/>
  <c r="M391" i="1"/>
  <c r="I392" i="1"/>
  <c r="J392" i="1"/>
  <c r="K392" i="1"/>
  <c r="L392" i="1"/>
  <c r="M392" i="1"/>
  <c r="I393" i="1"/>
  <c r="J393" i="1"/>
  <c r="K393" i="1"/>
  <c r="L393" i="1"/>
  <c r="M393" i="1"/>
  <c r="I394" i="1"/>
  <c r="J394" i="1"/>
  <c r="K394" i="1"/>
  <c r="L394" i="1"/>
  <c r="M394" i="1"/>
  <c r="I395" i="1"/>
  <c r="J395" i="1"/>
  <c r="K395" i="1"/>
  <c r="L395" i="1"/>
  <c r="M395" i="1"/>
  <c r="I396" i="1"/>
  <c r="J396" i="1"/>
  <c r="K396" i="1"/>
  <c r="L396" i="1"/>
  <c r="M396" i="1"/>
  <c r="I397" i="1"/>
  <c r="J397" i="1"/>
  <c r="K397" i="1"/>
  <c r="L397" i="1"/>
  <c r="M397" i="1"/>
  <c r="I398" i="1"/>
  <c r="J398" i="1"/>
  <c r="K398" i="1"/>
  <c r="L398" i="1"/>
  <c r="M398" i="1"/>
  <c r="I399" i="1"/>
  <c r="J399" i="1"/>
  <c r="K399" i="1"/>
  <c r="L399" i="1"/>
  <c r="M399" i="1"/>
  <c r="I400" i="1"/>
  <c r="J400" i="1"/>
  <c r="K400" i="1"/>
  <c r="L400" i="1"/>
  <c r="M400" i="1"/>
  <c r="I401" i="1"/>
  <c r="J401" i="1"/>
  <c r="K401" i="1"/>
  <c r="L401" i="1"/>
  <c r="M401" i="1"/>
  <c r="I402" i="1"/>
  <c r="J402" i="1"/>
  <c r="K402" i="1"/>
  <c r="L402" i="1"/>
  <c r="M402" i="1"/>
  <c r="I403" i="1"/>
  <c r="J403" i="1"/>
  <c r="K403" i="1"/>
  <c r="L403" i="1"/>
  <c r="M403" i="1"/>
  <c r="I404" i="1"/>
  <c r="J404" i="1"/>
  <c r="K404" i="1"/>
  <c r="L404" i="1"/>
  <c r="M404" i="1"/>
  <c r="I405" i="1"/>
  <c r="J405" i="1"/>
  <c r="K405" i="1"/>
  <c r="L405" i="1"/>
  <c r="M405" i="1"/>
  <c r="I406" i="1"/>
  <c r="J406" i="1"/>
  <c r="K406" i="1"/>
  <c r="L406" i="1"/>
  <c r="M406" i="1"/>
  <c r="I407" i="1"/>
  <c r="J407" i="1"/>
  <c r="K407" i="1"/>
  <c r="L407" i="1"/>
  <c r="M407" i="1"/>
  <c r="I408" i="1"/>
  <c r="J408" i="1"/>
  <c r="K408" i="1"/>
  <c r="L408" i="1"/>
  <c r="M408" i="1"/>
  <c r="I409" i="1"/>
  <c r="J409" i="1"/>
  <c r="K409" i="1"/>
  <c r="L409" i="1"/>
  <c r="M409" i="1"/>
  <c r="I410" i="1"/>
  <c r="J410" i="1"/>
  <c r="K410" i="1"/>
  <c r="L410" i="1"/>
  <c r="M410" i="1"/>
  <c r="I411" i="1"/>
  <c r="J411" i="1"/>
  <c r="K411" i="1"/>
  <c r="L411" i="1"/>
  <c r="M411" i="1"/>
  <c r="I412" i="1"/>
  <c r="J412" i="1"/>
  <c r="K412" i="1"/>
  <c r="L412" i="1"/>
  <c r="M412" i="1"/>
  <c r="I413" i="1"/>
  <c r="J413" i="1"/>
  <c r="K413" i="1"/>
  <c r="L413" i="1"/>
  <c r="M413" i="1"/>
  <c r="I414" i="1"/>
  <c r="J414" i="1"/>
  <c r="K414" i="1"/>
  <c r="L414" i="1"/>
  <c r="M414" i="1"/>
  <c r="I415" i="1"/>
  <c r="J415" i="1"/>
  <c r="K415" i="1"/>
  <c r="L415" i="1"/>
  <c r="M415" i="1"/>
  <c r="I416" i="1"/>
  <c r="J416" i="1"/>
  <c r="K416" i="1"/>
  <c r="L416" i="1"/>
  <c r="M416" i="1"/>
  <c r="I417" i="1"/>
  <c r="J417" i="1"/>
  <c r="K417" i="1"/>
  <c r="L417" i="1"/>
  <c r="M417" i="1"/>
  <c r="I418" i="1"/>
  <c r="J418" i="1"/>
  <c r="K418" i="1"/>
  <c r="L418" i="1"/>
  <c r="M418" i="1"/>
  <c r="I419" i="1"/>
  <c r="J419" i="1"/>
  <c r="K419" i="1"/>
  <c r="L419" i="1"/>
  <c r="M419" i="1"/>
  <c r="I420" i="1"/>
  <c r="J420" i="1"/>
  <c r="K420" i="1"/>
  <c r="L420" i="1"/>
  <c r="M420" i="1"/>
  <c r="I421" i="1"/>
  <c r="J421" i="1"/>
  <c r="K421" i="1"/>
  <c r="L421" i="1"/>
  <c r="M421" i="1"/>
  <c r="I422" i="1"/>
  <c r="J422" i="1"/>
  <c r="K422" i="1"/>
  <c r="L422" i="1"/>
  <c r="M422" i="1"/>
  <c r="I423" i="1"/>
  <c r="J423" i="1"/>
  <c r="K423" i="1"/>
  <c r="L423" i="1"/>
  <c r="M423" i="1"/>
  <c r="I424" i="1"/>
  <c r="J424" i="1"/>
  <c r="K424" i="1"/>
  <c r="L424" i="1"/>
  <c r="M424" i="1"/>
  <c r="I425" i="1"/>
  <c r="J425" i="1"/>
  <c r="K425" i="1"/>
  <c r="L425" i="1"/>
  <c r="M425" i="1"/>
  <c r="I426" i="1"/>
  <c r="J426" i="1"/>
  <c r="K426" i="1"/>
  <c r="L426" i="1"/>
  <c r="M426" i="1"/>
  <c r="I427" i="1"/>
  <c r="J427" i="1"/>
  <c r="K427" i="1"/>
  <c r="L427" i="1"/>
  <c r="M427" i="1"/>
  <c r="I428" i="1"/>
  <c r="J428" i="1"/>
  <c r="K428" i="1"/>
  <c r="L428" i="1"/>
  <c r="M428" i="1"/>
  <c r="I429" i="1"/>
  <c r="J429" i="1"/>
  <c r="K429" i="1"/>
  <c r="L429" i="1"/>
  <c r="M429" i="1"/>
  <c r="I430" i="1"/>
  <c r="J430" i="1"/>
  <c r="K430" i="1"/>
  <c r="L430" i="1"/>
  <c r="M430" i="1"/>
  <c r="I431" i="1"/>
  <c r="J431" i="1"/>
  <c r="K431" i="1"/>
  <c r="L431" i="1"/>
  <c r="M431" i="1"/>
  <c r="I432" i="1"/>
  <c r="J432" i="1"/>
  <c r="K432" i="1"/>
  <c r="L432" i="1"/>
  <c r="M432" i="1"/>
  <c r="I433" i="1"/>
  <c r="J433" i="1"/>
  <c r="K433" i="1"/>
  <c r="L433" i="1"/>
  <c r="M433" i="1"/>
  <c r="I434" i="1"/>
  <c r="J434" i="1"/>
  <c r="K434" i="1"/>
  <c r="L434" i="1"/>
  <c r="M434" i="1"/>
  <c r="I435" i="1"/>
  <c r="J435" i="1"/>
  <c r="K435" i="1"/>
  <c r="L435" i="1"/>
  <c r="M435" i="1"/>
  <c r="I436" i="1"/>
  <c r="J436" i="1"/>
  <c r="K436" i="1"/>
  <c r="L436" i="1"/>
  <c r="M436" i="1"/>
  <c r="I437" i="1"/>
  <c r="J437" i="1"/>
  <c r="K437" i="1"/>
  <c r="L437" i="1"/>
  <c r="M437" i="1"/>
  <c r="I438" i="1"/>
  <c r="J438" i="1"/>
  <c r="K438" i="1"/>
  <c r="L438" i="1"/>
  <c r="M438" i="1"/>
  <c r="I439" i="1"/>
  <c r="J439" i="1"/>
  <c r="K439" i="1"/>
  <c r="L439" i="1"/>
  <c r="M439" i="1"/>
  <c r="I440" i="1"/>
  <c r="J440" i="1"/>
  <c r="K440" i="1"/>
  <c r="L440" i="1"/>
  <c r="M440" i="1"/>
  <c r="I441" i="1"/>
  <c r="J441" i="1"/>
  <c r="K441" i="1"/>
  <c r="L441" i="1"/>
  <c r="M441" i="1"/>
  <c r="I442" i="1"/>
  <c r="J442" i="1"/>
  <c r="K442" i="1"/>
  <c r="L442" i="1"/>
  <c r="M442" i="1"/>
  <c r="I443" i="1"/>
  <c r="J443" i="1"/>
  <c r="K443" i="1"/>
  <c r="L443" i="1"/>
  <c r="M443" i="1"/>
  <c r="I444" i="1"/>
  <c r="J444" i="1"/>
  <c r="K444" i="1"/>
  <c r="L444" i="1"/>
  <c r="M444" i="1"/>
  <c r="I445" i="1"/>
  <c r="J445" i="1"/>
  <c r="K445" i="1"/>
  <c r="L445" i="1"/>
  <c r="M445" i="1"/>
  <c r="I446" i="1"/>
  <c r="J446" i="1"/>
  <c r="K446" i="1"/>
  <c r="L446" i="1"/>
  <c r="M446" i="1"/>
  <c r="I447" i="1"/>
  <c r="J447" i="1"/>
  <c r="K447" i="1"/>
  <c r="L447" i="1"/>
  <c r="M447" i="1"/>
  <c r="I448" i="1"/>
  <c r="J448" i="1"/>
  <c r="K448" i="1"/>
  <c r="L448" i="1"/>
  <c r="M448" i="1"/>
  <c r="I449" i="1"/>
  <c r="J449" i="1"/>
  <c r="K449" i="1"/>
  <c r="L449" i="1"/>
  <c r="M449" i="1"/>
  <c r="I450" i="1"/>
  <c r="J450" i="1"/>
  <c r="K450" i="1"/>
  <c r="L450" i="1"/>
  <c r="M450" i="1"/>
  <c r="I451" i="1"/>
  <c r="J451" i="1"/>
  <c r="K451" i="1"/>
  <c r="L451" i="1"/>
  <c r="M451" i="1"/>
  <c r="I452" i="1"/>
  <c r="J452" i="1"/>
  <c r="K452" i="1"/>
  <c r="L452" i="1"/>
  <c r="M452" i="1"/>
  <c r="I453" i="1"/>
  <c r="J453" i="1"/>
  <c r="K453" i="1"/>
  <c r="L453" i="1"/>
  <c r="M453" i="1"/>
  <c r="I454" i="1"/>
  <c r="J454" i="1"/>
  <c r="K454" i="1"/>
  <c r="L454" i="1"/>
  <c r="M454" i="1"/>
  <c r="I455" i="1"/>
  <c r="J455" i="1"/>
  <c r="K455" i="1"/>
  <c r="L455" i="1"/>
  <c r="M455" i="1"/>
  <c r="I456" i="1"/>
  <c r="J456" i="1"/>
  <c r="K456" i="1"/>
  <c r="L456" i="1"/>
  <c r="M456" i="1"/>
  <c r="I457" i="1"/>
  <c r="J457" i="1"/>
  <c r="K457" i="1"/>
  <c r="L457" i="1"/>
  <c r="M457" i="1"/>
  <c r="I458" i="1"/>
  <c r="J458" i="1"/>
  <c r="K458" i="1"/>
  <c r="L458" i="1"/>
  <c r="M458" i="1"/>
  <c r="I459" i="1"/>
  <c r="J459" i="1"/>
  <c r="K459" i="1"/>
  <c r="L459" i="1"/>
  <c r="M459" i="1"/>
  <c r="I460" i="1"/>
  <c r="J460" i="1"/>
  <c r="K460" i="1"/>
  <c r="L460" i="1"/>
  <c r="M460" i="1"/>
  <c r="I461" i="1"/>
  <c r="J461" i="1"/>
  <c r="K461" i="1"/>
  <c r="L461" i="1"/>
  <c r="M461" i="1"/>
  <c r="I462" i="1"/>
  <c r="J462" i="1"/>
  <c r="K462" i="1"/>
  <c r="L462" i="1"/>
  <c r="M462" i="1"/>
  <c r="I463" i="1"/>
  <c r="J463" i="1"/>
  <c r="K463" i="1"/>
  <c r="L463" i="1"/>
  <c r="M463" i="1"/>
  <c r="I464" i="1"/>
  <c r="J464" i="1"/>
  <c r="K464" i="1"/>
  <c r="L464" i="1"/>
  <c r="M464" i="1"/>
  <c r="I465" i="1"/>
  <c r="J465" i="1"/>
  <c r="K465" i="1"/>
  <c r="L465" i="1"/>
  <c r="M465" i="1"/>
  <c r="I466" i="1"/>
  <c r="J466" i="1"/>
  <c r="K466" i="1"/>
  <c r="L466" i="1"/>
  <c r="M466" i="1"/>
  <c r="I467" i="1"/>
  <c r="J467" i="1"/>
  <c r="K467" i="1"/>
  <c r="L467" i="1"/>
  <c r="M467" i="1"/>
  <c r="I468" i="1"/>
  <c r="J468" i="1"/>
  <c r="K468" i="1"/>
  <c r="L468" i="1"/>
  <c r="M468" i="1"/>
  <c r="I469" i="1"/>
  <c r="J469" i="1"/>
  <c r="K469" i="1"/>
  <c r="L469" i="1"/>
  <c r="M469" i="1"/>
  <c r="I470" i="1"/>
  <c r="J470" i="1"/>
  <c r="K470" i="1"/>
  <c r="L470" i="1"/>
  <c r="M470" i="1"/>
  <c r="I471" i="1"/>
  <c r="J471" i="1"/>
  <c r="K471" i="1"/>
  <c r="L471" i="1"/>
  <c r="M471" i="1"/>
  <c r="I472" i="1"/>
  <c r="J472" i="1"/>
  <c r="K472" i="1"/>
  <c r="L472" i="1"/>
  <c r="M472" i="1"/>
  <c r="I473" i="1"/>
  <c r="J473" i="1"/>
  <c r="K473" i="1"/>
  <c r="L473" i="1"/>
  <c r="M473" i="1"/>
  <c r="I474" i="1"/>
  <c r="J474" i="1"/>
  <c r="K474" i="1"/>
  <c r="L474" i="1"/>
  <c r="M474" i="1"/>
  <c r="I475" i="1"/>
  <c r="J475" i="1"/>
  <c r="K475" i="1"/>
  <c r="L475" i="1"/>
  <c r="M475" i="1"/>
  <c r="I476" i="1"/>
  <c r="J476" i="1"/>
  <c r="K476" i="1"/>
  <c r="L476" i="1"/>
  <c r="M476" i="1"/>
  <c r="I477" i="1"/>
  <c r="J477" i="1"/>
  <c r="K477" i="1"/>
  <c r="L477" i="1"/>
  <c r="M477" i="1"/>
  <c r="I478" i="1"/>
  <c r="J478" i="1"/>
  <c r="K478" i="1"/>
  <c r="L478" i="1"/>
  <c r="M478" i="1"/>
  <c r="I479" i="1"/>
  <c r="J479" i="1"/>
  <c r="K479" i="1"/>
  <c r="L479" i="1"/>
  <c r="M479" i="1"/>
  <c r="I480" i="1"/>
  <c r="J480" i="1"/>
  <c r="K480" i="1"/>
  <c r="L480" i="1"/>
  <c r="M480" i="1"/>
  <c r="I481" i="1"/>
  <c r="J481" i="1"/>
  <c r="K481" i="1"/>
  <c r="L481" i="1"/>
  <c r="M481" i="1"/>
  <c r="I482" i="1"/>
  <c r="J482" i="1"/>
  <c r="K482" i="1"/>
  <c r="L482" i="1"/>
  <c r="M482" i="1"/>
  <c r="I483" i="1"/>
  <c r="J483" i="1"/>
  <c r="K483" i="1"/>
  <c r="L483" i="1"/>
  <c r="M483" i="1"/>
  <c r="I484" i="1"/>
  <c r="J484" i="1"/>
  <c r="K484" i="1"/>
  <c r="L484" i="1"/>
  <c r="M484" i="1"/>
  <c r="I485" i="1"/>
  <c r="J485" i="1"/>
  <c r="K485" i="1"/>
  <c r="L485" i="1"/>
  <c r="M485" i="1"/>
  <c r="I486" i="1"/>
  <c r="J486" i="1"/>
  <c r="K486" i="1"/>
  <c r="L486" i="1"/>
  <c r="M486" i="1"/>
  <c r="I487" i="1"/>
  <c r="J487" i="1"/>
  <c r="K487" i="1"/>
  <c r="L487" i="1"/>
  <c r="M487" i="1"/>
  <c r="I488" i="1"/>
  <c r="J488" i="1"/>
  <c r="K488" i="1"/>
  <c r="L488" i="1"/>
  <c r="M488" i="1"/>
  <c r="I489" i="1"/>
  <c r="J489" i="1"/>
  <c r="K489" i="1"/>
  <c r="L489" i="1"/>
  <c r="M489" i="1"/>
  <c r="I490" i="1"/>
  <c r="J490" i="1"/>
  <c r="K490" i="1"/>
  <c r="L490" i="1"/>
  <c r="M490" i="1"/>
  <c r="I491" i="1"/>
  <c r="J491" i="1"/>
  <c r="K491" i="1"/>
  <c r="L491" i="1"/>
  <c r="M491" i="1"/>
  <c r="I492" i="1"/>
  <c r="J492" i="1"/>
  <c r="K492" i="1"/>
  <c r="L492" i="1"/>
  <c r="M492" i="1"/>
  <c r="I493" i="1"/>
  <c r="J493" i="1"/>
  <c r="K493" i="1"/>
  <c r="L493" i="1"/>
  <c r="M493" i="1"/>
  <c r="I494" i="1"/>
  <c r="J494" i="1"/>
  <c r="K494" i="1"/>
  <c r="L494" i="1"/>
  <c r="M494" i="1"/>
  <c r="I495" i="1"/>
  <c r="J495" i="1"/>
  <c r="K495" i="1"/>
  <c r="L495" i="1"/>
  <c r="M495" i="1"/>
  <c r="I496" i="1"/>
  <c r="J496" i="1"/>
  <c r="K496" i="1"/>
  <c r="L496" i="1"/>
  <c r="M496" i="1"/>
  <c r="I497" i="1"/>
  <c r="J497" i="1"/>
  <c r="K497" i="1"/>
  <c r="L497" i="1"/>
  <c r="M497" i="1"/>
  <c r="I498" i="1"/>
  <c r="J498" i="1"/>
  <c r="K498" i="1"/>
  <c r="L498" i="1"/>
  <c r="M498" i="1"/>
  <c r="I499" i="1"/>
  <c r="J499" i="1"/>
  <c r="K499" i="1"/>
  <c r="L499" i="1"/>
  <c r="M499" i="1"/>
  <c r="I500" i="1"/>
  <c r="J500" i="1"/>
  <c r="K500" i="1"/>
  <c r="L500" i="1"/>
  <c r="M500" i="1"/>
  <c r="I501" i="1"/>
  <c r="J501" i="1"/>
  <c r="K501" i="1"/>
  <c r="L501" i="1"/>
  <c r="M501" i="1"/>
  <c r="I502" i="1"/>
  <c r="J502" i="1"/>
  <c r="K502" i="1"/>
  <c r="L502" i="1"/>
  <c r="M502" i="1"/>
  <c r="I503" i="1"/>
  <c r="J503" i="1"/>
  <c r="K503" i="1"/>
  <c r="L503" i="1"/>
  <c r="M503" i="1"/>
  <c r="I504" i="1"/>
  <c r="J504" i="1"/>
  <c r="K504" i="1"/>
  <c r="L504" i="1"/>
  <c r="M504" i="1"/>
  <c r="I505" i="1"/>
  <c r="J505" i="1"/>
  <c r="K505" i="1"/>
  <c r="L505" i="1"/>
  <c r="M505" i="1"/>
  <c r="I506" i="1"/>
  <c r="J506" i="1"/>
  <c r="K506" i="1"/>
  <c r="L506" i="1"/>
  <c r="M506" i="1"/>
  <c r="I507" i="1"/>
  <c r="J507" i="1"/>
  <c r="K507" i="1"/>
  <c r="L507" i="1"/>
  <c r="M507" i="1"/>
  <c r="I508" i="1"/>
  <c r="J508" i="1"/>
  <c r="K508" i="1"/>
  <c r="L508" i="1"/>
  <c r="M508" i="1"/>
  <c r="I509" i="1"/>
  <c r="J509" i="1"/>
  <c r="K509" i="1"/>
  <c r="L509" i="1"/>
  <c r="M509" i="1"/>
  <c r="I510" i="1"/>
  <c r="J510" i="1"/>
  <c r="K510" i="1"/>
  <c r="L510" i="1"/>
  <c r="M510" i="1"/>
  <c r="I511" i="1"/>
  <c r="J511" i="1"/>
  <c r="K511" i="1"/>
  <c r="L511" i="1"/>
  <c r="M511" i="1"/>
  <c r="I512" i="1"/>
  <c r="J512" i="1"/>
  <c r="K512" i="1"/>
  <c r="L512" i="1"/>
  <c r="M512" i="1"/>
  <c r="I513" i="1"/>
  <c r="J513" i="1"/>
  <c r="K513" i="1"/>
  <c r="L513" i="1"/>
  <c r="M513" i="1"/>
  <c r="I514" i="1"/>
  <c r="J514" i="1"/>
  <c r="K514" i="1"/>
  <c r="L514" i="1"/>
  <c r="M514" i="1"/>
  <c r="I515" i="1"/>
  <c r="J515" i="1"/>
  <c r="K515" i="1"/>
  <c r="L515" i="1"/>
  <c r="M515" i="1"/>
  <c r="I516" i="1"/>
  <c r="J516" i="1"/>
  <c r="K516" i="1"/>
  <c r="L516" i="1"/>
  <c r="M516" i="1"/>
  <c r="I517" i="1"/>
  <c r="J517" i="1"/>
  <c r="K517" i="1"/>
  <c r="L517" i="1"/>
  <c r="M517" i="1"/>
  <c r="I518" i="1"/>
  <c r="J518" i="1"/>
  <c r="K518" i="1"/>
  <c r="L518" i="1"/>
  <c r="M518" i="1"/>
  <c r="I519" i="1"/>
  <c r="J519" i="1"/>
  <c r="K519" i="1"/>
  <c r="L519" i="1"/>
  <c r="M519" i="1"/>
  <c r="I520" i="1"/>
  <c r="J520" i="1"/>
  <c r="K520" i="1"/>
  <c r="L520" i="1"/>
  <c r="M520" i="1"/>
  <c r="I521" i="1"/>
  <c r="J521" i="1"/>
  <c r="K521" i="1"/>
  <c r="L521" i="1"/>
  <c r="M521" i="1"/>
  <c r="I522" i="1"/>
  <c r="J522" i="1"/>
  <c r="K522" i="1"/>
  <c r="L522" i="1"/>
  <c r="M522" i="1"/>
  <c r="I523" i="1"/>
  <c r="J523" i="1"/>
  <c r="K523" i="1"/>
  <c r="L523" i="1"/>
  <c r="M523" i="1"/>
  <c r="I524" i="1"/>
  <c r="J524" i="1"/>
  <c r="K524" i="1"/>
  <c r="L524" i="1"/>
  <c r="M524" i="1"/>
  <c r="I525" i="1"/>
  <c r="J525" i="1"/>
  <c r="K525" i="1"/>
  <c r="L525" i="1"/>
  <c r="M525" i="1"/>
  <c r="I526" i="1"/>
  <c r="J526" i="1"/>
  <c r="K526" i="1"/>
  <c r="L526" i="1"/>
  <c r="M526" i="1"/>
  <c r="I527" i="1"/>
  <c r="J527" i="1"/>
  <c r="K527" i="1"/>
  <c r="L527" i="1"/>
  <c r="M527" i="1"/>
  <c r="I528" i="1"/>
  <c r="J528" i="1"/>
  <c r="K528" i="1"/>
  <c r="L528" i="1"/>
  <c r="M528" i="1"/>
  <c r="I529" i="1"/>
  <c r="J529" i="1"/>
  <c r="K529" i="1"/>
  <c r="L529" i="1"/>
  <c r="M529" i="1"/>
  <c r="I530" i="1"/>
  <c r="J530" i="1"/>
  <c r="K530" i="1"/>
  <c r="L530" i="1"/>
  <c r="M530" i="1"/>
  <c r="I531" i="1"/>
  <c r="J531" i="1"/>
  <c r="K531" i="1"/>
  <c r="L531" i="1"/>
  <c r="M531" i="1"/>
  <c r="I532" i="1"/>
  <c r="J532" i="1"/>
  <c r="K532" i="1"/>
  <c r="L532" i="1"/>
  <c r="M532" i="1"/>
  <c r="I533" i="1"/>
  <c r="J533" i="1"/>
  <c r="K533" i="1"/>
  <c r="L533" i="1"/>
  <c r="M533" i="1"/>
  <c r="I534" i="1"/>
  <c r="J534" i="1"/>
  <c r="K534" i="1"/>
  <c r="L534" i="1"/>
  <c r="M534" i="1"/>
  <c r="I535" i="1"/>
  <c r="J535" i="1"/>
  <c r="K535" i="1"/>
  <c r="L535" i="1"/>
  <c r="M535" i="1"/>
  <c r="I536" i="1"/>
  <c r="J536" i="1"/>
  <c r="K536" i="1"/>
  <c r="L536" i="1"/>
  <c r="M536" i="1"/>
  <c r="I537" i="1"/>
  <c r="J537" i="1"/>
  <c r="K537" i="1"/>
  <c r="L537" i="1"/>
  <c r="M537" i="1"/>
  <c r="I538" i="1"/>
  <c r="J538" i="1"/>
  <c r="K538" i="1"/>
  <c r="L538" i="1"/>
  <c r="M538" i="1"/>
  <c r="I539" i="1"/>
  <c r="J539" i="1"/>
  <c r="K539" i="1"/>
  <c r="L539" i="1"/>
  <c r="M539" i="1"/>
  <c r="I540" i="1"/>
  <c r="J540" i="1"/>
  <c r="K540" i="1"/>
  <c r="L540" i="1"/>
  <c r="M540" i="1"/>
  <c r="I541" i="1"/>
  <c r="J541" i="1"/>
  <c r="K541" i="1"/>
  <c r="L541" i="1"/>
  <c r="M541" i="1"/>
  <c r="I542" i="1"/>
  <c r="J542" i="1"/>
  <c r="K542" i="1"/>
  <c r="L542" i="1"/>
  <c r="M542" i="1"/>
  <c r="I543" i="1"/>
  <c r="J543" i="1"/>
  <c r="K543" i="1"/>
  <c r="L543" i="1"/>
  <c r="M543" i="1"/>
  <c r="I544" i="1"/>
  <c r="J544" i="1"/>
  <c r="K544" i="1"/>
  <c r="L544" i="1"/>
  <c r="M544" i="1"/>
  <c r="I545" i="1"/>
  <c r="J545" i="1"/>
  <c r="K545" i="1"/>
  <c r="L545" i="1"/>
  <c r="M545" i="1"/>
  <c r="I546" i="1"/>
  <c r="J546" i="1"/>
  <c r="K546" i="1"/>
  <c r="L546" i="1"/>
  <c r="M546" i="1"/>
  <c r="I547" i="1"/>
  <c r="J547" i="1"/>
  <c r="K547" i="1"/>
  <c r="L547" i="1"/>
  <c r="M547" i="1"/>
  <c r="I548" i="1"/>
  <c r="J548" i="1"/>
  <c r="K548" i="1"/>
  <c r="L548" i="1"/>
  <c r="M548" i="1"/>
  <c r="I549" i="1"/>
  <c r="J549" i="1"/>
  <c r="K549" i="1"/>
  <c r="L549" i="1"/>
  <c r="M549" i="1"/>
  <c r="I550" i="1"/>
  <c r="J550" i="1"/>
  <c r="K550" i="1"/>
  <c r="L550" i="1"/>
  <c r="M550" i="1"/>
  <c r="I551" i="1"/>
  <c r="J551" i="1"/>
  <c r="K551" i="1"/>
  <c r="L551" i="1"/>
  <c r="M551" i="1"/>
  <c r="I552" i="1"/>
  <c r="J552" i="1"/>
  <c r="K552" i="1"/>
  <c r="L552" i="1"/>
  <c r="M552" i="1"/>
  <c r="I553" i="1"/>
  <c r="J553" i="1"/>
  <c r="K553" i="1"/>
  <c r="L553" i="1"/>
  <c r="M553" i="1"/>
  <c r="I554" i="1"/>
  <c r="J554" i="1"/>
  <c r="K554" i="1"/>
  <c r="L554" i="1"/>
  <c r="M554" i="1"/>
  <c r="I555" i="1"/>
  <c r="J555" i="1"/>
  <c r="K555" i="1"/>
  <c r="L555" i="1"/>
  <c r="M555" i="1"/>
  <c r="I556" i="1"/>
  <c r="J556" i="1"/>
  <c r="K556" i="1"/>
  <c r="L556" i="1"/>
  <c r="M556" i="1"/>
  <c r="I557" i="1"/>
  <c r="J557" i="1"/>
  <c r="K557" i="1"/>
  <c r="L557" i="1"/>
  <c r="M557" i="1"/>
  <c r="I558" i="1"/>
  <c r="J558" i="1"/>
  <c r="K558" i="1"/>
  <c r="L558" i="1"/>
  <c r="M558" i="1"/>
  <c r="I559" i="1"/>
  <c r="J559" i="1"/>
  <c r="K559" i="1"/>
  <c r="L559" i="1"/>
  <c r="M559" i="1"/>
  <c r="I560" i="1"/>
  <c r="J560" i="1"/>
  <c r="K560" i="1"/>
  <c r="L560" i="1"/>
  <c r="M560" i="1"/>
  <c r="I561" i="1"/>
  <c r="J561" i="1"/>
  <c r="K561" i="1"/>
  <c r="L561" i="1"/>
  <c r="M561" i="1"/>
  <c r="I562" i="1"/>
  <c r="J562" i="1"/>
  <c r="K562" i="1"/>
  <c r="L562" i="1"/>
  <c r="M562" i="1"/>
  <c r="I563" i="1"/>
  <c r="J563" i="1"/>
  <c r="K563" i="1"/>
  <c r="L563" i="1"/>
  <c r="M563" i="1"/>
  <c r="I564" i="1"/>
  <c r="J564" i="1"/>
  <c r="K564" i="1"/>
  <c r="L564" i="1"/>
  <c r="M564" i="1"/>
  <c r="I565" i="1"/>
  <c r="J565" i="1"/>
  <c r="K565" i="1"/>
  <c r="L565" i="1"/>
  <c r="M565" i="1"/>
  <c r="I566" i="1"/>
  <c r="J566" i="1"/>
  <c r="K566" i="1"/>
  <c r="L566" i="1"/>
  <c r="M566" i="1"/>
  <c r="I567" i="1"/>
  <c r="J567" i="1"/>
  <c r="K567" i="1"/>
  <c r="L567" i="1"/>
  <c r="M567" i="1"/>
  <c r="I568" i="1"/>
  <c r="J568" i="1"/>
  <c r="K568" i="1"/>
  <c r="L568" i="1"/>
  <c r="M568" i="1"/>
  <c r="I569" i="1"/>
  <c r="J569" i="1"/>
  <c r="K569" i="1"/>
  <c r="L569" i="1"/>
  <c r="M569" i="1"/>
  <c r="I570" i="1"/>
  <c r="J570" i="1"/>
  <c r="K570" i="1"/>
  <c r="L570" i="1"/>
  <c r="M570" i="1"/>
  <c r="I571" i="1"/>
  <c r="J571" i="1"/>
  <c r="K571" i="1"/>
  <c r="L571" i="1"/>
  <c r="M571" i="1"/>
  <c r="I572" i="1"/>
  <c r="J572" i="1"/>
  <c r="K572" i="1"/>
  <c r="L572" i="1"/>
  <c r="M572" i="1"/>
  <c r="I573" i="1"/>
  <c r="J573" i="1"/>
  <c r="K573" i="1"/>
  <c r="L573" i="1"/>
  <c r="M573" i="1"/>
  <c r="I574" i="1"/>
  <c r="J574" i="1"/>
  <c r="K574" i="1"/>
  <c r="L574" i="1"/>
  <c r="M574" i="1"/>
  <c r="I575" i="1"/>
  <c r="J575" i="1"/>
  <c r="K575" i="1"/>
  <c r="L575" i="1"/>
  <c r="M575" i="1"/>
  <c r="I576" i="1"/>
  <c r="J576" i="1"/>
  <c r="K576" i="1"/>
  <c r="L576" i="1"/>
  <c r="M576" i="1"/>
  <c r="I577" i="1"/>
  <c r="J577" i="1"/>
  <c r="K577" i="1"/>
  <c r="L577" i="1"/>
  <c r="M577" i="1"/>
  <c r="I578" i="1"/>
  <c r="J578" i="1"/>
  <c r="K578" i="1"/>
  <c r="L578" i="1"/>
  <c r="M578" i="1"/>
  <c r="I579" i="1"/>
  <c r="J579" i="1"/>
  <c r="K579" i="1"/>
  <c r="L579" i="1"/>
  <c r="M579" i="1"/>
  <c r="I580" i="1"/>
  <c r="J580" i="1"/>
  <c r="K580" i="1"/>
  <c r="L580" i="1"/>
  <c r="M580" i="1"/>
  <c r="I581" i="1"/>
  <c r="J581" i="1"/>
  <c r="K581" i="1"/>
  <c r="L581" i="1"/>
  <c r="M581" i="1"/>
  <c r="I582" i="1"/>
  <c r="J582" i="1"/>
  <c r="K582" i="1"/>
  <c r="L582" i="1"/>
  <c r="M582" i="1"/>
  <c r="I583" i="1"/>
  <c r="J583" i="1"/>
  <c r="K583" i="1"/>
  <c r="L583" i="1"/>
  <c r="M583" i="1"/>
  <c r="I584" i="1"/>
  <c r="J584" i="1"/>
  <c r="K584" i="1"/>
  <c r="L584" i="1"/>
  <c r="M584" i="1"/>
  <c r="I585" i="1"/>
  <c r="J585" i="1"/>
  <c r="K585" i="1"/>
  <c r="L585" i="1"/>
  <c r="M585" i="1"/>
  <c r="I586" i="1"/>
  <c r="J586" i="1"/>
  <c r="K586" i="1"/>
  <c r="L586" i="1"/>
  <c r="M586" i="1"/>
  <c r="I587" i="1"/>
  <c r="J587" i="1"/>
  <c r="K587" i="1"/>
  <c r="L587" i="1"/>
  <c r="M587" i="1"/>
  <c r="I588" i="1"/>
  <c r="J588" i="1"/>
  <c r="K588" i="1"/>
  <c r="L588" i="1"/>
  <c r="M588" i="1"/>
  <c r="I589" i="1"/>
  <c r="J589" i="1"/>
  <c r="K589" i="1"/>
  <c r="L589" i="1"/>
  <c r="M589" i="1"/>
  <c r="I590" i="1"/>
  <c r="J590" i="1"/>
  <c r="K590" i="1"/>
  <c r="L590" i="1"/>
  <c r="M590" i="1"/>
  <c r="I591" i="1"/>
  <c r="J591" i="1"/>
  <c r="K591" i="1"/>
  <c r="L591" i="1"/>
  <c r="M591" i="1"/>
  <c r="I592" i="1"/>
  <c r="J592" i="1"/>
  <c r="K592" i="1"/>
  <c r="L592" i="1"/>
  <c r="M592" i="1"/>
  <c r="I593" i="1"/>
  <c r="J593" i="1"/>
  <c r="K593" i="1"/>
  <c r="L593" i="1"/>
  <c r="M593" i="1"/>
  <c r="I594" i="1"/>
  <c r="J594" i="1"/>
  <c r="K594" i="1"/>
  <c r="L594" i="1"/>
  <c r="M594" i="1"/>
  <c r="I595" i="1"/>
  <c r="J595" i="1"/>
  <c r="K595" i="1"/>
  <c r="L595" i="1"/>
  <c r="M595" i="1"/>
  <c r="I596" i="1"/>
  <c r="J596" i="1"/>
  <c r="K596" i="1"/>
  <c r="L596" i="1"/>
  <c r="M596" i="1"/>
  <c r="I597" i="1"/>
  <c r="J597" i="1"/>
  <c r="K597" i="1"/>
  <c r="L597" i="1"/>
  <c r="M597" i="1"/>
  <c r="I598" i="1"/>
  <c r="J598" i="1"/>
  <c r="K598" i="1"/>
  <c r="L598" i="1"/>
  <c r="M598" i="1"/>
  <c r="I599" i="1"/>
  <c r="J599" i="1"/>
  <c r="K599" i="1"/>
  <c r="L599" i="1"/>
  <c r="M599" i="1"/>
  <c r="I600" i="1"/>
  <c r="J600" i="1"/>
  <c r="K600" i="1"/>
  <c r="L600" i="1"/>
  <c r="M600" i="1"/>
  <c r="I601" i="1"/>
  <c r="J601" i="1"/>
  <c r="K601" i="1"/>
  <c r="L601" i="1"/>
  <c r="M601" i="1"/>
  <c r="I602" i="1"/>
  <c r="J602" i="1"/>
  <c r="K602" i="1"/>
  <c r="L602" i="1"/>
  <c r="M602" i="1"/>
  <c r="I603" i="1"/>
  <c r="J603" i="1"/>
  <c r="K603" i="1"/>
  <c r="L603" i="1"/>
  <c r="M603" i="1"/>
  <c r="I604" i="1"/>
  <c r="J604" i="1"/>
  <c r="K604" i="1"/>
  <c r="L604" i="1"/>
  <c r="M604" i="1"/>
  <c r="I605" i="1"/>
  <c r="J605" i="1"/>
  <c r="K605" i="1"/>
  <c r="L605" i="1"/>
  <c r="M605" i="1"/>
  <c r="I606" i="1"/>
  <c r="J606" i="1"/>
  <c r="K606" i="1"/>
  <c r="L606" i="1"/>
  <c r="M606" i="1"/>
  <c r="I607" i="1"/>
  <c r="J607" i="1"/>
  <c r="K607" i="1"/>
  <c r="L607" i="1"/>
  <c r="M607" i="1"/>
  <c r="I608" i="1"/>
  <c r="J608" i="1"/>
  <c r="K608" i="1"/>
  <c r="L608" i="1"/>
  <c r="M608" i="1"/>
  <c r="I609" i="1"/>
  <c r="J609" i="1"/>
  <c r="K609" i="1"/>
  <c r="L609" i="1"/>
  <c r="M609" i="1"/>
  <c r="I610" i="1"/>
  <c r="J610" i="1"/>
  <c r="K610" i="1"/>
  <c r="L610" i="1"/>
  <c r="M610" i="1"/>
  <c r="I611" i="1"/>
  <c r="J611" i="1"/>
  <c r="K611" i="1"/>
  <c r="L611" i="1"/>
  <c r="M611" i="1"/>
  <c r="I612" i="1"/>
  <c r="J612" i="1"/>
  <c r="K612" i="1"/>
  <c r="L612" i="1"/>
  <c r="M612" i="1"/>
  <c r="I613" i="1"/>
  <c r="J613" i="1"/>
  <c r="K613" i="1"/>
  <c r="L613" i="1"/>
  <c r="M613" i="1"/>
  <c r="I614" i="1"/>
  <c r="J614" i="1"/>
  <c r="K614" i="1"/>
  <c r="L614" i="1"/>
  <c r="M614" i="1"/>
  <c r="I615" i="1"/>
  <c r="J615" i="1"/>
  <c r="K615" i="1"/>
  <c r="L615" i="1"/>
  <c r="M615" i="1"/>
  <c r="I616" i="1"/>
  <c r="J616" i="1"/>
  <c r="K616" i="1"/>
  <c r="L616" i="1"/>
  <c r="M616" i="1"/>
  <c r="I617" i="1"/>
  <c r="J617" i="1"/>
  <c r="K617" i="1"/>
  <c r="L617" i="1"/>
  <c r="M617" i="1"/>
  <c r="I618" i="1"/>
  <c r="J618" i="1"/>
  <c r="K618" i="1"/>
  <c r="L618" i="1"/>
  <c r="M618" i="1"/>
  <c r="I619" i="1"/>
  <c r="J619" i="1"/>
  <c r="K619" i="1"/>
  <c r="L619" i="1"/>
  <c r="M619" i="1"/>
  <c r="I620" i="1"/>
  <c r="J620" i="1"/>
  <c r="K620" i="1"/>
  <c r="L620" i="1"/>
  <c r="M620" i="1"/>
  <c r="I621" i="1"/>
  <c r="J621" i="1"/>
  <c r="K621" i="1"/>
  <c r="L621" i="1"/>
  <c r="M621" i="1"/>
  <c r="I622" i="1"/>
  <c r="J622" i="1"/>
  <c r="K622" i="1"/>
  <c r="L622" i="1"/>
  <c r="M622" i="1"/>
  <c r="I623" i="1"/>
  <c r="J623" i="1"/>
  <c r="K623" i="1"/>
  <c r="L623" i="1"/>
  <c r="M623" i="1"/>
  <c r="I624" i="1"/>
  <c r="J624" i="1"/>
  <c r="K624" i="1"/>
  <c r="L624" i="1"/>
  <c r="M624" i="1"/>
  <c r="I625" i="1"/>
  <c r="J625" i="1"/>
  <c r="K625" i="1"/>
  <c r="L625" i="1"/>
  <c r="M625" i="1"/>
  <c r="I626" i="1"/>
  <c r="J626" i="1"/>
  <c r="K626" i="1"/>
  <c r="L626" i="1"/>
  <c r="M626" i="1"/>
  <c r="I627" i="1"/>
  <c r="J627" i="1"/>
  <c r="K627" i="1"/>
  <c r="L627" i="1"/>
  <c r="M627" i="1"/>
  <c r="I628" i="1"/>
  <c r="J628" i="1"/>
  <c r="K628" i="1"/>
  <c r="L628" i="1"/>
  <c r="M628" i="1"/>
  <c r="I629" i="1"/>
  <c r="J629" i="1"/>
  <c r="K629" i="1"/>
  <c r="L629" i="1"/>
  <c r="M629" i="1"/>
  <c r="I630" i="1"/>
  <c r="J630" i="1"/>
  <c r="K630" i="1"/>
  <c r="L630" i="1"/>
  <c r="M630" i="1"/>
  <c r="I631" i="1"/>
  <c r="J631" i="1"/>
  <c r="K631" i="1"/>
  <c r="L631" i="1"/>
  <c r="M631" i="1"/>
  <c r="I632" i="1"/>
  <c r="J632" i="1"/>
  <c r="K632" i="1"/>
  <c r="L632" i="1"/>
  <c r="M632" i="1"/>
  <c r="I633" i="1"/>
  <c r="J633" i="1"/>
  <c r="K633" i="1"/>
  <c r="L633" i="1"/>
  <c r="M633" i="1"/>
  <c r="I634" i="1"/>
  <c r="J634" i="1"/>
  <c r="K634" i="1"/>
  <c r="L634" i="1"/>
  <c r="M634" i="1"/>
  <c r="I635" i="1"/>
  <c r="J635" i="1"/>
  <c r="K635" i="1"/>
  <c r="L635" i="1"/>
  <c r="M635" i="1"/>
  <c r="I636" i="1"/>
  <c r="J636" i="1"/>
  <c r="K636" i="1"/>
  <c r="L636" i="1"/>
  <c r="M636" i="1"/>
  <c r="I637" i="1"/>
  <c r="J637" i="1"/>
  <c r="K637" i="1"/>
  <c r="L637" i="1"/>
  <c r="M637" i="1"/>
  <c r="I638" i="1"/>
  <c r="J638" i="1"/>
  <c r="K638" i="1"/>
  <c r="L638" i="1"/>
  <c r="M638" i="1"/>
  <c r="I639" i="1"/>
  <c r="J639" i="1"/>
  <c r="K639" i="1"/>
  <c r="L639" i="1"/>
  <c r="M639" i="1"/>
  <c r="I640" i="1"/>
  <c r="J640" i="1"/>
  <c r="K640" i="1"/>
  <c r="L640" i="1"/>
  <c r="M640" i="1"/>
  <c r="I641" i="1"/>
  <c r="J641" i="1"/>
  <c r="K641" i="1"/>
  <c r="L641" i="1"/>
  <c r="M641" i="1"/>
  <c r="I642" i="1"/>
  <c r="J642" i="1"/>
  <c r="K642" i="1"/>
  <c r="L642" i="1"/>
  <c r="M642" i="1"/>
  <c r="I643" i="1"/>
  <c r="J643" i="1"/>
  <c r="K643" i="1"/>
  <c r="L643" i="1"/>
  <c r="M643" i="1"/>
  <c r="I644" i="1"/>
  <c r="J644" i="1"/>
  <c r="K644" i="1"/>
  <c r="L644" i="1"/>
  <c r="M644" i="1"/>
  <c r="I645" i="1"/>
  <c r="J645" i="1"/>
  <c r="K645" i="1"/>
  <c r="L645" i="1"/>
  <c r="M645" i="1"/>
  <c r="I646" i="1"/>
  <c r="J646" i="1"/>
  <c r="K646" i="1"/>
  <c r="L646" i="1"/>
  <c r="M646" i="1"/>
  <c r="I647" i="1"/>
  <c r="J647" i="1"/>
  <c r="K647" i="1"/>
  <c r="L647" i="1"/>
  <c r="M647" i="1"/>
  <c r="I648" i="1"/>
  <c r="J648" i="1"/>
  <c r="K648" i="1"/>
  <c r="L648" i="1"/>
  <c r="M648" i="1"/>
  <c r="I649" i="1"/>
  <c r="J649" i="1"/>
  <c r="K649" i="1"/>
  <c r="L649" i="1"/>
  <c r="M649" i="1"/>
  <c r="I650" i="1"/>
  <c r="J650" i="1"/>
  <c r="K650" i="1"/>
  <c r="L650" i="1"/>
  <c r="M650" i="1"/>
  <c r="I651" i="1"/>
  <c r="J651" i="1"/>
  <c r="K651" i="1"/>
  <c r="L651" i="1"/>
  <c r="M651" i="1"/>
  <c r="I652" i="1"/>
  <c r="J652" i="1"/>
  <c r="K652" i="1"/>
  <c r="L652" i="1"/>
  <c r="M652" i="1"/>
  <c r="I653" i="1"/>
  <c r="J653" i="1"/>
  <c r="K653" i="1"/>
  <c r="L653" i="1"/>
  <c r="M653" i="1"/>
  <c r="I654" i="1"/>
  <c r="J654" i="1"/>
  <c r="K654" i="1"/>
  <c r="L654" i="1"/>
  <c r="M654" i="1"/>
  <c r="I655" i="1"/>
  <c r="J655" i="1"/>
  <c r="K655" i="1"/>
  <c r="L655" i="1"/>
  <c r="M655" i="1"/>
  <c r="I656" i="1"/>
  <c r="J656" i="1"/>
  <c r="K656" i="1"/>
  <c r="L656" i="1"/>
  <c r="M656" i="1"/>
  <c r="I657" i="1"/>
  <c r="J657" i="1"/>
  <c r="K657" i="1"/>
  <c r="L657" i="1"/>
  <c r="M657" i="1"/>
  <c r="I658" i="1"/>
  <c r="J658" i="1"/>
  <c r="K658" i="1"/>
  <c r="L658" i="1"/>
  <c r="M658" i="1"/>
  <c r="I659" i="1"/>
  <c r="J659" i="1"/>
  <c r="K659" i="1"/>
  <c r="L659" i="1"/>
  <c r="M659" i="1"/>
  <c r="I660" i="1"/>
  <c r="J660" i="1"/>
  <c r="K660" i="1"/>
  <c r="L660" i="1"/>
  <c r="M660" i="1"/>
  <c r="I661" i="1"/>
  <c r="J661" i="1"/>
  <c r="K661" i="1"/>
  <c r="L661" i="1"/>
  <c r="M661" i="1"/>
  <c r="I662" i="1"/>
  <c r="J662" i="1"/>
  <c r="K662" i="1"/>
  <c r="L662" i="1"/>
  <c r="M662" i="1"/>
  <c r="I663" i="1"/>
  <c r="J663" i="1"/>
  <c r="K663" i="1"/>
  <c r="L663" i="1"/>
  <c r="M663" i="1"/>
  <c r="I664" i="1"/>
  <c r="J664" i="1"/>
  <c r="K664" i="1"/>
  <c r="L664" i="1"/>
  <c r="M664" i="1"/>
  <c r="I665" i="1"/>
  <c r="J665" i="1"/>
  <c r="K665" i="1"/>
  <c r="L665" i="1"/>
  <c r="M665" i="1"/>
  <c r="I666" i="1"/>
  <c r="J666" i="1"/>
  <c r="K666" i="1"/>
  <c r="L666" i="1"/>
  <c r="M666" i="1"/>
  <c r="I667" i="1"/>
  <c r="J667" i="1"/>
  <c r="K667" i="1"/>
  <c r="L667" i="1"/>
  <c r="M667" i="1"/>
  <c r="I668" i="1"/>
  <c r="J668" i="1"/>
  <c r="K668" i="1"/>
  <c r="L668" i="1"/>
  <c r="M668" i="1"/>
  <c r="I669" i="1"/>
  <c r="J669" i="1"/>
  <c r="K669" i="1"/>
  <c r="L669" i="1"/>
  <c r="M669" i="1"/>
  <c r="I670" i="1"/>
  <c r="J670" i="1"/>
  <c r="K670" i="1"/>
  <c r="L670" i="1"/>
  <c r="M670" i="1"/>
  <c r="I671" i="1"/>
  <c r="J671" i="1"/>
  <c r="K671" i="1"/>
  <c r="L671" i="1"/>
  <c r="M671" i="1"/>
  <c r="I672" i="1"/>
  <c r="J672" i="1"/>
  <c r="K672" i="1"/>
  <c r="L672" i="1"/>
  <c r="M672" i="1"/>
  <c r="I673" i="1"/>
  <c r="J673" i="1"/>
  <c r="K673" i="1"/>
  <c r="L673" i="1"/>
  <c r="M673" i="1"/>
  <c r="I674" i="1"/>
  <c r="J674" i="1"/>
  <c r="K674" i="1"/>
  <c r="L674" i="1"/>
  <c r="M674" i="1"/>
  <c r="I675" i="1"/>
  <c r="J675" i="1"/>
  <c r="K675" i="1"/>
  <c r="L675" i="1"/>
  <c r="M675" i="1"/>
  <c r="I676" i="1"/>
  <c r="J676" i="1"/>
  <c r="K676" i="1"/>
  <c r="L676" i="1"/>
  <c r="M676" i="1"/>
  <c r="I677" i="1"/>
  <c r="J677" i="1"/>
  <c r="K677" i="1"/>
  <c r="L677" i="1"/>
  <c r="M677" i="1"/>
  <c r="I678" i="1"/>
  <c r="J678" i="1"/>
  <c r="K678" i="1"/>
  <c r="L678" i="1"/>
  <c r="M678" i="1"/>
  <c r="I679" i="1"/>
  <c r="J679" i="1"/>
  <c r="K679" i="1"/>
  <c r="L679" i="1"/>
  <c r="M679" i="1"/>
  <c r="I680" i="1"/>
  <c r="J680" i="1"/>
  <c r="K680" i="1"/>
  <c r="L680" i="1"/>
  <c r="M680" i="1"/>
  <c r="I681" i="1"/>
  <c r="J681" i="1"/>
  <c r="K681" i="1"/>
  <c r="L681" i="1"/>
  <c r="M681" i="1"/>
  <c r="I682" i="1"/>
  <c r="J682" i="1"/>
  <c r="K682" i="1"/>
  <c r="L682" i="1"/>
  <c r="M682" i="1"/>
  <c r="I683" i="1"/>
  <c r="J683" i="1"/>
  <c r="K683" i="1"/>
  <c r="L683" i="1"/>
  <c r="M683" i="1"/>
  <c r="I684" i="1"/>
  <c r="J684" i="1"/>
  <c r="K684" i="1"/>
  <c r="L684" i="1"/>
  <c r="M684" i="1"/>
  <c r="I685" i="1"/>
  <c r="J685" i="1"/>
  <c r="K685" i="1"/>
  <c r="L685" i="1"/>
  <c r="M685" i="1"/>
  <c r="I686" i="1"/>
  <c r="J686" i="1"/>
  <c r="K686" i="1"/>
  <c r="L686" i="1"/>
  <c r="M686" i="1"/>
  <c r="I687" i="1"/>
  <c r="J687" i="1"/>
  <c r="K687" i="1"/>
  <c r="L687" i="1"/>
  <c r="M687" i="1"/>
  <c r="I688" i="1"/>
  <c r="J688" i="1"/>
  <c r="K688" i="1"/>
  <c r="L688" i="1"/>
  <c r="M688" i="1"/>
  <c r="I689" i="1"/>
  <c r="J689" i="1"/>
  <c r="K689" i="1"/>
  <c r="L689" i="1"/>
  <c r="M689" i="1"/>
  <c r="I690" i="1"/>
  <c r="J690" i="1"/>
  <c r="K690" i="1"/>
  <c r="L690" i="1"/>
  <c r="M690" i="1"/>
  <c r="I691" i="1"/>
  <c r="J691" i="1"/>
  <c r="K691" i="1"/>
  <c r="L691" i="1"/>
  <c r="M691" i="1"/>
  <c r="I692" i="1"/>
  <c r="J692" i="1"/>
  <c r="K692" i="1"/>
  <c r="L692" i="1"/>
  <c r="M692" i="1"/>
  <c r="I693" i="1"/>
  <c r="J693" i="1"/>
  <c r="K693" i="1"/>
  <c r="L693" i="1"/>
  <c r="M693" i="1"/>
  <c r="I694" i="1"/>
  <c r="J694" i="1"/>
  <c r="K694" i="1"/>
  <c r="L694" i="1"/>
  <c r="M694" i="1"/>
  <c r="I695" i="1"/>
  <c r="J695" i="1"/>
  <c r="K695" i="1"/>
  <c r="L695" i="1"/>
  <c r="M695" i="1"/>
  <c r="I696" i="1"/>
  <c r="J696" i="1"/>
  <c r="K696" i="1"/>
  <c r="L696" i="1"/>
  <c r="M696" i="1"/>
  <c r="I697" i="1"/>
  <c r="J697" i="1"/>
  <c r="K697" i="1"/>
  <c r="L697" i="1"/>
  <c r="M697" i="1"/>
  <c r="I698" i="1"/>
  <c r="J698" i="1"/>
  <c r="K698" i="1"/>
  <c r="L698" i="1"/>
  <c r="M698" i="1"/>
  <c r="I699" i="1"/>
  <c r="J699" i="1"/>
  <c r="K699" i="1"/>
  <c r="L699" i="1"/>
  <c r="M699" i="1"/>
  <c r="I700" i="1"/>
  <c r="J700" i="1"/>
  <c r="K700" i="1"/>
  <c r="L700" i="1"/>
  <c r="M700" i="1"/>
  <c r="I701" i="1"/>
  <c r="J701" i="1"/>
  <c r="K701" i="1"/>
  <c r="L701" i="1"/>
  <c r="M701" i="1"/>
  <c r="I702" i="1"/>
  <c r="J702" i="1"/>
  <c r="K702" i="1"/>
  <c r="L702" i="1"/>
  <c r="M702" i="1"/>
  <c r="I703" i="1"/>
  <c r="J703" i="1"/>
  <c r="K703" i="1"/>
  <c r="L703" i="1"/>
  <c r="M703" i="1"/>
  <c r="I704" i="1"/>
  <c r="J704" i="1"/>
  <c r="K704" i="1"/>
  <c r="L704" i="1"/>
  <c r="M704" i="1"/>
  <c r="I705" i="1"/>
  <c r="J705" i="1"/>
  <c r="K705" i="1"/>
  <c r="L705" i="1"/>
  <c r="M705" i="1"/>
  <c r="I706" i="1"/>
  <c r="J706" i="1"/>
  <c r="K706" i="1"/>
  <c r="L706" i="1"/>
  <c r="M706" i="1"/>
  <c r="I707" i="1"/>
  <c r="J707" i="1"/>
  <c r="K707" i="1"/>
  <c r="L707" i="1"/>
  <c r="M707" i="1"/>
  <c r="I708" i="1"/>
  <c r="J708" i="1"/>
  <c r="K708" i="1"/>
  <c r="L708" i="1"/>
  <c r="M708" i="1"/>
  <c r="I709" i="1"/>
  <c r="J709" i="1"/>
  <c r="K709" i="1"/>
  <c r="L709" i="1"/>
  <c r="M709" i="1"/>
  <c r="I710" i="1"/>
  <c r="J710" i="1"/>
  <c r="K710" i="1"/>
  <c r="L710" i="1"/>
  <c r="M710" i="1"/>
  <c r="I711" i="1"/>
  <c r="J711" i="1"/>
  <c r="K711" i="1"/>
  <c r="L711" i="1"/>
  <c r="M711" i="1"/>
  <c r="I712" i="1"/>
  <c r="J712" i="1"/>
  <c r="K712" i="1"/>
  <c r="L712" i="1"/>
  <c r="M712" i="1"/>
  <c r="I713" i="1"/>
  <c r="J713" i="1"/>
  <c r="K713" i="1"/>
  <c r="L713" i="1"/>
  <c r="M713" i="1"/>
  <c r="I714" i="1"/>
  <c r="J714" i="1"/>
  <c r="K714" i="1"/>
  <c r="L714" i="1"/>
  <c r="M714" i="1"/>
  <c r="I715" i="1"/>
  <c r="J715" i="1"/>
  <c r="K715" i="1"/>
  <c r="L715" i="1"/>
  <c r="M715" i="1"/>
  <c r="I716" i="1"/>
  <c r="J716" i="1"/>
  <c r="K716" i="1"/>
  <c r="L716" i="1"/>
  <c r="M716" i="1"/>
  <c r="I717" i="1"/>
  <c r="J717" i="1"/>
  <c r="K717" i="1"/>
  <c r="L717" i="1"/>
  <c r="M717" i="1"/>
  <c r="I718" i="1"/>
  <c r="J718" i="1"/>
  <c r="K718" i="1"/>
  <c r="L718" i="1"/>
  <c r="M718" i="1"/>
  <c r="I719" i="1"/>
  <c r="J719" i="1"/>
  <c r="K719" i="1"/>
  <c r="L719" i="1"/>
  <c r="M719" i="1"/>
  <c r="I720" i="1"/>
  <c r="J720" i="1"/>
  <c r="K720" i="1"/>
  <c r="L720" i="1"/>
  <c r="M720" i="1"/>
  <c r="I721" i="1"/>
  <c r="J721" i="1"/>
  <c r="K721" i="1"/>
  <c r="L721" i="1"/>
  <c r="M721" i="1"/>
  <c r="I722" i="1"/>
  <c r="J722" i="1"/>
  <c r="K722" i="1"/>
  <c r="L722" i="1"/>
  <c r="M722" i="1"/>
  <c r="I723" i="1"/>
  <c r="J723" i="1"/>
  <c r="K723" i="1"/>
  <c r="L723" i="1"/>
  <c r="M723" i="1"/>
  <c r="I724" i="1"/>
  <c r="J724" i="1"/>
  <c r="K724" i="1"/>
  <c r="L724" i="1"/>
  <c r="M724" i="1"/>
  <c r="I725" i="1"/>
  <c r="J725" i="1"/>
  <c r="K725" i="1"/>
  <c r="L725" i="1"/>
  <c r="M725" i="1"/>
  <c r="I726" i="1"/>
  <c r="J726" i="1"/>
  <c r="K726" i="1"/>
  <c r="L726" i="1"/>
  <c r="M726" i="1"/>
  <c r="I727" i="1"/>
  <c r="J727" i="1"/>
  <c r="K727" i="1"/>
  <c r="L727" i="1"/>
  <c r="M727" i="1"/>
  <c r="I728" i="1"/>
  <c r="J728" i="1"/>
  <c r="K728" i="1"/>
  <c r="L728" i="1"/>
  <c r="M728" i="1"/>
  <c r="I729" i="1"/>
  <c r="J729" i="1"/>
  <c r="K729" i="1"/>
  <c r="L729" i="1"/>
  <c r="M729" i="1"/>
  <c r="I730" i="1"/>
  <c r="J730" i="1"/>
  <c r="K730" i="1"/>
  <c r="L730" i="1"/>
  <c r="M730" i="1"/>
  <c r="I731" i="1"/>
  <c r="J731" i="1"/>
  <c r="K731" i="1"/>
  <c r="L731" i="1"/>
  <c r="M731" i="1"/>
  <c r="I732" i="1"/>
  <c r="J732" i="1"/>
  <c r="K732" i="1"/>
  <c r="L732" i="1"/>
  <c r="M732" i="1"/>
  <c r="I733" i="1"/>
  <c r="J733" i="1"/>
  <c r="K733" i="1"/>
  <c r="L733" i="1"/>
  <c r="M733" i="1"/>
  <c r="I734" i="1"/>
  <c r="J734" i="1"/>
  <c r="K734" i="1"/>
  <c r="L734" i="1"/>
  <c r="M734" i="1"/>
  <c r="I735" i="1"/>
  <c r="J735" i="1"/>
  <c r="K735" i="1"/>
  <c r="L735" i="1"/>
  <c r="M735" i="1"/>
  <c r="I736" i="1"/>
  <c r="J736" i="1"/>
  <c r="K736" i="1"/>
  <c r="L736" i="1"/>
  <c r="M736" i="1"/>
  <c r="I737" i="1"/>
  <c r="J737" i="1"/>
  <c r="K737" i="1"/>
  <c r="L737" i="1"/>
  <c r="M737" i="1"/>
  <c r="I738" i="1"/>
  <c r="J738" i="1"/>
  <c r="K738" i="1"/>
  <c r="L738" i="1"/>
  <c r="M738" i="1"/>
  <c r="I739" i="1"/>
  <c r="J739" i="1"/>
  <c r="K739" i="1"/>
  <c r="L739" i="1"/>
  <c r="M739" i="1"/>
  <c r="I740" i="1"/>
  <c r="J740" i="1"/>
  <c r="K740" i="1"/>
  <c r="L740" i="1"/>
  <c r="M740" i="1"/>
  <c r="I741" i="1"/>
  <c r="J741" i="1"/>
  <c r="K741" i="1"/>
  <c r="L741" i="1"/>
  <c r="M741" i="1"/>
  <c r="I742" i="1"/>
  <c r="J742" i="1"/>
  <c r="K742" i="1"/>
  <c r="L742" i="1"/>
  <c r="M742" i="1"/>
  <c r="I743" i="1"/>
  <c r="J743" i="1"/>
  <c r="K743" i="1"/>
  <c r="L743" i="1"/>
  <c r="M743" i="1"/>
  <c r="I744" i="1"/>
  <c r="J744" i="1"/>
  <c r="K744" i="1"/>
  <c r="L744" i="1"/>
  <c r="M744" i="1"/>
  <c r="I745" i="1"/>
  <c r="J745" i="1"/>
  <c r="K745" i="1"/>
  <c r="L745" i="1"/>
  <c r="M745" i="1"/>
  <c r="I746" i="1"/>
  <c r="J746" i="1"/>
  <c r="K746" i="1"/>
  <c r="L746" i="1"/>
  <c r="M746" i="1"/>
  <c r="I747" i="1"/>
  <c r="J747" i="1"/>
  <c r="K747" i="1"/>
  <c r="L747" i="1"/>
  <c r="M747" i="1"/>
  <c r="I748" i="1"/>
  <c r="J748" i="1"/>
  <c r="K748" i="1"/>
  <c r="L748" i="1"/>
  <c r="M748" i="1"/>
  <c r="I749" i="1"/>
  <c r="J749" i="1"/>
  <c r="K749" i="1"/>
  <c r="L749" i="1"/>
  <c r="M749" i="1"/>
  <c r="I750" i="1"/>
  <c r="J750" i="1"/>
  <c r="K750" i="1"/>
  <c r="L750" i="1"/>
  <c r="M750" i="1"/>
  <c r="I751" i="1"/>
  <c r="J751" i="1"/>
  <c r="K751" i="1"/>
  <c r="L751" i="1"/>
  <c r="M751" i="1"/>
  <c r="I752" i="1"/>
  <c r="J752" i="1"/>
  <c r="K752" i="1"/>
  <c r="L752" i="1"/>
  <c r="M752" i="1"/>
  <c r="I753" i="1"/>
  <c r="J753" i="1"/>
  <c r="K753" i="1"/>
  <c r="L753" i="1"/>
  <c r="M753" i="1"/>
  <c r="I754" i="1"/>
  <c r="J754" i="1"/>
  <c r="K754" i="1"/>
  <c r="L754" i="1"/>
  <c r="M754" i="1"/>
  <c r="I755" i="1"/>
  <c r="J755" i="1"/>
  <c r="K755" i="1"/>
  <c r="L755" i="1"/>
  <c r="M755" i="1"/>
  <c r="I756" i="1"/>
  <c r="J756" i="1"/>
  <c r="K756" i="1"/>
  <c r="L756" i="1"/>
  <c r="M756" i="1"/>
  <c r="I757" i="1"/>
  <c r="J757" i="1"/>
  <c r="K757" i="1"/>
  <c r="L757" i="1"/>
  <c r="M757" i="1"/>
  <c r="I758" i="1"/>
  <c r="J758" i="1"/>
  <c r="K758" i="1"/>
  <c r="L758" i="1"/>
  <c r="M758" i="1"/>
  <c r="I759" i="1"/>
  <c r="J759" i="1"/>
  <c r="K759" i="1"/>
  <c r="L759" i="1"/>
  <c r="M759" i="1"/>
  <c r="I760" i="1"/>
  <c r="J760" i="1"/>
  <c r="K760" i="1"/>
  <c r="L760" i="1"/>
  <c r="M760" i="1"/>
  <c r="I761" i="1"/>
  <c r="J761" i="1"/>
  <c r="K761" i="1"/>
  <c r="L761" i="1"/>
  <c r="M761" i="1"/>
  <c r="I762" i="1"/>
  <c r="J762" i="1"/>
  <c r="K762" i="1"/>
  <c r="L762" i="1"/>
  <c r="M762" i="1"/>
  <c r="I763" i="1"/>
  <c r="J763" i="1"/>
  <c r="K763" i="1"/>
  <c r="L763" i="1"/>
  <c r="M763" i="1"/>
  <c r="I764" i="1"/>
  <c r="J764" i="1"/>
  <c r="K764" i="1"/>
  <c r="L764" i="1"/>
  <c r="M764" i="1"/>
  <c r="I765" i="1"/>
  <c r="J765" i="1"/>
  <c r="K765" i="1"/>
  <c r="L765" i="1"/>
  <c r="M765" i="1"/>
  <c r="I766" i="1"/>
  <c r="J766" i="1"/>
  <c r="K766" i="1"/>
  <c r="L766" i="1"/>
  <c r="M766" i="1"/>
  <c r="I767" i="1"/>
  <c r="J767" i="1"/>
  <c r="K767" i="1"/>
  <c r="L767" i="1"/>
  <c r="M767" i="1"/>
  <c r="I768" i="1"/>
  <c r="J768" i="1"/>
  <c r="K768" i="1"/>
  <c r="L768" i="1"/>
  <c r="M768" i="1"/>
  <c r="I769" i="1"/>
  <c r="J769" i="1"/>
  <c r="K769" i="1"/>
  <c r="L769" i="1"/>
  <c r="M769" i="1"/>
  <c r="I770" i="1"/>
  <c r="J770" i="1"/>
  <c r="K770" i="1"/>
  <c r="L770" i="1"/>
  <c r="M770" i="1"/>
  <c r="I771" i="1"/>
  <c r="J771" i="1"/>
  <c r="K771" i="1"/>
  <c r="L771" i="1"/>
  <c r="M771" i="1"/>
  <c r="I772" i="1"/>
  <c r="J772" i="1"/>
  <c r="K772" i="1"/>
  <c r="L772" i="1"/>
  <c r="M772" i="1"/>
  <c r="I773" i="1"/>
  <c r="J773" i="1"/>
  <c r="K773" i="1"/>
  <c r="L773" i="1"/>
  <c r="M773" i="1"/>
  <c r="I774" i="1"/>
  <c r="J774" i="1"/>
  <c r="K774" i="1"/>
  <c r="L774" i="1"/>
  <c r="M774" i="1"/>
  <c r="I775" i="1"/>
  <c r="J775" i="1"/>
  <c r="K775" i="1"/>
  <c r="L775" i="1"/>
  <c r="M775" i="1"/>
  <c r="I776" i="1"/>
  <c r="J776" i="1"/>
  <c r="K776" i="1"/>
  <c r="L776" i="1"/>
  <c r="M776" i="1"/>
  <c r="I777" i="1"/>
  <c r="J777" i="1"/>
  <c r="K777" i="1"/>
  <c r="L777" i="1"/>
  <c r="M777" i="1"/>
  <c r="I778" i="1"/>
  <c r="J778" i="1"/>
  <c r="K778" i="1"/>
  <c r="L778" i="1"/>
  <c r="M778" i="1"/>
  <c r="I779" i="1"/>
  <c r="J779" i="1"/>
  <c r="K779" i="1"/>
  <c r="L779" i="1"/>
  <c r="M779" i="1"/>
  <c r="I780" i="1"/>
  <c r="J780" i="1"/>
  <c r="K780" i="1"/>
  <c r="L780" i="1"/>
  <c r="M780" i="1"/>
  <c r="I781" i="1"/>
  <c r="J781" i="1"/>
  <c r="K781" i="1"/>
  <c r="L781" i="1"/>
  <c r="M781" i="1"/>
  <c r="I782" i="1"/>
  <c r="J782" i="1"/>
  <c r="K782" i="1"/>
  <c r="L782" i="1"/>
  <c r="M782" i="1"/>
  <c r="I783" i="1"/>
  <c r="J783" i="1"/>
  <c r="K783" i="1"/>
  <c r="L783" i="1"/>
  <c r="M783" i="1"/>
  <c r="I784" i="1"/>
  <c r="J784" i="1"/>
  <c r="K784" i="1"/>
  <c r="L784" i="1"/>
  <c r="M784" i="1"/>
  <c r="I785" i="1"/>
  <c r="J785" i="1"/>
  <c r="K785" i="1"/>
  <c r="L785" i="1"/>
  <c r="M785" i="1"/>
  <c r="I786" i="1"/>
  <c r="J786" i="1"/>
  <c r="K786" i="1"/>
  <c r="L786" i="1"/>
  <c r="M786" i="1"/>
  <c r="I787" i="1"/>
  <c r="J787" i="1"/>
  <c r="K787" i="1"/>
  <c r="L787" i="1"/>
  <c r="M787" i="1"/>
  <c r="I788" i="1"/>
  <c r="J788" i="1"/>
  <c r="K788" i="1"/>
  <c r="L788" i="1"/>
  <c r="M788" i="1"/>
  <c r="I789" i="1"/>
  <c r="J789" i="1"/>
  <c r="K789" i="1"/>
  <c r="L789" i="1"/>
  <c r="M789" i="1"/>
  <c r="I790" i="1"/>
  <c r="J790" i="1"/>
  <c r="K790" i="1"/>
  <c r="L790" i="1"/>
  <c r="M790" i="1"/>
  <c r="I791" i="1"/>
  <c r="J791" i="1"/>
  <c r="K791" i="1"/>
  <c r="L791" i="1"/>
  <c r="M791" i="1"/>
  <c r="I792" i="1"/>
  <c r="J792" i="1"/>
  <c r="K792" i="1"/>
  <c r="L792" i="1"/>
  <c r="M792" i="1"/>
  <c r="I793" i="1"/>
  <c r="J793" i="1"/>
  <c r="K793" i="1"/>
  <c r="L793" i="1"/>
  <c r="M793" i="1"/>
  <c r="I794" i="1"/>
  <c r="J794" i="1"/>
  <c r="K794" i="1"/>
  <c r="L794" i="1"/>
  <c r="M794" i="1"/>
  <c r="I795" i="1"/>
  <c r="J795" i="1"/>
  <c r="K795" i="1"/>
  <c r="L795" i="1"/>
  <c r="M795" i="1"/>
  <c r="I796" i="1"/>
  <c r="J796" i="1"/>
  <c r="K796" i="1"/>
  <c r="L796" i="1"/>
  <c r="M796" i="1"/>
  <c r="I797" i="1"/>
  <c r="J797" i="1"/>
  <c r="K797" i="1"/>
  <c r="L797" i="1"/>
  <c r="M797" i="1"/>
  <c r="I798" i="1"/>
  <c r="J798" i="1"/>
  <c r="K798" i="1"/>
  <c r="L798" i="1"/>
  <c r="M798" i="1"/>
  <c r="I799" i="1"/>
  <c r="J799" i="1"/>
  <c r="K799" i="1"/>
  <c r="L799" i="1"/>
  <c r="M799" i="1"/>
  <c r="I800" i="1"/>
  <c r="J800" i="1"/>
  <c r="K800" i="1"/>
  <c r="L800" i="1"/>
  <c r="M800" i="1"/>
  <c r="I801" i="1"/>
  <c r="J801" i="1"/>
  <c r="K801" i="1"/>
  <c r="L801" i="1"/>
  <c r="M801" i="1"/>
  <c r="I802" i="1"/>
  <c r="J802" i="1"/>
  <c r="K802" i="1"/>
  <c r="L802" i="1"/>
  <c r="M802" i="1"/>
  <c r="I803" i="1"/>
  <c r="J803" i="1"/>
  <c r="K803" i="1"/>
  <c r="L803" i="1"/>
  <c r="M803" i="1"/>
  <c r="I804" i="1"/>
  <c r="J804" i="1"/>
  <c r="K804" i="1"/>
  <c r="L804" i="1"/>
  <c r="M804" i="1"/>
  <c r="I805" i="1"/>
  <c r="J805" i="1"/>
  <c r="K805" i="1"/>
  <c r="L805" i="1"/>
  <c r="M805" i="1"/>
  <c r="I806" i="1"/>
  <c r="J806" i="1"/>
  <c r="K806" i="1"/>
  <c r="L806" i="1"/>
  <c r="M806" i="1"/>
  <c r="I807" i="1"/>
  <c r="J807" i="1"/>
  <c r="K807" i="1"/>
  <c r="L807" i="1"/>
  <c r="M807" i="1"/>
  <c r="I808" i="1"/>
  <c r="J808" i="1"/>
  <c r="K808" i="1"/>
  <c r="L808" i="1"/>
  <c r="M808" i="1"/>
  <c r="I809" i="1"/>
  <c r="J809" i="1"/>
  <c r="K809" i="1"/>
  <c r="L809" i="1"/>
  <c r="M809" i="1"/>
  <c r="I810" i="1"/>
  <c r="J810" i="1"/>
  <c r="K810" i="1"/>
  <c r="L810" i="1"/>
  <c r="M810" i="1"/>
  <c r="I811" i="1"/>
  <c r="J811" i="1"/>
  <c r="K811" i="1"/>
  <c r="L811" i="1"/>
  <c r="M811" i="1"/>
  <c r="I812" i="1"/>
  <c r="J812" i="1"/>
  <c r="K812" i="1"/>
  <c r="L812" i="1"/>
  <c r="M812" i="1"/>
  <c r="I813" i="1"/>
  <c r="J813" i="1"/>
  <c r="K813" i="1"/>
  <c r="L813" i="1"/>
  <c r="M813" i="1"/>
  <c r="I814" i="1"/>
  <c r="J814" i="1"/>
  <c r="K814" i="1"/>
  <c r="L814" i="1"/>
  <c r="M814" i="1"/>
  <c r="I815" i="1"/>
  <c r="J815" i="1"/>
  <c r="K815" i="1"/>
  <c r="L815" i="1"/>
  <c r="M815" i="1"/>
  <c r="I816" i="1"/>
  <c r="J816" i="1"/>
  <c r="K816" i="1"/>
  <c r="L816" i="1"/>
  <c r="M816" i="1"/>
  <c r="I817" i="1"/>
  <c r="J817" i="1"/>
  <c r="K817" i="1"/>
  <c r="L817" i="1"/>
  <c r="M817" i="1"/>
  <c r="I818" i="1"/>
  <c r="J818" i="1"/>
  <c r="K818" i="1"/>
  <c r="L818" i="1"/>
  <c r="M818" i="1"/>
  <c r="I819" i="1"/>
  <c r="J819" i="1"/>
  <c r="K819" i="1"/>
  <c r="L819" i="1"/>
  <c r="M819" i="1"/>
  <c r="I820" i="1"/>
  <c r="J820" i="1"/>
  <c r="K820" i="1"/>
  <c r="L820" i="1"/>
  <c r="M820" i="1"/>
  <c r="I821" i="1"/>
  <c r="J821" i="1"/>
  <c r="K821" i="1"/>
  <c r="L821" i="1"/>
  <c r="M821" i="1"/>
  <c r="I822" i="1"/>
  <c r="J822" i="1"/>
  <c r="K822" i="1"/>
  <c r="L822" i="1"/>
  <c r="M822" i="1"/>
  <c r="I823" i="1"/>
  <c r="J823" i="1"/>
  <c r="K823" i="1"/>
  <c r="L823" i="1"/>
  <c r="M823" i="1"/>
  <c r="I824" i="1"/>
  <c r="J824" i="1"/>
  <c r="K824" i="1"/>
  <c r="L824" i="1"/>
  <c r="M824" i="1"/>
  <c r="I825" i="1"/>
  <c r="J825" i="1"/>
  <c r="K825" i="1"/>
  <c r="L825" i="1"/>
  <c r="M825" i="1"/>
  <c r="I826" i="1"/>
  <c r="J826" i="1"/>
  <c r="K826" i="1"/>
  <c r="L826" i="1"/>
  <c r="M826" i="1"/>
  <c r="I827" i="1"/>
  <c r="J827" i="1"/>
  <c r="K827" i="1"/>
  <c r="L827" i="1"/>
  <c r="M827" i="1"/>
  <c r="I828" i="1"/>
  <c r="J828" i="1"/>
  <c r="K828" i="1"/>
  <c r="L828" i="1"/>
  <c r="M828" i="1"/>
  <c r="I829" i="1"/>
  <c r="J829" i="1"/>
  <c r="K829" i="1"/>
  <c r="L829" i="1"/>
  <c r="M829" i="1"/>
  <c r="I830" i="1"/>
  <c r="J830" i="1"/>
  <c r="K830" i="1"/>
  <c r="L830" i="1"/>
  <c r="M830" i="1"/>
  <c r="I831" i="1"/>
  <c r="J831" i="1"/>
  <c r="K831" i="1"/>
  <c r="L831" i="1"/>
  <c r="M831" i="1"/>
  <c r="I832" i="1"/>
  <c r="J832" i="1"/>
  <c r="K832" i="1"/>
  <c r="L832" i="1"/>
  <c r="M832" i="1"/>
  <c r="I833" i="1"/>
  <c r="J833" i="1"/>
  <c r="K833" i="1"/>
  <c r="L833" i="1"/>
  <c r="M833" i="1"/>
  <c r="I834" i="1"/>
  <c r="J834" i="1"/>
  <c r="K834" i="1"/>
  <c r="L834" i="1"/>
  <c r="M834" i="1"/>
  <c r="I835" i="1"/>
  <c r="J835" i="1"/>
  <c r="K835" i="1"/>
  <c r="L835" i="1"/>
  <c r="M835" i="1"/>
  <c r="I836" i="1"/>
  <c r="J836" i="1"/>
  <c r="K836" i="1"/>
  <c r="L836" i="1"/>
  <c r="M836" i="1"/>
  <c r="I837" i="1"/>
  <c r="J837" i="1"/>
  <c r="K837" i="1"/>
  <c r="L837" i="1"/>
  <c r="M837" i="1"/>
  <c r="I838" i="1"/>
  <c r="J838" i="1"/>
  <c r="K838" i="1"/>
  <c r="L838" i="1"/>
  <c r="M838" i="1"/>
  <c r="I839" i="1"/>
  <c r="J839" i="1"/>
  <c r="K839" i="1"/>
  <c r="L839" i="1"/>
  <c r="M839" i="1"/>
  <c r="I840" i="1"/>
  <c r="J840" i="1"/>
  <c r="K840" i="1"/>
  <c r="L840" i="1"/>
  <c r="M840" i="1"/>
  <c r="I841" i="1"/>
  <c r="J841" i="1"/>
  <c r="K841" i="1"/>
  <c r="L841" i="1"/>
  <c r="M841" i="1"/>
  <c r="I842" i="1"/>
  <c r="J842" i="1"/>
  <c r="K842" i="1"/>
  <c r="L842" i="1"/>
  <c r="M842" i="1"/>
  <c r="I843" i="1"/>
  <c r="J843" i="1"/>
  <c r="K843" i="1"/>
  <c r="L843" i="1"/>
  <c r="M843" i="1"/>
  <c r="I844" i="1"/>
  <c r="J844" i="1"/>
  <c r="K844" i="1"/>
  <c r="L844" i="1"/>
  <c r="M844" i="1"/>
  <c r="I845" i="1"/>
  <c r="J845" i="1"/>
  <c r="K845" i="1"/>
  <c r="L845" i="1"/>
  <c r="M845" i="1"/>
  <c r="I846" i="1"/>
  <c r="J846" i="1"/>
  <c r="K846" i="1"/>
  <c r="L846" i="1"/>
  <c r="M846" i="1"/>
  <c r="I847" i="1"/>
  <c r="J847" i="1"/>
  <c r="K847" i="1"/>
  <c r="L847" i="1"/>
  <c r="M847" i="1"/>
  <c r="I848" i="1"/>
  <c r="J848" i="1"/>
  <c r="K848" i="1"/>
  <c r="L848" i="1"/>
  <c r="M848" i="1"/>
  <c r="I849" i="1"/>
  <c r="J849" i="1"/>
  <c r="K849" i="1"/>
  <c r="L849" i="1"/>
  <c r="M849" i="1"/>
  <c r="I850" i="1"/>
  <c r="J850" i="1"/>
  <c r="K850" i="1"/>
  <c r="L850" i="1"/>
  <c r="M850" i="1"/>
  <c r="I851" i="1"/>
  <c r="J851" i="1"/>
  <c r="K851" i="1"/>
  <c r="L851" i="1"/>
  <c r="M851" i="1"/>
  <c r="I852" i="1"/>
  <c r="J852" i="1"/>
  <c r="K852" i="1"/>
  <c r="L852" i="1"/>
  <c r="M852" i="1"/>
  <c r="I853" i="1"/>
  <c r="J853" i="1"/>
  <c r="K853" i="1"/>
  <c r="L853" i="1"/>
  <c r="M853" i="1"/>
  <c r="I854" i="1"/>
  <c r="J854" i="1"/>
  <c r="K854" i="1"/>
  <c r="L854" i="1"/>
  <c r="M854" i="1"/>
  <c r="I855" i="1"/>
  <c r="J855" i="1"/>
  <c r="K855" i="1"/>
  <c r="L855" i="1"/>
  <c r="M855" i="1"/>
  <c r="I856" i="1"/>
  <c r="J856" i="1"/>
  <c r="K856" i="1"/>
  <c r="L856" i="1"/>
  <c r="M856" i="1"/>
  <c r="I857" i="1"/>
  <c r="J857" i="1"/>
  <c r="K857" i="1"/>
  <c r="L857" i="1"/>
  <c r="M857" i="1"/>
  <c r="I858" i="1"/>
  <c r="J858" i="1"/>
  <c r="K858" i="1"/>
  <c r="L858" i="1"/>
  <c r="M858" i="1"/>
  <c r="I859" i="1"/>
  <c r="J859" i="1"/>
  <c r="K859" i="1"/>
  <c r="L859" i="1"/>
  <c r="M859" i="1"/>
  <c r="I860" i="1"/>
  <c r="J860" i="1"/>
  <c r="K860" i="1"/>
  <c r="L860" i="1"/>
  <c r="M860" i="1"/>
  <c r="I861" i="1"/>
  <c r="J861" i="1"/>
  <c r="K861" i="1"/>
  <c r="L861" i="1"/>
  <c r="M861" i="1"/>
  <c r="I862" i="1"/>
  <c r="J862" i="1"/>
  <c r="K862" i="1"/>
  <c r="L862" i="1"/>
  <c r="M862" i="1"/>
  <c r="I863" i="1"/>
  <c r="J863" i="1"/>
  <c r="K863" i="1"/>
  <c r="L863" i="1"/>
  <c r="M863" i="1"/>
  <c r="I864" i="1"/>
  <c r="J864" i="1"/>
  <c r="K864" i="1"/>
  <c r="L864" i="1"/>
  <c r="M864" i="1"/>
  <c r="I865" i="1"/>
  <c r="J865" i="1"/>
  <c r="K865" i="1"/>
  <c r="L865" i="1"/>
  <c r="M865" i="1"/>
  <c r="I866" i="1"/>
  <c r="J866" i="1"/>
  <c r="K866" i="1"/>
  <c r="L866" i="1"/>
  <c r="M866" i="1"/>
  <c r="I867" i="1"/>
  <c r="J867" i="1"/>
  <c r="K867" i="1"/>
  <c r="L867" i="1"/>
  <c r="M867" i="1"/>
  <c r="I868" i="1"/>
  <c r="J868" i="1"/>
  <c r="K868" i="1"/>
  <c r="L868" i="1"/>
  <c r="M868" i="1"/>
  <c r="I869" i="1"/>
  <c r="J869" i="1"/>
  <c r="K869" i="1"/>
  <c r="L869" i="1"/>
  <c r="M869" i="1"/>
  <c r="I870" i="1"/>
  <c r="J870" i="1"/>
  <c r="K870" i="1"/>
  <c r="L870" i="1"/>
  <c r="M870" i="1"/>
  <c r="I871" i="1"/>
  <c r="J871" i="1"/>
  <c r="K871" i="1"/>
  <c r="L871" i="1"/>
  <c r="M871" i="1"/>
  <c r="I872" i="1"/>
  <c r="J872" i="1"/>
  <c r="K872" i="1"/>
  <c r="L872" i="1"/>
  <c r="M872" i="1"/>
  <c r="I873" i="1"/>
  <c r="J873" i="1"/>
  <c r="K873" i="1"/>
  <c r="L873" i="1"/>
  <c r="M873" i="1"/>
  <c r="I874" i="1"/>
  <c r="J874" i="1"/>
  <c r="K874" i="1"/>
  <c r="L874" i="1"/>
  <c r="M874" i="1"/>
  <c r="I875" i="1"/>
  <c r="J875" i="1"/>
  <c r="K875" i="1"/>
  <c r="L875" i="1"/>
  <c r="M875" i="1"/>
  <c r="I876" i="1"/>
  <c r="J876" i="1"/>
  <c r="K876" i="1"/>
  <c r="L876" i="1"/>
  <c r="M876" i="1"/>
  <c r="I877" i="1"/>
  <c r="J877" i="1"/>
  <c r="K877" i="1"/>
  <c r="L877" i="1"/>
  <c r="M877" i="1"/>
  <c r="I878" i="1"/>
  <c r="J878" i="1"/>
  <c r="K878" i="1"/>
  <c r="L878" i="1"/>
  <c r="M878" i="1"/>
  <c r="I879" i="1"/>
  <c r="J879" i="1"/>
  <c r="K879" i="1"/>
  <c r="L879" i="1"/>
  <c r="M879" i="1"/>
  <c r="I880" i="1"/>
  <c r="J880" i="1"/>
  <c r="K880" i="1"/>
  <c r="L880" i="1"/>
  <c r="M880" i="1"/>
  <c r="I881" i="1"/>
  <c r="J881" i="1"/>
  <c r="K881" i="1"/>
  <c r="L881" i="1"/>
  <c r="M881" i="1"/>
  <c r="I882" i="1"/>
  <c r="J882" i="1"/>
  <c r="K882" i="1"/>
  <c r="L882" i="1"/>
  <c r="M882" i="1"/>
  <c r="I883" i="1"/>
  <c r="J883" i="1"/>
  <c r="K883" i="1"/>
  <c r="L883" i="1"/>
  <c r="M883" i="1"/>
  <c r="I884" i="1"/>
  <c r="J884" i="1"/>
  <c r="K884" i="1"/>
  <c r="L884" i="1"/>
  <c r="M884" i="1"/>
  <c r="I885" i="1"/>
  <c r="J885" i="1"/>
  <c r="K885" i="1"/>
  <c r="L885" i="1"/>
  <c r="M885" i="1"/>
  <c r="I886" i="1"/>
  <c r="J886" i="1"/>
  <c r="K886" i="1"/>
  <c r="L886" i="1"/>
  <c r="M886" i="1"/>
  <c r="I887" i="1"/>
  <c r="J887" i="1"/>
  <c r="K887" i="1"/>
  <c r="L887" i="1"/>
  <c r="M887" i="1"/>
  <c r="I888" i="1"/>
  <c r="J888" i="1"/>
  <c r="K888" i="1"/>
  <c r="L888" i="1"/>
  <c r="M888" i="1"/>
  <c r="I889" i="1"/>
  <c r="J889" i="1"/>
  <c r="K889" i="1"/>
  <c r="L889" i="1"/>
  <c r="M889" i="1"/>
  <c r="I890" i="1"/>
  <c r="J890" i="1"/>
  <c r="K890" i="1"/>
  <c r="L890" i="1"/>
  <c r="M890" i="1"/>
  <c r="I891" i="1"/>
  <c r="J891" i="1"/>
  <c r="K891" i="1"/>
  <c r="L891" i="1"/>
  <c r="M891" i="1"/>
  <c r="I892" i="1"/>
  <c r="J892" i="1"/>
  <c r="K892" i="1"/>
  <c r="L892" i="1"/>
  <c r="M892" i="1"/>
  <c r="I893" i="1"/>
  <c r="J893" i="1"/>
  <c r="K893" i="1"/>
  <c r="L893" i="1"/>
  <c r="M893" i="1"/>
  <c r="I894" i="1"/>
  <c r="J894" i="1"/>
  <c r="K894" i="1"/>
  <c r="L894" i="1"/>
  <c r="M894" i="1"/>
  <c r="I895" i="1"/>
  <c r="J895" i="1"/>
  <c r="K895" i="1"/>
  <c r="L895" i="1"/>
  <c r="M895" i="1"/>
  <c r="I896" i="1"/>
  <c r="J896" i="1"/>
  <c r="K896" i="1"/>
  <c r="L896" i="1"/>
  <c r="M896" i="1"/>
  <c r="I897" i="1"/>
  <c r="J897" i="1"/>
  <c r="K897" i="1"/>
  <c r="L897" i="1"/>
  <c r="M897" i="1"/>
  <c r="I898" i="1"/>
  <c r="J898" i="1"/>
  <c r="K898" i="1"/>
  <c r="L898" i="1"/>
  <c r="M898" i="1"/>
  <c r="I899" i="1"/>
  <c r="J899" i="1"/>
  <c r="K899" i="1"/>
  <c r="L899" i="1"/>
  <c r="M899" i="1"/>
  <c r="I900" i="1"/>
  <c r="J900" i="1"/>
  <c r="K900" i="1"/>
  <c r="L900" i="1"/>
  <c r="M900" i="1"/>
  <c r="I901" i="1"/>
  <c r="J901" i="1"/>
  <c r="K901" i="1"/>
  <c r="L901" i="1"/>
  <c r="M901" i="1"/>
  <c r="I902" i="1"/>
  <c r="J902" i="1"/>
  <c r="K902" i="1"/>
  <c r="L902" i="1"/>
  <c r="M902" i="1"/>
  <c r="I903" i="1"/>
  <c r="J903" i="1"/>
  <c r="K903" i="1"/>
  <c r="L903" i="1"/>
  <c r="M903" i="1"/>
  <c r="I904" i="1"/>
  <c r="J904" i="1"/>
  <c r="K904" i="1"/>
  <c r="L904" i="1"/>
  <c r="M904" i="1"/>
  <c r="I905" i="1"/>
  <c r="J905" i="1"/>
  <c r="K905" i="1"/>
  <c r="L905" i="1"/>
  <c r="M905" i="1"/>
  <c r="I906" i="1"/>
  <c r="J906" i="1"/>
  <c r="K906" i="1"/>
  <c r="L906" i="1"/>
  <c r="M906" i="1"/>
  <c r="I907" i="1"/>
  <c r="J907" i="1"/>
  <c r="K907" i="1"/>
  <c r="L907" i="1"/>
  <c r="M907" i="1"/>
  <c r="I908" i="1"/>
  <c r="J908" i="1"/>
  <c r="K908" i="1"/>
  <c r="L908" i="1"/>
  <c r="M908" i="1"/>
  <c r="I909" i="1"/>
  <c r="J909" i="1"/>
  <c r="K909" i="1"/>
  <c r="L909" i="1"/>
  <c r="M909" i="1"/>
  <c r="I910" i="1"/>
  <c r="J910" i="1"/>
  <c r="K910" i="1"/>
  <c r="L910" i="1"/>
  <c r="M910" i="1"/>
  <c r="I911" i="1"/>
  <c r="J911" i="1"/>
  <c r="K911" i="1"/>
  <c r="L911" i="1"/>
  <c r="M911" i="1"/>
  <c r="I912" i="1"/>
  <c r="J912" i="1"/>
  <c r="K912" i="1"/>
  <c r="L912" i="1"/>
  <c r="M912" i="1"/>
  <c r="I913" i="1"/>
  <c r="J913" i="1"/>
  <c r="K913" i="1"/>
  <c r="L913" i="1"/>
  <c r="M913" i="1"/>
  <c r="I914" i="1"/>
  <c r="J914" i="1"/>
  <c r="K914" i="1"/>
  <c r="L914" i="1"/>
  <c r="M914" i="1"/>
  <c r="I915" i="1"/>
  <c r="J915" i="1"/>
  <c r="K915" i="1"/>
  <c r="L915" i="1"/>
  <c r="M915" i="1"/>
  <c r="I916" i="1"/>
  <c r="J916" i="1"/>
  <c r="K916" i="1"/>
  <c r="L916" i="1"/>
  <c r="M916" i="1"/>
  <c r="I917" i="1"/>
  <c r="J917" i="1"/>
  <c r="K917" i="1"/>
  <c r="L917" i="1"/>
  <c r="M917" i="1"/>
  <c r="I918" i="1"/>
  <c r="J918" i="1"/>
  <c r="K918" i="1"/>
  <c r="L918" i="1"/>
  <c r="M918" i="1"/>
  <c r="I919" i="1"/>
  <c r="J919" i="1"/>
  <c r="K919" i="1"/>
  <c r="L919" i="1"/>
  <c r="M919" i="1"/>
  <c r="I920" i="1"/>
  <c r="J920" i="1"/>
  <c r="K920" i="1"/>
  <c r="L920" i="1"/>
  <c r="M920" i="1"/>
  <c r="I921" i="1"/>
  <c r="J921" i="1"/>
  <c r="K921" i="1"/>
  <c r="L921" i="1"/>
  <c r="M921" i="1"/>
  <c r="I922" i="1"/>
  <c r="J922" i="1"/>
  <c r="K922" i="1"/>
  <c r="L922" i="1"/>
  <c r="M922" i="1"/>
  <c r="I923" i="1"/>
  <c r="J923" i="1"/>
  <c r="K923" i="1"/>
  <c r="L923" i="1"/>
  <c r="M923" i="1"/>
  <c r="I924" i="1"/>
  <c r="J924" i="1"/>
  <c r="K924" i="1"/>
  <c r="L924" i="1"/>
  <c r="M924" i="1"/>
  <c r="I925" i="1"/>
  <c r="J925" i="1"/>
  <c r="K925" i="1"/>
  <c r="L925" i="1"/>
  <c r="M925" i="1"/>
  <c r="I926" i="1"/>
  <c r="J926" i="1"/>
  <c r="K926" i="1"/>
  <c r="L926" i="1"/>
  <c r="M926" i="1"/>
  <c r="I927" i="1"/>
  <c r="J927" i="1"/>
  <c r="K927" i="1"/>
  <c r="L927" i="1"/>
  <c r="M927" i="1"/>
  <c r="I928" i="1"/>
  <c r="J928" i="1"/>
  <c r="K928" i="1"/>
  <c r="L928" i="1"/>
  <c r="M928" i="1"/>
  <c r="I929" i="1"/>
  <c r="J929" i="1"/>
  <c r="K929" i="1"/>
  <c r="L929" i="1"/>
  <c r="M929" i="1"/>
  <c r="I930" i="1"/>
  <c r="J930" i="1"/>
  <c r="K930" i="1"/>
  <c r="L930" i="1"/>
  <c r="M930" i="1"/>
  <c r="I931" i="1"/>
  <c r="J931" i="1"/>
  <c r="K931" i="1"/>
  <c r="L931" i="1"/>
  <c r="M931" i="1"/>
  <c r="I932" i="1"/>
  <c r="J932" i="1"/>
  <c r="K932" i="1"/>
  <c r="L932" i="1"/>
  <c r="M932" i="1"/>
  <c r="I933" i="1"/>
  <c r="J933" i="1"/>
  <c r="K933" i="1"/>
  <c r="L933" i="1"/>
  <c r="M933" i="1"/>
  <c r="I934" i="1"/>
  <c r="J934" i="1"/>
  <c r="K934" i="1"/>
  <c r="L934" i="1"/>
  <c r="M934" i="1"/>
  <c r="I935" i="1"/>
  <c r="J935" i="1"/>
  <c r="K935" i="1"/>
  <c r="L935" i="1"/>
  <c r="M935" i="1"/>
  <c r="I936" i="1"/>
  <c r="J936" i="1"/>
  <c r="K936" i="1"/>
  <c r="L936" i="1"/>
  <c r="M936" i="1"/>
  <c r="I937" i="1"/>
  <c r="J937" i="1"/>
  <c r="K937" i="1"/>
  <c r="L937" i="1"/>
  <c r="M937" i="1"/>
  <c r="I938" i="1"/>
  <c r="J938" i="1"/>
  <c r="K938" i="1"/>
  <c r="L938" i="1"/>
  <c r="M938" i="1"/>
  <c r="I939" i="1"/>
  <c r="J939" i="1"/>
  <c r="K939" i="1"/>
  <c r="L939" i="1"/>
  <c r="M939" i="1"/>
  <c r="I940" i="1"/>
  <c r="J940" i="1"/>
  <c r="K940" i="1"/>
  <c r="L940" i="1"/>
  <c r="M940" i="1"/>
  <c r="I941" i="1"/>
  <c r="J941" i="1"/>
  <c r="K941" i="1"/>
  <c r="L941" i="1"/>
  <c r="M941" i="1"/>
  <c r="I942" i="1"/>
  <c r="J942" i="1"/>
  <c r="K942" i="1"/>
  <c r="L942" i="1"/>
  <c r="M942" i="1"/>
  <c r="I943" i="1"/>
  <c r="J943" i="1"/>
  <c r="K943" i="1"/>
  <c r="L943" i="1"/>
  <c r="M943" i="1"/>
  <c r="I944" i="1"/>
  <c r="J944" i="1"/>
  <c r="K944" i="1"/>
  <c r="L944" i="1"/>
  <c r="M944" i="1"/>
  <c r="I945" i="1"/>
  <c r="J945" i="1"/>
  <c r="K945" i="1"/>
  <c r="L945" i="1"/>
  <c r="M945" i="1"/>
  <c r="I946" i="1"/>
  <c r="J946" i="1"/>
  <c r="K946" i="1"/>
  <c r="L946" i="1"/>
  <c r="M946" i="1"/>
  <c r="I947" i="1"/>
  <c r="J947" i="1"/>
  <c r="K947" i="1"/>
  <c r="L947" i="1"/>
  <c r="M947" i="1"/>
  <c r="I948" i="1"/>
  <c r="J948" i="1"/>
  <c r="K948" i="1"/>
  <c r="L948" i="1"/>
  <c r="M948" i="1"/>
  <c r="I949" i="1"/>
  <c r="J949" i="1"/>
  <c r="K949" i="1"/>
  <c r="L949" i="1"/>
  <c r="M949" i="1"/>
  <c r="I950" i="1"/>
  <c r="J950" i="1"/>
  <c r="K950" i="1"/>
  <c r="L950" i="1"/>
  <c r="M950" i="1"/>
  <c r="I951" i="1"/>
  <c r="J951" i="1"/>
  <c r="K951" i="1"/>
  <c r="L951" i="1"/>
  <c r="M951" i="1"/>
  <c r="I952" i="1"/>
  <c r="J952" i="1"/>
  <c r="K952" i="1"/>
  <c r="L952" i="1"/>
  <c r="M952" i="1"/>
  <c r="I953" i="1"/>
  <c r="J953" i="1"/>
  <c r="K953" i="1"/>
  <c r="L953" i="1"/>
  <c r="M953" i="1"/>
  <c r="I954" i="1"/>
  <c r="J954" i="1"/>
  <c r="K954" i="1"/>
  <c r="L954" i="1"/>
  <c r="M954" i="1"/>
  <c r="I955" i="1"/>
  <c r="J955" i="1"/>
  <c r="K955" i="1"/>
  <c r="L955" i="1"/>
  <c r="M955" i="1"/>
  <c r="I956" i="1"/>
  <c r="J956" i="1"/>
  <c r="K956" i="1"/>
  <c r="L956" i="1"/>
  <c r="M956" i="1"/>
  <c r="I957" i="1"/>
  <c r="J957" i="1"/>
  <c r="K957" i="1"/>
  <c r="L957" i="1"/>
  <c r="M957" i="1"/>
  <c r="I958" i="1"/>
  <c r="J958" i="1"/>
  <c r="K958" i="1"/>
  <c r="L958" i="1"/>
  <c r="M958" i="1"/>
  <c r="I959" i="1"/>
  <c r="J959" i="1"/>
  <c r="K959" i="1"/>
  <c r="L959" i="1"/>
  <c r="M959" i="1"/>
  <c r="I960" i="1"/>
  <c r="J960" i="1"/>
  <c r="K960" i="1"/>
  <c r="L960" i="1"/>
  <c r="M960" i="1"/>
  <c r="I961" i="1"/>
  <c r="J961" i="1"/>
  <c r="K961" i="1"/>
  <c r="L961" i="1"/>
  <c r="M961" i="1"/>
  <c r="I962" i="1"/>
  <c r="J962" i="1"/>
  <c r="K962" i="1"/>
  <c r="L962" i="1"/>
  <c r="M962" i="1"/>
  <c r="I963" i="1"/>
  <c r="J963" i="1"/>
  <c r="K963" i="1"/>
  <c r="L963" i="1"/>
  <c r="M963" i="1"/>
  <c r="I964" i="1"/>
  <c r="J964" i="1"/>
  <c r="K964" i="1"/>
  <c r="L964" i="1"/>
  <c r="M964" i="1"/>
  <c r="I965" i="1"/>
  <c r="J965" i="1"/>
  <c r="K965" i="1"/>
  <c r="L965" i="1"/>
  <c r="M965" i="1"/>
  <c r="I966" i="1"/>
  <c r="J966" i="1"/>
  <c r="K966" i="1"/>
  <c r="L966" i="1"/>
  <c r="M966" i="1"/>
  <c r="I967" i="1"/>
  <c r="J967" i="1"/>
  <c r="K967" i="1"/>
  <c r="L967" i="1"/>
  <c r="M967" i="1"/>
  <c r="I968" i="1"/>
  <c r="J968" i="1"/>
  <c r="K968" i="1"/>
  <c r="L968" i="1"/>
  <c r="M968" i="1"/>
  <c r="I969" i="1"/>
  <c r="J969" i="1"/>
  <c r="K969" i="1"/>
  <c r="L969" i="1"/>
  <c r="M969" i="1"/>
  <c r="I970" i="1"/>
  <c r="J970" i="1"/>
  <c r="K970" i="1"/>
  <c r="L970" i="1"/>
  <c r="M970" i="1"/>
  <c r="I971" i="1"/>
  <c r="J971" i="1"/>
  <c r="K971" i="1"/>
  <c r="L971" i="1"/>
  <c r="M971" i="1"/>
  <c r="I972" i="1"/>
  <c r="J972" i="1"/>
  <c r="K972" i="1"/>
  <c r="L972" i="1"/>
  <c r="M972" i="1"/>
  <c r="I973" i="1"/>
  <c r="J973" i="1"/>
  <c r="K973" i="1"/>
  <c r="L973" i="1"/>
  <c r="M973" i="1"/>
  <c r="I974" i="1"/>
  <c r="J974" i="1"/>
  <c r="K974" i="1"/>
  <c r="L974" i="1"/>
  <c r="M974" i="1"/>
  <c r="I975" i="1"/>
  <c r="J975" i="1"/>
  <c r="K975" i="1"/>
  <c r="L975" i="1"/>
  <c r="M975" i="1"/>
  <c r="I976" i="1"/>
  <c r="J976" i="1"/>
  <c r="K976" i="1"/>
  <c r="L976" i="1"/>
  <c r="M976" i="1"/>
  <c r="I977" i="1"/>
  <c r="J977" i="1"/>
  <c r="K977" i="1"/>
  <c r="L977" i="1"/>
  <c r="M977" i="1"/>
  <c r="I978" i="1"/>
  <c r="J978" i="1"/>
  <c r="K978" i="1"/>
  <c r="L978" i="1"/>
  <c r="M978" i="1"/>
  <c r="I979" i="1"/>
  <c r="J979" i="1"/>
  <c r="K979" i="1"/>
  <c r="L979" i="1"/>
  <c r="M979" i="1"/>
  <c r="I980" i="1"/>
  <c r="J980" i="1"/>
  <c r="K980" i="1"/>
  <c r="L980" i="1"/>
  <c r="M980" i="1"/>
  <c r="I981" i="1"/>
  <c r="J981" i="1"/>
  <c r="K981" i="1"/>
  <c r="L981" i="1"/>
  <c r="M981" i="1"/>
  <c r="I982" i="1"/>
  <c r="J982" i="1"/>
  <c r="K982" i="1"/>
  <c r="L982" i="1"/>
  <c r="M982" i="1"/>
  <c r="I983" i="1"/>
  <c r="J983" i="1"/>
  <c r="K983" i="1"/>
  <c r="L983" i="1"/>
  <c r="M983" i="1"/>
  <c r="I984" i="1"/>
  <c r="J984" i="1"/>
  <c r="K984" i="1"/>
  <c r="L984" i="1"/>
  <c r="M984" i="1"/>
  <c r="I985" i="1"/>
  <c r="J985" i="1"/>
  <c r="K985" i="1"/>
  <c r="L985" i="1"/>
  <c r="M985" i="1"/>
  <c r="I986" i="1"/>
  <c r="J986" i="1"/>
  <c r="K986" i="1"/>
  <c r="L986" i="1"/>
  <c r="M986" i="1"/>
  <c r="I987" i="1"/>
  <c r="J987" i="1"/>
  <c r="K987" i="1"/>
  <c r="L987" i="1"/>
  <c r="M987" i="1"/>
  <c r="I988" i="1"/>
  <c r="J988" i="1"/>
  <c r="K988" i="1"/>
  <c r="L988" i="1"/>
  <c r="M988" i="1"/>
  <c r="I989" i="1"/>
  <c r="J989" i="1"/>
  <c r="K989" i="1"/>
  <c r="L989" i="1"/>
  <c r="M989" i="1"/>
  <c r="I990" i="1"/>
  <c r="J990" i="1"/>
  <c r="K990" i="1"/>
  <c r="L990" i="1"/>
  <c r="M990" i="1"/>
  <c r="I991" i="1"/>
  <c r="J991" i="1"/>
  <c r="K991" i="1"/>
  <c r="L991" i="1"/>
  <c r="M991" i="1"/>
  <c r="I992" i="1"/>
  <c r="J992" i="1"/>
  <c r="K992" i="1"/>
  <c r="L992" i="1"/>
  <c r="M992" i="1"/>
  <c r="I993" i="1"/>
  <c r="J993" i="1"/>
  <c r="K993" i="1"/>
  <c r="L993" i="1"/>
  <c r="M993" i="1"/>
  <c r="I994" i="1"/>
  <c r="J994" i="1"/>
  <c r="K994" i="1"/>
  <c r="L994" i="1"/>
  <c r="M994" i="1"/>
  <c r="I995" i="1"/>
  <c r="J995" i="1"/>
  <c r="K995" i="1"/>
  <c r="L995" i="1"/>
  <c r="M995" i="1"/>
  <c r="I996" i="1"/>
  <c r="J996" i="1"/>
  <c r="K996" i="1"/>
  <c r="L996" i="1"/>
  <c r="M996" i="1"/>
  <c r="I997" i="1"/>
  <c r="J997" i="1"/>
  <c r="K997" i="1"/>
  <c r="L997" i="1"/>
  <c r="M997" i="1"/>
  <c r="I998" i="1"/>
  <c r="J998" i="1"/>
  <c r="K998" i="1"/>
  <c r="L998" i="1"/>
  <c r="M998" i="1"/>
  <c r="I999" i="1"/>
  <c r="J999" i="1"/>
  <c r="K999" i="1"/>
  <c r="L999" i="1"/>
  <c r="M999" i="1"/>
  <c r="I1000" i="1"/>
  <c r="J1000" i="1"/>
  <c r="K1000" i="1"/>
  <c r="L1000" i="1"/>
  <c r="M1000" i="1"/>
  <c r="I1001" i="1"/>
  <c r="J1001" i="1"/>
  <c r="K1001" i="1"/>
  <c r="L1001" i="1"/>
  <c r="M1001" i="1"/>
  <c r="I1002" i="1"/>
  <c r="J1002" i="1"/>
  <c r="K1002" i="1"/>
  <c r="L1002" i="1"/>
  <c r="M1002" i="1"/>
  <c r="I1003" i="1"/>
  <c r="J1003" i="1"/>
  <c r="K1003" i="1"/>
  <c r="L1003" i="1"/>
  <c r="M1003" i="1"/>
  <c r="I1004" i="1"/>
  <c r="J1004" i="1"/>
  <c r="K1004" i="1"/>
  <c r="L1004" i="1"/>
  <c r="M1004" i="1"/>
  <c r="I1005" i="1"/>
  <c r="J1005" i="1"/>
  <c r="K1005" i="1"/>
  <c r="L1005" i="1"/>
  <c r="M1005" i="1"/>
  <c r="I1006" i="1"/>
  <c r="J1006" i="1"/>
  <c r="K1006" i="1"/>
  <c r="L1006" i="1"/>
  <c r="M1006" i="1"/>
  <c r="I1007" i="1"/>
  <c r="J1007" i="1"/>
  <c r="K1007" i="1"/>
  <c r="L1007" i="1"/>
  <c r="M1007" i="1"/>
  <c r="I1008" i="1"/>
  <c r="J1008" i="1"/>
  <c r="K1008" i="1"/>
  <c r="L1008" i="1"/>
  <c r="M1008" i="1"/>
  <c r="I1009" i="1"/>
  <c r="J1009" i="1"/>
  <c r="K1009" i="1"/>
  <c r="L1009" i="1"/>
  <c r="M1009" i="1"/>
  <c r="I1010" i="1"/>
  <c r="J1010" i="1"/>
  <c r="K1010" i="1"/>
  <c r="L1010" i="1"/>
  <c r="M1010" i="1"/>
  <c r="I1011" i="1"/>
  <c r="J1011" i="1"/>
  <c r="K1011" i="1"/>
  <c r="L1011" i="1"/>
  <c r="M1011" i="1"/>
  <c r="I1012" i="1"/>
  <c r="J1012" i="1"/>
  <c r="K1012" i="1"/>
  <c r="L1012" i="1"/>
  <c r="M1012" i="1"/>
  <c r="I1013" i="1"/>
  <c r="J1013" i="1"/>
  <c r="K1013" i="1"/>
  <c r="L1013" i="1"/>
  <c r="M1013" i="1"/>
  <c r="I1014" i="1"/>
  <c r="J1014" i="1"/>
  <c r="K1014" i="1"/>
  <c r="L1014" i="1"/>
  <c r="M1014" i="1"/>
  <c r="I1015" i="1"/>
  <c r="J1015" i="1"/>
  <c r="K1015" i="1"/>
  <c r="L1015" i="1"/>
  <c r="M1015" i="1"/>
  <c r="I1016" i="1"/>
  <c r="J1016" i="1"/>
  <c r="K1016" i="1"/>
  <c r="L1016" i="1"/>
  <c r="M1016" i="1"/>
  <c r="I1017" i="1"/>
  <c r="J1017" i="1"/>
  <c r="K1017" i="1"/>
  <c r="L1017" i="1"/>
  <c r="M1017" i="1"/>
  <c r="I1018" i="1"/>
  <c r="J1018" i="1"/>
  <c r="K1018" i="1"/>
  <c r="L1018" i="1"/>
  <c r="M1018" i="1"/>
  <c r="I1019" i="1"/>
  <c r="J1019" i="1"/>
  <c r="K1019" i="1"/>
  <c r="L1019" i="1"/>
  <c r="M1019" i="1"/>
  <c r="I1020" i="1"/>
  <c r="J1020" i="1"/>
  <c r="K1020" i="1"/>
  <c r="L1020" i="1"/>
  <c r="M1020" i="1"/>
  <c r="I1021" i="1"/>
  <c r="J1021" i="1"/>
  <c r="K1021" i="1"/>
  <c r="L1021" i="1"/>
  <c r="M1021" i="1"/>
  <c r="I1022" i="1"/>
  <c r="J1022" i="1"/>
  <c r="K1022" i="1"/>
  <c r="L1022" i="1"/>
  <c r="M1022" i="1"/>
  <c r="I1023" i="1"/>
  <c r="J1023" i="1"/>
  <c r="K1023" i="1"/>
  <c r="L1023" i="1"/>
  <c r="M1023" i="1"/>
  <c r="I1024" i="1"/>
  <c r="J1024" i="1"/>
  <c r="K1024" i="1"/>
  <c r="L1024" i="1"/>
  <c r="M1024" i="1"/>
  <c r="I1025" i="1"/>
  <c r="J1025" i="1"/>
  <c r="K1025" i="1"/>
  <c r="L1025" i="1"/>
  <c r="M1025" i="1"/>
  <c r="I1026" i="1"/>
  <c r="J1026" i="1"/>
  <c r="K1026" i="1"/>
  <c r="L1026" i="1"/>
  <c r="M1026" i="1"/>
  <c r="I1027" i="1"/>
  <c r="J1027" i="1"/>
  <c r="K1027" i="1"/>
  <c r="L1027" i="1"/>
  <c r="M1027" i="1"/>
  <c r="I1028" i="1"/>
  <c r="J1028" i="1"/>
  <c r="K1028" i="1"/>
  <c r="L1028" i="1"/>
  <c r="M1028" i="1"/>
  <c r="I1029" i="1"/>
  <c r="J1029" i="1"/>
  <c r="K1029" i="1"/>
  <c r="L1029" i="1"/>
  <c r="M1029" i="1"/>
  <c r="I1030" i="1"/>
  <c r="J1030" i="1"/>
  <c r="K1030" i="1"/>
  <c r="L1030" i="1"/>
  <c r="M1030" i="1"/>
  <c r="I1031" i="1"/>
  <c r="J1031" i="1"/>
  <c r="K1031" i="1"/>
  <c r="L1031" i="1"/>
  <c r="M1031" i="1"/>
  <c r="I1032" i="1"/>
  <c r="J1032" i="1"/>
  <c r="K1032" i="1"/>
  <c r="L1032" i="1"/>
  <c r="M1032" i="1"/>
  <c r="I1033" i="1"/>
  <c r="J1033" i="1"/>
  <c r="K1033" i="1"/>
  <c r="L1033" i="1"/>
  <c r="M1033" i="1"/>
  <c r="I1034" i="1"/>
  <c r="J1034" i="1"/>
  <c r="K1034" i="1"/>
  <c r="L1034" i="1"/>
  <c r="M1034" i="1"/>
  <c r="I1035" i="1"/>
  <c r="J1035" i="1"/>
  <c r="K1035" i="1"/>
  <c r="L1035" i="1"/>
  <c r="M1035" i="1"/>
  <c r="I1036" i="1"/>
  <c r="J1036" i="1"/>
  <c r="K1036" i="1"/>
  <c r="L1036" i="1"/>
  <c r="M1036" i="1"/>
  <c r="I1037" i="1"/>
  <c r="J1037" i="1"/>
  <c r="K1037" i="1"/>
  <c r="L1037" i="1"/>
  <c r="M1037" i="1"/>
  <c r="I1038" i="1"/>
  <c r="J1038" i="1"/>
  <c r="K1038" i="1"/>
  <c r="L1038" i="1"/>
  <c r="M1038" i="1"/>
  <c r="I1039" i="1"/>
  <c r="J1039" i="1"/>
  <c r="K1039" i="1"/>
  <c r="L1039" i="1"/>
  <c r="M1039" i="1"/>
  <c r="I1040" i="1"/>
  <c r="J1040" i="1"/>
  <c r="K1040" i="1"/>
  <c r="L1040" i="1"/>
  <c r="M1040" i="1"/>
  <c r="I1041" i="1"/>
  <c r="J1041" i="1"/>
  <c r="K1041" i="1"/>
  <c r="L1041" i="1"/>
  <c r="M1041" i="1"/>
  <c r="I1042" i="1"/>
  <c r="J1042" i="1"/>
  <c r="K1042" i="1"/>
  <c r="L1042" i="1"/>
  <c r="M1042" i="1"/>
  <c r="I1043" i="1"/>
  <c r="J1043" i="1"/>
  <c r="K1043" i="1"/>
  <c r="L1043" i="1"/>
  <c r="M1043" i="1"/>
  <c r="I1044" i="1"/>
  <c r="J1044" i="1"/>
  <c r="K1044" i="1"/>
  <c r="L1044" i="1"/>
  <c r="M1044" i="1"/>
  <c r="I1045" i="1"/>
  <c r="J1045" i="1"/>
  <c r="K1045" i="1"/>
  <c r="L1045" i="1"/>
  <c r="M1045" i="1"/>
  <c r="I1046" i="1"/>
  <c r="J1046" i="1"/>
  <c r="K1046" i="1"/>
  <c r="L1046" i="1"/>
  <c r="M1046" i="1"/>
  <c r="I1047" i="1"/>
  <c r="J1047" i="1"/>
  <c r="K1047" i="1"/>
  <c r="L1047" i="1"/>
  <c r="M1047" i="1"/>
  <c r="I1048" i="1"/>
  <c r="J1048" i="1"/>
  <c r="K1048" i="1"/>
  <c r="L1048" i="1"/>
  <c r="M1048" i="1"/>
  <c r="I1049" i="1"/>
  <c r="J1049" i="1"/>
  <c r="K1049" i="1"/>
  <c r="L1049" i="1"/>
  <c r="M1049" i="1"/>
  <c r="I1050" i="1"/>
  <c r="J1050" i="1"/>
  <c r="K1050" i="1"/>
  <c r="L1050" i="1"/>
  <c r="M1050" i="1"/>
  <c r="I1051" i="1"/>
  <c r="J1051" i="1"/>
  <c r="K1051" i="1"/>
  <c r="L1051" i="1"/>
  <c r="M1051" i="1"/>
  <c r="I1052" i="1"/>
  <c r="J1052" i="1"/>
  <c r="K1052" i="1"/>
  <c r="L1052" i="1"/>
  <c r="M1052" i="1"/>
  <c r="I1053" i="1"/>
  <c r="J1053" i="1"/>
  <c r="K1053" i="1"/>
  <c r="L1053" i="1"/>
  <c r="M1053" i="1"/>
  <c r="I1054" i="1"/>
  <c r="J1054" i="1"/>
  <c r="K1054" i="1"/>
  <c r="L1054" i="1"/>
  <c r="M1054" i="1"/>
  <c r="I1055" i="1"/>
  <c r="J1055" i="1"/>
  <c r="K1055" i="1"/>
  <c r="L1055" i="1"/>
  <c r="M1055" i="1"/>
  <c r="I1056" i="1"/>
  <c r="J1056" i="1"/>
  <c r="K1056" i="1"/>
  <c r="L1056" i="1"/>
  <c r="M1056" i="1"/>
  <c r="I1057" i="1"/>
  <c r="J1057" i="1"/>
  <c r="K1057" i="1"/>
  <c r="L1057" i="1"/>
  <c r="M1057" i="1"/>
  <c r="I1058" i="1"/>
  <c r="J1058" i="1"/>
  <c r="K1058" i="1"/>
  <c r="L1058" i="1"/>
  <c r="M1058" i="1"/>
  <c r="I1059" i="1"/>
  <c r="J1059" i="1"/>
  <c r="K1059" i="1"/>
  <c r="L1059" i="1"/>
  <c r="M1059" i="1"/>
  <c r="I1060" i="1"/>
  <c r="J1060" i="1"/>
  <c r="K1060" i="1"/>
  <c r="L1060" i="1"/>
  <c r="M1060" i="1"/>
  <c r="I1061" i="1"/>
  <c r="J1061" i="1"/>
  <c r="K1061" i="1"/>
  <c r="L1061" i="1"/>
  <c r="M1061" i="1"/>
  <c r="I1062" i="1"/>
  <c r="J1062" i="1"/>
  <c r="K1062" i="1"/>
  <c r="L1062" i="1"/>
  <c r="M1062" i="1"/>
  <c r="I1063" i="1"/>
  <c r="J1063" i="1"/>
  <c r="K1063" i="1"/>
  <c r="L1063" i="1"/>
  <c r="M1063" i="1"/>
  <c r="I1064" i="1"/>
  <c r="J1064" i="1"/>
  <c r="K1064" i="1"/>
  <c r="L1064" i="1"/>
  <c r="M1064" i="1"/>
  <c r="I1065" i="1"/>
  <c r="J1065" i="1"/>
  <c r="K1065" i="1"/>
  <c r="L1065" i="1"/>
  <c r="M1065" i="1"/>
  <c r="I1066" i="1"/>
  <c r="J1066" i="1"/>
  <c r="K1066" i="1"/>
  <c r="L1066" i="1"/>
  <c r="M1066" i="1"/>
  <c r="I1067" i="1"/>
  <c r="J1067" i="1"/>
  <c r="K1067" i="1"/>
  <c r="L1067" i="1"/>
  <c r="M1067" i="1"/>
  <c r="I1068" i="1"/>
  <c r="J1068" i="1"/>
  <c r="K1068" i="1"/>
  <c r="L1068" i="1"/>
  <c r="M1068" i="1"/>
  <c r="I1069" i="1"/>
  <c r="J1069" i="1"/>
  <c r="K1069" i="1"/>
  <c r="L1069" i="1"/>
  <c r="M1069" i="1"/>
  <c r="I1070" i="1"/>
  <c r="J1070" i="1"/>
  <c r="K1070" i="1"/>
  <c r="L1070" i="1"/>
  <c r="M1070" i="1"/>
  <c r="I1071" i="1"/>
  <c r="J1071" i="1"/>
  <c r="K1071" i="1"/>
  <c r="L1071" i="1"/>
  <c r="M1071" i="1"/>
  <c r="I1072" i="1"/>
  <c r="J1072" i="1"/>
  <c r="K1072" i="1"/>
  <c r="L1072" i="1"/>
  <c r="M1072" i="1"/>
  <c r="I1073" i="1"/>
  <c r="J1073" i="1"/>
  <c r="K1073" i="1"/>
  <c r="L1073" i="1"/>
  <c r="M1073" i="1"/>
  <c r="I1074" i="1"/>
  <c r="J1074" i="1"/>
  <c r="K1074" i="1"/>
  <c r="L1074" i="1"/>
  <c r="M1074" i="1"/>
  <c r="I1075" i="1"/>
  <c r="J1075" i="1"/>
  <c r="K1075" i="1"/>
  <c r="L1075" i="1"/>
  <c r="M1075" i="1"/>
  <c r="I1076" i="1"/>
  <c r="J1076" i="1"/>
  <c r="K1076" i="1"/>
  <c r="L1076" i="1"/>
  <c r="M1076" i="1"/>
  <c r="I1077" i="1"/>
  <c r="J1077" i="1"/>
  <c r="K1077" i="1"/>
  <c r="L1077" i="1"/>
  <c r="M1077" i="1"/>
  <c r="I1078" i="1"/>
  <c r="J1078" i="1"/>
  <c r="K1078" i="1"/>
  <c r="L1078" i="1"/>
  <c r="M1078" i="1"/>
  <c r="I1079" i="1"/>
  <c r="J1079" i="1"/>
  <c r="K1079" i="1"/>
  <c r="L1079" i="1"/>
  <c r="M1079" i="1"/>
  <c r="I1080" i="1"/>
  <c r="J1080" i="1"/>
  <c r="K1080" i="1"/>
  <c r="L1080" i="1"/>
  <c r="M1080" i="1"/>
  <c r="I1081" i="1"/>
  <c r="J1081" i="1"/>
  <c r="K1081" i="1"/>
  <c r="L1081" i="1"/>
  <c r="M1081" i="1"/>
  <c r="I1082" i="1"/>
  <c r="J1082" i="1"/>
  <c r="K1082" i="1"/>
  <c r="L1082" i="1"/>
  <c r="M1082" i="1"/>
  <c r="I1083" i="1"/>
  <c r="J1083" i="1"/>
  <c r="K1083" i="1"/>
  <c r="L1083" i="1"/>
  <c r="M1083" i="1"/>
  <c r="I1084" i="1"/>
  <c r="J1084" i="1"/>
  <c r="K1084" i="1"/>
  <c r="L1084" i="1"/>
  <c r="M1084" i="1"/>
  <c r="I1085" i="1"/>
  <c r="J1085" i="1"/>
  <c r="K1085" i="1"/>
  <c r="L1085" i="1"/>
  <c r="M1085" i="1"/>
  <c r="I1086" i="1"/>
  <c r="J1086" i="1"/>
  <c r="K1086" i="1"/>
  <c r="L1086" i="1"/>
  <c r="M1086" i="1"/>
  <c r="I1087" i="1"/>
  <c r="J1087" i="1"/>
  <c r="K1087" i="1"/>
  <c r="L1087" i="1"/>
  <c r="M1087" i="1"/>
  <c r="I1088" i="1"/>
  <c r="J1088" i="1"/>
  <c r="K1088" i="1"/>
  <c r="L1088" i="1"/>
  <c r="M1088" i="1"/>
  <c r="I1089" i="1"/>
  <c r="J1089" i="1"/>
  <c r="K1089" i="1"/>
  <c r="L1089" i="1"/>
  <c r="M1089" i="1"/>
  <c r="I1090" i="1"/>
  <c r="J1090" i="1"/>
  <c r="K1090" i="1"/>
  <c r="L1090" i="1"/>
  <c r="M1090" i="1"/>
  <c r="I1091" i="1"/>
  <c r="J1091" i="1"/>
  <c r="K1091" i="1"/>
  <c r="L1091" i="1"/>
  <c r="M1091" i="1"/>
  <c r="I1092" i="1"/>
  <c r="J1092" i="1"/>
  <c r="K1092" i="1"/>
  <c r="L1092" i="1"/>
  <c r="M1092" i="1"/>
  <c r="I1093" i="1"/>
  <c r="J1093" i="1"/>
  <c r="K1093" i="1"/>
  <c r="L1093" i="1"/>
  <c r="M1093" i="1"/>
  <c r="I1094" i="1"/>
  <c r="J1094" i="1"/>
  <c r="K1094" i="1"/>
  <c r="L1094" i="1"/>
  <c r="M1094" i="1"/>
  <c r="I1095" i="1"/>
  <c r="J1095" i="1"/>
  <c r="K1095" i="1"/>
  <c r="L1095" i="1"/>
  <c r="M1095" i="1"/>
  <c r="I1096" i="1"/>
  <c r="J1096" i="1"/>
  <c r="K1096" i="1"/>
  <c r="L1096" i="1"/>
  <c r="M1096" i="1"/>
  <c r="I1097" i="1"/>
  <c r="J1097" i="1"/>
  <c r="K1097" i="1"/>
  <c r="L1097" i="1"/>
  <c r="M1097" i="1"/>
  <c r="I1098" i="1"/>
  <c r="J1098" i="1"/>
  <c r="K1098" i="1"/>
  <c r="L1098" i="1"/>
  <c r="M1098" i="1"/>
  <c r="I1099" i="1"/>
  <c r="J1099" i="1"/>
  <c r="K1099" i="1"/>
  <c r="L1099" i="1"/>
  <c r="M1099" i="1"/>
  <c r="I1100" i="1"/>
  <c r="J1100" i="1"/>
  <c r="K1100" i="1"/>
  <c r="L1100" i="1"/>
  <c r="M1100" i="1"/>
  <c r="I1101" i="1"/>
  <c r="J1101" i="1"/>
  <c r="K1101" i="1"/>
  <c r="L1101" i="1"/>
  <c r="M1101" i="1"/>
  <c r="I1102" i="1"/>
  <c r="J1102" i="1"/>
  <c r="K1102" i="1"/>
  <c r="L1102" i="1"/>
  <c r="M1102" i="1"/>
  <c r="I1103" i="1"/>
  <c r="J1103" i="1"/>
  <c r="K1103" i="1"/>
  <c r="L1103" i="1"/>
  <c r="M1103" i="1"/>
  <c r="I1104" i="1"/>
  <c r="J1104" i="1"/>
  <c r="K1104" i="1"/>
  <c r="L1104" i="1"/>
  <c r="M1104" i="1"/>
  <c r="I1105" i="1"/>
  <c r="J1105" i="1"/>
  <c r="K1105" i="1"/>
  <c r="L1105" i="1"/>
  <c r="M1105" i="1"/>
  <c r="I1106" i="1"/>
  <c r="J1106" i="1"/>
  <c r="K1106" i="1"/>
  <c r="L1106" i="1"/>
  <c r="M1106" i="1"/>
  <c r="I1107" i="1"/>
  <c r="J1107" i="1"/>
  <c r="K1107" i="1"/>
  <c r="L1107" i="1"/>
  <c r="M1107" i="1"/>
  <c r="I1108" i="1"/>
  <c r="J1108" i="1"/>
  <c r="K1108" i="1"/>
  <c r="L1108" i="1"/>
  <c r="M1108" i="1"/>
  <c r="I1109" i="1"/>
  <c r="J1109" i="1"/>
  <c r="K1109" i="1"/>
  <c r="L1109" i="1"/>
  <c r="M1109" i="1"/>
  <c r="I1110" i="1"/>
  <c r="J1110" i="1"/>
  <c r="K1110" i="1"/>
  <c r="L1110" i="1"/>
  <c r="M1110" i="1"/>
  <c r="I1111" i="1"/>
  <c r="J1111" i="1"/>
  <c r="K1111" i="1"/>
  <c r="L1111" i="1"/>
  <c r="M1111" i="1"/>
  <c r="I1112" i="1"/>
  <c r="J1112" i="1"/>
  <c r="K1112" i="1"/>
  <c r="L1112" i="1"/>
  <c r="M1112" i="1"/>
  <c r="I1113" i="1"/>
  <c r="J1113" i="1"/>
  <c r="K1113" i="1"/>
  <c r="L1113" i="1"/>
  <c r="M1113" i="1"/>
  <c r="I1114" i="1"/>
  <c r="J1114" i="1"/>
  <c r="K1114" i="1"/>
  <c r="L1114" i="1"/>
  <c r="M1114" i="1"/>
  <c r="I1115" i="1"/>
  <c r="J1115" i="1"/>
  <c r="K1115" i="1"/>
  <c r="L1115" i="1"/>
  <c r="M1115" i="1"/>
  <c r="I1116" i="1"/>
  <c r="J1116" i="1"/>
  <c r="K1116" i="1"/>
  <c r="L1116" i="1"/>
  <c r="M1116" i="1"/>
  <c r="I1117" i="1"/>
  <c r="J1117" i="1"/>
  <c r="K1117" i="1"/>
  <c r="L1117" i="1"/>
  <c r="M1117" i="1"/>
  <c r="I1118" i="1"/>
  <c r="J1118" i="1"/>
  <c r="K1118" i="1"/>
  <c r="L1118" i="1"/>
  <c r="M1118" i="1"/>
  <c r="I1119" i="1"/>
  <c r="J1119" i="1"/>
  <c r="K1119" i="1"/>
  <c r="L1119" i="1"/>
  <c r="M1119" i="1"/>
  <c r="I1120" i="1"/>
  <c r="J1120" i="1"/>
  <c r="K1120" i="1"/>
  <c r="L1120" i="1"/>
  <c r="M1120" i="1"/>
  <c r="I1121" i="1"/>
  <c r="J1121" i="1"/>
  <c r="K1121" i="1"/>
  <c r="L1121" i="1"/>
  <c r="M1121" i="1"/>
  <c r="I1122" i="1"/>
  <c r="J1122" i="1"/>
  <c r="K1122" i="1"/>
  <c r="L1122" i="1"/>
  <c r="M1122" i="1"/>
  <c r="I1123" i="1"/>
  <c r="J1123" i="1"/>
  <c r="K1123" i="1"/>
  <c r="L1123" i="1"/>
  <c r="M1123" i="1"/>
  <c r="I1124" i="1"/>
  <c r="J1124" i="1"/>
  <c r="K1124" i="1"/>
  <c r="L1124" i="1"/>
  <c r="M1124" i="1"/>
  <c r="I1125" i="1"/>
  <c r="J1125" i="1"/>
  <c r="K1125" i="1"/>
  <c r="L1125" i="1"/>
  <c r="M1125" i="1"/>
  <c r="I1126" i="1"/>
  <c r="J1126" i="1"/>
  <c r="K1126" i="1"/>
  <c r="L1126" i="1"/>
  <c r="M1126" i="1"/>
  <c r="I1127" i="1"/>
  <c r="J1127" i="1"/>
  <c r="K1127" i="1"/>
  <c r="L1127" i="1"/>
  <c r="M1127" i="1"/>
  <c r="I1128" i="1"/>
  <c r="J1128" i="1"/>
  <c r="K1128" i="1"/>
  <c r="L1128" i="1"/>
  <c r="M1128" i="1"/>
  <c r="I1129" i="1"/>
  <c r="J1129" i="1"/>
  <c r="K1129" i="1"/>
  <c r="L1129" i="1"/>
  <c r="M1129" i="1"/>
  <c r="I1130" i="1"/>
  <c r="J1130" i="1"/>
  <c r="K1130" i="1"/>
  <c r="L1130" i="1"/>
  <c r="M1130" i="1"/>
  <c r="I1131" i="1"/>
  <c r="J1131" i="1"/>
  <c r="K1131" i="1"/>
  <c r="L1131" i="1"/>
  <c r="M1131" i="1"/>
  <c r="I1132" i="1"/>
  <c r="J1132" i="1"/>
  <c r="K1132" i="1"/>
  <c r="L1132" i="1"/>
  <c r="M1132" i="1"/>
  <c r="I1133" i="1"/>
  <c r="J1133" i="1"/>
  <c r="K1133" i="1"/>
  <c r="L1133" i="1"/>
  <c r="M1133" i="1"/>
  <c r="I1134" i="1"/>
  <c r="J1134" i="1"/>
  <c r="K1134" i="1"/>
  <c r="L1134" i="1"/>
  <c r="M1134" i="1"/>
  <c r="I1135" i="1"/>
  <c r="J1135" i="1"/>
  <c r="K1135" i="1"/>
  <c r="L1135" i="1"/>
  <c r="M1135" i="1"/>
  <c r="I1136" i="1"/>
  <c r="J1136" i="1"/>
  <c r="K1136" i="1"/>
  <c r="L1136" i="1"/>
  <c r="M1136" i="1"/>
  <c r="I1137" i="1"/>
  <c r="J1137" i="1"/>
  <c r="K1137" i="1"/>
  <c r="L1137" i="1"/>
  <c r="M1137" i="1"/>
  <c r="I1138" i="1"/>
  <c r="J1138" i="1"/>
  <c r="K1138" i="1"/>
  <c r="L1138" i="1"/>
  <c r="M1138" i="1"/>
  <c r="I1139" i="1"/>
  <c r="J1139" i="1"/>
  <c r="K1139" i="1"/>
  <c r="L1139" i="1"/>
  <c r="M1139" i="1"/>
  <c r="I1140" i="1"/>
  <c r="J1140" i="1"/>
  <c r="K1140" i="1"/>
  <c r="L1140" i="1"/>
  <c r="M1140" i="1"/>
  <c r="I1141" i="1"/>
  <c r="J1141" i="1"/>
  <c r="K1141" i="1"/>
  <c r="L1141" i="1"/>
  <c r="M1141" i="1"/>
  <c r="I1142" i="1"/>
  <c r="J1142" i="1"/>
  <c r="K1142" i="1"/>
  <c r="L1142" i="1"/>
  <c r="M1142" i="1"/>
  <c r="I1143" i="1"/>
  <c r="J1143" i="1"/>
  <c r="K1143" i="1"/>
  <c r="L1143" i="1"/>
  <c r="M1143" i="1"/>
  <c r="I1144" i="1"/>
  <c r="J1144" i="1"/>
  <c r="K1144" i="1"/>
  <c r="L1144" i="1"/>
  <c r="M1144" i="1"/>
  <c r="I1145" i="1"/>
  <c r="J1145" i="1"/>
  <c r="K1145" i="1"/>
  <c r="L1145" i="1"/>
  <c r="M1145" i="1"/>
  <c r="I1146" i="1"/>
  <c r="J1146" i="1"/>
  <c r="K1146" i="1"/>
  <c r="L1146" i="1"/>
  <c r="M1146" i="1"/>
  <c r="I1147" i="1"/>
  <c r="J1147" i="1"/>
  <c r="K1147" i="1"/>
  <c r="L1147" i="1"/>
  <c r="M1147" i="1"/>
  <c r="I1148" i="1"/>
  <c r="J1148" i="1"/>
  <c r="K1148" i="1"/>
  <c r="L1148" i="1"/>
  <c r="M1148" i="1"/>
  <c r="I1149" i="1"/>
  <c r="J1149" i="1"/>
  <c r="K1149" i="1"/>
  <c r="L1149" i="1"/>
  <c r="M1149" i="1"/>
  <c r="I1150" i="1"/>
  <c r="J1150" i="1"/>
  <c r="K1150" i="1"/>
  <c r="L1150" i="1"/>
  <c r="M1150" i="1"/>
  <c r="I1151" i="1"/>
  <c r="J1151" i="1"/>
  <c r="K1151" i="1"/>
  <c r="L1151" i="1"/>
  <c r="M1151" i="1"/>
  <c r="I1152" i="1"/>
  <c r="J1152" i="1"/>
  <c r="K1152" i="1"/>
  <c r="L1152" i="1"/>
  <c r="M1152" i="1"/>
  <c r="I1153" i="1"/>
  <c r="J1153" i="1"/>
  <c r="K1153" i="1"/>
  <c r="L1153" i="1"/>
  <c r="M1153" i="1"/>
  <c r="I1154" i="1"/>
  <c r="J1154" i="1"/>
  <c r="K1154" i="1"/>
  <c r="L1154" i="1"/>
  <c r="M1154" i="1"/>
  <c r="I1155" i="1"/>
  <c r="J1155" i="1"/>
  <c r="K1155" i="1"/>
  <c r="L1155" i="1"/>
  <c r="M1155" i="1"/>
  <c r="I1156" i="1"/>
  <c r="J1156" i="1"/>
  <c r="K1156" i="1"/>
  <c r="L1156" i="1"/>
  <c r="M1156" i="1"/>
  <c r="I1157" i="1"/>
  <c r="J1157" i="1"/>
  <c r="K1157" i="1"/>
  <c r="L1157" i="1"/>
  <c r="M1157" i="1"/>
  <c r="I1158" i="1"/>
  <c r="J1158" i="1"/>
  <c r="K1158" i="1"/>
  <c r="L1158" i="1"/>
  <c r="M1158" i="1"/>
  <c r="I1159" i="1"/>
  <c r="J1159" i="1"/>
  <c r="K1159" i="1"/>
  <c r="L1159" i="1"/>
  <c r="M1159" i="1"/>
  <c r="I1160" i="1"/>
  <c r="J1160" i="1"/>
  <c r="K1160" i="1"/>
  <c r="L1160" i="1"/>
  <c r="M1160" i="1"/>
  <c r="I1161" i="1"/>
  <c r="J1161" i="1"/>
  <c r="K1161" i="1"/>
  <c r="L1161" i="1"/>
  <c r="M1161" i="1"/>
  <c r="I1162" i="1"/>
  <c r="J1162" i="1"/>
  <c r="K1162" i="1"/>
  <c r="L1162" i="1"/>
  <c r="M1162" i="1"/>
  <c r="I1163" i="1"/>
  <c r="J1163" i="1"/>
  <c r="K1163" i="1"/>
  <c r="L1163" i="1"/>
  <c r="M1163" i="1"/>
  <c r="I1164" i="1"/>
  <c r="J1164" i="1"/>
  <c r="K1164" i="1"/>
  <c r="L1164" i="1"/>
  <c r="M1164" i="1"/>
  <c r="I1165" i="1"/>
  <c r="J1165" i="1"/>
  <c r="K1165" i="1"/>
  <c r="L1165" i="1"/>
  <c r="M1165" i="1"/>
  <c r="I1166" i="1"/>
  <c r="J1166" i="1"/>
  <c r="K1166" i="1"/>
  <c r="L1166" i="1"/>
  <c r="M1166" i="1"/>
  <c r="I1167" i="1"/>
  <c r="J1167" i="1"/>
  <c r="K1167" i="1"/>
  <c r="L1167" i="1"/>
  <c r="M1167" i="1"/>
  <c r="I1168" i="1"/>
  <c r="J1168" i="1"/>
  <c r="K1168" i="1"/>
  <c r="L1168" i="1"/>
  <c r="M1168" i="1"/>
  <c r="I1169" i="1"/>
  <c r="J1169" i="1"/>
  <c r="K1169" i="1"/>
  <c r="L1169" i="1"/>
  <c r="M1169" i="1"/>
  <c r="I1170" i="1"/>
  <c r="J1170" i="1"/>
  <c r="K1170" i="1"/>
  <c r="L1170" i="1"/>
  <c r="M1170" i="1"/>
  <c r="I1171" i="1"/>
  <c r="J1171" i="1"/>
  <c r="K1171" i="1"/>
  <c r="L1171" i="1"/>
  <c r="M1171" i="1"/>
  <c r="I1172" i="1"/>
  <c r="J1172" i="1"/>
  <c r="K1172" i="1"/>
  <c r="L1172" i="1"/>
  <c r="M1172" i="1"/>
  <c r="I1173" i="1"/>
  <c r="J1173" i="1"/>
  <c r="K1173" i="1"/>
  <c r="L1173" i="1"/>
  <c r="M1173" i="1"/>
  <c r="I1174" i="1"/>
  <c r="J1174" i="1"/>
  <c r="K1174" i="1"/>
  <c r="L1174" i="1"/>
  <c r="M1174" i="1"/>
  <c r="I1175" i="1"/>
  <c r="J1175" i="1"/>
  <c r="K1175" i="1"/>
  <c r="L1175" i="1"/>
  <c r="M1175" i="1"/>
  <c r="I1176" i="1"/>
  <c r="J1176" i="1"/>
  <c r="K1176" i="1"/>
  <c r="L1176" i="1"/>
  <c r="M1176" i="1"/>
  <c r="I1177" i="1"/>
  <c r="J1177" i="1"/>
  <c r="K1177" i="1"/>
  <c r="L1177" i="1"/>
  <c r="M1177" i="1"/>
  <c r="I1178" i="1"/>
  <c r="J1178" i="1"/>
  <c r="K1178" i="1"/>
  <c r="L1178" i="1"/>
  <c r="M1178" i="1"/>
  <c r="I1179" i="1"/>
  <c r="J1179" i="1"/>
  <c r="K1179" i="1"/>
  <c r="L1179" i="1"/>
  <c r="M1179" i="1"/>
  <c r="I1180" i="1"/>
  <c r="J1180" i="1"/>
  <c r="K1180" i="1"/>
  <c r="L1180" i="1"/>
  <c r="M1180" i="1"/>
  <c r="I1181" i="1"/>
  <c r="J1181" i="1"/>
  <c r="K1181" i="1"/>
  <c r="L1181" i="1"/>
  <c r="M1181" i="1"/>
  <c r="I1182" i="1"/>
  <c r="J1182" i="1"/>
  <c r="K1182" i="1"/>
  <c r="L1182" i="1"/>
  <c r="M1182" i="1"/>
  <c r="I1183" i="1"/>
  <c r="J1183" i="1"/>
  <c r="K1183" i="1"/>
  <c r="L1183" i="1"/>
  <c r="M1183" i="1"/>
  <c r="I1184" i="1"/>
  <c r="J1184" i="1"/>
  <c r="K1184" i="1"/>
  <c r="L1184" i="1"/>
  <c r="M1184" i="1"/>
  <c r="I1185" i="1"/>
  <c r="J1185" i="1"/>
  <c r="K1185" i="1"/>
  <c r="L1185" i="1"/>
  <c r="M1185" i="1"/>
  <c r="I1186" i="1"/>
  <c r="J1186" i="1"/>
  <c r="K1186" i="1"/>
  <c r="L1186" i="1"/>
  <c r="M1186" i="1"/>
  <c r="I1187" i="1"/>
  <c r="J1187" i="1"/>
  <c r="K1187" i="1"/>
  <c r="L1187" i="1"/>
  <c r="M1187" i="1"/>
  <c r="I1188" i="1"/>
  <c r="J1188" i="1"/>
  <c r="K1188" i="1"/>
  <c r="L1188" i="1"/>
  <c r="M1188" i="1"/>
  <c r="I1189" i="1"/>
  <c r="J1189" i="1"/>
  <c r="K1189" i="1"/>
  <c r="L1189" i="1"/>
  <c r="M1189" i="1"/>
  <c r="I1190" i="1"/>
  <c r="J1190" i="1"/>
  <c r="K1190" i="1"/>
  <c r="L1190" i="1"/>
  <c r="M1190" i="1"/>
  <c r="I1191" i="1"/>
  <c r="J1191" i="1"/>
  <c r="K1191" i="1"/>
  <c r="L1191" i="1"/>
  <c r="M1191" i="1"/>
  <c r="I1192" i="1"/>
  <c r="J1192" i="1"/>
  <c r="K1192" i="1"/>
  <c r="L1192" i="1"/>
  <c r="M1192" i="1"/>
  <c r="I1193" i="1"/>
  <c r="J1193" i="1"/>
  <c r="K1193" i="1"/>
  <c r="L1193" i="1"/>
  <c r="M1193" i="1"/>
  <c r="I1194" i="1"/>
  <c r="J1194" i="1"/>
  <c r="K1194" i="1"/>
  <c r="L1194" i="1"/>
  <c r="M1194" i="1"/>
  <c r="I1195" i="1"/>
  <c r="J1195" i="1"/>
  <c r="K1195" i="1"/>
  <c r="L1195" i="1"/>
  <c r="M1195" i="1"/>
  <c r="I1196" i="1"/>
  <c r="J1196" i="1"/>
  <c r="K1196" i="1"/>
  <c r="L1196" i="1"/>
  <c r="M1196" i="1"/>
  <c r="I1197" i="1"/>
  <c r="J1197" i="1"/>
  <c r="K1197" i="1"/>
  <c r="L1197" i="1"/>
  <c r="M1197" i="1"/>
  <c r="I1198" i="1"/>
  <c r="J1198" i="1"/>
  <c r="K1198" i="1"/>
  <c r="L1198" i="1"/>
  <c r="M1198" i="1"/>
  <c r="I1199" i="1"/>
  <c r="J1199" i="1"/>
  <c r="K1199" i="1"/>
  <c r="L1199" i="1"/>
  <c r="M1199" i="1"/>
  <c r="I1200" i="1"/>
  <c r="J1200" i="1"/>
  <c r="K1200" i="1"/>
  <c r="L1200" i="1"/>
  <c r="M1200" i="1"/>
  <c r="I1201" i="1"/>
  <c r="J1201" i="1"/>
  <c r="K1201" i="1"/>
  <c r="L1201" i="1"/>
  <c r="M1201" i="1"/>
  <c r="I1202" i="1"/>
  <c r="J1202" i="1"/>
  <c r="K1202" i="1"/>
  <c r="L1202" i="1"/>
  <c r="M1202" i="1"/>
  <c r="I1203" i="1"/>
  <c r="J1203" i="1"/>
  <c r="K1203" i="1"/>
  <c r="L1203" i="1"/>
  <c r="M1203" i="1"/>
  <c r="I1204" i="1"/>
  <c r="J1204" i="1"/>
  <c r="K1204" i="1"/>
  <c r="L1204" i="1"/>
  <c r="M1204" i="1"/>
  <c r="I1205" i="1"/>
  <c r="J1205" i="1"/>
  <c r="K1205" i="1"/>
  <c r="L1205" i="1"/>
  <c r="M1205" i="1"/>
  <c r="I1206" i="1"/>
  <c r="J1206" i="1"/>
  <c r="K1206" i="1"/>
  <c r="L1206" i="1"/>
  <c r="M1206" i="1"/>
  <c r="I1207" i="1"/>
  <c r="J1207" i="1"/>
  <c r="K1207" i="1"/>
  <c r="L1207" i="1"/>
  <c r="M1207" i="1"/>
  <c r="I1208" i="1"/>
  <c r="J1208" i="1"/>
  <c r="K1208" i="1"/>
  <c r="L1208" i="1"/>
  <c r="M1208" i="1"/>
  <c r="I1209" i="1"/>
  <c r="J1209" i="1"/>
  <c r="K1209" i="1"/>
  <c r="L1209" i="1"/>
  <c r="M1209" i="1"/>
  <c r="I1210" i="1"/>
  <c r="J1210" i="1"/>
  <c r="K1210" i="1"/>
  <c r="L1210" i="1"/>
  <c r="M1210" i="1"/>
  <c r="I1211" i="1"/>
  <c r="J1211" i="1"/>
  <c r="K1211" i="1"/>
  <c r="L1211" i="1"/>
  <c r="M1211" i="1"/>
  <c r="I1212" i="1"/>
  <c r="J1212" i="1"/>
  <c r="K1212" i="1"/>
  <c r="L1212" i="1"/>
  <c r="M1212" i="1"/>
  <c r="I1213" i="1"/>
  <c r="J1213" i="1"/>
  <c r="K1213" i="1"/>
  <c r="L1213" i="1"/>
  <c r="M1213" i="1"/>
  <c r="I1214" i="1"/>
  <c r="J1214" i="1"/>
  <c r="K1214" i="1"/>
  <c r="L1214" i="1"/>
  <c r="M1214" i="1"/>
  <c r="I1215" i="1"/>
  <c r="J1215" i="1"/>
  <c r="K1215" i="1"/>
  <c r="L1215" i="1"/>
  <c r="M1215" i="1"/>
  <c r="I1216" i="1"/>
  <c r="J1216" i="1"/>
  <c r="K1216" i="1"/>
  <c r="L1216" i="1"/>
  <c r="M1216" i="1"/>
  <c r="I1217" i="1"/>
  <c r="J1217" i="1"/>
  <c r="K1217" i="1"/>
  <c r="L1217" i="1"/>
  <c r="M1217" i="1"/>
  <c r="I1218" i="1"/>
  <c r="J1218" i="1"/>
  <c r="K1218" i="1"/>
  <c r="L1218" i="1"/>
  <c r="M1218" i="1"/>
  <c r="I1219" i="1"/>
  <c r="J1219" i="1"/>
  <c r="K1219" i="1"/>
  <c r="L1219" i="1"/>
  <c r="M1219" i="1"/>
  <c r="I1220" i="1"/>
  <c r="J1220" i="1"/>
  <c r="K1220" i="1"/>
  <c r="L1220" i="1"/>
  <c r="M1220" i="1"/>
  <c r="I1221" i="1"/>
  <c r="J1221" i="1"/>
  <c r="K1221" i="1"/>
  <c r="L1221" i="1"/>
  <c r="M1221" i="1"/>
  <c r="I1222" i="1"/>
  <c r="J1222" i="1"/>
  <c r="K1222" i="1"/>
  <c r="L1222" i="1"/>
  <c r="M1222" i="1"/>
  <c r="I1223" i="1"/>
  <c r="J1223" i="1"/>
  <c r="K1223" i="1"/>
  <c r="L1223" i="1"/>
  <c r="M1223" i="1"/>
  <c r="I1224" i="1"/>
  <c r="J1224" i="1"/>
  <c r="K1224" i="1"/>
  <c r="L1224" i="1"/>
  <c r="M1224" i="1"/>
  <c r="I1225" i="1"/>
  <c r="J1225" i="1"/>
  <c r="K1225" i="1"/>
  <c r="L1225" i="1"/>
  <c r="M1225" i="1"/>
  <c r="I1226" i="1"/>
  <c r="J1226" i="1"/>
  <c r="K1226" i="1"/>
  <c r="L1226" i="1"/>
  <c r="M1226" i="1"/>
  <c r="I1227" i="1"/>
  <c r="J1227" i="1"/>
  <c r="K1227" i="1"/>
  <c r="L1227" i="1"/>
  <c r="M1227" i="1"/>
  <c r="I1228" i="1"/>
  <c r="J1228" i="1"/>
  <c r="K1228" i="1"/>
  <c r="L1228" i="1"/>
  <c r="M1228" i="1"/>
  <c r="I1229" i="1"/>
  <c r="J1229" i="1"/>
  <c r="K1229" i="1"/>
  <c r="L1229" i="1"/>
  <c r="M1229" i="1"/>
  <c r="I1230" i="1"/>
  <c r="J1230" i="1"/>
  <c r="K1230" i="1"/>
  <c r="L1230" i="1"/>
  <c r="M1230" i="1"/>
  <c r="I1231" i="1"/>
  <c r="J1231" i="1"/>
  <c r="K1231" i="1"/>
  <c r="L1231" i="1"/>
  <c r="M1231" i="1"/>
  <c r="I1232" i="1"/>
  <c r="J1232" i="1"/>
  <c r="K1232" i="1"/>
  <c r="L1232" i="1"/>
  <c r="M1232" i="1"/>
  <c r="I1233" i="1"/>
  <c r="J1233" i="1"/>
  <c r="K1233" i="1"/>
  <c r="L1233" i="1"/>
  <c r="M1233" i="1"/>
  <c r="I1234" i="1"/>
  <c r="J1234" i="1"/>
  <c r="K1234" i="1"/>
  <c r="L1234" i="1"/>
  <c r="M1234" i="1"/>
  <c r="I1235" i="1"/>
  <c r="J1235" i="1"/>
  <c r="K1235" i="1"/>
  <c r="L1235" i="1"/>
  <c r="M1235" i="1"/>
  <c r="I1236" i="1"/>
  <c r="J1236" i="1"/>
  <c r="K1236" i="1"/>
  <c r="L1236" i="1"/>
  <c r="M1236" i="1"/>
  <c r="I1237" i="1"/>
  <c r="J1237" i="1"/>
  <c r="K1237" i="1"/>
  <c r="L1237" i="1"/>
  <c r="M1237" i="1"/>
  <c r="I1238" i="1"/>
  <c r="J1238" i="1"/>
  <c r="K1238" i="1"/>
  <c r="L1238" i="1"/>
  <c r="M1238" i="1"/>
  <c r="I1239" i="1"/>
  <c r="J1239" i="1"/>
  <c r="K1239" i="1"/>
  <c r="L1239" i="1"/>
  <c r="M1239" i="1"/>
  <c r="I1240" i="1"/>
  <c r="J1240" i="1"/>
  <c r="K1240" i="1"/>
  <c r="L1240" i="1"/>
  <c r="M1240" i="1"/>
  <c r="I1241" i="1"/>
  <c r="J1241" i="1"/>
  <c r="K1241" i="1"/>
  <c r="L1241" i="1"/>
  <c r="M1241" i="1"/>
  <c r="I1242" i="1"/>
  <c r="J1242" i="1"/>
  <c r="K1242" i="1"/>
  <c r="L1242" i="1"/>
  <c r="M1242" i="1"/>
  <c r="I1243" i="1"/>
  <c r="J1243" i="1"/>
  <c r="K1243" i="1"/>
  <c r="L1243" i="1"/>
  <c r="M1243" i="1"/>
  <c r="I1244" i="1"/>
  <c r="J1244" i="1"/>
  <c r="K1244" i="1"/>
  <c r="L1244" i="1"/>
  <c r="M1244" i="1"/>
  <c r="I1245" i="1"/>
  <c r="J1245" i="1"/>
  <c r="K1245" i="1"/>
  <c r="L1245" i="1"/>
  <c r="M1245" i="1"/>
  <c r="I1246" i="1"/>
  <c r="J1246" i="1"/>
  <c r="K1246" i="1"/>
  <c r="L1246" i="1"/>
  <c r="M1246" i="1"/>
  <c r="I1247" i="1"/>
  <c r="J1247" i="1"/>
  <c r="K1247" i="1"/>
  <c r="L1247" i="1"/>
  <c r="M1247" i="1"/>
  <c r="I1248" i="1"/>
  <c r="J1248" i="1"/>
  <c r="K1248" i="1"/>
  <c r="L1248" i="1"/>
  <c r="M1248" i="1"/>
  <c r="I1249" i="1"/>
  <c r="J1249" i="1"/>
  <c r="K1249" i="1"/>
  <c r="L1249" i="1"/>
  <c r="M1249" i="1"/>
  <c r="I1250" i="1"/>
  <c r="J1250" i="1"/>
  <c r="K1250" i="1"/>
  <c r="L1250" i="1"/>
  <c r="M1250" i="1"/>
  <c r="I1251" i="1"/>
  <c r="J1251" i="1"/>
  <c r="K1251" i="1"/>
  <c r="L1251" i="1"/>
  <c r="M1251" i="1"/>
  <c r="I1252" i="1"/>
  <c r="J1252" i="1"/>
  <c r="K1252" i="1"/>
  <c r="L1252" i="1"/>
  <c r="M1252" i="1"/>
  <c r="I1253" i="1"/>
  <c r="J1253" i="1"/>
  <c r="K1253" i="1"/>
  <c r="L1253" i="1"/>
  <c r="M1253" i="1"/>
  <c r="I1254" i="1"/>
  <c r="J1254" i="1"/>
  <c r="K1254" i="1"/>
  <c r="L1254" i="1"/>
  <c r="M1254" i="1"/>
  <c r="I1255" i="1"/>
  <c r="J1255" i="1"/>
  <c r="K1255" i="1"/>
  <c r="L1255" i="1"/>
  <c r="M1255" i="1"/>
  <c r="I1256" i="1"/>
  <c r="J1256" i="1"/>
  <c r="K1256" i="1"/>
  <c r="L1256" i="1"/>
  <c r="M1256" i="1"/>
  <c r="I1257" i="1"/>
  <c r="J1257" i="1"/>
  <c r="K1257" i="1"/>
  <c r="L1257" i="1"/>
  <c r="M1257" i="1"/>
  <c r="I1258" i="1"/>
  <c r="J1258" i="1"/>
  <c r="K1258" i="1"/>
  <c r="L1258" i="1"/>
  <c r="M1258" i="1"/>
  <c r="I1259" i="1"/>
  <c r="J1259" i="1"/>
  <c r="K1259" i="1"/>
  <c r="L1259" i="1"/>
  <c r="M1259" i="1"/>
  <c r="I1260" i="1"/>
  <c r="J1260" i="1"/>
  <c r="K1260" i="1"/>
  <c r="L1260" i="1"/>
  <c r="M1260" i="1"/>
  <c r="I1261" i="1"/>
  <c r="J1261" i="1"/>
  <c r="K1261" i="1"/>
  <c r="L1261" i="1"/>
  <c r="M1261" i="1"/>
  <c r="I1262" i="1"/>
  <c r="J1262" i="1"/>
  <c r="K1262" i="1"/>
  <c r="L1262" i="1"/>
  <c r="M1262" i="1"/>
  <c r="I1263" i="1"/>
  <c r="J1263" i="1"/>
  <c r="K1263" i="1"/>
  <c r="L1263" i="1"/>
  <c r="M1263" i="1"/>
  <c r="I1264" i="1"/>
  <c r="J1264" i="1"/>
  <c r="K1264" i="1"/>
  <c r="L1264" i="1"/>
  <c r="M1264" i="1"/>
  <c r="I1265" i="1"/>
  <c r="J1265" i="1"/>
  <c r="K1265" i="1"/>
  <c r="L1265" i="1"/>
  <c r="M1265" i="1"/>
  <c r="I1266" i="1"/>
  <c r="J1266" i="1"/>
  <c r="K1266" i="1"/>
  <c r="L1266" i="1"/>
  <c r="M1266" i="1"/>
  <c r="I1267" i="1"/>
  <c r="J1267" i="1"/>
  <c r="K1267" i="1"/>
  <c r="L1267" i="1"/>
  <c r="M1267" i="1"/>
  <c r="I1268" i="1"/>
  <c r="J1268" i="1"/>
  <c r="K1268" i="1"/>
  <c r="L1268" i="1"/>
  <c r="M1268" i="1"/>
  <c r="I1269" i="1"/>
  <c r="J1269" i="1"/>
  <c r="K1269" i="1"/>
  <c r="L1269" i="1"/>
  <c r="M1269" i="1"/>
  <c r="I1270" i="1"/>
  <c r="J1270" i="1"/>
  <c r="K1270" i="1"/>
  <c r="L1270" i="1"/>
  <c r="M1270" i="1"/>
  <c r="I1271" i="1"/>
  <c r="J1271" i="1"/>
  <c r="K1271" i="1"/>
  <c r="L1271" i="1"/>
  <c r="M1271" i="1"/>
  <c r="I1272" i="1"/>
  <c r="J1272" i="1"/>
  <c r="K1272" i="1"/>
  <c r="L1272" i="1"/>
  <c r="M1272" i="1"/>
  <c r="I1273" i="1"/>
  <c r="J1273" i="1"/>
  <c r="K1273" i="1"/>
  <c r="L1273" i="1"/>
  <c r="M1273" i="1"/>
  <c r="I1274" i="1"/>
  <c r="J1274" i="1"/>
  <c r="K1274" i="1"/>
  <c r="L1274" i="1"/>
  <c r="M1274" i="1"/>
  <c r="I1275" i="1"/>
  <c r="J1275" i="1"/>
  <c r="K1275" i="1"/>
  <c r="L1275" i="1"/>
  <c r="M1275" i="1"/>
  <c r="I1276" i="1"/>
  <c r="J1276" i="1"/>
  <c r="K1276" i="1"/>
  <c r="L1276" i="1"/>
  <c r="M1276" i="1"/>
  <c r="I1277" i="1"/>
  <c r="J1277" i="1"/>
  <c r="K1277" i="1"/>
  <c r="L1277" i="1"/>
  <c r="M1277" i="1"/>
  <c r="I1278" i="1"/>
  <c r="J1278" i="1"/>
  <c r="K1278" i="1"/>
  <c r="L1278" i="1"/>
  <c r="M1278" i="1"/>
  <c r="I1279" i="1"/>
  <c r="J1279" i="1"/>
  <c r="K1279" i="1"/>
  <c r="L1279" i="1"/>
  <c r="M1279" i="1"/>
  <c r="I1280" i="1"/>
  <c r="J1280" i="1"/>
  <c r="K1280" i="1"/>
  <c r="L1280" i="1"/>
  <c r="M1280" i="1"/>
  <c r="I1281" i="1"/>
  <c r="J1281" i="1"/>
  <c r="K1281" i="1"/>
  <c r="L1281" i="1"/>
  <c r="M1281" i="1"/>
  <c r="I1282" i="1"/>
  <c r="J1282" i="1"/>
  <c r="K1282" i="1"/>
  <c r="L1282" i="1"/>
  <c r="M1282" i="1"/>
  <c r="I1283" i="1"/>
  <c r="J1283" i="1"/>
  <c r="K1283" i="1"/>
  <c r="L1283" i="1"/>
  <c r="M1283" i="1"/>
  <c r="I1284" i="1"/>
  <c r="J1284" i="1"/>
  <c r="K1284" i="1"/>
  <c r="L1284" i="1"/>
  <c r="M1284" i="1"/>
  <c r="I1285" i="1"/>
  <c r="J1285" i="1"/>
  <c r="K1285" i="1"/>
  <c r="L1285" i="1"/>
  <c r="M1285" i="1"/>
  <c r="I1286" i="1"/>
  <c r="J1286" i="1"/>
  <c r="K1286" i="1"/>
  <c r="L1286" i="1"/>
  <c r="M1286" i="1"/>
  <c r="I1287" i="1"/>
  <c r="J1287" i="1"/>
  <c r="K1287" i="1"/>
  <c r="L1287" i="1"/>
  <c r="M1287" i="1"/>
  <c r="I1288" i="1"/>
  <c r="J1288" i="1"/>
  <c r="K1288" i="1"/>
  <c r="L1288" i="1"/>
  <c r="M1288" i="1"/>
  <c r="I1289" i="1"/>
  <c r="J1289" i="1"/>
  <c r="K1289" i="1"/>
  <c r="L1289" i="1"/>
  <c r="M1289" i="1"/>
  <c r="I1290" i="1"/>
  <c r="J1290" i="1"/>
  <c r="K1290" i="1"/>
  <c r="L1290" i="1"/>
  <c r="M1290" i="1"/>
  <c r="I1291" i="1"/>
  <c r="J1291" i="1"/>
  <c r="K1291" i="1"/>
  <c r="L1291" i="1"/>
  <c r="M1291" i="1"/>
  <c r="I1292" i="1"/>
  <c r="J1292" i="1"/>
  <c r="K1292" i="1"/>
  <c r="L1292" i="1"/>
  <c r="M1292" i="1"/>
  <c r="I1293" i="1"/>
  <c r="J1293" i="1"/>
  <c r="K1293" i="1"/>
  <c r="L1293" i="1"/>
  <c r="M1293" i="1"/>
  <c r="I1294" i="1"/>
  <c r="J1294" i="1"/>
  <c r="K1294" i="1"/>
  <c r="L1294" i="1"/>
  <c r="M1294" i="1"/>
  <c r="I1295" i="1"/>
  <c r="J1295" i="1"/>
  <c r="K1295" i="1"/>
  <c r="L1295" i="1"/>
  <c r="M1295" i="1"/>
  <c r="I1296" i="1"/>
  <c r="J1296" i="1"/>
  <c r="K1296" i="1"/>
  <c r="L1296" i="1"/>
  <c r="M1296" i="1"/>
  <c r="I1297" i="1"/>
  <c r="J1297" i="1"/>
  <c r="K1297" i="1"/>
  <c r="L1297" i="1"/>
  <c r="M1297" i="1"/>
  <c r="I1298" i="1"/>
  <c r="J1298" i="1"/>
  <c r="K1298" i="1"/>
  <c r="L1298" i="1"/>
  <c r="M1298" i="1"/>
  <c r="I1299" i="1"/>
  <c r="J1299" i="1"/>
  <c r="K1299" i="1"/>
  <c r="L1299" i="1"/>
  <c r="M1299" i="1"/>
  <c r="I1300" i="1"/>
  <c r="J1300" i="1"/>
  <c r="K1300" i="1"/>
  <c r="L1300" i="1"/>
  <c r="M1300" i="1"/>
  <c r="I1301" i="1"/>
  <c r="J1301" i="1"/>
  <c r="K1301" i="1"/>
  <c r="L1301" i="1"/>
  <c r="M1301" i="1"/>
  <c r="I1302" i="1"/>
  <c r="J1302" i="1"/>
  <c r="K1302" i="1"/>
  <c r="L1302" i="1"/>
  <c r="M1302" i="1"/>
  <c r="I1303" i="1"/>
  <c r="J1303" i="1"/>
  <c r="K1303" i="1"/>
  <c r="L1303" i="1"/>
  <c r="M1303" i="1"/>
  <c r="I1304" i="1"/>
  <c r="J1304" i="1"/>
  <c r="K1304" i="1"/>
  <c r="L1304" i="1"/>
  <c r="M1304" i="1"/>
  <c r="I1305" i="1"/>
  <c r="J1305" i="1"/>
  <c r="K1305" i="1"/>
  <c r="L1305" i="1"/>
  <c r="M1305" i="1"/>
  <c r="I1306" i="1"/>
  <c r="J1306" i="1"/>
  <c r="K1306" i="1"/>
  <c r="L1306" i="1"/>
  <c r="M1306" i="1"/>
  <c r="I1307" i="1"/>
  <c r="J1307" i="1"/>
  <c r="K1307" i="1"/>
  <c r="L1307" i="1"/>
  <c r="M1307" i="1"/>
  <c r="I1308" i="1"/>
  <c r="J1308" i="1"/>
  <c r="K1308" i="1"/>
  <c r="L1308" i="1"/>
  <c r="M1308" i="1"/>
  <c r="I1309" i="1"/>
  <c r="J1309" i="1"/>
  <c r="K1309" i="1"/>
  <c r="L1309" i="1"/>
  <c r="M1309" i="1"/>
  <c r="I1310" i="1"/>
  <c r="J1310" i="1"/>
  <c r="K1310" i="1"/>
  <c r="L1310" i="1"/>
  <c r="M1310" i="1"/>
  <c r="I1311" i="1"/>
  <c r="J1311" i="1"/>
  <c r="K1311" i="1"/>
  <c r="L1311" i="1"/>
  <c r="M1311" i="1"/>
  <c r="I1312" i="1"/>
  <c r="J1312" i="1"/>
  <c r="K1312" i="1"/>
  <c r="L1312" i="1"/>
  <c r="M1312" i="1"/>
  <c r="I1313" i="1"/>
  <c r="J1313" i="1"/>
  <c r="K1313" i="1"/>
  <c r="L1313" i="1"/>
  <c r="M1313" i="1"/>
  <c r="I1314" i="1"/>
  <c r="J1314" i="1"/>
  <c r="K1314" i="1"/>
  <c r="L1314" i="1"/>
  <c r="M1314" i="1"/>
  <c r="I1315" i="1"/>
  <c r="J1315" i="1"/>
  <c r="K1315" i="1"/>
  <c r="L1315" i="1"/>
  <c r="M1315" i="1"/>
  <c r="I1316" i="1"/>
  <c r="J1316" i="1"/>
  <c r="K1316" i="1"/>
  <c r="L1316" i="1"/>
  <c r="M1316" i="1"/>
  <c r="I1317" i="1"/>
  <c r="J1317" i="1"/>
  <c r="K1317" i="1"/>
  <c r="L1317" i="1"/>
  <c r="M1317" i="1"/>
  <c r="I1318" i="1"/>
  <c r="J1318" i="1"/>
  <c r="K1318" i="1"/>
  <c r="L1318" i="1"/>
  <c r="M1318" i="1"/>
  <c r="I1319" i="1"/>
  <c r="J1319" i="1"/>
  <c r="K1319" i="1"/>
  <c r="L1319" i="1"/>
  <c r="M1319" i="1"/>
  <c r="I1320" i="1"/>
  <c r="J1320" i="1"/>
  <c r="K1320" i="1"/>
  <c r="L1320" i="1"/>
  <c r="M1320" i="1"/>
  <c r="I1321" i="1"/>
  <c r="J1321" i="1"/>
  <c r="K1321" i="1"/>
  <c r="L1321" i="1"/>
  <c r="M1321" i="1"/>
  <c r="I1322" i="1"/>
  <c r="J1322" i="1"/>
  <c r="K1322" i="1"/>
  <c r="L1322" i="1"/>
  <c r="M1322" i="1"/>
  <c r="I1323" i="1"/>
  <c r="J1323" i="1"/>
  <c r="K1323" i="1"/>
  <c r="L1323" i="1"/>
  <c r="M1323" i="1"/>
  <c r="I1324" i="1"/>
  <c r="J1324" i="1"/>
  <c r="K1324" i="1"/>
  <c r="L1324" i="1"/>
  <c r="M1324" i="1"/>
  <c r="I1325" i="1"/>
  <c r="J1325" i="1"/>
  <c r="K1325" i="1"/>
  <c r="L1325" i="1"/>
  <c r="M1325" i="1"/>
  <c r="I1326" i="1"/>
  <c r="J1326" i="1"/>
  <c r="K1326" i="1"/>
  <c r="L1326" i="1"/>
  <c r="M1326" i="1"/>
  <c r="I1327" i="1"/>
  <c r="J1327" i="1"/>
  <c r="K1327" i="1"/>
  <c r="L1327" i="1"/>
  <c r="M1327" i="1"/>
  <c r="I1328" i="1"/>
  <c r="J1328" i="1"/>
  <c r="K1328" i="1"/>
  <c r="L1328" i="1"/>
  <c r="M1328" i="1"/>
  <c r="I1329" i="1"/>
  <c r="J1329" i="1"/>
  <c r="K1329" i="1"/>
  <c r="L1329" i="1"/>
  <c r="M1329" i="1"/>
  <c r="I1330" i="1"/>
  <c r="J1330" i="1"/>
  <c r="K1330" i="1"/>
  <c r="L1330" i="1"/>
  <c r="M1330" i="1"/>
  <c r="I1331" i="1"/>
  <c r="J1331" i="1"/>
  <c r="K1331" i="1"/>
  <c r="L1331" i="1"/>
  <c r="M1331" i="1"/>
  <c r="I1332" i="1"/>
  <c r="J1332" i="1"/>
  <c r="K1332" i="1"/>
  <c r="L1332" i="1"/>
  <c r="M1332" i="1"/>
  <c r="I1333" i="1"/>
  <c r="J1333" i="1"/>
  <c r="K1333" i="1"/>
  <c r="L1333" i="1"/>
  <c r="M1333" i="1"/>
  <c r="I1334" i="1"/>
  <c r="J1334" i="1"/>
  <c r="K1334" i="1"/>
  <c r="L1334" i="1"/>
  <c r="M1334" i="1"/>
  <c r="I1335" i="1"/>
  <c r="J1335" i="1"/>
  <c r="K1335" i="1"/>
  <c r="L1335" i="1"/>
  <c r="M1335" i="1"/>
  <c r="I1336" i="1"/>
  <c r="J1336" i="1"/>
  <c r="K1336" i="1"/>
  <c r="L1336" i="1"/>
  <c r="M1336" i="1"/>
  <c r="I1337" i="1"/>
  <c r="J1337" i="1"/>
  <c r="K1337" i="1"/>
  <c r="L1337" i="1"/>
  <c r="M1337" i="1"/>
  <c r="I1338" i="1"/>
  <c r="J1338" i="1"/>
  <c r="K1338" i="1"/>
  <c r="L1338" i="1"/>
  <c r="M1338" i="1"/>
  <c r="I1339" i="1"/>
  <c r="J1339" i="1"/>
  <c r="K1339" i="1"/>
  <c r="L1339" i="1"/>
  <c r="M1339" i="1"/>
  <c r="I1340" i="1"/>
  <c r="J1340" i="1"/>
  <c r="K1340" i="1"/>
  <c r="L1340" i="1"/>
  <c r="M1340" i="1"/>
  <c r="I1341" i="1"/>
  <c r="J1341" i="1"/>
  <c r="K1341" i="1"/>
  <c r="L1341" i="1"/>
  <c r="M1341" i="1"/>
  <c r="I1342" i="1"/>
  <c r="J1342" i="1"/>
  <c r="K1342" i="1"/>
  <c r="L1342" i="1"/>
  <c r="M1342" i="1"/>
  <c r="I1343" i="1"/>
  <c r="J1343" i="1"/>
  <c r="K1343" i="1"/>
  <c r="L1343" i="1"/>
  <c r="M1343" i="1"/>
  <c r="I1344" i="1"/>
  <c r="J1344" i="1"/>
  <c r="K1344" i="1"/>
  <c r="L1344" i="1"/>
  <c r="M1344" i="1"/>
  <c r="I1345" i="1"/>
  <c r="J1345" i="1"/>
  <c r="K1345" i="1"/>
  <c r="L1345" i="1"/>
  <c r="M1345" i="1"/>
  <c r="I1346" i="1"/>
  <c r="J1346" i="1"/>
  <c r="K1346" i="1"/>
  <c r="L1346" i="1"/>
  <c r="M1346" i="1"/>
  <c r="I1347" i="1"/>
  <c r="J1347" i="1"/>
  <c r="K1347" i="1"/>
  <c r="L1347" i="1"/>
  <c r="M1347" i="1"/>
  <c r="I1348" i="1"/>
  <c r="J1348" i="1"/>
  <c r="K1348" i="1"/>
  <c r="L1348" i="1"/>
  <c r="M1348" i="1"/>
  <c r="I1349" i="1"/>
  <c r="J1349" i="1"/>
  <c r="K1349" i="1"/>
  <c r="L1349" i="1"/>
  <c r="M1349" i="1"/>
  <c r="I1350" i="1"/>
  <c r="J1350" i="1"/>
  <c r="K1350" i="1"/>
  <c r="L1350" i="1"/>
  <c r="M1350" i="1"/>
  <c r="I1351" i="1"/>
  <c r="J1351" i="1"/>
  <c r="K1351" i="1"/>
  <c r="L1351" i="1"/>
  <c r="M1351" i="1"/>
  <c r="I1352" i="1"/>
  <c r="J1352" i="1"/>
  <c r="K1352" i="1"/>
  <c r="L1352" i="1"/>
  <c r="M1352" i="1"/>
  <c r="I1353" i="1"/>
  <c r="J1353" i="1"/>
  <c r="K1353" i="1"/>
  <c r="L1353" i="1"/>
  <c r="M1353" i="1"/>
  <c r="I1354" i="1"/>
  <c r="J1354" i="1"/>
  <c r="K1354" i="1"/>
  <c r="L1354" i="1"/>
  <c r="M1354" i="1"/>
  <c r="I1355" i="1"/>
  <c r="J1355" i="1"/>
  <c r="K1355" i="1"/>
  <c r="L1355" i="1"/>
  <c r="M1355" i="1"/>
  <c r="I1356" i="1"/>
  <c r="J1356" i="1"/>
  <c r="K1356" i="1"/>
  <c r="L1356" i="1"/>
  <c r="M1356" i="1"/>
  <c r="I1357" i="1"/>
  <c r="J1357" i="1"/>
  <c r="K1357" i="1"/>
  <c r="L1357" i="1"/>
  <c r="M1357" i="1"/>
  <c r="I1358" i="1"/>
  <c r="J1358" i="1"/>
  <c r="K1358" i="1"/>
  <c r="L1358" i="1"/>
  <c r="M1358" i="1"/>
  <c r="I1359" i="1"/>
  <c r="J1359" i="1"/>
  <c r="K1359" i="1"/>
  <c r="L1359" i="1"/>
  <c r="M1359" i="1"/>
  <c r="I1360" i="1"/>
  <c r="J1360" i="1"/>
  <c r="K1360" i="1"/>
  <c r="L1360" i="1"/>
  <c r="M1360" i="1"/>
  <c r="I1361" i="1"/>
  <c r="J1361" i="1"/>
  <c r="K1361" i="1"/>
  <c r="L1361" i="1"/>
  <c r="M1361" i="1"/>
  <c r="I1362" i="1"/>
  <c r="J1362" i="1"/>
  <c r="K1362" i="1"/>
  <c r="L1362" i="1"/>
  <c r="M1362" i="1"/>
  <c r="I1363" i="1"/>
  <c r="J1363" i="1"/>
  <c r="K1363" i="1"/>
  <c r="L1363" i="1"/>
  <c r="M1363" i="1"/>
  <c r="I1364" i="1"/>
  <c r="J1364" i="1"/>
  <c r="K1364" i="1"/>
  <c r="L1364" i="1"/>
  <c r="M1364" i="1"/>
  <c r="I1365" i="1"/>
  <c r="J1365" i="1"/>
  <c r="K1365" i="1"/>
  <c r="L1365" i="1"/>
  <c r="M1365" i="1"/>
  <c r="I1366" i="1"/>
  <c r="J1366" i="1"/>
  <c r="K1366" i="1"/>
  <c r="L1366" i="1"/>
  <c r="M1366" i="1"/>
  <c r="I1367" i="1"/>
  <c r="J1367" i="1"/>
  <c r="K1367" i="1"/>
  <c r="L1367" i="1"/>
  <c r="M1367" i="1"/>
  <c r="I1368" i="1"/>
  <c r="J1368" i="1"/>
  <c r="K1368" i="1"/>
  <c r="L1368" i="1"/>
  <c r="M1368" i="1"/>
  <c r="I1369" i="1"/>
  <c r="J1369" i="1"/>
  <c r="K1369" i="1"/>
  <c r="L1369" i="1"/>
  <c r="M1369" i="1"/>
  <c r="I1370" i="1"/>
  <c r="J1370" i="1"/>
  <c r="K1370" i="1"/>
  <c r="L1370" i="1"/>
  <c r="M1370" i="1"/>
  <c r="I1371" i="1"/>
  <c r="J1371" i="1"/>
  <c r="K1371" i="1"/>
  <c r="L1371" i="1"/>
  <c r="M1371" i="1"/>
  <c r="I1372" i="1"/>
  <c r="J1372" i="1"/>
  <c r="K1372" i="1"/>
  <c r="L1372" i="1"/>
  <c r="M1372" i="1"/>
  <c r="I1373" i="1"/>
  <c r="J1373" i="1"/>
  <c r="K1373" i="1"/>
  <c r="L1373" i="1"/>
  <c r="M1373" i="1"/>
  <c r="I1374" i="1"/>
  <c r="J1374" i="1"/>
  <c r="K1374" i="1"/>
  <c r="L1374" i="1"/>
  <c r="M1374" i="1"/>
  <c r="I1375" i="1"/>
  <c r="J1375" i="1"/>
  <c r="K1375" i="1"/>
  <c r="L1375" i="1"/>
  <c r="M1375" i="1"/>
  <c r="I1376" i="1"/>
  <c r="J1376" i="1"/>
  <c r="K1376" i="1"/>
  <c r="L1376" i="1"/>
  <c r="M1376" i="1"/>
  <c r="I1377" i="1"/>
  <c r="J1377" i="1"/>
  <c r="K1377" i="1"/>
  <c r="L1377" i="1"/>
  <c r="M1377" i="1"/>
  <c r="I1378" i="1"/>
  <c r="J1378" i="1"/>
  <c r="K1378" i="1"/>
  <c r="L1378" i="1"/>
  <c r="M1378" i="1"/>
  <c r="I1379" i="1"/>
  <c r="J1379" i="1"/>
  <c r="K1379" i="1"/>
  <c r="L1379" i="1"/>
  <c r="M1379" i="1"/>
  <c r="I1380" i="1"/>
  <c r="J1380" i="1"/>
  <c r="K1380" i="1"/>
  <c r="L1380" i="1"/>
  <c r="M1380" i="1"/>
  <c r="I1381" i="1"/>
  <c r="J1381" i="1"/>
  <c r="K1381" i="1"/>
  <c r="L1381" i="1"/>
  <c r="M1381" i="1"/>
  <c r="I1382" i="1"/>
  <c r="J1382" i="1"/>
  <c r="K1382" i="1"/>
  <c r="L1382" i="1"/>
  <c r="M1382" i="1"/>
  <c r="I1383" i="1"/>
  <c r="J1383" i="1"/>
  <c r="K1383" i="1"/>
  <c r="L1383" i="1"/>
  <c r="M1383" i="1"/>
  <c r="I1384" i="1"/>
  <c r="J1384" i="1"/>
  <c r="K1384" i="1"/>
  <c r="L1384" i="1"/>
  <c r="M1384" i="1"/>
  <c r="I1385" i="1"/>
  <c r="J1385" i="1"/>
  <c r="K1385" i="1"/>
  <c r="L1385" i="1"/>
  <c r="M1385" i="1"/>
  <c r="I1386" i="1"/>
  <c r="J1386" i="1"/>
  <c r="K1386" i="1"/>
  <c r="L1386" i="1"/>
  <c r="M1386" i="1"/>
  <c r="I1387" i="1"/>
  <c r="J1387" i="1"/>
  <c r="K1387" i="1"/>
  <c r="L1387" i="1"/>
  <c r="M1387" i="1"/>
  <c r="I1388" i="1"/>
  <c r="J1388" i="1"/>
  <c r="K1388" i="1"/>
  <c r="L1388" i="1"/>
  <c r="M1388" i="1"/>
  <c r="I1389" i="1"/>
  <c r="J1389" i="1"/>
  <c r="K1389" i="1"/>
  <c r="L1389" i="1"/>
  <c r="M1389" i="1"/>
  <c r="I1390" i="1"/>
  <c r="J1390" i="1"/>
  <c r="K1390" i="1"/>
  <c r="L1390" i="1"/>
  <c r="M1390" i="1"/>
  <c r="I1391" i="1"/>
  <c r="J1391" i="1"/>
  <c r="K1391" i="1"/>
  <c r="L1391" i="1"/>
  <c r="M1391" i="1"/>
  <c r="I1392" i="1"/>
  <c r="J1392" i="1"/>
  <c r="K1392" i="1"/>
  <c r="L1392" i="1"/>
  <c r="M1392" i="1"/>
  <c r="I1393" i="1"/>
  <c r="J1393" i="1"/>
  <c r="K1393" i="1"/>
  <c r="L1393" i="1"/>
  <c r="M1393" i="1"/>
  <c r="I1394" i="1"/>
  <c r="J1394" i="1"/>
  <c r="K1394" i="1"/>
  <c r="L1394" i="1"/>
  <c r="M1394" i="1"/>
  <c r="I1395" i="1"/>
  <c r="J1395" i="1"/>
  <c r="K1395" i="1"/>
  <c r="L1395" i="1"/>
  <c r="M1395" i="1"/>
  <c r="I1396" i="1"/>
  <c r="J1396" i="1"/>
  <c r="K1396" i="1"/>
  <c r="L1396" i="1"/>
  <c r="M1396" i="1"/>
  <c r="I1397" i="1"/>
  <c r="J1397" i="1"/>
  <c r="K1397" i="1"/>
  <c r="L1397" i="1"/>
  <c r="M1397" i="1"/>
  <c r="I1398" i="1"/>
  <c r="J1398" i="1"/>
  <c r="K1398" i="1"/>
  <c r="L1398" i="1"/>
  <c r="M1398" i="1"/>
  <c r="I1399" i="1"/>
  <c r="J1399" i="1"/>
  <c r="K1399" i="1"/>
  <c r="L1399" i="1"/>
  <c r="M1399" i="1"/>
  <c r="I1400" i="1"/>
  <c r="J1400" i="1"/>
  <c r="K1400" i="1"/>
  <c r="L1400" i="1"/>
  <c r="M1400" i="1"/>
  <c r="I1401" i="1"/>
  <c r="J1401" i="1"/>
  <c r="K1401" i="1"/>
  <c r="L1401" i="1"/>
  <c r="M1401" i="1"/>
  <c r="I1402" i="1"/>
  <c r="J1402" i="1"/>
  <c r="K1402" i="1"/>
  <c r="L1402" i="1"/>
  <c r="M1402" i="1"/>
  <c r="I1403" i="1"/>
  <c r="J1403" i="1"/>
  <c r="K1403" i="1"/>
  <c r="L1403" i="1"/>
  <c r="M1403" i="1"/>
  <c r="I1404" i="1"/>
  <c r="J1404" i="1"/>
  <c r="K1404" i="1"/>
  <c r="L1404" i="1"/>
  <c r="M1404" i="1"/>
  <c r="I1405" i="1"/>
  <c r="J1405" i="1"/>
  <c r="K1405" i="1"/>
  <c r="L1405" i="1"/>
  <c r="M1405" i="1"/>
  <c r="I1406" i="1"/>
  <c r="J1406" i="1"/>
  <c r="K1406" i="1"/>
  <c r="L1406" i="1"/>
  <c r="M1406" i="1"/>
  <c r="I1407" i="1"/>
  <c r="J1407" i="1"/>
  <c r="K1407" i="1"/>
  <c r="L1407" i="1"/>
  <c r="M1407" i="1"/>
  <c r="I1408" i="1"/>
  <c r="J1408" i="1"/>
  <c r="K1408" i="1"/>
  <c r="L1408" i="1"/>
  <c r="M1408" i="1"/>
  <c r="I1409" i="1"/>
  <c r="J1409" i="1"/>
  <c r="K1409" i="1"/>
  <c r="L1409" i="1"/>
  <c r="M1409" i="1"/>
  <c r="I1410" i="1"/>
  <c r="J1410" i="1"/>
  <c r="K1410" i="1"/>
  <c r="L1410" i="1"/>
  <c r="M1410" i="1"/>
  <c r="I1411" i="1"/>
  <c r="J1411" i="1"/>
  <c r="K1411" i="1"/>
  <c r="L1411" i="1"/>
  <c r="M1411" i="1"/>
  <c r="I1412" i="1"/>
  <c r="J1412" i="1"/>
  <c r="K1412" i="1"/>
  <c r="L1412" i="1"/>
  <c r="M1412" i="1"/>
  <c r="I1413" i="1"/>
  <c r="J1413" i="1"/>
  <c r="K1413" i="1"/>
  <c r="L1413" i="1"/>
  <c r="M1413" i="1"/>
  <c r="I1414" i="1"/>
  <c r="J1414" i="1"/>
  <c r="K1414" i="1"/>
  <c r="L1414" i="1"/>
  <c r="M1414" i="1"/>
  <c r="I1415" i="1"/>
  <c r="J1415" i="1"/>
  <c r="K1415" i="1"/>
  <c r="L1415" i="1"/>
  <c r="M1415" i="1"/>
  <c r="I1416" i="1"/>
  <c r="J1416" i="1"/>
  <c r="K1416" i="1"/>
  <c r="L1416" i="1"/>
  <c r="M1416" i="1"/>
  <c r="I1417" i="1"/>
  <c r="J1417" i="1"/>
  <c r="K1417" i="1"/>
  <c r="L1417" i="1"/>
  <c r="M1417" i="1"/>
  <c r="I1418" i="1"/>
  <c r="J1418" i="1"/>
  <c r="K1418" i="1"/>
  <c r="L1418" i="1"/>
  <c r="M1418" i="1"/>
  <c r="I1419" i="1"/>
  <c r="J1419" i="1"/>
  <c r="K1419" i="1"/>
  <c r="L1419" i="1"/>
  <c r="M1419" i="1"/>
  <c r="I1420" i="1"/>
  <c r="J1420" i="1"/>
  <c r="K1420" i="1"/>
  <c r="L1420" i="1"/>
  <c r="M1420" i="1"/>
  <c r="I1421" i="1"/>
  <c r="J1421" i="1"/>
  <c r="K1421" i="1"/>
  <c r="L1421" i="1"/>
  <c r="M1421" i="1"/>
  <c r="I1422" i="1"/>
  <c r="J1422" i="1"/>
  <c r="K1422" i="1"/>
  <c r="L1422" i="1"/>
  <c r="M1422" i="1"/>
  <c r="I1423" i="1"/>
  <c r="J1423" i="1"/>
  <c r="K1423" i="1"/>
  <c r="L1423" i="1"/>
  <c r="M1423" i="1"/>
  <c r="I1424" i="1"/>
  <c r="J1424" i="1"/>
  <c r="K1424" i="1"/>
  <c r="L1424" i="1"/>
  <c r="M1424" i="1"/>
  <c r="I1425" i="1"/>
  <c r="J1425" i="1"/>
  <c r="K1425" i="1"/>
  <c r="L1425" i="1"/>
  <c r="M1425" i="1"/>
  <c r="I1426" i="1"/>
  <c r="J1426" i="1"/>
  <c r="K1426" i="1"/>
  <c r="L1426" i="1"/>
  <c r="M1426" i="1"/>
  <c r="I1427" i="1"/>
  <c r="J1427" i="1"/>
  <c r="K1427" i="1"/>
  <c r="L1427" i="1"/>
  <c r="M1427" i="1"/>
  <c r="I1428" i="1"/>
  <c r="J1428" i="1"/>
  <c r="K1428" i="1"/>
  <c r="L1428" i="1"/>
  <c r="M1428" i="1"/>
  <c r="I1429" i="1"/>
  <c r="J1429" i="1"/>
  <c r="K1429" i="1"/>
  <c r="L1429" i="1"/>
  <c r="M1429" i="1"/>
  <c r="I1430" i="1"/>
  <c r="J1430" i="1"/>
  <c r="K1430" i="1"/>
  <c r="L1430" i="1"/>
  <c r="M1430" i="1"/>
  <c r="I1431" i="1"/>
  <c r="J1431" i="1"/>
  <c r="K1431" i="1"/>
  <c r="L1431" i="1"/>
  <c r="M1431" i="1"/>
  <c r="I1432" i="1"/>
  <c r="J1432" i="1"/>
  <c r="K1432" i="1"/>
  <c r="L1432" i="1"/>
  <c r="M1432" i="1"/>
  <c r="I1433" i="1"/>
  <c r="J1433" i="1"/>
  <c r="K1433" i="1"/>
  <c r="L1433" i="1"/>
  <c r="M1433" i="1"/>
  <c r="I1434" i="1"/>
  <c r="J1434" i="1"/>
  <c r="K1434" i="1"/>
  <c r="L1434" i="1"/>
  <c r="M1434" i="1"/>
  <c r="I1435" i="1"/>
  <c r="J1435" i="1"/>
  <c r="K1435" i="1"/>
  <c r="L1435" i="1"/>
  <c r="M1435" i="1"/>
  <c r="I1436" i="1"/>
  <c r="J1436" i="1"/>
  <c r="K1436" i="1"/>
  <c r="L1436" i="1"/>
  <c r="M1436" i="1"/>
  <c r="I1437" i="1"/>
  <c r="J1437" i="1"/>
  <c r="K1437" i="1"/>
  <c r="L1437" i="1"/>
  <c r="M1437" i="1"/>
  <c r="I1438" i="1"/>
  <c r="J1438" i="1"/>
  <c r="K1438" i="1"/>
  <c r="L1438" i="1"/>
  <c r="M1438" i="1"/>
  <c r="I1439" i="1"/>
  <c r="J1439" i="1"/>
  <c r="K1439" i="1"/>
  <c r="L1439" i="1"/>
  <c r="M1439" i="1"/>
  <c r="I1440" i="1"/>
  <c r="J1440" i="1"/>
  <c r="K1440" i="1"/>
  <c r="L1440" i="1"/>
  <c r="M1440" i="1"/>
  <c r="I1441" i="1"/>
  <c r="J1441" i="1"/>
  <c r="K1441" i="1"/>
  <c r="L1441" i="1"/>
  <c r="M1441" i="1"/>
  <c r="I1442" i="1"/>
  <c r="J1442" i="1"/>
  <c r="K1442" i="1"/>
  <c r="L1442" i="1"/>
  <c r="M1442" i="1"/>
  <c r="I1443" i="1"/>
  <c r="J1443" i="1"/>
  <c r="K1443" i="1"/>
  <c r="L1443" i="1"/>
  <c r="M1443" i="1"/>
  <c r="I1444" i="1"/>
  <c r="J1444" i="1"/>
  <c r="K1444" i="1"/>
  <c r="L1444" i="1"/>
  <c r="M1444" i="1"/>
  <c r="I1445" i="1"/>
  <c r="J1445" i="1"/>
  <c r="K1445" i="1"/>
  <c r="L1445" i="1"/>
  <c r="M1445" i="1"/>
  <c r="I1446" i="1"/>
  <c r="J1446" i="1"/>
  <c r="K1446" i="1"/>
  <c r="L1446" i="1"/>
  <c r="M1446" i="1"/>
  <c r="I1447" i="1"/>
  <c r="J1447" i="1"/>
  <c r="K1447" i="1"/>
  <c r="L1447" i="1"/>
  <c r="M1447" i="1"/>
  <c r="I1448" i="1"/>
  <c r="J1448" i="1"/>
  <c r="K1448" i="1"/>
  <c r="L1448" i="1"/>
  <c r="M1448" i="1"/>
  <c r="I1449" i="1"/>
  <c r="J1449" i="1"/>
  <c r="K1449" i="1"/>
  <c r="L1449" i="1"/>
  <c r="M1449" i="1"/>
  <c r="I1450" i="1"/>
  <c r="J1450" i="1"/>
  <c r="K1450" i="1"/>
  <c r="L1450" i="1"/>
  <c r="M1450" i="1"/>
  <c r="I1451" i="1"/>
  <c r="J1451" i="1"/>
  <c r="K1451" i="1"/>
  <c r="L1451" i="1"/>
  <c r="M1451" i="1"/>
  <c r="I1452" i="1"/>
  <c r="J1452" i="1"/>
  <c r="K1452" i="1"/>
  <c r="L1452" i="1"/>
  <c r="M1452" i="1"/>
  <c r="I1453" i="1"/>
  <c r="J1453" i="1"/>
  <c r="K1453" i="1"/>
  <c r="L1453" i="1"/>
  <c r="M1453" i="1"/>
  <c r="I1454" i="1"/>
  <c r="J1454" i="1"/>
  <c r="K1454" i="1"/>
  <c r="L1454" i="1"/>
  <c r="M1454" i="1"/>
  <c r="I1455" i="1"/>
  <c r="J1455" i="1"/>
  <c r="K1455" i="1"/>
  <c r="L1455" i="1"/>
  <c r="M1455" i="1"/>
  <c r="I1456" i="1"/>
  <c r="J1456" i="1"/>
  <c r="K1456" i="1"/>
  <c r="L1456" i="1"/>
  <c r="M1456" i="1"/>
  <c r="I1457" i="1"/>
  <c r="J1457" i="1"/>
  <c r="K1457" i="1"/>
  <c r="L1457" i="1"/>
  <c r="M1457" i="1"/>
  <c r="I1458" i="1"/>
  <c r="J1458" i="1"/>
  <c r="K1458" i="1"/>
  <c r="L1458" i="1"/>
  <c r="M1458" i="1"/>
  <c r="I1459" i="1"/>
  <c r="J1459" i="1"/>
  <c r="K1459" i="1"/>
  <c r="L1459" i="1"/>
  <c r="M1459" i="1"/>
  <c r="I1460" i="1"/>
  <c r="J1460" i="1"/>
  <c r="K1460" i="1"/>
  <c r="L1460" i="1"/>
  <c r="M1460" i="1"/>
  <c r="I1461" i="1"/>
  <c r="J1461" i="1"/>
  <c r="K1461" i="1"/>
  <c r="L1461" i="1"/>
  <c r="M1461" i="1"/>
  <c r="I1462" i="1"/>
  <c r="J1462" i="1"/>
  <c r="K1462" i="1"/>
  <c r="L1462" i="1"/>
  <c r="M1462" i="1"/>
  <c r="I1463" i="1"/>
  <c r="J1463" i="1"/>
  <c r="K1463" i="1"/>
  <c r="L1463" i="1"/>
  <c r="M1463" i="1"/>
  <c r="I1464" i="1"/>
  <c r="J1464" i="1"/>
  <c r="K1464" i="1"/>
  <c r="L1464" i="1"/>
  <c r="M1464" i="1"/>
  <c r="I1465" i="1"/>
  <c r="J1465" i="1"/>
  <c r="K1465" i="1"/>
  <c r="L1465" i="1"/>
  <c r="M1465" i="1"/>
  <c r="I1466" i="1"/>
  <c r="J1466" i="1"/>
  <c r="K1466" i="1"/>
  <c r="L1466" i="1"/>
  <c r="M1466" i="1"/>
  <c r="I1467" i="1"/>
  <c r="J1467" i="1"/>
  <c r="K1467" i="1"/>
  <c r="L1467" i="1"/>
  <c r="M1467" i="1"/>
  <c r="I1468" i="1"/>
  <c r="J1468" i="1"/>
  <c r="K1468" i="1"/>
  <c r="L1468" i="1"/>
  <c r="M1468" i="1"/>
  <c r="I1469" i="1"/>
  <c r="J1469" i="1"/>
  <c r="K1469" i="1"/>
  <c r="L1469" i="1"/>
  <c r="M1469" i="1"/>
  <c r="I1470" i="1"/>
  <c r="J1470" i="1"/>
  <c r="K1470" i="1"/>
  <c r="L1470" i="1"/>
  <c r="M1470" i="1"/>
  <c r="I1471" i="1"/>
  <c r="J1471" i="1"/>
  <c r="K1471" i="1"/>
  <c r="L1471" i="1"/>
  <c r="M1471" i="1"/>
  <c r="I1472" i="1"/>
  <c r="J1472" i="1"/>
  <c r="K1472" i="1"/>
  <c r="L1472" i="1"/>
  <c r="M1472" i="1"/>
  <c r="I1473" i="1"/>
  <c r="J1473" i="1"/>
  <c r="K1473" i="1"/>
  <c r="L1473" i="1"/>
  <c r="M1473" i="1"/>
  <c r="I1474" i="1"/>
  <c r="J1474" i="1"/>
  <c r="K1474" i="1"/>
  <c r="L1474" i="1"/>
  <c r="M1474" i="1"/>
  <c r="I1475" i="1"/>
  <c r="J1475" i="1"/>
  <c r="K1475" i="1"/>
  <c r="L1475" i="1"/>
  <c r="M1475" i="1"/>
  <c r="I1476" i="1"/>
  <c r="J1476" i="1"/>
  <c r="K1476" i="1"/>
  <c r="L1476" i="1"/>
  <c r="M1476" i="1"/>
  <c r="I1477" i="1"/>
  <c r="J1477" i="1"/>
  <c r="K1477" i="1"/>
  <c r="L1477" i="1"/>
  <c r="M1477" i="1"/>
  <c r="I1478" i="1"/>
  <c r="J1478" i="1"/>
  <c r="K1478" i="1"/>
  <c r="L1478" i="1"/>
  <c r="M1478" i="1"/>
  <c r="I1479" i="1"/>
  <c r="J1479" i="1"/>
  <c r="K1479" i="1"/>
  <c r="L1479" i="1"/>
  <c r="M1479" i="1"/>
  <c r="I1480" i="1"/>
  <c r="J1480" i="1"/>
  <c r="K1480" i="1"/>
  <c r="L1480" i="1"/>
  <c r="M1480" i="1"/>
  <c r="I1481" i="1"/>
  <c r="J1481" i="1"/>
  <c r="K1481" i="1"/>
  <c r="L1481" i="1"/>
  <c r="M1481" i="1"/>
  <c r="I1482" i="1"/>
  <c r="J1482" i="1"/>
  <c r="K1482" i="1"/>
  <c r="L1482" i="1"/>
  <c r="M1482" i="1"/>
  <c r="I1483" i="1"/>
  <c r="J1483" i="1"/>
  <c r="K1483" i="1"/>
  <c r="L1483" i="1"/>
  <c r="M1483" i="1"/>
  <c r="I1484" i="1"/>
  <c r="J1484" i="1"/>
  <c r="K1484" i="1"/>
  <c r="L1484" i="1"/>
  <c r="M1484" i="1"/>
  <c r="I1485" i="1"/>
  <c r="J1485" i="1"/>
  <c r="K1485" i="1"/>
  <c r="L1485" i="1"/>
  <c r="M1485" i="1"/>
  <c r="I1486" i="1"/>
  <c r="J1486" i="1"/>
  <c r="K1486" i="1"/>
  <c r="L1486" i="1"/>
  <c r="M1486" i="1"/>
  <c r="I1487" i="1"/>
  <c r="J1487" i="1"/>
  <c r="K1487" i="1"/>
  <c r="L1487" i="1"/>
  <c r="M1487" i="1"/>
  <c r="I1488" i="1"/>
  <c r="J1488" i="1"/>
  <c r="K1488" i="1"/>
  <c r="L1488" i="1"/>
  <c r="M1488" i="1"/>
  <c r="I1489" i="1"/>
  <c r="J1489" i="1"/>
  <c r="K1489" i="1"/>
  <c r="L1489" i="1"/>
  <c r="M1489" i="1"/>
  <c r="I1490" i="1"/>
  <c r="J1490" i="1"/>
  <c r="K1490" i="1"/>
  <c r="L1490" i="1"/>
  <c r="M1490" i="1"/>
  <c r="I1491" i="1"/>
  <c r="J1491" i="1"/>
  <c r="K1491" i="1"/>
  <c r="L1491" i="1"/>
  <c r="M1491" i="1"/>
  <c r="I1492" i="1"/>
  <c r="J1492" i="1"/>
  <c r="K1492" i="1"/>
  <c r="L1492" i="1"/>
  <c r="M1492" i="1"/>
  <c r="I1493" i="1"/>
  <c r="J1493" i="1"/>
  <c r="K1493" i="1"/>
  <c r="L1493" i="1"/>
  <c r="M1493" i="1"/>
  <c r="I1494" i="1"/>
  <c r="J1494" i="1"/>
  <c r="K1494" i="1"/>
  <c r="L1494" i="1"/>
  <c r="M1494" i="1"/>
  <c r="I1495" i="1"/>
  <c r="J1495" i="1"/>
  <c r="K1495" i="1"/>
  <c r="L1495" i="1"/>
  <c r="M1495" i="1"/>
  <c r="I1496" i="1"/>
  <c r="J1496" i="1"/>
  <c r="K1496" i="1"/>
  <c r="L1496" i="1"/>
  <c r="M1496" i="1"/>
  <c r="I1497" i="1"/>
  <c r="J1497" i="1"/>
  <c r="K1497" i="1"/>
  <c r="L1497" i="1"/>
  <c r="M1497" i="1"/>
  <c r="I1498" i="1"/>
  <c r="J1498" i="1"/>
  <c r="K1498" i="1"/>
  <c r="L1498" i="1"/>
  <c r="M1498" i="1"/>
  <c r="I1499" i="1"/>
  <c r="J1499" i="1"/>
  <c r="K1499" i="1"/>
  <c r="L1499" i="1"/>
  <c r="M1499" i="1"/>
  <c r="I1500" i="1"/>
  <c r="J1500" i="1"/>
  <c r="K1500" i="1"/>
  <c r="L1500" i="1"/>
  <c r="M1500" i="1"/>
  <c r="I1501" i="1"/>
  <c r="J1501" i="1"/>
  <c r="K1501" i="1"/>
  <c r="L1501" i="1"/>
  <c r="M1501" i="1"/>
  <c r="I1502" i="1"/>
  <c r="J1502" i="1"/>
  <c r="K1502" i="1"/>
  <c r="L1502" i="1"/>
  <c r="M1502" i="1"/>
  <c r="I1503" i="1"/>
  <c r="J1503" i="1"/>
  <c r="K1503" i="1"/>
  <c r="L1503" i="1"/>
  <c r="M1503" i="1"/>
  <c r="I1504" i="1"/>
  <c r="J1504" i="1"/>
  <c r="K1504" i="1"/>
  <c r="L1504" i="1"/>
  <c r="M1504" i="1"/>
  <c r="I1505" i="1"/>
  <c r="J1505" i="1"/>
  <c r="K1505" i="1"/>
  <c r="L1505" i="1"/>
  <c r="M1505" i="1"/>
  <c r="I1506" i="1"/>
  <c r="J1506" i="1"/>
  <c r="K1506" i="1"/>
  <c r="L1506" i="1"/>
  <c r="M1506" i="1"/>
  <c r="I1507" i="1"/>
  <c r="J1507" i="1"/>
  <c r="K1507" i="1"/>
  <c r="L1507" i="1"/>
  <c r="M1507" i="1"/>
  <c r="I1508" i="1"/>
  <c r="J1508" i="1"/>
  <c r="K1508" i="1"/>
  <c r="L1508" i="1"/>
  <c r="M1508" i="1"/>
  <c r="I1509" i="1"/>
  <c r="J1509" i="1"/>
  <c r="K1509" i="1"/>
  <c r="L1509" i="1"/>
  <c r="M1509" i="1"/>
  <c r="I1510" i="1"/>
  <c r="J1510" i="1"/>
  <c r="K1510" i="1"/>
  <c r="L1510" i="1"/>
  <c r="M1510" i="1"/>
  <c r="I1511" i="1"/>
  <c r="J1511" i="1"/>
  <c r="K1511" i="1"/>
  <c r="L1511" i="1"/>
  <c r="M1511" i="1"/>
  <c r="I1512" i="1"/>
  <c r="J1512" i="1"/>
  <c r="K1512" i="1"/>
  <c r="L1512" i="1"/>
  <c r="M1512" i="1"/>
  <c r="I1513" i="1"/>
  <c r="J1513" i="1"/>
  <c r="K1513" i="1"/>
  <c r="L1513" i="1"/>
  <c r="M1513" i="1"/>
  <c r="I1514" i="1"/>
  <c r="J1514" i="1"/>
  <c r="K1514" i="1"/>
  <c r="L1514" i="1"/>
  <c r="M1514" i="1"/>
  <c r="I1515" i="1"/>
  <c r="J1515" i="1"/>
  <c r="K1515" i="1"/>
  <c r="L1515" i="1"/>
  <c r="M1515" i="1"/>
  <c r="I1516" i="1"/>
  <c r="J1516" i="1"/>
  <c r="K1516" i="1"/>
  <c r="L1516" i="1"/>
  <c r="M1516" i="1"/>
  <c r="I1517" i="1"/>
  <c r="J1517" i="1"/>
  <c r="K1517" i="1"/>
  <c r="L1517" i="1"/>
  <c r="M1517" i="1"/>
  <c r="I1518" i="1"/>
  <c r="J1518" i="1"/>
  <c r="K1518" i="1"/>
  <c r="L1518" i="1"/>
  <c r="M1518" i="1"/>
  <c r="I1519" i="1"/>
  <c r="J1519" i="1"/>
  <c r="K1519" i="1"/>
  <c r="L1519" i="1"/>
  <c r="M1519" i="1"/>
  <c r="I1520" i="1"/>
  <c r="J1520" i="1"/>
  <c r="K1520" i="1"/>
  <c r="L1520" i="1"/>
  <c r="M1520" i="1"/>
  <c r="I1521" i="1"/>
  <c r="J1521" i="1"/>
  <c r="K1521" i="1"/>
  <c r="L1521" i="1"/>
  <c r="M1521" i="1"/>
  <c r="I1522" i="1"/>
  <c r="J1522" i="1"/>
  <c r="K1522" i="1"/>
  <c r="L1522" i="1"/>
  <c r="M1522" i="1"/>
  <c r="I1523" i="1"/>
  <c r="J1523" i="1"/>
  <c r="K1523" i="1"/>
  <c r="L1523" i="1"/>
  <c r="M1523" i="1"/>
  <c r="I1524" i="1"/>
  <c r="J1524" i="1"/>
  <c r="K1524" i="1"/>
  <c r="L1524" i="1"/>
  <c r="M1524" i="1"/>
  <c r="I1525" i="1"/>
  <c r="J1525" i="1"/>
  <c r="K1525" i="1"/>
  <c r="L1525" i="1"/>
  <c r="M1525" i="1"/>
  <c r="I1526" i="1"/>
  <c r="J1526" i="1"/>
  <c r="K1526" i="1"/>
  <c r="L1526" i="1"/>
  <c r="M1526" i="1"/>
  <c r="I1527" i="1"/>
  <c r="J1527" i="1"/>
  <c r="K1527" i="1"/>
  <c r="L1527" i="1"/>
  <c r="M1527" i="1"/>
  <c r="I1528" i="1"/>
  <c r="J1528" i="1"/>
  <c r="K1528" i="1"/>
  <c r="L1528" i="1"/>
  <c r="M1528" i="1"/>
  <c r="I1529" i="1"/>
  <c r="J1529" i="1"/>
  <c r="K1529" i="1"/>
  <c r="L1529" i="1"/>
  <c r="M1529" i="1"/>
  <c r="I1530" i="1"/>
  <c r="J1530" i="1"/>
  <c r="K1530" i="1"/>
  <c r="L1530" i="1"/>
  <c r="M1530" i="1"/>
  <c r="I1531" i="1"/>
  <c r="J1531" i="1"/>
  <c r="K1531" i="1"/>
  <c r="L1531" i="1"/>
  <c r="M1531" i="1"/>
  <c r="I1532" i="1"/>
  <c r="J1532" i="1"/>
  <c r="K1532" i="1"/>
  <c r="L1532" i="1"/>
  <c r="M1532" i="1"/>
  <c r="I1533" i="1"/>
  <c r="J1533" i="1"/>
  <c r="K1533" i="1"/>
  <c r="L1533" i="1"/>
  <c r="M1533" i="1"/>
  <c r="I1534" i="1"/>
  <c r="J1534" i="1"/>
  <c r="K1534" i="1"/>
  <c r="L1534" i="1"/>
  <c r="M1534" i="1"/>
  <c r="I1535" i="1"/>
  <c r="J1535" i="1"/>
  <c r="K1535" i="1"/>
  <c r="L1535" i="1"/>
  <c r="M1535" i="1"/>
  <c r="I1536" i="1"/>
  <c r="J1536" i="1"/>
  <c r="K1536" i="1"/>
  <c r="L1536" i="1"/>
  <c r="M1536" i="1"/>
  <c r="I1537" i="1"/>
  <c r="J1537" i="1"/>
  <c r="K1537" i="1"/>
  <c r="L1537" i="1"/>
  <c r="M1537" i="1"/>
  <c r="I1538" i="1"/>
  <c r="J1538" i="1"/>
  <c r="K1538" i="1"/>
  <c r="L1538" i="1"/>
  <c r="M1538" i="1"/>
  <c r="I1539" i="1"/>
  <c r="J1539" i="1"/>
  <c r="K1539" i="1"/>
  <c r="L1539" i="1"/>
  <c r="M1539" i="1"/>
  <c r="I1540" i="1"/>
  <c r="J1540" i="1"/>
  <c r="K1540" i="1"/>
  <c r="L1540" i="1"/>
  <c r="M1540" i="1"/>
  <c r="I1541" i="1"/>
  <c r="J1541" i="1"/>
  <c r="K1541" i="1"/>
  <c r="L1541" i="1"/>
  <c r="M1541" i="1"/>
  <c r="I1542" i="1"/>
  <c r="J1542" i="1"/>
  <c r="K1542" i="1"/>
  <c r="L1542" i="1"/>
  <c r="M1542" i="1"/>
  <c r="I1543" i="1"/>
  <c r="J1543" i="1"/>
  <c r="K1543" i="1"/>
  <c r="L1543" i="1"/>
  <c r="M1543" i="1"/>
  <c r="I1544" i="1"/>
  <c r="J1544" i="1"/>
  <c r="K1544" i="1"/>
  <c r="L1544" i="1"/>
  <c r="M1544" i="1"/>
  <c r="I1545" i="1"/>
  <c r="J1545" i="1"/>
  <c r="K1545" i="1"/>
  <c r="L1545" i="1"/>
  <c r="M1545" i="1"/>
  <c r="I1546" i="1"/>
  <c r="J1546" i="1"/>
  <c r="K1546" i="1"/>
  <c r="L1546" i="1"/>
  <c r="M1546" i="1"/>
  <c r="I1547" i="1"/>
  <c r="J1547" i="1"/>
  <c r="K1547" i="1"/>
  <c r="L1547" i="1"/>
  <c r="M1547" i="1"/>
  <c r="I1548" i="1"/>
  <c r="J1548" i="1"/>
  <c r="K1548" i="1"/>
  <c r="L1548" i="1"/>
  <c r="M1548" i="1"/>
  <c r="I1549" i="1"/>
  <c r="J1549" i="1"/>
  <c r="K1549" i="1"/>
  <c r="L1549" i="1"/>
  <c r="M1549" i="1"/>
  <c r="I1550" i="1"/>
  <c r="J1550" i="1"/>
  <c r="K1550" i="1"/>
  <c r="L1550" i="1"/>
  <c r="M1550" i="1"/>
  <c r="I1551" i="1"/>
  <c r="J1551" i="1"/>
  <c r="K1551" i="1"/>
  <c r="L1551" i="1"/>
  <c r="M1551" i="1"/>
  <c r="I1552" i="1"/>
  <c r="J1552" i="1"/>
  <c r="K1552" i="1"/>
  <c r="L1552" i="1"/>
  <c r="M1552" i="1"/>
  <c r="I1553" i="1"/>
  <c r="J1553" i="1"/>
  <c r="K1553" i="1"/>
  <c r="L1553" i="1"/>
  <c r="M1553" i="1"/>
  <c r="I1554" i="1"/>
  <c r="J1554" i="1"/>
  <c r="K1554" i="1"/>
  <c r="L1554" i="1"/>
  <c r="M1554" i="1"/>
  <c r="I1555" i="1"/>
  <c r="J1555" i="1"/>
  <c r="K1555" i="1"/>
  <c r="L1555" i="1"/>
  <c r="M1555" i="1"/>
  <c r="I1556" i="1"/>
  <c r="J1556" i="1"/>
  <c r="K1556" i="1"/>
  <c r="L1556" i="1"/>
  <c r="M1556" i="1"/>
  <c r="I1557" i="1"/>
  <c r="J1557" i="1"/>
  <c r="K1557" i="1"/>
  <c r="L1557" i="1"/>
  <c r="M1557" i="1"/>
  <c r="I1558" i="1"/>
  <c r="J1558" i="1"/>
  <c r="K1558" i="1"/>
  <c r="L1558" i="1"/>
  <c r="M1558" i="1"/>
  <c r="I1559" i="1"/>
  <c r="J1559" i="1"/>
  <c r="K1559" i="1"/>
  <c r="L1559" i="1"/>
  <c r="M1559" i="1"/>
  <c r="I1560" i="1"/>
  <c r="J1560" i="1"/>
  <c r="K1560" i="1"/>
  <c r="L1560" i="1"/>
  <c r="M1560" i="1"/>
  <c r="I1561" i="1"/>
  <c r="J1561" i="1"/>
  <c r="K1561" i="1"/>
  <c r="L1561" i="1"/>
  <c r="M1561" i="1"/>
  <c r="I1562" i="1"/>
  <c r="J1562" i="1"/>
  <c r="K1562" i="1"/>
  <c r="L1562" i="1"/>
  <c r="M1562" i="1"/>
  <c r="I1563" i="1"/>
  <c r="J1563" i="1"/>
  <c r="K1563" i="1"/>
  <c r="L1563" i="1"/>
  <c r="M1563" i="1"/>
  <c r="J3" i="1"/>
  <c r="K3" i="1"/>
  <c r="L3" i="1"/>
  <c r="M3" i="1"/>
  <c r="I3" i="1"/>
  <c r="I2" i="1" a="1"/>
  <c r="I2" i="1" s="1"/>
  <c r="AL9" i="1" l="1"/>
  <c r="Q6" i="1"/>
  <c r="AN9" i="1"/>
  <c r="AM9" i="1"/>
  <c r="S11" i="1"/>
  <c r="R10" i="1"/>
  <c r="Q2" i="1" a="1"/>
  <c r="Q3" i="1"/>
  <c r="Q9" i="1"/>
  <c r="Q4" i="1"/>
  <c r="Q5" i="1" s="1"/>
  <c r="AK9" i="1"/>
  <c r="T12" i="1"/>
  <c r="U13" i="1"/>
  <c r="AJ9" i="1" l="1"/>
  <c r="AJ3" i="1" a="1"/>
  <c r="AJ3" i="1" s="1"/>
  <c r="AE20" i="1" a="1"/>
  <c r="AE20" i="1" s="1"/>
  <c r="AE17" i="1" a="1"/>
  <c r="AE17" i="1" s="1"/>
  <c r="AF17" i="1" a="1"/>
  <c r="AF17" i="1" s="1"/>
  <c r="AF20" i="1" a="1"/>
  <c r="AF20" i="1" s="1"/>
  <c r="AE13" i="1" a="1"/>
  <c r="AE13" i="1" s="1"/>
  <c r="Q2" i="1"/>
  <c r="Q23" i="1" s="1" a="1"/>
  <c r="Q24" i="1" s="1" a="1"/>
  <c r="AG17" i="1" l="1"/>
  <c r="AG20" i="1"/>
  <c r="AJ11" i="1" a="1"/>
  <c r="Y12" i="1" a="1"/>
  <c r="Q24" i="1"/>
  <c r="Z24" i="1" s="1" a="1"/>
  <c r="Z24" i="1" s="1"/>
  <c r="Q23" i="1"/>
  <c r="AE23" i="1" s="1" a="1"/>
  <c r="AE24" i="1" a="1"/>
  <c r="AB24" i="1" l="1" a="1"/>
  <c r="AB24" i="1" s="1"/>
  <c r="AJ11" i="1"/>
  <c r="AJ13" i="1" s="1"/>
  <c r="Y12" i="1"/>
  <c r="Y16" i="1" a="1"/>
  <c r="AE23" i="1"/>
  <c r="X24" i="1" a="1"/>
  <c r="X24" i="1" s="1"/>
  <c r="AE25" i="1" a="1"/>
  <c r="Q25" i="1" a="1"/>
  <c r="AE24" i="1"/>
  <c r="AM23" i="1" s="1" a="1"/>
  <c r="AM23" i="1" s="1"/>
  <c r="AN13" i="1" l="1"/>
  <c r="N1160" i="1"/>
  <c r="N1006" i="1"/>
  <c r="N417" i="1"/>
  <c r="N1468" i="1"/>
  <c r="N249" i="1"/>
  <c r="N1453" i="1"/>
  <c r="AL13" i="1"/>
  <c r="AM13" i="1"/>
  <c r="AK13" i="1"/>
  <c r="N836" i="1" s="1"/>
  <c r="Y16" i="1"/>
  <c r="Y19" i="1" a="1"/>
  <c r="AD13" i="1"/>
  <c r="AK24" i="1" a="1"/>
  <c r="AK24" i="1" s="1"/>
  <c r="AL24" i="1" s="1"/>
  <c r="AA24" i="1"/>
  <c r="Y24" i="1"/>
  <c r="AE26" i="1" a="1"/>
  <c r="Q26" i="1" a="1"/>
  <c r="Q25" i="1"/>
  <c r="AA25" i="1" s="1"/>
  <c r="AE25" i="1"/>
  <c r="AK25" i="1" s="1" a="1"/>
  <c r="AK25" i="1" s="1"/>
  <c r="AL25" i="1" s="1"/>
  <c r="AB25" i="1" l="1" a="1"/>
  <c r="AB25" i="1" s="1"/>
  <c r="N1147" i="1"/>
  <c r="N309" i="1"/>
  <c r="N1400" i="1"/>
  <c r="N1515" i="1"/>
  <c r="N741" i="1"/>
  <c r="N1086" i="1"/>
  <c r="N1338" i="1"/>
  <c r="N1328" i="1"/>
  <c r="N1445" i="1"/>
  <c r="N1326" i="1"/>
  <c r="N1451" i="1"/>
  <c r="N293" i="1"/>
  <c r="N882" i="1"/>
  <c r="N926" i="1"/>
  <c r="N1380" i="1"/>
  <c r="N121" i="1"/>
  <c r="N1264" i="1"/>
  <c r="N1180" i="1"/>
  <c r="N1450" i="1"/>
  <c r="N1449" i="1"/>
  <c r="N310" i="1"/>
  <c r="N1514" i="1"/>
  <c r="N1053" i="1"/>
  <c r="N191" i="1"/>
  <c r="N1107" i="1"/>
  <c r="N1234" i="1"/>
  <c r="N1379" i="1"/>
  <c r="N1232" i="1"/>
  <c r="N584" i="1"/>
  <c r="N1253" i="1"/>
  <c r="N1437" i="1"/>
  <c r="N1307" i="1"/>
  <c r="N427" i="1"/>
  <c r="N1493" i="1"/>
  <c r="N1033" i="1"/>
  <c r="N1161" i="1"/>
  <c r="N1306" i="1"/>
  <c r="N1536" i="1"/>
  <c r="N419" i="1"/>
  <c r="N52" i="1"/>
  <c r="N366" i="1"/>
  <c r="N601" i="1"/>
  <c r="N818" i="1"/>
  <c r="N1088" i="1"/>
  <c r="N1233" i="1"/>
  <c r="N66" i="1"/>
  <c r="N130" i="1"/>
  <c r="N194" i="1"/>
  <c r="N258" i="1"/>
  <c r="N322" i="1"/>
  <c r="N386" i="1"/>
  <c r="N450" i="1"/>
  <c r="N514" i="1"/>
  <c r="N578" i="1"/>
  <c r="N642" i="1"/>
  <c r="N56" i="1"/>
  <c r="N129" i="1"/>
  <c r="N203" i="1"/>
  <c r="N276" i="1"/>
  <c r="N349" i="1"/>
  <c r="N422" i="1"/>
  <c r="N495" i="1"/>
  <c r="N568" i="1"/>
  <c r="N641" i="1"/>
  <c r="N708" i="1"/>
  <c r="N59" i="1"/>
  <c r="N132" i="1"/>
  <c r="N205" i="1"/>
  <c r="N278" i="1"/>
  <c r="N351" i="1"/>
  <c r="N424" i="1"/>
  <c r="N497" i="1"/>
  <c r="N571" i="1"/>
  <c r="N644" i="1"/>
  <c r="N710" i="1"/>
  <c r="N60" i="1"/>
  <c r="N133" i="1"/>
  <c r="N206" i="1"/>
  <c r="N279" i="1"/>
  <c r="N352" i="1"/>
  <c r="N425" i="1"/>
  <c r="N499" i="1"/>
  <c r="N572" i="1"/>
  <c r="N645" i="1"/>
  <c r="N711" i="1"/>
  <c r="N775" i="1"/>
  <c r="N839" i="1"/>
  <c r="N903" i="1"/>
  <c r="N967" i="1"/>
  <c r="N1031" i="1"/>
  <c r="N1095" i="1"/>
  <c r="N1159" i="1"/>
  <c r="N1223" i="1"/>
  <c r="N1287" i="1"/>
  <c r="N1351" i="1"/>
  <c r="N1415" i="1"/>
  <c r="N81" i="1"/>
  <c r="N199" i="1"/>
  <c r="N317" i="1"/>
  <c r="N432" i="1"/>
  <c r="N549" i="1"/>
  <c r="N666" i="1"/>
  <c r="N755" i="1"/>
  <c r="N828" i="1"/>
  <c r="N901" i="1"/>
  <c r="N974" i="1"/>
  <c r="N54" i="1"/>
  <c r="N172" i="1"/>
  <c r="N289" i="1"/>
  <c r="N405" i="1"/>
  <c r="N521" i="1"/>
  <c r="N639" i="1"/>
  <c r="N738" i="1"/>
  <c r="N811" i="1"/>
  <c r="N884" i="1"/>
  <c r="N957" i="1"/>
  <c r="N1030" i="1"/>
  <c r="N100" i="1"/>
  <c r="N217" i="1"/>
  <c r="N335" i="1"/>
  <c r="N451" i="1"/>
  <c r="N567" i="1"/>
  <c r="N682" i="1"/>
  <c r="N766" i="1"/>
  <c r="N840" i="1"/>
  <c r="N913" i="1"/>
  <c r="N986" i="1"/>
  <c r="N10" i="1"/>
  <c r="N74" i="1"/>
  <c r="N138" i="1"/>
  <c r="N202" i="1"/>
  <c r="N266" i="1"/>
  <c r="N330" i="1"/>
  <c r="N394" i="1"/>
  <c r="N458" i="1"/>
  <c r="N522" i="1"/>
  <c r="N586" i="1"/>
  <c r="N650" i="1"/>
  <c r="N65" i="1"/>
  <c r="N139" i="1"/>
  <c r="N212" i="1"/>
  <c r="N285" i="1"/>
  <c r="N358" i="1"/>
  <c r="N431" i="1"/>
  <c r="N504" i="1"/>
  <c r="N577" i="1"/>
  <c r="N651" i="1"/>
  <c r="N716" i="1"/>
  <c r="N68" i="1"/>
  <c r="N141" i="1"/>
  <c r="N214" i="1"/>
  <c r="N287" i="1"/>
  <c r="N360" i="1"/>
  <c r="N433" i="1"/>
  <c r="N507" i="1"/>
  <c r="N580" i="1"/>
  <c r="N653" i="1"/>
  <c r="N718" i="1"/>
  <c r="N69" i="1"/>
  <c r="N142" i="1"/>
  <c r="N215" i="1"/>
  <c r="N288" i="1"/>
  <c r="N361" i="1"/>
  <c r="N435" i="1"/>
  <c r="N508" i="1"/>
  <c r="N581" i="1"/>
  <c r="N654" i="1"/>
  <c r="N719" i="1"/>
  <c r="N783" i="1"/>
  <c r="N847" i="1"/>
  <c r="N911" i="1"/>
  <c r="N975" i="1"/>
  <c r="N1039" i="1"/>
  <c r="N1103" i="1"/>
  <c r="N1167" i="1"/>
  <c r="N1231" i="1"/>
  <c r="N1295" i="1"/>
  <c r="N1359" i="1"/>
  <c r="N1423" i="1"/>
  <c r="N97" i="1"/>
  <c r="N213" i="1"/>
  <c r="N329" i="1"/>
  <c r="N447" i="1"/>
  <c r="N565" i="1"/>
  <c r="N680" i="1"/>
  <c r="N764" i="1"/>
  <c r="N837" i="1"/>
  <c r="N910" i="1"/>
  <c r="N984" i="1"/>
  <c r="N70" i="1"/>
  <c r="N185" i="1"/>
  <c r="N302" i="1"/>
  <c r="N420" i="1"/>
  <c r="N537" i="1"/>
  <c r="N655" i="1"/>
  <c r="N747" i="1"/>
  <c r="N820" i="1"/>
  <c r="N893" i="1"/>
  <c r="N966" i="1"/>
  <c r="N1040" i="1"/>
  <c r="N116" i="1"/>
  <c r="N231" i="1"/>
  <c r="N348" i="1"/>
  <c r="N465" i="1"/>
  <c r="N583" i="1"/>
  <c r="N696" i="1"/>
  <c r="N776" i="1"/>
  <c r="N849" i="1"/>
  <c r="N922" i="1"/>
  <c r="N995" i="1"/>
  <c r="N117" i="1"/>
  <c r="N235" i="1"/>
  <c r="N350" i="1"/>
  <c r="N18" i="1"/>
  <c r="N82" i="1"/>
  <c r="N146" i="1"/>
  <c r="N210" i="1"/>
  <c r="N274" i="1"/>
  <c r="N338" i="1"/>
  <c r="N402" i="1"/>
  <c r="N466" i="1"/>
  <c r="N530" i="1"/>
  <c r="N594" i="1"/>
  <c r="N658" i="1"/>
  <c r="N75" i="1"/>
  <c r="N148" i="1"/>
  <c r="N221" i="1"/>
  <c r="N294" i="1"/>
  <c r="N367" i="1"/>
  <c r="N440" i="1"/>
  <c r="N513" i="1"/>
  <c r="N587" i="1"/>
  <c r="N660" i="1"/>
  <c r="N4" i="1"/>
  <c r="N77" i="1"/>
  <c r="N150" i="1"/>
  <c r="N223" i="1"/>
  <c r="N296" i="1"/>
  <c r="N369" i="1"/>
  <c r="N443" i="1"/>
  <c r="N516" i="1"/>
  <c r="N589" i="1"/>
  <c r="N662" i="1"/>
  <c r="N5" i="1"/>
  <c r="N78" i="1"/>
  <c r="N151" i="1"/>
  <c r="N224" i="1"/>
  <c r="N297" i="1"/>
  <c r="N371" i="1"/>
  <c r="N444" i="1"/>
  <c r="N517" i="1"/>
  <c r="N590" i="1"/>
  <c r="N663" i="1"/>
  <c r="N727" i="1"/>
  <c r="N791" i="1"/>
  <c r="N855" i="1"/>
  <c r="N919" i="1"/>
  <c r="N983" i="1"/>
  <c r="N1047" i="1"/>
  <c r="N1111" i="1"/>
  <c r="N1175" i="1"/>
  <c r="N1239" i="1"/>
  <c r="N1303" i="1"/>
  <c r="N1367" i="1"/>
  <c r="N1431" i="1"/>
  <c r="N110" i="1"/>
  <c r="N228" i="1"/>
  <c r="N345" i="1"/>
  <c r="N463" i="1"/>
  <c r="N579" i="1"/>
  <c r="N691" i="1"/>
  <c r="N773" i="1"/>
  <c r="N846" i="1"/>
  <c r="N920" i="1"/>
  <c r="N993" i="1"/>
  <c r="N83" i="1"/>
  <c r="N200" i="1"/>
  <c r="N318" i="1"/>
  <c r="N436" i="1"/>
  <c r="N551" i="1"/>
  <c r="N667" i="1"/>
  <c r="N756" i="1"/>
  <c r="N829" i="1"/>
  <c r="N902" i="1"/>
  <c r="N976" i="1"/>
  <c r="N12" i="1"/>
  <c r="N128" i="1"/>
  <c r="N246" i="1"/>
  <c r="N364" i="1"/>
  <c r="N481" i="1"/>
  <c r="N597" i="1"/>
  <c r="N707" i="1"/>
  <c r="N785" i="1"/>
  <c r="N858" i="1"/>
  <c r="N931" i="1"/>
  <c r="N15" i="1"/>
  <c r="N26" i="1"/>
  <c r="N90" i="1"/>
  <c r="N154" i="1"/>
  <c r="N218" i="1"/>
  <c r="N282" i="1"/>
  <c r="N346" i="1"/>
  <c r="N410" i="1"/>
  <c r="N474" i="1"/>
  <c r="N538" i="1"/>
  <c r="N602" i="1"/>
  <c r="N11" i="1"/>
  <c r="N84" i="1"/>
  <c r="N157" i="1"/>
  <c r="N230" i="1"/>
  <c r="N303" i="1"/>
  <c r="N376" i="1"/>
  <c r="N449" i="1"/>
  <c r="N523" i="1"/>
  <c r="N596" i="1"/>
  <c r="N668" i="1"/>
  <c r="N13" i="1"/>
  <c r="N86" i="1"/>
  <c r="N159" i="1"/>
  <c r="N232" i="1"/>
  <c r="N305" i="1"/>
  <c r="N379" i="1"/>
  <c r="N452" i="1"/>
  <c r="N525" i="1"/>
  <c r="N598" i="1"/>
  <c r="N670" i="1"/>
  <c r="N14" i="1"/>
  <c r="N87" i="1"/>
  <c r="N160" i="1"/>
  <c r="N233" i="1"/>
  <c r="N307" i="1"/>
  <c r="N380" i="1"/>
  <c r="N453" i="1"/>
  <c r="N526" i="1"/>
  <c r="N599" i="1"/>
  <c r="N671" i="1"/>
  <c r="N735" i="1"/>
  <c r="N799" i="1"/>
  <c r="N863" i="1"/>
  <c r="N927" i="1"/>
  <c r="N991" i="1"/>
  <c r="N1055" i="1"/>
  <c r="N1119" i="1"/>
  <c r="N1183" i="1"/>
  <c r="N1247" i="1"/>
  <c r="N1311" i="1"/>
  <c r="N1375" i="1"/>
  <c r="N8" i="1"/>
  <c r="N126" i="1"/>
  <c r="N244" i="1"/>
  <c r="N359" i="1"/>
  <c r="N476" i="1"/>
  <c r="N593" i="1"/>
  <c r="N705" i="1"/>
  <c r="N782" i="1"/>
  <c r="N856" i="1"/>
  <c r="N929" i="1"/>
  <c r="N1002" i="1"/>
  <c r="N99" i="1"/>
  <c r="N216" i="1"/>
  <c r="N332" i="1"/>
  <c r="N448" i="1"/>
  <c r="N566" i="1"/>
  <c r="N681" i="1"/>
  <c r="N765" i="1"/>
  <c r="N838" i="1"/>
  <c r="N912" i="1"/>
  <c r="N985" i="1"/>
  <c r="N27" i="1"/>
  <c r="N144" i="1"/>
  <c r="N262" i="1"/>
  <c r="N377" i="1"/>
  <c r="N494" i="1"/>
  <c r="N612" i="1"/>
  <c r="N721" i="1"/>
  <c r="N794" i="1"/>
  <c r="N867" i="1"/>
  <c r="N940" i="1"/>
  <c r="N28" i="1"/>
  <c r="N145" i="1"/>
  <c r="N263" i="1"/>
  <c r="N34" i="1"/>
  <c r="N98" i="1"/>
  <c r="N162" i="1"/>
  <c r="N226" i="1"/>
  <c r="N290" i="1"/>
  <c r="N354" i="1"/>
  <c r="N418" i="1"/>
  <c r="N482" i="1"/>
  <c r="N546" i="1"/>
  <c r="N610" i="1"/>
  <c r="N20" i="1"/>
  <c r="N93" i="1"/>
  <c r="N166" i="1"/>
  <c r="N239" i="1"/>
  <c r="N312" i="1"/>
  <c r="N385" i="1"/>
  <c r="N459" i="1"/>
  <c r="N532" i="1"/>
  <c r="N605" i="1"/>
  <c r="N676" i="1"/>
  <c r="N22" i="1"/>
  <c r="N95" i="1"/>
  <c r="N168" i="1"/>
  <c r="N241" i="1"/>
  <c r="N315" i="1"/>
  <c r="N388" i="1"/>
  <c r="N461" i="1"/>
  <c r="N534" i="1"/>
  <c r="N607" i="1"/>
  <c r="N678" i="1"/>
  <c r="N23" i="1"/>
  <c r="N96" i="1"/>
  <c r="N169" i="1"/>
  <c r="N243" i="1"/>
  <c r="N316" i="1"/>
  <c r="N389" i="1"/>
  <c r="N462" i="1"/>
  <c r="N535" i="1"/>
  <c r="N608" i="1"/>
  <c r="N679" i="1"/>
  <c r="N743" i="1"/>
  <c r="N807" i="1"/>
  <c r="N871" i="1"/>
  <c r="N935" i="1"/>
  <c r="N999" i="1"/>
  <c r="N1063" i="1"/>
  <c r="N1127" i="1"/>
  <c r="N1191" i="1"/>
  <c r="N1255" i="1"/>
  <c r="N1319" i="1"/>
  <c r="N1383" i="1"/>
  <c r="N24" i="1"/>
  <c r="N140" i="1"/>
  <c r="N256" i="1"/>
  <c r="N374" i="1"/>
  <c r="N492" i="1"/>
  <c r="N609" i="1"/>
  <c r="N717" i="1"/>
  <c r="N792" i="1"/>
  <c r="N865" i="1"/>
  <c r="N938" i="1"/>
  <c r="N1011" i="1"/>
  <c r="N112" i="1"/>
  <c r="N229" i="1"/>
  <c r="N347" i="1"/>
  <c r="N464" i="1"/>
  <c r="N582" i="1"/>
  <c r="N693" i="1"/>
  <c r="N774" i="1"/>
  <c r="N848" i="1"/>
  <c r="N921" i="1"/>
  <c r="N994" i="1"/>
  <c r="N43" i="1"/>
  <c r="N158" i="1"/>
  <c r="N275" i="1"/>
  <c r="N392" i="1"/>
  <c r="N510" i="1"/>
  <c r="N628" i="1"/>
  <c r="N42" i="1"/>
  <c r="N106" i="1"/>
  <c r="N170" i="1"/>
  <c r="N234" i="1"/>
  <c r="N298" i="1"/>
  <c r="N362" i="1"/>
  <c r="N426" i="1"/>
  <c r="N490" i="1"/>
  <c r="N554" i="1"/>
  <c r="N618" i="1"/>
  <c r="N29" i="1"/>
  <c r="N102" i="1"/>
  <c r="N175" i="1"/>
  <c r="N248" i="1"/>
  <c r="N321" i="1"/>
  <c r="N395" i="1"/>
  <c r="N468" i="1"/>
  <c r="N541" i="1"/>
  <c r="N614" i="1"/>
  <c r="N684" i="1"/>
  <c r="N31" i="1"/>
  <c r="N104" i="1"/>
  <c r="N177" i="1"/>
  <c r="N251" i="1"/>
  <c r="N324" i="1"/>
  <c r="N397" i="1"/>
  <c r="N470" i="1"/>
  <c r="N543" i="1"/>
  <c r="N616" i="1"/>
  <c r="N686" i="1"/>
  <c r="N32" i="1"/>
  <c r="N105" i="1"/>
  <c r="N179" i="1"/>
  <c r="N252" i="1"/>
  <c r="N325" i="1"/>
  <c r="N398" i="1"/>
  <c r="N471" i="1"/>
  <c r="N544" i="1"/>
  <c r="N617" i="1"/>
  <c r="N687" i="1"/>
  <c r="N751" i="1"/>
  <c r="N815" i="1"/>
  <c r="N879" i="1"/>
  <c r="N943" i="1"/>
  <c r="N1007" i="1"/>
  <c r="N1071" i="1"/>
  <c r="N1135" i="1"/>
  <c r="N1199" i="1"/>
  <c r="N1263" i="1"/>
  <c r="N1327" i="1"/>
  <c r="N1391" i="1"/>
  <c r="N37" i="1"/>
  <c r="N155" i="1"/>
  <c r="N272" i="1"/>
  <c r="N390" i="1"/>
  <c r="N505" i="1"/>
  <c r="N622" i="1"/>
  <c r="N728" i="1"/>
  <c r="N801" i="1"/>
  <c r="N874" i="1"/>
  <c r="N947" i="1"/>
  <c r="N9" i="1"/>
  <c r="N127" i="1"/>
  <c r="N245" i="1"/>
  <c r="N363" i="1"/>
  <c r="N478" i="1"/>
  <c r="N595" i="1"/>
  <c r="N706" i="1"/>
  <c r="N784" i="1"/>
  <c r="N857" i="1"/>
  <c r="N930" i="1"/>
  <c r="N1003" i="1"/>
  <c r="N55" i="1"/>
  <c r="N173" i="1"/>
  <c r="N291" i="1"/>
  <c r="N408" i="1"/>
  <c r="N524" i="1"/>
  <c r="N640" i="1"/>
  <c r="N739" i="1"/>
  <c r="N812" i="1"/>
  <c r="N885" i="1"/>
  <c r="N50" i="1"/>
  <c r="N114" i="1"/>
  <c r="N178" i="1"/>
  <c r="N242" i="1"/>
  <c r="N306" i="1"/>
  <c r="N370" i="1"/>
  <c r="N434" i="1"/>
  <c r="N498" i="1"/>
  <c r="N562" i="1"/>
  <c r="N626" i="1"/>
  <c r="N38" i="1"/>
  <c r="N111" i="1"/>
  <c r="N184" i="1"/>
  <c r="N257" i="1"/>
  <c r="N331" i="1"/>
  <c r="N404" i="1"/>
  <c r="N477" i="1"/>
  <c r="N550" i="1"/>
  <c r="N623" i="1"/>
  <c r="N692" i="1"/>
  <c r="N40" i="1"/>
  <c r="N113" i="1"/>
  <c r="N187" i="1"/>
  <c r="N260" i="1"/>
  <c r="N333" i="1"/>
  <c r="N406" i="1"/>
  <c r="N479" i="1"/>
  <c r="N552" i="1"/>
  <c r="N625" i="1"/>
  <c r="N694" i="1"/>
  <c r="N41" i="1"/>
  <c r="N115" i="1"/>
  <c r="N188" i="1"/>
  <c r="N261" i="1"/>
  <c r="N334" i="1"/>
  <c r="N407" i="1"/>
  <c r="N480" i="1"/>
  <c r="N553" i="1"/>
  <c r="N627" i="1"/>
  <c r="N695" i="1"/>
  <c r="N759" i="1"/>
  <c r="N823" i="1"/>
  <c r="N887" i="1"/>
  <c r="N951" i="1"/>
  <c r="N1015" i="1"/>
  <c r="N1079" i="1"/>
  <c r="N1143" i="1"/>
  <c r="N1207" i="1"/>
  <c r="N1271" i="1"/>
  <c r="N1335" i="1"/>
  <c r="N1399" i="1"/>
  <c r="N53" i="1"/>
  <c r="N171" i="1"/>
  <c r="N286" i="1"/>
  <c r="N403" i="1"/>
  <c r="N520" i="1"/>
  <c r="N638" i="1"/>
  <c r="N737" i="1"/>
  <c r="N810" i="1"/>
  <c r="N883" i="1"/>
  <c r="N956" i="1"/>
  <c r="N25" i="1"/>
  <c r="N143" i="1"/>
  <c r="N259" i="1"/>
  <c r="N375" i="1"/>
  <c r="N493" i="1"/>
  <c r="N611" i="1"/>
  <c r="N720" i="1"/>
  <c r="N793" i="1"/>
  <c r="N866" i="1"/>
  <c r="N939" i="1"/>
  <c r="N1012" i="1"/>
  <c r="N71" i="1"/>
  <c r="N189" i="1"/>
  <c r="N304" i="1"/>
  <c r="N421" i="1"/>
  <c r="N539" i="1"/>
  <c r="N656" i="1"/>
  <c r="N748" i="1"/>
  <c r="N821" i="1"/>
  <c r="N894" i="1"/>
  <c r="N968" i="1"/>
  <c r="N72" i="1"/>
  <c r="N506" i="1"/>
  <c r="N413" i="1"/>
  <c r="N269" i="1"/>
  <c r="N124" i="1"/>
  <c r="N703" i="1"/>
  <c r="N1215" i="1"/>
  <c r="N536" i="1"/>
  <c r="N273" i="1"/>
  <c r="N1021" i="1"/>
  <c r="N757" i="1"/>
  <c r="N44" i="1"/>
  <c r="N204" i="1"/>
  <c r="N365" i="1"/>
  <c r="N483" i="1"/>
  <c r="N600" i="1"/>
  <c r="N709" i="1"/>
  <c r="N786" i="1"/>
  <c r="N859" i="1"/>
  <c r="N932" i="1"/>
  <c r="N1005" i="1"/>
  <c r="N91" i="1"/>
  <c r="N208" i="1"/>
  <c r="N326" i="1"/>
  <c r="N441" i="1"/>
  <c r="N558" i="1"/>
  <c r="N674" i="1"/>
  <c r="N761" i="1"/>
  <c r="N834" i="1"/>
  <c r="N907" i="1"/>
  <c r="N19" i="1"/>
  <c r="N136" i="1"/>
  <c r="N254" i="1"/>
  <c r="N372" i="1"/>
  <c r="N487" i="1"/>
  <c r="N604" i="1"/>
  <c r="N714" i="1"/>
  <c r="N789" i="1"/>
  <c r="N862" i="1"/>
  <c r="N936" i="1"/>
  <c r="N80" i="1"/>
  <c r="N548" i="1"/>
  <c r="N900" i="1"/>
  <c r="N1054" i="1"/>
  <c r="N1128" i="1"/>
  <c r="N1201" i="1"/>
  <c r="N1274" i="1"/>
  <c r="N1347" i="1"/>
  <c r="N1420" i="1"/>
  <c r="N1486" i="1"/>
  <c r="N1550" i="1"/>
  <c r="N264" i="1"/>
  <c r="N723" i="1"/>
  <c r="N998" i="1"/>
  <c r="N1083" i="1"/>
  <c r="N1156" i="1"/>
  <c r="N1229" i="1"/>
  <c r="N1302" i="1"/>
  <c r="N1376" i="1"/>
  <c r="N1447" i="1"/>
  <c r="N1511" i="1"/>
  <c r="N36" i="1"/>
  <c r="N503" i="1"/>
  <c r="N873" i="1"/>
  <c r="N1048" i="1"/>
  <c r="N1121" i="1"/>
  <c r="N1194" i="1"/>
  <c r="N1267" i="1"/>
  <c r="N1340" i="1"/>
  <c r="N1413" i="1"/>
  <c r="N1480" i="1"/>
  <c r="N1544" i="1"/>
  <c r="N337" i="1"/>
  <c r="N769" i="1"/>
  <c r="N1017" i="1"/>
  <c r="N1094" i="1"/>
  <c r="N1168" i="1"/>
  <c r="N1241" i="1"/>
  <c r="N1314" i="1"/>
  <c r="N1387" i="1"/>
  <c r="N1457" i="1"/>
  <c r="N1521" i="1"/>
  <c r="N109" i="1"/>
  <c r="N576" i="1"/>
  <c r="N918" i="1"/>
  <c r="N1059" i="1"/>
  <c r="N58" i="1"/>
  <c r="N570" i="1"/>
  <c r="N486" i="1"/>
  <c r="N342" i="1"/>
  <c r="N197" i="1"/>
  <c r="N767" i="1"/>
  <c r="N1279" i="1"/>
  <c r="N652" i="1"/>
  <c r="N391" i="1"/>
  <c r="N85" i="1"/>
  <c r="N803" i="1"/>
  <c r="N57" i="1"/>
  <c r="N219" i="1"/>
  <c r="N381" i="1"/>
  <c r="N496" i="1"/>
  <c r="N613" i="1"/>
  <c r="N722" i="1"/>
  <c r="N795" i="1"/>
  <c r="N868" i="1"/>
  <c r="N941" i="1"/>
  <c r="N1014" i="1"/>
  <c r="N107" i="1"/>
  <c r="N222" i="1"/>
  <c r="N339" i="1"/>
  <c r="N456" i="1"/>
  <c r="N574" i="1"/>
  <c r="N688" i="1"/>
  <c r="N770" i="1"/>
  <c r="N843" i="1"/>
  <c r="N916" i="1"/>
  <c r="N35" i="1"/>
  <c r="N152" i="1"/>
  <c r="N268" i="1"/>
  <c r="N384" i="1"/>
  <c r="N502" i="1"/>
  <c r="N620" i="1"/>
  <c r="N725" i="1"/>
  <c r="N798" i="1"/>
  <c r="N872" i="1"/>
  <c r="N945" i="1"/>
  <c r="N137" i="1"/>
  <c r="N606" i="1"/>
  <c r="N937" i="1"/>
  <c r="N1064" i="1"/>
  <c r="N1137" i="1"/>
  <c r="N1210" i="1"/>
  <c r="N1283" i="1"/>
  <c r="N1356" i="1"/>
  <c r="N1429" i="1"/>
  <c r="N1494" i="1"/>
  <c r="N1558" i="1"/>
  <c r="N323" i="1"/>
  <c r="N760" i="1"/>
  <c r="N1013" i="1"/>
  <c r="N1092" i="1"/>
  <c r="N1165" i="1"/>
  <c r="N1238" i="1"/>
  <c r="N1312" i="1"/>
  <c r="N1385" i="1"/>
  <c r="N1455" i="1"/>
  <c r="N1519" i="1"/>
  <c r="N94" i="1"/>
  <c r="N564" i="1"/>
  <c r="N909" i="1"/>
  <c r="N1057" i="1"/>
  <c r="N1130" i="1"/>
  <c r="N1203" i="1"/>
  <c r="N1276" i="1"/>
  <c r="N1349" i="1"/>
  <c r="N1422" i="1"/>
  <c r="N1488" i="1"/>
  <c r="N1552" i="1"/>
  <c r="N396" i="1"/>
  <c r="N805" i="1"/>
  <c r="N1028" i="1"/>
  <c r="N1104" i="1"/>
  <c r="N1177" i="1"/>
  <c r="N1250" i="1"/>
  <c r="N1323" i="1"/>
  <c r="N1396" i="1"/>
  <c r="N1465" i="1"/>
  <c r="N1529" i="1"/>
  <c r="N167" i="1"/>
  <c r="N637" i="1"/>
  <c r="N122" i="1"/>
  <c r="N634" i="1"/>
  <c r="N559" i="1"/>
  <c r="N415" i="1"/>
  <c r="N270" i="1"/>
  <c r="N831" i="1"/>
  <c r="N1343" i="1"/>
  <c r="N746" i="1"/>
  <c r="N509" i="1"/>
  <c r="N201" i="1"/>
  <c r="N830" i="1"/>
  <c r="N88" i="1"/>
  <c r="N247" i="1"/>
  <c r="N393" i="1"/>
  <c r="N511" i="1"/>
  <c r="N629" i="1"/>
  <c r="N731" i="1"/>
  <c r="N804" i="1"/>
  <c r="N877" i="1"/>
  <c r="N950" i="1"/>
  <c r="N1024" i="1"/>
  <c r="N119" i="1"/>
  <c r="N237" i="1"/>
  <c r="N355" i="1"/>
  <c r="N472" i="1"/>
  <c r="N588" i="1"/>
  <c r="N699" i="1"/>
  <c r="N779" i="1"/>
  <c r="N852" i="1"/>
  <c r="N925" i="1"/>
  <c r="N48" i="1"/>
  <c r="N165" i="1"/>
  <c r="N283" i="1"/>
  <c r="N400" i="1"/>
  <c r="N518" i="1"/>
  <c r="N633" i="1"/>
  <c r="N734" i="1"/>
  <c r="N808" i="1"/>
  <c r="N881" i="1"/>
  <c r="N954" i="1"/>
  <c r="N198" i="1"/>
  <c r="N665" i="1"/>
  <c r="N971" i="1"/>
  <c r="N1073" i="1"/>
  <c r="N1146" i="1"/>
  <c r="N1219" i="1"/>
  <c r="N1292" i="1"/>
  <c r="N1365" i="1"/>
  <c r="N1438" i="1"/>
  <c r="N1502" i="1"/>
  <c r="N382" i="1"/>
  <c r="N796" i="1"/>
  <c r="N1026" i="1"/>
  <c r="N1101" i="1"/>
  <c r="N1174" i="1"/>
  <c r="N1248" i="1"/>
  <c r="N1321" i="1"/>
  <c r="N1394" i="1"/>
  <c r="N1463" i="1"/>
  <c r="N1527" i="1"/>
  <c r="N153" i="1"/>
  <c r="N621" i="1"/>
  <c r="N946" i="1"/>
  <c r="N1066" i="1"/>
  <c r="N1139" i="1"/>
  <c r="N1212" i="1"/>
  <c r="N1285" i="1"/>
  <c r="N1358" i="1"/>
  <c r="N1432" i="1"/>
  <c r="N1496" i="1"/>
  <c r="N1560" i="1"/>
  <c r="N455" i="1"/>
  <c r="N842" i="1"/>
  <c r="N1038" i="1"/>
  <c r="N1113" i="1"/>
  <c r="N1186" i="1"/>
  <c r="N1259" i="1"/>
  <c r="N1332" i="1"/>
  <c r="N1405" i="1"/>
  <c r="N1473" i="1"/>
  <c r="N1537" i="1"/>
  <c r="N227" i="1"/>
  <c r="N690" i="1"/>
  <c r="N982" i="1"/>
  <c r="N1077" i="1"/>
  <c r="N186" i="1"/>
  <c r="N47" i="1"/>
  <c r="N632" i="1"/>
  <c r="N488" i="1"/>
  <c r="N343" i="1"/>
  <c r="N895" i="1"/>
  <c r="N1407" i="1"/>
  <c r="N819" i="1"/>
  <c r="N624" i="1"/>
  <c r="N319" i="1"/>
  <c r="N876" i="1"/>
  <c r="N101" i="1"/>
  <c r="N277" i="1"/>
  <c r="N409" i="1"/>
  <c r="N527" i="1"/>
  <c r="N643" i="1"/>
  <c r="N740" i="1"/>
  <c r="N813" i="1"/>
  <c r="N886" i="1"/>
  <c r="N960" i="1"/>
  <c r="N17" i="1"/>
  <c r="N135" i="1"/>
  <c r="N253" i="1"/>
  <c r="N368" i="1"/>
  <c r="N485" i="1"/>
  <c r="N603" i="1"/>
  <c r="N713" i="1"/>
  <c r="N788" i="1"/>
  <c r="N861" i="1"/>
  <c r="N934" i="1"/>
  <c r="N63" i="1"/>
  <c r="N181" i="1"/>
  <c r="N299" i="1"/>
  <c r="N414" i="1"/>
  <c r="N531" i="1"/>
  <c r="N648" i="1"/>
  <c r="N744" i="1"/>
  <c r="N817" i="1"/>
  <c r="N890" i="1"/>
  <c r="N963" i="1"/>
  <c r="N255" i="1"/>
  <c r="N715" i="1"/>
  <c r="N997" i="1"/>
  <c r="N1082" i="1"/>
  <c r="N1155" i="1"/>
  <c r="N1228" i="1"/>
  <c r="N1301" i="1"/>
  <c r="N1374" i="1"/>
  <c r="N1446" i="1"/>
  <c r="N1510" i="1"/>
  <c r="N1562" i="1"/>
  <c r="N439" i="1"/>
  <c r="N833" i="1"/>
  <c r="N1036" i="1"/>
  <c r="N1110" i="1"/>
  <c r="N1184" i="1"/>
  <c r="N1257" i="1"/>
  <c r="N1330" i="1"/>
  <c r="N1403" i="1"/>
  <c r="N1471" i="1"/>
  <c r="N1535" i="1"/>
  <c r="N211" i="1"/>
  <c r="N677" i="1"/>
  <c r="N979" i="1"/>
  <c r="N1075" i="1"/>
  <c r="N1148" i="1"/>
  <c r="N1221" i="1"/>
  <c r="N1294" i="1"/>
  <c r="N1368" i="1"/>
  <c r="N1440" i="1"/>
  <c r="N1504" i="1"/>
  <c r="N45" i="1"/>
  <c r="N512" i="1"/>
  <c r="N878" i="1"/>
  <c r="N1049" i="1"/>
  <c r="N1122" i="1"/>
  <c r="N1195" i="1"/>
  <c r="N1268" i="1"/>
  <c r="N1341" i="1"/>
  <c r="N1414" i="1"/>
  <c r="N1481" i="1"/>
  <c r="N1545" i="1"/>
  <c r="N284" i="1"/>
  <c r="N736" i="1"/>
  <c r="N250" i="1"/>
  <c r="N120" i="1"/>
  <c r="N700" i="1"/>
  <c r="N561" i="1"/>
  <c r="N416" i="1"/>
  <c r="N959" i="1"/>
  <c r="N67" i="1"/>
  <c r="N892" i="1"/>
  <c r="N729" i="1"/>
  <c r="N437" i="1"/>
  <c r="N904" i="1"/>
  <c r="N131" i="1"/>
  <c r="N292" i="1"/>
  <c r="N423" i="1"/>
  <c r="N540" i="1"/>
  <c r="N657" i="1"/>
  <c r="N749" i="1"/>
  <c r="N822" i="1"/>
  <c r="N896" i="1"/>
  <c r="N969" i="1"/>
  <c r="N33" i="1"/>
  <c r="N149" i="1"/>
  <c r="N265" i="1"/>
  <c r="N383" i="1"/>
  <c r="N501" i="1"/>
  <c r="N619" i="1"/>
  <c r="N724" i="1"/>
  <c r="N797" i="1"/>
  <c r="N870" i="1"/>
  <c r="N944" i="1"/>
  <c r="N79" i="1"/>
  <c r="N195" i="1"/>
  <c r="N311" i="1"/>
  <c r="N429" i="1"/>
  <c r="N547" i="1"/>
  <c r="N664" i="1"/>
  <c r="N753" i="1"/>
  <c r="N826" i="1"/>
  <c r="N899" i="1"/>
  <c r="N972" i="1"/>
  <c r="N313" i="1"/>
  <c r="N754" i="1"/>
  <c r="N1010" i="1"/>
  <c r="N1091" i="1"/>
  <c r="N1164" i="1"/>
  <c r="N1237" i="1"/>
  <c r="N1310" i="1"/>
  <c r="N1384" i="1"/>
  <c r="N1454" i="1"/>
  <c r="N1518" i="1"/>
  <c r="N30" i="1"/>
  <c r="N500" i="1"/>
  <c r="N869" i="1"/>
  <c r="N1046" i="1"/>
  <c r="N1120" i="1"/>
  <c r="N1193" i="1"/>
  <c r="N1266" i="1"/>
  <c r="N1339" i="1"/>
  <c r="N1412" i="1"/>
  <c r="N1479" i="1"/>
  <c r="N1543" i="1"/>
  <c r="N271" i="1"/>
  <c r="N726" i="1"/>
  <c r="N1000" i="1"/>
  <c r="N1084" i="1"/>
  <c r="N1157" i="1"/>
  <c r="N1230" i="1"/>
  <c r="N1304" i="1"/>
  <c r="N1377" i="1"/>
  <c r="N1448" i="1"/>
  <c r="N1512" i="1"/>
  <c r="N103" i="1"/>
  <c r="N573" i="1"/>
  <c r="N915" i="1"/>
  <c r="N1058" i="1"/>
  <c r="N314" i="1"/>
  <c r="N193" i="1"/>
  <c r="N49" i="1"/>
  <c r="N635" i="1"/>
  <c r="N489" i="1"/>
  <c r="N1023" i="1"/>
  <c r="N183" i="1"/>
  <c r="N965" i="1"/>
  <c r="N802" i="1"/>
  <c r="N555" i="1"/>
  <c r="N949" i="1"/>
  <c r="N161" i="1"/>
  <c r="N308" i="1"/>
  <c r="N438" i="1"/>
  <c r="N556" i="1"/>
  <c r="N672" i="1"/>
  <c r="N758" i="1"/>
  <c r="N832" i="1"/>
  <c r="N905" i="1"/>
  <c r="N978" i="1"/>
  <c r="N46" i="1"/>
  <c r="N164" i="1"/>
  <c r="N281" i="1"/>
  <c r="N399" i="1"/>
  <c r="N515" i="1"/>
  <c r="N631" i="1"/>
  <c r="N733" i="1"/>
  <c r="N806" i="1"/>
  <c r="N880" i="1"/>
  <c r="N953" i="1"/>
  <c r="N92" i="1"/>
  <c r="N209" i="1"/>
  <c r="N327" i="1"/>
  <c r="N445" i="1"/>
  <c r="N560" i="1"/>
  <c r="N675" i="1"/>
  <c r="N762" i="1"/>
  <c r="N835" i="1"/>
  <c r="N908" i="1"/>
  <c r="N981" i="1"/>
  <c r="N373" i="1"/>
  <c r="N790" i="1"/>
  <c r="N1025" i="1"/>
  <c r="N1100" i="1"/>
  <c r="N1173" i="1"/>
  <c r="N1246" i="1"/>
  <c r="N1320" i="1"/>
  <c r="N1393" i="1"/>
  <c r="N1462" i="1"/>
  <c r="N1526" i="1"/>
  <c r="N89" i="1"/>
  <c r="N557" i="1"/>
  <c r="N906" i="1"/>
  <c r="N1056" i="1"/>
  <c r="N1129" i="1"/>
  <c r="N1202" i="1"/>
  <c r="N1275" i="1"/>
  <c r="N1348" i="1"/>
  <c r="N1421" i="1"/>
  <c r="N1487" i="1"/>
  <c r="N1551" i="1"/>
  <c r="N328" i="1"/>
  <c r="N763" i="1"/>
  <c r="N1016" i="1"/>
  <c r="N1093" i="1"/>
  <c r="N1166" i="1"/>
  <c r="N1240" i="1"/>
  <c r="N1313" i="1"/>
  <c r="N1386" i="1"/>
  <c r="N1456" i="1"/>
  <c r="N1520" i="1"/>
  <c r="N163" i="1"/>
  <c r="N630" i="1"/>
  <c r="N952" i="1"/>
  <c r="N1067" i="1"/>
  <c r="N1140" i="1"/>
  <c r="N1213" i="1"/>
  <c r="N1286" i="1"/>
  <c r="N1360" i="1"/>
  <c r="N378" i="1"/>
  <c r="N267" i="1"/>
  <c r="N123" i="1"/>
  <c r="N702" i="1"/>
  <c r="N563" i="1"/>
  <c r="N1087" i="1"/>
  <c r="N301" i="1"/>
  <c r="N39" i="1"/>
  <c r="N875" i="1"/>
  <c r="N669" i="1"/>
  <c r="N958" i="1"/>
  <c r="N174" i="1"/>
  <c r="N320" i="1"/>
  <c r="N454" i="1"/>
  <c r="N569" i="1"/>
  <c r="N683" i="1"/>
  <c r="N768" i="1"/>
  <c r="N841" i="1"/>
  <c r="N914" i="1"/>
  <c r="N987" i="1"/>
  <c r="N62" i="1"/>
  <c r="N180" i="1"/>
  <c r="N295" i="1"/>
  <c r="N412" i="1"/>
  <c r="N529" i="1"/>
  <c r="N647" i="1"/>
  <c r="N742" i="1"/>
  <c r="N816" i="1"/>
  <c r="N889" i="1"/>
  <c r="N962" i="1"/>
  <c r="N108" i="1"/>
  <c r="N225" i="1"/>
  <c r="N341" i="1"/>
  <c r="N457" i="1"/>
  <c r="N575" i="1"/>
  <c r="N689" i="1"/>
  <c r="N771" i="1"/>
  <c r="N844" i="1"/>
  <c r="N917" i="1"/>
  <c r="N990" i="1"/>
  <c r="N430" i="1"/>
  <c r="N827" i="1"/>
  <c r="N1035" i="1"/>
  <c r="N1109" i="1"/>
  <c r="N1182" i="1"/>
  <c r="N1256" i="1"/>
  <c r="N1329" i="1"/>
  <c r="N1402" i="1"/>
  <c r="N1470" i="1"/>
  <c r="N1534" i="1"/>
  <c r="N147" i="1"/>
  <c r="N615" i="1"/>
  <c r="N942" i="1"/>
  <c r="N1065" i="1"/>
  <c r="N1138" i="1"/>
  <c r="N1211" i="1"/>
  <c r="N1284" i="1"/>
  <c r="N1357" i="1"/>
  <c r="N1430" i="1"/>
  <c r="N1495" i="1"/>
  <c r="N1559" i="1"/>
  <c r="N387" i="1"/>
  <c r="N800" i="1"/>
  <c r="N1027" i="1"/>
  <c r="N1102" i="1"/>
  <c r="N1176" i="1"/>
  <c r="N1249" i="1"/>
  <c r="N1322" i="1"/>
  <c r="N1395" i="1"/>
  <c r="N1464" i="1"/>
  <c r="N1528" i="1"/>
  <c r="N220" i="1"/>
  <c r="N685" i="1"/>
  <c r="N980" i="1"/>
  <c r="N1076" i="1"/>
  <c r="N1149" i="1"/>
  <c r="N1222" i="1"/>
  <c r="N1296" i="1"/>
  <c r="N1369" i="1"/>
  <c r="N1190" i="1"/>
  <c r="N1524" i="1"/>
  <c r="N1541" i="1"/>
  <c r="N1531" i="1"/>
  <c r="N1382" i="1"/>
  <c r="N1549" i="1"/>
  <c r="N1373" i="1"/>
  <c r="N1485" i="1"/>
  <c r="N1364" i="1"/>
  <c r="N1346" i="1"/>
  <c r="N1428" i="1"/>
  <c r="N134" i="1"/>
  <c r="N1460" i="1"/>
  <c r="N1390" i="1"/>
  <c r="N1317" i="1"/>
  <c r="N1244" i="1"/>
  <c r="N1171" i="1"/>
  <c r="N1098" i="1"/>
  <c r="N1020" i="1"/>
  <c r="N781" i="1"/>
  <c r="N357" i="1"/>
  <c r="N1507" i="1"/>
  <c r="N1443" i="1"/>
  <c r="N1371" i="1"/>
  <c r="N1298" i="1"/>
  <c r="N1225" i="1"/>
  <c r="N1152" i="1"/>
  <c r="N1078" i="1"/>
  <c r="N988" i="1"/>
  <c r="N698" i="1"/>
  <c r="N236" i="1"/>
  <c r="N1506" i="1"/>
  <c r="N1442" i="1"/>
  <c r="N1370" i="1"/>
  <c r="N1297" i="1"/>
  <c r="N1224" i="1"/>
  <c r="N1150" i="1"/>
  <c r="N1068" i="1"/>
  <c r="N845" i="1"/>
  <c r="N1554" i="1"/>
  <c r="N1441" i="1"/>
  <c r="N1204" i="1"/>
  <c r="N1472" i="1"/>
  <c r="N446" i="1"/>
  <c r="N1074" i="1"/>
  <c r="N1265" i="1"/>
  <c r="N853" i="1"/>
  <c r="N6" i="1"/>
  <c r="N192" i="1"/>
  <c r="N467" i="1"/>
  <c r="N1151" i="1"/>
  <c r="N1117" i="1"/>
  <c r="N1126" i="1"/>
  <c r="N1309" i="1"/>
  <c r="N73" i="1"/>
  <c r="N1300" i="1"/>
  <c r="N1200" i="1"/>
  <c r="N1291" i="1"/>
  <c r="N542" i="1"/>
  <c r="N1355" i="1"/>
  <c r="N1516" i="1"/>
  <c r="N1452" i="1"/>
  <c r="N1381" i="1"/>
  <c r="N1308" i="1"/>
  <c r="N1235" i="1"/>
  <c r="N1162" i="1"/>
  <c r="N1089" i="1"/>
  <c r="N1008" i="1"/>
  <c r="N745" i="1"/>
  <c r="N300" i="1"/>
  <c r="N1499" i="1"/>
  <c r="N1435" i="1"/>
  <c r="N1362" i="1"/>
  <c r="N1289" i="1"/>
  <c r="N1216" i="1"/>
  <c r="N1142" i="1"/>
  <c r="N1069" i="1"/>
  <c r="N961" i="1"/>
  <c r="N646" i="1"/>
  <c r="N176" i="1"/>
  <c r="N1498" i="1"/>
  <c r="N1434" i="1"/>
  <c r="N1361" i="1"/>
  <c r="N1288" i="1"/>
  <c r="N1214" i="1"/>
  <c r="N1141" i="1"/>
  <c r="N1050" i="1"/>
  <c r="N809" i="1"/>
  <c r="N1561" i="1"/>
  <c r="N1433" i="1"/>
  <c r="N1158" i="1"/>
  <c r="N1404" i="1"/>
  <c r="N1538" i="1"/>
  <c r="N973" i="1"/>
  <c r="N1192" i="1"/>
  <c r="N780" i="1"/>
  <c r="N898" i="1"/>
  <c r="N76" i="1"/>
  <c r="N336" i="1"/>
  <c r="N636" i="1"/>
  <c r="N1044" i="1"/>
  <c r="N1254" i="1"/>
  <c r="N1245" i="1"/>
  <c r="N1548" i="1"/>
  <c r="N1236" i="1"/>
  <c r="N1547" i="1"/>
  <c r="N1227" i="1"/>
  <c r="N1525" i="1"/>
  <c r="N1218" i="1"/>
  <c r="N1477" i="1"/>
  <c r="N1282" i="1"/>
  <c r="N1508" i="1"/>
  <c r="N1444" i="1"/>
  <c r="N1372" i="1"/>
  <c r="N1299" i="1"/>
  <c r="N1226" i="1"/>
  <c r="N1153" i="1"/>
  <c r="N1080" i="1"/>
  <c r="N989" i="1"/>
  <c r="N704" i="1"/>
  <c r="N240" i="1"/>
  <c r="N1491" i="1"/>
  <c r="N1426" i="1"/>
  <c r="N1353" i="1"/>
  <c r="N1280" i="1"/>
  <c r="N1206" i="1"/>
  <c r="N1133" i="1"/>
  <c r="N1060" i="1"/>
  <c r="N924" i="1"/>
  <c r="N585" i="1"/>
  <c r="N118" i="1"/>
  <c r="N1490" i="1"/>
  <c r="N1425" i="1"/>
  <c r="N1352" i="1"/>
  <c r="N1278" i="1"/>
  <c r="N1205" i="1"/>
  <c r="N1132" i="1"/>
  <c r="N1041" i="1"/>
  <c r="N772" i="1"/>
  <c r="N1553" i="1"/>
  <c r="N1424" i="1"/>
  <c r="N1131" i="1"/>
  <c r="N1331" i="1"/>
  <c r="N1503" i="1"/>
  <c r="N673" i="1"/>
  <c r="N1118" i="1"/>
  <c r="N701" i="1"/>
  <c r="N825" i="1"/>
  <c r="N996" i="1"/>
  <c r="N190" i="1"/>
  <c r="N51" i="1"/>
  <c r="N1318" i="1"/>
  <c r="N1419" i="1"/>
  <c r="N860" i="1"/>
  <c r="N1181" i="1"/>
  <c r="N1172" i="1"/>
  <c r="N1469" i="1"/>
  <c r="N1163" i="1"/>
  <c r="N1523" i="1"/>
  <c r="N1154" i="1"/>
  <c r="N1401" i="1"/>
  <c r="N1145" i="1"/>
  <c r="N1392" i="1"/>
  <c r="N1209" i="1"/>
  <c r="N1500" i="1"/>
  <c r="N1436" i="1"/>
  <c r="N1363" i="1"/>
  <c r="N1290" i="1"/>
  <c r="N1217" i="1"/>
  <c r="N1144" i="1"/>
  <c r="N1070" i="1"/>
  <c r="N964" i="1"/>
  <c r="N649" i="1"/>
  <c r="N182" i="1"/>
  <c r="N1483" i="1"/>
  <c r="N1417" i="1"/>
  <c r="N1344" i="1"/>
  <c r="N1270" i="1"/>
  <c r="N1197" i="1"/>
  <c r="N1124" i="1"/>
  <c r="N1051" i="1"/>
  <c r="N888" i="1"/>
  <c r="N528" i="1"/>
  <c r="N61" i="1"/>
  <c r="N1482" i="1"/>
  <c r="N1416" i="1"/>
  <c r="N1342" i="1"/>
  <c r="N1269" i="1"/>
  <c r="N1196" i="1"/>
  <c r="N1123" i="1"/>
  <c r="N1029" i="1"/>
  <c r="N519" i="1"/>
  <c r="N1513" i="1"/>
  <c r="N1378" i="1"/>
  <c r="N1085" i="1"/>
  <c r="N1258" i="1"/>
  <c r="N1439" i="1"/>
  <c r="N207" i="1"/>
  <c r="N1045" i="1"/>
  <c r="N591" i="1"/>
  <c r="N752" i="1"/>
  <c r="N923" i="1"/>
  <c r="N977" i="1"/>
  <c r="N196" i="1"/>
  <c r="N897" i="1"/>
  <c r="N1108" i="1"/>
  <c r="N1099" i="1"/>
  <c r="N1461" i="1"/>
  <c r="N1090" i="1"/>
  <c r="N1557" i="1"/>
  <c r="N1081" i="1"/>
  <c r="N1563" i="1"/>
  <c r="N1072" i="1"/>
  <c r="N1556" i="1"/>
  <c r="N1136" i="1"/>
  <c r="N1492" i="1"/>
  <c r="N1427" i="1"/>
  <c r="N1354" i="1"/>
  <c r="N1281" i="1"/>
  <c r="N1208" i="1"/>
  <c r="N1134" i="1"/>
  <c r="N1061" i="1"/>
  <c r="N928" i="1"/>
  <c r="N592" i="1"/>
  <c r="N125" i="1"/>
  <c r="N1475" i="1"/>
  <c r="N1408" i="1"/>
  <c r="N1334" i="1"/>
  <c r="N1261" i="1"/>
  <c r="N1188" i="1"/>
  <c r="N1115" i="1"/>
  <c r="N1042" i="1"/>
  <c r="N851" i="1"/>
  <c r="N469" i="1"/>
  <c r="N1546" i="1"/>
  <c r="N1474" i="1"/>
  <c r="N1406" i="1"/>
  <c r="N1333" i="1"/>
  <c r="N1260" i="1"/>
  <c r="N1187" i="1"/>
  <c r="N1114" i="1"/>
  <c r="N1018" i="1"/>
  <c r="N460" i="1"/>
  <c r="N1505" i="1"/>
  <c r="N1350" i="1"/>
  <c r="N1001" i="1"/>
  <c r="N1185" i="1"/>
  <c r="N1366" i="1"/>
  <c r="N1542" i="1"/>
  <c r="N864" i="1"/>
  <c r="N473" i="1"/>
  <c r="N661" i="1"/>
  <c r="N850" i="1"/>
  <c r="N730" i="1"/>
  <c r="N340" i="1"/>
  <c r="N484" i="1"/>
  <c r="N1410" i="1"/>
  <c r="N16" i="1"/>
  <c r="N1034" i="1"/>
  <c r="N1022" i="1"/>
  <c r="N1540" i="1"/>
  <c r="N1009" i="1"/>
  <c r="N1539" i="1"/>
  <c r="N992" i="1"/>
  <c r="N1533" i="1"/>
  <c r="N970" i="1"/>
  <c r="N1555" i="1"/>
  <c r="N1062" i="1"/>
  <c r="N1484" i="1"/>
  <c r="N1418" i="1"/>
  <c r="N1345" i="1"/>
  <c r="N1272" i="1"/>
  <c r="N1198" i="1"/>
  <c r="N1125" i="1"/>
  <c r="N1052" i="1"/>
  <c r="N891" i="1"/>
  <c r="N533" i="1"/>
  <c r="N64" i="1"/>
  <c r="N1467" i="1"/>
  <c r="N1398" i="1"/>
  <c r="N1325" i="1"/>
  <c r="N1252" i="1"/>
  <c r="N1179" i="1"/>
  <c r="N1106" i="1"/>
  <c r="N1032" i="1"/>
  <c r="N814" i="1"/>
  <c r="N411" i="1"/>
  <c r="N1530" i="1"/>
  <c r="N1466" i="1"/>
  <c r="N1397" i="1"/>
  <c r="N1324" i="1"/>
  <c r="N1251" i="1"/>
  <c r="N1178" i="1"/>
  <c r="N1105" i="1"/>
  <c r="N1004" i="1"/>
  <c r="N401" i="1"/>
  <c r="N1497" i="1"/>
  <c r="N1305" i="1"/>
  <c r="N732" i="1"/>
  <c r="N1112" i="1"/>
  <c r="N1293" i="1"/>
  <c r="N1478" i="1"/>
  <c r="N491" i="1"/>
  <c r="N356" i="1"/>
  <c r="N545" i="1"/>
  <c r="N777" i="1"/>
  <c r="N948" i="1"/>
  <c r="N442" i="1"/>
  <c r="N1337" i="1"/>
  <c r="N1273" i="1"/>
  <c r="N824" i="1"/>
  <c r="N787" i="1"/>
  <c r="N1517" i="1"/>
  <c r="N750" i="1"/>
  <c r="N1509" i="1"/>
  <c r="N712" i="1"/>
  <c r="N1501" i="1"/>
  <c r="N659" i="1"/>
  <c r="N1532" i="1"/>
  <c r="N933" i="1"/>
  <c r="N1476" i="1"/>
  <c r="N1409" i="1"/>
  <c r="N1336" i="1"/>
  <c r="N1262" i="1"/>
  <c r="N1189" i="1"/>
  <c r="N1116" i="1"/>
  <c r="N1043" i="1"/>
  <c r="N854" i="1"/>
  <c r="N475" i="1"/>
  <c r="N7" i="1"/>
  <c r="N1459" i="1"/>
  <c r="N1389" i="1"/>
  <c r="N1316" i="1"/>
  <c r="N1243" i="1"/>
  <c r="N1170" i="1"/>
  <c r="N1097" i="1"/>
  <c r="N1019" i="1"/>
  <c r="N778" i="1"/>
  <c r="N353" i="1"/>
  <c r="N1522" i="1"/>
  <c r="N1458" i="1"/>
  <c r="N1388" i="1"/>
  <c r="N1315" i="1"/>
  <c r="N1242" i="1"/>
  <c r="N1169" i="1"/>
  <c r="N1096" i="1"/>
  <c r="N955" i="1"/>
  <c r="N344" i="1"/>
  <c r="N1489" i="1"/>
  <c r="N1277" i="1"/>
  <c r="N280" i="1"/>
  <c r="N1037" i="1"/>
  <c r="N1220" i="1"/>
  <c r="N1411" i="1"/>
  <c r="N21" i="1"/>
  <c r="N238" i="1"/>
  <c r="N428" i="1"/>
  <c r="N697" i="1"/>
  <c r="N156" i="1"/>
  <c r="Y19" i="1"/>
  <c r="AC3" i="1" a="1"/>
  <c r="AM24" i="1" a="1"/>
  <c r="AM24" i="1" s="1"/>
  <c r="X25" i="1" a="1"/>
  <c r="X25" i="1" s="1"/>
  <c r="Y25" i="1" s="1"/>
  <c r="Z25" i="1" a="1"/>
  <c r="Z25" i="1" s="1"/>
  <c r="AE27" i="1" a="1"/>
  <c r="Q27" i="1" a="1"/>
  <c r="Q26" i="1"/>
  <c r="Z26" i="1" s="1" a="1"/>
  <c r="Z26" i="1" s="1"/>
  <c r="AE26" i="1"/>
  <c r="AK26" i="1" s="1" a="1"/>
  <c r="AK26" i="1" s="1"/>
  <c r="AL26" i="1" s="1"/>
  <c r="V4" i="1" l="1"/>
  <c r="V5" i="1" s="1"/>
  <c r="V3" i="1"/>
  <c r="X3" i="1" s="1"/>
  <c r="AJ17" i="1" s="1"/>
  <c r="V6" i="1"/>
  <c r="AC4" i="1"/>
  <c r="AC5" i="1" s="1"/>
  <c r="AD4" i="1"/>
  <c r="AD5" i="1" s="1"/>
  <c r="AE4" i="1"/>
  <c r="AE5" i="1" s="1"/>
  <c r="AG4" i="1"/>
  <c r="AG5" i="1" s="1"/>
  <c r="AF4" i="1"/>
  <c r="AF5" i="1" s="1"/>
  <c r="AC3" i="1"/>
  <c r="AJ2" i="1" a="1"/>
  <c r="AJ2" i="1" s="1"/>
  <c r="AI3" i="1" a="1"/>
  <c r="AI3" i="1" s="1"/>
  <c r="AB26" i="1" a="1"/>
  <c r="AB26" i="1" s="1"/>
  <c r="X26" i="1" a="1"/>
  <c r="X26" i="1" s="1"/>
  <c r="Y26" i="1" s="1"/>
  <c r="AA26" i="1"/>
  <c r="AM25" i="1" a="1"/>
  <c r="AM25" i="1" s="1"/>
  <c r="AE28" i="1" a="1"/>
  <c r="Q27" i="1"/>
  <c r="X27" i="1" s="1" a="1"/>
  <c r="X27" i="1" s="1"/>
  <c r="Y27" i="1" s="1"/>
  <c r="Q28" i="1" a="1"/>
  <c r="AE27" i="1"/>
  <c r="AK27" i="1" s="1" a="1"/>
  <c r="AK27" i="1" s="1"/>
  <c r="AL27" i="1" s="1"/>
  <c r="AN17" i="1" l="1"/>
  <c r="AN16" i="1"/>
  <c r="AE7" i="1"/>
  <c r="AF7" i="1"/>
  <c r="AD7" i="1"/>
  <c r="AG7" i="1"/>
  <c r="AC7" i="1"/>
  <c r="AB27" i="1" a="1"/>
  <c r="AB27" i="1" s="1"/>
  <c r="Z27" i="1" a="1"/>
  <c r="Z27" i="1" s="1"/>
  <c r="AA27" i="1"/>
  <c r="AM26" i="1" a="1"/>
  <c r="AM26" i="1" s="1"/>
  <c r="AE29" i="1" a="1"/>
  <c r="Q29" i="1" a="1"/>
  <c r="Q28" i="1"/>
  <c r="AB28" i="1" s="1" a="1"/>
  <c r="AB28" i="1" s="1"/>
  <c r="AE28" i="1"/>
  <c r="AK28" i="1" s="1" a="1"/>
  <c r="AK28" i="1" s="1"/>
  <c r="AL28" i="1" s="1"/>
  <c r="AM27" i="1" l="1" a="1"/>
  <c r="AM27" i="1" s="1"/>
  <c r="Z28" i="1" a="1"/>
  <c r="Z28" i="1" s="1"/>
  <c r="AA28" i="1"/>
  <c r="X28" i="1" a="1"/>
  <c r="X28" i="1" s="1"/>
  <c r="Y28" i="1" s="1"/>
  <c r="AE30" i="1" a="1"/>
  <c r="Q29" i="1"/>
  <c r="Z29" i="1" s="1" a="1"/>
  <c r="Z29" i="1" s="1"/>
  <c r="Q30" i="1" a="1"/>
  <c r="AE29" i="1"/>
  <c r="AK29" i="1" s="1" a="1"/>
  <c r="AK29" i="1" s="1"/>
  <c r="AL29" i="1" s="1"/>
  <c r="AB29" i="1" l="1" a="1"/>
  <c r="AB29" i="1" s="1"/>
  <c r="X29" i="1" a="1"/>
  <c r="X29" i="1" s="1"/>
  <c r="Y29" i="1" s="1"/>
  <c r="AA29" i="1"/>
  <c r="AM28" i="1" a="1"/>
  <c r="AM28" i="1" s="1"/>
  <c r="AE31" i="1" a="1"/>
  <c r="Q31" i="1" a="1"/>
  <c r="Q30" i="1"/>
  <c r="X30" i="1" s="1" a="1"/>
  <c r="X30" i="1" s="1"/>
  <c r="Y30" i="1" s="1"/>
  <c r="AE30" i="1"/>
  <c r="AK30" i="1" s="1" a="1"/>
  <c r="AK30" i="1" s="1"/>
  <c r="AL30" i="1" s="1"/>
  <c r="AB30" i="1" l="1" a="1"/>
  <c r="AB30" i="1" s="1"/>
  <c r="Z30" i="1" a="1"/>
  <c r="Z30" i="1" s="1"/>
  <c r="AA30" i="1"/>
  <c r="AM29" i="1" a="1"/>
  <c r="AM29" i="1" s="1"/>
  <c r="AE32" i="1" a="1"/>
  <c r="Q32" i="1" a="1"/>
  <c r="Q31" i="1"/>
  <c r="Z31" i="1" s="1" a="1"/>
  <c r="Z31" i="1" s="1"/>
  <c r="AE31" i="1"/>
  <c r="AM30" i="1" s="1" a="1"/>
  <c r="AM30" i="1" s="1"/>
  <c r="AB31" i="1" l="1" a="1"/>
  <c r="AB31" i="1" s="1"/>
  <c r="X31" i="1" a="1"/>
  <c r="X31" i="1" s="1"/>
  <c r="Y31" i="1" s="1"/>
  <c r="AA31" i="1"/>
  <c r="AK31" i="1" a="1"/>
  <c r="AK31" i="1" s="1"/>
  <c r="AL31" i="1" s="1"/>
  <c r="AE33" i="1" a="1"/>
  <c r="Q32" i="1"/>
  <c r="Q33" i="1" a="1"/>
  <c r="AE32" i="1"/>
  <c r="AM31" i="1" s="1" a="1"/>
  <c r="AM31" i="1" s="1"/>
  <c r="AB32" i="1" l="1" a="1"/>
  <c r="AB32" i="1" s="1"/>
  <c r="AK32" i="1" a="1"/>
  <c r="AK32" i="1" s="1"/>
  <c r="AL32" i="1" s="1"/>
  <c r="Z32" i="1" a="1"/>
  <c r="Z32" i="1" s="1"/>
  <c r="AA32" i="1"/>
  <c r="X32" i="1" a="1"/>
  <c r="X32" i="1" s="1"/>
  <c r="Y32" i="1" s="1"/>
  <c r="AE34" i="1" a="1"/>
  <c r="Q33" i="1"/>
  <c r="Z33" i="1" s="1" a="1"/>
  <c r="Z33" i="1" s="1"/>
  <c r="Q34" i="1" a="1"/>
  <c r="AE33" i="1"/>
  <c r="AK33" i="1" s="1" a="1"/>
  <c r="AK33" i="1" s="1"/>
  <c r="AL33" i="1" s="1"/>
  <c r="AB33" i="1" l="1" a="1"/>
  <c r="AB33" i="1" s="1"/>
  <c r="X33" i="1" a="1"/>
  <c r="X33" i="1" s="1"/>
  <c r="Y33" i="1" s="1"/>
  <c r="AA33" i="1"/>
  <c r="AM32" i="1" a="1"/>
  <c r="AM32" i="1" s="1"/>
  <c r="AE35" i="1" a="1"/>
  <c r="Q34" i="1"/>
  <c r="Z34" i="1" s="1" a="1"/>
  <c r="Z34" i="1" s="1"/>
  <c r="Q35" i="1" a="1"/>
  <c r="AE34" i="1"/>
  <c r="AM33" i="1" s="1" a="1"/>
  <c r="AM33" i="1" s="1"/>
  <c r="AB34" i="1" l="1" a="1"/>
  <c r="AB34" i="1" s="1"/>
  <c r="X34" i="1" a="1"/>
  <c r="X34" i="1" s="1"/>
  <c r="Y34" i="1" s="1"/>
  <c r="AA34" i="1"/>
  <c r="AK34" i="1" a="1"/>
  <c r="AK34" i="1" s="1"/>
  <c r="AL34" i="1" s="1"/>
  <c r="AE36" i="1" a="1"/>
  <c r="Q35" i="1"/>
  <c r="X35" i="1" s="1" a="1"/>
  <c r="X35" i="1" s="1"/>
  <c r="Y35" i="1" s="1"/>
  <c r="Q36" i="1" a="1"/>
  <c r="AE35" i="1"/>
  <c r="AM34" i="1" s="1" a="1"/>
  <c r="AM34" i="1" s="1"/>
  <c r="AB35" i="1" l="1" a="1"/>
  <c r="AB35" i="1" s="1"/>
  <c r="Z35" i="1" a="1"/>
  <c r="Z35" i="1" s="1"/>
  <c r="AA35" i="1"/>
  <c r="AK35" i="1" a="1"/>
  <c r="AK35" i="1" s="1"/>
  <c r="AL35" i="1" s="1"/>
  <c r="AE37" i="1" a="1"/>
  <c r="Q36" i="1"/>
  <c r="AB36" i="1" s="1" a="1"/>
  <c r="AB36" i="1" s="1"/>
  <c r="Q37" i="1" a="1"/>
  <c r="AE36" i="1"/>
  <c r="AK36" i="1" s="1" a="1"/>
  <c r="AK36" i="1" s="1"/>
  <c r="AL36" i="1" s="1"/>
  <c r="AM35" i="1" l="1" a="1"/>
  <c r="AM35" i="1" s="1"/>
  <c r="Z36" i="1" a="1"/>
  <c r="Z36" i="1" s="1"/>
  <c r="AA36" i="1"/>
  <c r="X36" i="1" a="1"/>
  <c r="X36" i="1" s="1"/>
  <c r="Y36" i="1" s="1"/>
  <c r="AE38" i="1" a="1"/>
  <c r="Q38" i="1" a="1"/>
  <c r="Q37" i="1"/>
  <c r="Z37" i="1" s="1" a="1"/>
  <c r="Z37" i="1" s="1"/>
  <c r="AE37" i="1"/>
  <c r="AK37" i="1" s="1" a="1"/>
  <c r="AK37" i="1" s="1"/>
  <c r="AL37" i="1" s="1"/>
  <c r="AB37" i="1" l="1" a="1"/>
  <c r="AB37" i="1" s="1"/>
  <c r="X37" i="1" a="1"/>
  <c r="X37" i="1" s="1"/>
  <c r="Y37" i="1" s="1"/>
  <c r="AA37" i="1"/>
  <c r="AM36" i="1" a="1"/>
  <c r="AM36" i="1" s="1"/>
  <c r="AE39" i="1" a="1"/>
  <c r="Q38" i="1"/>
  <c r="Z38" i="1" s="1" a="1"/>
  <c r="Z38" i="1" s="1"/>
  <c r="Q39" i="1" a="1"/>
  <c r="AE38" i="1"/>
  <c r="AK38" i="1" s="1" a="1"/>
  <c r="AK38" i="1" s="1"/>
  <c r="AL38" i="1" s="1"/>
  <c r="AB38" i="1" l="1" a="1"/>
  <c r="AB38" i="1" s="1"/>
  <c r="X38" i="1" a="1"/>
  <c r="X38" i="1" s="1"/>
  <c r="Y38" i="1" s="1"/>
  <c r="AA38" i="1"/>
  <c r="AM37" i="1" a="1"/>
  <c r="AM37" i="1" s="1"/>
  <c r="AE40" i="1" a="1"/>
  <c r="Q39" i="1"/>
  <c r="X39" i="1" s="1" a="1"/>
  <c r="X39" i="1" s="1"/>
  <c r="Y39" i="1" s="1"/>
  <c r="Q40" i="1" a="1"/>
  <c r="AE39" i="1"/>
  <c r="AK39" i="1" s="1" a="1"/>
  <c r="AK39" i="1" s="1"/>
  <c r="AL39" i="1" s="1"/>
  <c r="AB39" i="1" l="1" a="1"/>
  <c r="AB39" i="1" s="1"/>
  <c r="Z39" i="1" a="1"/>
  <c r="Z39" i="1" s="1"/>
  <c r="AA39" i="1"/>
  <c r="AM38" i="1" a="1"/>
  <c r="AM38" i="1" s="1"/>
  <c r="AE41" i="1" a="1"/>
  <c r="Q40" i="1"/>
  <c r="X40" i="1" s="1" a="1"/>
  <c r="X40" i="1" s="1"/>
  <c r="Y40" i="1" s="1"/>
  <c r="Q41" i="1" a="1"/>
  <c r="AE40" i="1"/>
  <c r="AK40" i="1" s="1" a="1"/>
  <c r="AK40" i="1" s="1"/>
  <c r="AL40" i="1" s="1"/>
  <c r="AB40" i="1" l="1" a="1"/>
  <c r="AB40" i="1" s="1"/>
  <c r="Z40" i="1" a="1"/>
  <c r="Z40" i="1" s="1"/>
  <c r="AA40" i="1"/>
  <c r="AM39" i="1" a="1"/>
  <c r="AM39" i="1" s="1"/>
  <c r="AE42" i="1" a="1"/>
  <c r="Q42" i="1" a="1"/>
  <c r="Q41" i="1"/>
  <c r="AB41" i="1" s="1" a="1"/>
  <c r="AB41" i="1" s="1"/>
  <c r="AE41" i="1"/>
  <c r="AM40" i="1" s="1" a="1"/>
  <c r="AM40" i="1" s="1"/>
  <c r="AK41" i="1" l="1" a="1"/>
  <c r="AK41" i="1" s="1"/>
  <c r="AL41" i="1" s="1"/>
  <c r="Z41" i="1" a="1"/>
  <c r="Z41" i="1" s="1"/>
  <c r="AA41" i="1"/>
  <c r="X41" i="1" a="1"/>
  <c r="X41" i="1" s="1"/>
  <c r="Y41" i="1" s="1"/>
  <c r="AE43" i="1" a="1"/>
  <c r="Q43" i="1" a="1"/>
  <c r="Q42" i="1"/>
  <c r="AB42" i="1" s="1" a="1"/>
  <c r="AB42" i="1" s="1"/>
  <c r="AE42" i="1"/>
  <c r="AK42" i="1" s="1" a="1"/>
  <c r="AK42" i="1" s="1"/>
  <c r="AL42" i="1" s="1"/>
  <c r="X42" i="1" l="1" a="1"/>
  <c r="X42" i="1" s="1"/>
  <c r="Y42" i="1" s="1"/>
  <c r="AA42" i="1"/>
  <c r="Z42" i="1" a="1"/>
  <c r="Z42" i="1" s="1"/>
  <c r="AM41" i="1" a="1"/>
  <c r="AM41" i="1" s="1"/>
  <c r="AE44" i="1" a="1"/>
  <c r="Q43" i="1"/>
  <c r="X43" i="1" s="1" a="1"/>
  <c r="X43" i="1" s="1"/>
  <c r="Y43" i="1" s="1"/>
  <c r="Q44" i="1" a="1"/>
  <c r="AE43" i="1"/>
  <c r="AM42" i="1" s="1" a="1"/>
  <c r="AM42" i="1" s="1"/>
  <c r="AB43" i="1" l="1" a="1"/>
  <c r="AB43" i="1" s="1"/>
  <c r="Z43" i="1" a="1"/>
  <c r="Z43" i="1" s="1"/>
  <c r="AA43" i="1"/>
  <c r="AK43" i="1" a="1"/>
  <c r="AK43" i="1" s="1"/>
  <c r="AL43" i="1" s="1"/>
  <c r="AE45" i="1" a="1"/>
  <c r="Q44" i="1"/>
  <c r="AB44" i="1" s="1" a="1"/>
  <c r="AB44" i="1" s="1"/>
  <c r="Q45" i="1" a="1"/>
  <c r="AE44" i="1"/>
  <c r="AM43" i="1" s="1" a="1"/>
  <c r="AM43" i="1" s="1"/>
  <c r="Z44" i="1" l="1" a="1"/>
  <c r="Z44" i="1" s="1"/>
  <c r="X44" i="1" a="1"/>
  <c r="X44" i="1" s="1"/>
  <c r="Y44" i="1" s="1"/>
  <c r="AA44" i="1"/>
  <c r="AK44" i="1" a="1"/>
  <c r="AK44" i="1" s="1"/>
  <c r="AL44" i="1" s="1"/>
  <c r="AE46" i="1" a="1"/>
  <c r="Q45" i="1"/>
  <c r="AB45" i="1" s="1" a="1"/>
  <c r="AB45" i="1" s="1"/>
  <c r="Q46" i="1" a="1"/>
  <c r="AE45" i="1"/>
  <c r="AK45" i="1" s="1" a="1"/>
  <c r="AK45" i="1" s="1"/>
  <c r="AL45" i="1" s="1"/>
  <c r="X45" i="1" l="1" a="1"/>
  <c r="X45" i="1" s="1"/>
  <c r="Y45" i="1" s="1"/>
  <c r="Z45" i="1" a="1"/>
  <c r="Z45" i="1" s="1"/>
  <c r="AA45" i="1"/>
  <c r="AM44" i="1" a="1"/>
  <c r="AM44" i="1" s="1"/>
  <c r="AE47" i="1" a="1"/>
  <c r="Q46" i="1"/>
  <c r="AB46" i="1" s="1" a="1"/>
  <c r="AB46" i="1" s="1"/>
  <c r="Q47" i="1" a="1"/>
  <c r="AE46" i="1"/>
  <c r="AM45" i="1" s="1" a="1"/>
  <c r="AM45" i="1" s="1"/>
  <c r="Z46" i="1" l="1" a="1"/>
  <c r="Z46" i="1" s="1"/>
  <c r="X46" i="1" a="1"/>
  <c r="X46" i="1" s="1"/>
  <c r="Y46" i="1" s="1"/>
  <c r="AA46" i="1"/>
  <c r="AK46" i="1" a="1"/>
  <c r="AK46" i="1" s="1"/>
  <c r="AL46" i="1" s="1"/>
  <c r="AE48" i="1" a="1"/>
  <c r="Q47" i="1"/>
  <c r="AB47" i="1" s="1" a="1"/>
  <c r="AB47" i="1" s="1"/>
  <c r="Q48" i="1" a="1"/>
  <c r="AE47" i="1"/>
  <c r="AK47" i="1" s="1" a="1"/>
  <c r="AK47" i="1" s="1"/>
  <c r="AL47" i="1" s="1"/>
  <c r="X47" i="1" l="1" a="1"/>
  <c r="X47" i="1" s="1"/>
  <c r="Y47" i="1" s="1"/>
  <c r="Z47" i="1" a="1"/>
  <c r="Z47" i="1" s="1"/>
  <c r="AA47" i="1"/>
  <c r="AM46" i="1" a="1"/>
  <c r="AM46" i="1" s="1"/>
  <c r="AE49" i="1" a="1"/>
  <c r="Q48" i="1"/>
  <c r="AB48" i="1" s="1" a="1"/>
  <c r="AB48" i="1" s="1"/>
  <c r="Q49" i="1" a="1"/>
  <c r="AE48" i="1"/>
  <c r="AK48" i="1" s="1" a="1"/>
  <c r="AK48" i="1" s="1"/>
  <c r="AL48" i="1" s="1"/>
  <c r="X48" i="1" l="1" a="1"/>
  <c r="X48" i="1" s="1"/>
  <c r="Y48" i="1" s="1"/>
  <c r="Z48" i="1" a="1"/>
  <c r="Z48" i="1" s="1"/>
  <c r="AA48" i="1"/>
  <c r="AM47" i="1" a="1"/>
  <c r="AM47" i="1" s="1"/>
  <c r="AE50" i="1" a="1"/>
  <c r="Q50" i="1" a="1"/>
  <c r="Q49" i="1"/>
  <c r="AB49" i="1" s="1" a="1"/>
  <c r="AB49" i="1" s="1"/>
  <c r="AE49" i="1"/>
  <c r="AK49" i="1" s="1" a="1"/>
  <c r="AK49" i="1" s="1"/>
  <c r="AL49" i="1" s="1"/>
  <c r="X49" i="1" l="1" a="1"/>
  <c r="X49" i="1" s="1"/>
  <c r="Y49" i="1" s="1"/>
  <c r="Z49" i="1" a="1"/>
  <c r="Z49" i="1" s="1"/>
  <c r="AA49" i="1"/>
  <c r="AM48" i="1" a="1"/>
  <c r="AM48" i="1" s="1"/>
  <c r="AE51" i="1" a="1"/>
  <c r="Q50" i="1"/>
  <c r="AB50" i="1" s="1" a="1"/>
  <c r="AB50" i="1" s="1"/>
  <c r="Q51" i="1" a="1"/>
  <c r="AE50" i="1"/>
  <c r="AM49" i="1" s="1" a="1"/>
  <c r="AM49" i="1" s="1"/>
  <c r="Z50" i="1" l="1" a="1"/>
  <c r="Z50" i="1" s="1"/>
  <c r="X50" i="1" a="1"/>
  <c r="X50" i="1" s="1"/>
  <c r="Y50" i="1" s="1"/>
  <c r="AA50" i="1"/>
  <c r="AK50" i="1" a="1"/>
  <c r="AK50" i="1" s="1"/>
  <c r="AL50" i="1" s="1"/>
  <c r="AE52" i="1" a="1"/>
  <c r="Q51" i="1"/>
  <c r="AB51" i="1" s="1" a="1"/>
  <c r="AB51" i="1" s="1"/>
  <c r="Q52" i="1" a="1"/>
  <c r="AE51" i="1"/>
  <c r="AM50" i="1" s="1" a="1"/>
  <c r="AM50" i="1" s="1"/>
  <c r="X51" i="1" l="1" a="1"/>
  <c r="X51" i="1" s="1"/>
  <c r="Y51" i="1" s="1"/>
  <c r="Z51" i="1" a="1"/>
  <c r="Z51" i="1" s="1"/>
  <c r="AA51" i="1"/>
  <c r="AK51" i="1" a="1"/>
  <c r="AK51" i="1" s="1"/>
  <c r="AL51" i="1" s="1"/>
  <c r="AE53" i="1" a="1"/>
  <c r="Q52" i="1"/>
  <c r="AB52" i="1" s="1" a="1"/>
  <c r="AB52" i="1" s="1"/>
  <c r="Q53" i="1" a="1"/>
  <c r="AE52" i="1"/>
  <c r="AM51" i="1" s="1" a="1"/>
  <c r="AM51" i="1" s="1"/>
  <c r="Z52" i="1" l="1" a="1"/>
  <c r="Z52" i="1" s="1"/>
  <c r="X52" i="1" a="1"/>
  <c r="X52" i="1" s="1"/>
  <c r="Y52" i="1" s="1"/>
  <c r="AA52" i="1"/>
  <c r="AK52" i="1" a="1"/>
  <c r="AK52" i="1" s="1"/>
  <c r="AL52" i="1" s="1"/>
  <c r="AE54" i="1" a="1"/>
  <c r="Q54" i="1" a="1"/>
  <c r="Q53" i="1"/>
  <c r="AB53" i="1" s="1" a="1"/>
  <c r="AB53" i="1" s="1"/>
  <c r="AE53" i="1"/>
  <c r="AM52" i="1" s="1" a="1"/>
  <c r="AM52" i="1" s="1"/>
  <c r="AK53" i="1" l="1" a="1"/>
  <c r="AK53" i="1" s="1"/>
  <c r="AL53" i="1" s="1"/>
  <c r="Z53" i="1" a="1"/>
  <c r="Z53" i="1" s="1"/>
  <c r="AA53" i="1"/>
  <c r="X53" i="1" a="1"/>
  <c r="X53" i="1" s="1"/>
  <c r="Y53" i="1" s="1"/>
  <c r="AE55" i="1" a="1"/>
  <c r="Q54" i="1"/>
  <c r="AB54" i="1" s="1" a="1"/>
  <c r="AB54" i="1" s="1"/>
  <c r="Q55" i="1" a="1"/>
  <c r="AE54" i="1"/>
  <c r="AK54" i="1" s="1" a="1"/>
  <c r="AK54" i="1" s="1"/>
  <c r="AL54" i="1" s="1"/>
  <c r="Z54" i="1" l="1" a="1"/>
  <c r="Z54" i="1" s="1"/>
  <c r="X54" i="1" a="1"/>
  <c r="X54" i="1" s="1"/>
  <c r="Y54" i="1" s="1"/>
  <c r="AA54" i="1"/>
  <c r="AM53" i="1" a="1"/>
  <c r="AM53" i="1" s="1"/>
  <c r="AE56" i="1" a="1"/>
  <c r="Q56" i="1" a="1"/>
  <c r="Q55" i="1"/>
  <c r="AB55" i="1" s="1" a="1"/>
  <c r="AB55" i="1" s="1"/>
  <c r="AE55" i="1"/>
  <c r="AM54" i="1" s="1" a="1"/>
  <c r="AM54" i="1" s="1"/>
  <c r="Z55" i="1" l="1" a="1"/>
  <c r="Z55" i="1" s="1"/>
  <c r="X55" i="1" a="1"/>
  <c r="X55" i="1" s="1"/>
  <c r="Y55" i="1" s="1"/>
  <c r="AA55" i="1"/>
  <c r="AK55" i="1" a="1"/>
  <c r="AK55" i="1" s="1"/>
  <c r="AL55" i="1" s="1"/>
  <c r="AE57" i="1" a="1"/>
  <c r="Q57" i="1" a="1"/>
  <c r="Q56" i="1"/>
  <c r="X56" i="1" s="1" a="1"/>
  <c r="X56" i="1" s="1"/>
  <c r="Y56" i="1" s="1"/>
  <c r="AE56" i="1"/>
  <c r="AK56" i="1" s="1" a="1"/>
  <c r="AK56" i="1" s="1"/>
  <c r="AL56" i="1" s="1"/>
  <c r="AB56" i="1" l="1" a="1"/>
  <c r="AB56" i="1" s="1"/>
  <c r="Z56" i="1" a="1"/>
  <c r="Z56" i="1" s="1"/>
  <c r="AA56" i="1"/>
  <c r="AM55" i="1" a="1"/>
  <c r="AM55" i="1" s="1"/>
  <c r="AE58" i="1" a="1"/>
  <c r="Q58" i="1" a="1"/>
  <c r="Q57" i="1"/>
  <c r="AB57" i="1" s="1" a="1"/>
  <c r="AB57" i="1" s="1"/>
  <c r="AE57" i="1"/>
  <c r="AK57" i="1" s="1" a="1"/>
  <c r="AK57" i="1" s="1"/>
  <c r="AL57" i="1" s="1"/>
  <c r="X57" i="1" l="1" a="1"/>
  <c r="X57" i="1" s="1"/>
  <c r="Y57" i="1" s="1"/>
  <c r="Z57" i="1" a="1"/>
  <c r="Z57" i="1" s="1"/>
  <c r="AA57" i="1"/>
  <c r="AM56" i="1" a="1"/>
  <c r="AM56" i="1" s="1"/>
  <c r="AE59" i="1" a="1"/>
  <c r="Q58" i="1"/>
  <c r="AB58" i="1" s="1" a="1"/>
  <c r="AB58" i="1" s="1"/>
  <c r="Q59" i="1" a="1"/>
  <c r="AE58" i="1"/>
  <c r="AM57" i="1" s="1" a="1"/>
  <c r="AM57" i="1" s="1"/>
  <c r="Z58" i="1" l="1" a="1"/>
  <c r="Z58" i="1" s="1"/>
  <c r="X58" i="1" a="1"/>
  <c r="X58" i="1" s="1"/>
  <c r="Y58" i="1" s="1"/>
  <c r="AA58" i="1"/>
  <c r="AK58" i="1" a="1"/>
  <c r="AK58" i="1" s="1"/>
  <c r="AL58" i="1" s="1"/>
  <c r="AE60" i="1" a="1"/>
  <c r="Q59" i="1"/>
  <c r="AB59" i="1" s="1" a="1"/>
  <c r="AB59" i="1" s="1"/>
  <c r="Q60" i="1" a="1"/>
  <c r="AE59" i="1"/>
  <c r="AM58" i="1" s="1" a="1"/>
  <c r="AM58" i="1" s="1"/>
  <c r="X59" i="1" l="1" a="1"/>
  <c r="X59" i="1" s="1"/>
  <c r="Y59" i="1" s="1"/>
  <c r="Z59" i="1" a="1"/>
  <c r="Z59" i="1" s="1"/>
  <c r="AA59" i="1"/>
  <c r="AK59" i="1" a="1"/>
  <c r="AK59" i="1" s="1"/>
  <c r="AL59" i="1" s="1"/>
  <c r="AE61" i="1" a="1"/>
  <c r="Q60" i="1"/>
  <c r="AB60" i="1" s="1" a="1"/>
  <c r="AB60" i="1" s="1"/>
  <c r="Q61" i="1" a="1"/>
  <c r="AE60" i="1"/>
  <c r="AM59" i="1" s="1" a="1"/>
  <c r="AM59" i="1" s="1"/>
  <c r="X60" i="1" l="1" a="1"/>
  <c r="X60" i="1" s="1"/>
  <c r="Y60" i="1" s="1"/>
  <c r="Z60" i="1" a="1"/>
  <c r="Z60" i="1" s="1"/>
  <c r="AA60" i="1"/>
  <c r="AK60" i="1" a="1"/>
  <c r="AK60" i="1" s="1"/>
  <c r="AL60" i="1" s="1"/>
  <c r="AE62" i="1" a="1"/>
  <c r="Q62" i="1" a="1"/>
  <c r="Q61" i="1"/>
  <c r="Z61" i="1" s="1" a="1"/>
  <c r="Z61" i="1" s="1"/>
  <c r="AE61" i="1"/>
  <c r="AM60" i="1" s="1" a="1"/>
  <c r="AM60" i="1" s="1"/>
  <c r="AB61" i="1" l="1" a="1"/>
  <c r="AB61" i="1" s="1"/>
  <c r="X61" i="1" a="1"/>
  <c r="X61" i="1" s="1"/>
  <c r="Y61" i="1" s="1"/>
  <c r="AA61" i="1"/>
  <c r="AK61" i="1" a="1"/>
  <c r="AK61" i="1" s="1"/>
  <c r="AL61" i="1" s="1"/>
  <c r="AE63" i="1" a="1"/>
  <c r="Q62" i="1"/>
  <c r="AB62" i="1" s="1" a="1"/>
  <c r="AB62" i="1" s="1"/>
  <c r="Q63" i="1" a="1"/>
  <c r="AE62" i="1"/>
  <c r="AM61" i="1" s="1" a="1"/>
  <c r="AM61" i="1" s="1"/>
  <c r="AK62" i="1" l="1" a="1"/>
  <c r="AK62" i="1" s="1"/>
  <c r="AL62" i="1" s="1"/>
  <c r="Z62" i="1" a="1"/>
  <c r="Z62" i="1" s="1"/>
  <c r="AA62" i="1"/>
  <c r="X62" i="1" a="1"/>
  <c r="X62" i="1" s="1"/>
  <c r="Y62" i="1" s="1"/>
  <c r="AE64" i="1" a="1"/>
  <c r="Q63" i="1"/>
  <c r="AB63" i="1" s="1" a="1"/>
  <c r="AB63" i="1" s="1"/>
  <c r="Q64" i="1" a="1"/>
  <c r="AE63" i="1"/>
  <c r="AK63" i="1" s="1" a="1"/>
  <c r="AK63" i="1" s="1"/>
  <c r="AL63" i="1" s="1"/>
  <c r="Z63" i="1" l="1" a="1"/>
  <c r="Z63" i="1" s="1"/>
  <c r="X63" i="1" a="1"/>
  <c r="X63" i="1" s="1"/>
  <c r="Y63" i="1" s="1"/>
  <c r="AA63" i="1"/>
  <c r="AM62" i="1" a="1"/>
  <c r="AM62" i="1" s="1"/>
  <c r="AE65" i="1" a="1"/>
  <c r="Q64" i="1"/>
  <c r="AB64" i="1" s="1" a="1"/>
  <c r="AB64" i="1" s="1"/>
  <c r="Q65" i="1" a="1"/>
  <c r="AE64" i="1"/>
  <c r="AK64" i="1" s="1" a="1"/>
  <c r="AK64" i="1" s="1"/>
  <c r="AL64" i="1" s="1"/>
  <c r="Z64" i="1" l="1" a="1"/>
  <c r="Z64" i="1" s="1"/>
  <c r="AA64" i="1"/>
  <c r="X64" i="1" a="1"/>
  <c r="X64" i="1" s="1"/>
  <c r="Y64" i="1" s="1"/>
  <c r="AM63" i="1" a="1"/>
  <c r="AM63" i="1" s="1"/>
  <c r="AE66" i="1" a="1"/>
  <c r="Q65" i="1"/>
  <c r="Z65" i="1" s="1" a="1"/>
  <c r="Z65" i="1" s="1"/>
  <c r="Q66" i="1" a="1"/>
  <c r="AE65" i="1"/>
  <c r="AK65" i="1" s="1" a="1"/>
  <c r="AK65" i="1" s="1"/>
  <c r="AL65" i="1" s="1"/>
  <c r="AB65" i="1" l="1" a="1"/>
  <c r="AB65" i="1" s="1"/>
  <c r="X65" i="1" a="1"/>
  <c r="X65" i="1" s="1"/>
  <c r="Y65" i="1" s="1"/>
  <c r="AA65" i="1"/>
  <c r="AM64" i="1" a="1"/>
  <c r="AM64" i="1" s="1"/>
  <c r="AE67" i="1" a="1"/>
  <c r="Q66" i="1"/>
  <c r="AB66" i="1" s="1" a="1"/>
  <c r="AB66" i="1" s="1"/>
  <c r="Q67" i="1" a="1"/>
  <c r="AE66" i="1"/>
  <c r="AM65" i="1" s="1" a="1"/>
  <c r="AM65" i="1" s="1"/>
  <c r="Z66" i="1" l="1" a="1"/>
  <c r="Z66" i="1" s="1"/>
  <c r="X66" i="1" a="1"/>
  <c r="X66" i="1" s="1"/>
  <c r="Y66" i="1" s="1"/>
  <c r="AA66" i="1"/>
  <c r="AK66" i="1" a="1"/>
  <c r="AK66" i="1" s="1"/>
  <c r="AL66" i="1" s="1"/>
  <c r="AE68" i="1" a="1"/>
  <c r="Q67" i="1"/>
  <c r="X67" i="1" s="1" a="1"/>
  <c r="X67" i="1" s="1"/>
  <c r="Y67" i="1" s="1"/>
  <c r="Q68" i="1" a="1"/>
  <c r="AE67" i="1"/>
  <c r="AM66" i="1" s="1" a="1"/>
  <c r="AM66" i="1" s="1"/>
  <c r="AB67" i="1" l="1" a="1"/>
  <c r="AB67" i="1" s="1"/>
  <c r="Z67" i="1" a="1"/>
  <c r="Z67" i="1" s="1"/>
  <c r="AA67" i="1"/>
  <c r="AK67" i="1" a="1"/>
  <c r="AK67" i="1" s="1"/>
  <c r="AL67" i="1" s="1"/>
  <c r="AE69" i="1" a="1"/>
  <c r="Q69" i="1" a="1"/>
  <c r="Q68" i="1"/>
  <c r="AB68" i="1" s="1" a="1"/>
  <c r="AB68" i="1" s="1"/>
  <c r="AE68" i="1"/>
  <c r="AK68" i="1" s="1" a="1"/>
  <c r="AK68" i="1" s="1"/>
  <c r="AL68" i="1" s="1"/>
  <c r="AM67" i="1" l="1" a="1"/>
  <c r="AM67" i="1" s="1"/>
  <c r="X68" i="1" a="1"/>
  <c r="X68" i="1" s="1"/>
  <c r="Y68" i="1" s="1"/>
  <c r="AA68" i="1"/>
  <c r="Z68" i="1" a="1"/>
  <c r="Z68" i="1" s="1"/>
  <c r="AE70" i="1" a="1"/>
  <c r="Q69" i="1"/>
  <c r="AB69" i="1" s="1" a="1"/>
  <c r="AB69" i="1" s="1"/>
  <c r="Q70" i="1" a="1"/>
  <c r="AE69" i="1"/>
  <c r="AK69" i="1" s="1" a="1"/>
  <c r="AK69" i="1" s="1"/>
  <c r="AL69" i="1" s="1"/>
  <c r="Z69" i="1" l="1" a="1"/>
  <c r="Z69" i="1" s="1"/>
  <c r="X69" i="1" a="1"/>
  <c r="X69" i="1" s="1"/>
  <c r="Y69" i="1" s="1"/>
  <c r="AA69" i="1"/>
  <c r="AM68" i="1" a="1"/>
  <c r="AM68" i="1" s="1"/>
  <c r="AE71" i="1" a="1"/>
  <c r="Q70" i="1"/>
  <c r="AB70" i="1" s="1" a="1"/>
  <c r="AB70" i="1" s="1"/>
  <c r="Q71" i="1" a="1"/>
  <c r="AE70" i="1"/>
  <c r="AM69" i="1" s="1" a="1"/>
  <c r="AM69" i="1" s="1"/>
  <c r="X70" i="1" l="1" a="1"/>
  <c r="X70" i="1" s="1"/>
  <c r="Y70" i="1" s="1"/>
  <c r="Z70" i="1" a="1"/>
  <c r="Z70" i="1" s="1"/>
  <c r="AA70" i="1"/>
  <c r="AK70" i="1" a="1"/>
  <c r="AK70" i="1" s="1"/>
  <c r="AL70" i="1" s="1"/>
  <c r="AE72" i="1" a="1"/>
  <c r="Q71" i="1"/>
  <c r="AB71" i="1" s="1" a="1"/>
  <c r="AB71" i="1" s="1"/>
  <c r="Q72" i="1" a="1"/>
  <c r="Z71" i="1" a="1"/>
  <c r="Z71" i="1" s="1"/>
  <c r="AE71" i="1"/>
  <c r="AM70" i="1" s="1" a="1"/>
  <c r="AM70" i="1" s="1"/>
  <c r="X71" i="1" l="1" a="1"/>
  <c r="X71" i="1" s="1"/>
  <c r="Y71" i="1" s="1"/>
  <c r="AA71" i="1"/>
  <c r="AK71" i="1" a="1"/>
  <c r="AK71" i="1" s="1"/>
  <c r="AL71" i="1" s="1"/>
  <c r="AE73" i="1" a="1"/>
  <c r="Q72" i="1"/>
  <c r="AB72" i="1" s="1" a="1"/>
  <c r="AB72" i="1" s="1"/>
  <c r="Q73" i="1" a="1"/>
  <c r="AE72" i="1"/>
  <c r="AM71" i="1" s="1" a="1"/>
  <c r="AM71" i="1" s="1"/>
  <c r="X72" i="1" l="1" a="1"/>
  <c r="X72" i="1" s="1"/>
  <c r="Y72" i="1" s="1"/>
  <c r="Z72" i="1" a="1"/>
  <c r="Z72" i="1" s="1"/>
  <c r="AA72" i="1"/>
  <c r="AK72" i="1" a="1"/>
  <c r="AK72" i="1" s="1"/>
  <c r="AL72" i="1" s="1"/>
  <c r="AE74" i="1" a="1"/>
  <c r="Q74" i="1" a="1"/>
  <c r="Q73" i="1"/>
  <c r="AB73" i="1" s="1" a="1"/>
  <c r="AB73" i="1" s="1"/>
  <c r="AE73" i="1"/>
  <c r="AK73" i="1" s="1" a="1"/>
  <c r="AK73" i="1" s="1"/>
  <c r="AL73" i="1" s="1"/>
  <c r="AM72" i="1" l="1" a="1"/>
  <c r="AM72" i="1" s="1"/>
  <c r="Z73" i="1" a="1"/>
  <c r="Z73" i="1" s="1"/>
  <c r="AA73" i="1"/>
  <c r="X73" i="1" a="1"/>
  <c r="X73" i="1" s="1"/>
  <c r="Y73" i="1" s="1"/>
  <c r="AE75" i="1" a="1"/>
  <c r="Q74" i="1"/>
  <c r="AB74" i="1" s="1" a="1"/>
  <c r="AB74" i="1" s="1"/>
  <c r="Q75" i="1" a="1"/>
  <c r="AE74" i="1"/>
  <c r="AM73" i="1" s="1" a="1"/>
  <c r="AM73" i="1" s="1"/>
  <c r="Z74" i="1" l="1" a="1"/>
  <c r="Z74" i="1" s="1"/>
  <c r="X74" i="1" a="1"/>
  <c r="X74" i="1" s="1"/>
  <c r="Y74" i="1" s="1"/>
  <c r="AA74" i="1"/>
  <c r="AK74" i="1" a="1"/>
  <c r="AK74" i="1" s="1"/>
  <c r="AL74" i="1" s="1"/>
  <c r="AE76" i="1" a="1"/>
  <c r="Q75" i="1"/>
  <c r="AB75" i="1" s="1" a="1"/>
  <c r="AB75" i="1" s="1"/>
  <c r="Q76" i="1" a="1"/>
  <c r="AE75" i="1"/>
  <c r="AM74" i="1" s="1" a="1"/>
  <c r="AM74" i="1" s="1"/>
  <c r="X75" i="1" l="1" a="1"/>
  <c r="X75" i="1" s="1"/>
  <c r="Y75" i="1" s="1"/>
  <c r="Z75" i="1" a="1"/>
  <c r="Z75" i="1" s="1"/>
  <c r="AA75" i="1"/>
  <c r="AK75" i="1" a="1"/>
  <c r="AK75" i="1" s="1"/>
  <c r="AL75" i="1" s="1"/>
  <c r="AE77" i="1" a="1"/>
  <c r="Q76" i="1"/>
  <c r="AB76" i="1" s="1" a="1"/>
  <c r="AB76" i="1" s="1"/>
  <c r="Q77" i="1" a="1"/>
  <c r="AE76" i="1"/>
  <c r="AM75" i="1" s="1" a="1"/>
  <c r="AM75" i="1" s="1"/>
  <c r="Z76" i="1" l="1" a="1"/>
  <c r="Z76" i="1" s="1"/>
  <c r="X76" i="1" a="1"/>
  <c r="X76" i="1" s="1"/>
  <c r="Y76" i="1" s="1"/>
  <c r="AA76" i="1"/>
  <c r="AK76" i="1" a="1"/>
  <c r="AK76" i="1" s="1"/>
  <c r="AL76" i="1" s="1"/>
  <c r="AE78" i="1" a="1"/>
  <c r="Q78" i="1" a="1"/>
  <c r="Q77" i="1"/>
  <c r="AB77" i="1" s="1" a="1"/>
  <c r="AB77" i="1" s="1"/>
  <c r="AE77" i="1"/>
  <c r="AK77" i="1" s="1" a="1"/>
  <c r="AK77" i="1" s="1"/>
  <c r="AL77" i="1" s="1"/>
  <c r="AM76" i="1" l="1" a="1"/>
  <c r="AM76" i="1" s="1"/>
  <c r="Z77" i="1" a="1"/>
  <c r="Z77" i="1" s="1"/>
  <c r="AA77" i="1"/>
  <c r="X77" i="1" a="1"/>
  <c r="X77" i="1" s="1"/>
  <c r="Y77" i="1" s="1"/>
  <c r="AE79" i="1" a="1"/>
  <c r="Q78" i="1"/>
  <c r="AB78" i="1" s="1" a="1"/>
  <c r="AB78" i="1" s="1"/>
  <c r="Q79" i="1" a="1"/>
  <c r="AE78" i="1"/>
  <c r="AK78" i="1" s="1" a="1"/>
  <c r="AK78" i="1" s="1"/>
  <c r="AL78" i="1" s="1"/>
  <c r="Z78" i="1" l="1" a="1"/>
  <c r="Z78" i="1" s="1"/>
  <c r="X78" i="1" a="1"/>
  <c r="X78" i="1" s="1"/>
  <c r="Y78" i="1" s="1"/>
  <c r="AA78" i="1"/>
  <c r="AM77" i="1" a="1"/>
  <c r="AM77" i="1" s="1"/>
  <c r="AE80" i="1" a="1"/>
  <c r="Q79" i="1"/>
  <c r="AB79" i="1" s="1" a="1"/>
  <c r="AB79" i="1" s="1"/>
  <c r="Q80" i="1" a="1"/>
  <c r="Z79" i="1" a="1"/>
  <c r="Z79" i="1" s="1"/>
  <c r="AE79" i="1"/>
  <c r="AM78" i="1" s="1" a="1"/>
  <c r="AM78" i="1" s="1"/>
  <c r="X79" i="1" l="1" a="1"/>
  <c r="X79" i="1" s="1"/>
  <c r="Y79" i="1" s="1"/>
  <c r="AA79" i="1"/>
  <c r="AK79" i="1" a="1"/>
  <c r="AK79" i="1" s="1"/>
  <c r="AL79" i="1" s="1"/>
  <c r="AE81" i="1" a="1"/>
  <c r="Q80" i="1"/>
  <c r="AB80" i="1" s="1" a="1"/>
  <c r="AB80" i="1" s="1"/>
  <c r="Q81" i="1" a="1"/>
  <c r="AE80" i="1"/>
  <c r="AM79" i="1" s="1" a="1"/>
  <c r="AM79" i="1" s="1"/>
  <c r="X80" i="1" l="1" a="1"/>
  <c r="X80" i="1" s="1"/>
  <c r="Y80" i="1" s="1"/>
  <c r="Z80" i="1" a="1"/>
  <c r="Z80" i="1" s="1"/>
  <c r="AA80" i="1"/>
  <c r="AK80" i="1" a="1"/>
  <c r="AK80" i="1" s="1"/>
  <c r="AL80" i="1" s="1"/>
  <c r="AE82" i="1" a="1"/>
  <c r="Q81" i="1"/>
  <c r="AB81" i="1" s="1" a="1"/>
  <c r="AB81" i="1" s="1"/>
  <c r="Q82" i="1" a="1"/>
  <c r="AE81" i="1"/>
  <c r="AM80" i="1" s="1" a="1"/>
  <c r="AM80" i="1" s="1"/>
  <c r="X81" i="1" l="1" a="1"/>
  <c r="X81" i="1" s="1"/>
  <c r="Y81" i="1" s="1"/>
  <c r="Z81" i="1" a="1"/>
  <c r="Z81" i="1" s="1"/>
  <c r="AA81" i="1"/>
  <c r="AK81" i="1" a="1"/>
  <c r="AK81" i="1" s="1"/>
  <c r="AL81" i="1" s="1"/>
  <c r="AE83" i="1" a="1"/>
  <c r="Q82" i="1"/>
  <c r="Z82" i="1" s="1" a="1"/>
  <c r="Z82" i="1" s="1"/>
  <c r="Q83" i="1" a="1"/>
  <c r="AE82" i="1"/>
  <c r="AK82" i="1" s="1" a="1"/>
  <c r="AK82" i="1" s="1"/>
  <c r="AL82" i="1" s="1"/>
  <c r="AB82" i="1" l="1" a="1"/>
  <c r="AB82" i="1" s="1"/>
  <c r="X82" i="1" a="1"/>
  <c r="X82" i="1" s="1"/>
  <c r="Y82" i="1" s="1"/>
  <c r="AA82" i="1"/>
  <c r="AM81" i="1" a="1"/>
  <c r="AM81" i="1" s="1"/>
  <c r="AE84" i="1" a="1"/>
  <c r="Q83" i="1"/>
  <c r="AB83" i="1" s="1" a="1"/>
  <c r="AB83" i="1" s="1"/>
  <c r="Q84" i="1" a="1"/>
  <c r="AE83" i="1"/>
  <c r="AK83" i="1" s="1" a="1"/>
  <c r="AK83" i="1" s="1"/>
  <c r="AL83" i="1" s="1"/>
  <c r="X83" i="1" l="1" a="1"/>
  <c r="X83" i="1" s="1"/>
  <c r="Y83" i="1" s="1"/>
  <c r="Z83" i="1" a="1"/>
  <c r="Z83" i="1" s="1"/>
  <c r="AA83" i="1"/>
  <c r="AM82" i="1" a="1"/>
  <c r="AM82" i="1" s="1"/>
  <c r="AE85" i="1" a="1"/>
  <c r="Q85" i="1" a="1"/>
  <c r="Q84" i="1"/>
  <c r="AB84" i="1" s="1" a="1"/>
  <c r="AB84" i="1" s="1"/>
  <c r="AE84" i="1"/>
  <c r="AK84" i="1" s="1" a="1"/>
  <c r="AK84" i="1" s="1"/>
  <c r="AL84" i="1" s="1"/>
  <c r="Z84" i="1" l="1" a="1"/>
  <c r="Z84" i="1" s="1"/>
  <c r="X84" i="1" a="1"/>
  <c r="X84" i="1" s="1"/>
  <c r="Y84" i="1" s="1"/>
  <c r="AA84" i="1"/>
  <c r="AM83" i="1" a="1"/>
  <c r="AM83" i="1" s="1"/>
  <c r="AE86" i="1" a="1"/>
  <c r="Q85" i="1"/>
  <c r="AB85" i="1" s="1" a="1"/>
  <c r="AB85" i="1" s="1"/>
  <c r="Q86" i="1" a="1"/>
  <c r="AE85" i="1"/>
  <c r="AM84" i="1" s="1" a="1"/>
  <c r="AM84" i="1" s="1"/>
  <c r="AK85" i="1" l="1" a="1"/>
  <c r="AK85" i="1" s="1"/>
  <c r="AL85" i="1" s="1"/>
  <c r="X85" i="1" a="1"/>
  <c r="X85" i="1" s="1"/>
  <c r="Y85" i="1" s="1"/>
  <c r="AA85" i="1"/>
  <c r="Z85" i="1" a="1"/>
  <c r="Z85" i="1" s="1"/>
  <c r="AE87" i="1" a="1"/>
  <c r="Q86" i="1"/>
  <c r="AB86" i="1" s="1" a="1"/>
  <c r="AB86" i="1" s="1"/>
  <c r="Q87" i="1" a="1"/>
  <c r="AE86" i="1"/>
  <c r="AK86" i="1" s="1" a="1"/>
  <c r="AK86" i="1" s="1"/>
  <c r="AL86" i="1" s="1"/>
  <c r="Z86" i="1" l="1" a="1"/>
  <c r="Z86" i="1" s="1"/>
  <c r="X86" i="1" a="1"/>
  <c r="X86" i="1" s="1"/>
  <c r="Y86" i="1" s="1"/>
  <c r="AA86" i="1"/>
  <c r="AM85" i="1" a="1"/>
  <c r="AM85" i="1" s="1"/>
  <c r="AE88" i="1" a="1"/>
  <c r="Q87" i="1"/>
  <c r="AB87" i="1" s="1" a="1"/>
  <c r="AB87" i="1" s="1"/>
  <c r="Q88" i="1" a="1"/>
  <c r="AE87" i="1"/>
  <c r="AK87" i="1" s="1" a="1"/>
  <c r="AK87" i="1" s="1"/>
  <c r="AL87" i="1" s="1"/>
  <c r="Z87" i="1" l="1" a="1"/>
  <c r="Z87" i="1" s="1"/>
  <c r="X87" i="1" a="1"/>
  <c r="X87" i="1" s="1"/>
  <c r="Y87" i="1" s="1"/>
  <c r="AA87" i="1"/>
  <c r="AM86" i="1" a="1"/>
  <c r="AM86" i="1" s="1"/>
  <c r="AE89" i="1" a="1"/>
  <c r="Q89" i="1" a="1"/>
  <c r="Q88" i="1"/>
  <c r="AB88" i="1" s="1" a="1"/>
  <c r="AB88" i="1" s="1"/>
  <c r="AE88" i="1"/>
  <c r="AM87" i="1" s="1" a="1"/>
  <c r="AM87" i="1" s="1"/>
  <c r="AK88" i="1" l="1" a="1"/>
  <c r="AK88" i="1" s="1"/>
  <c r="AL88" i="1" s="1"/>
  <c r="Z88" i="1" a="1"/>
  <c r="Z88" i="1" s="1"/>
  <c r="AA88" i="1"/>
  <c r="X88" i="1" a="1"/>
  <c r="X88" i="1" s="1"/>
  <c r="Y88" i="1" s="1"/>
  <c r="AE90" i="1" a="1"/>
  <c r="Q89" i="1"/>
  <c r="AB89" i="1" s="1" a="1"/>
  <c r="AB89" i="1" s="1"/>
  <c r="Q90" i="1" a="1"/>
  <c r="AE89" i="1"/>
  <c r="AM88" i="1" s="1" a="1"/>
  <c r="AM88" i="1" s="1"/>
  <c r="AK89" i="1" l="1" a="1"/>
  <c r="AK89" i="1" s="1"/>
  <c r="AL89" i="1" s="1"/>
  <c r="X89" i="1" a="1"/>
  <c r="X89" i="1" s="1"/>
  <c r="Y89" i="1" s="1"/>
  <c r="AA89" i="1"/>
  <c r="Z89" i="1" a="1"/>
  <c r="Z89" i="1" s="1"/>
  <c r="AE91" i="1" a="1"/>
  <c r="Q90" i="1"/>
  <c r="AB90" i="1" s="1" a="1"/>
  <c r="AB90" i="1" s="1"/>
  <c r="Q91" i="1" a="1"/>
  <c r="AE90" i="1"/>
  <c r="AK90" i="1" s="1" a="1"/>
  <c r="AK90" i="1" s="1"/>
  <c r="AL90" i="1" s="1"/>
  <c r="Z90" i="1" l="1" a="1"/>
  <c r="Z90" i="1" s="1"/>
  <c r="X90" i="1" a="1"/>
  <c r="X90" i="1" s="1"/>
  <c r="Y90" i="1" s="1"/>
  <c r="AA90" i="1"/>
  <c r="AM89" i="1" a="1"/>
  <c r="AM89" i="1" s="1"/>
  <c r="AE92" i="1" a="1"/>
  <c r="Q91" i="1"/>
  <c r="AB91" i="1" s="1" a="1"/>
  <c r="AB91" i="1" s="1"/>
  <c r="Q92" i="1" a="1"/>
  <c r="AE91" i="1"/>
  <c r="AK91" i="1" s="1" a="1"/>
  <c r="AK91" i="1" s="1"/>
  <c r="AL91" i="1" s="1"/>
  <c r="AM90" i="1" l="1" a="1"/>
  <c r="AM90" i="1" s="1"/>
  <c r="Z91" i="1" a="1"/>
  <c r="Z91" i="1" s="1"/>
  <c r="AA91" i="1"/>
  <c r="AE93" i="1" a="1"/>
  <c r="Q92" i="1"/>
  <c r="AB92" i="1" s="1" a="1"/>
  <c r="AB92" i="1" s="1"/>
  <c r="Q93" i="1" a="1"/>
  <c r="X91" i="1" a="1"/>
  <c r="X91" i="1" s="1"/>
  <c r="Y91" i="1" s="1"/>
  <c r="AE92" i="1"/>
  <c r="AM91" i="1" s="1" a="1"/>
  <c r="AM91" i="1" s="1"/>
  <c r="X92" i="1" l="1" a="1"/>
  <c r="X92" i="1" s="1"/>
  <c r="Y92" i="1" s="1"/>
  <c r="Z92" i="1" a="1"/>
  <c r="Z92" i="1" s="1"/>
  <c r="AA92" i="1"/>
  <c r="AK92" i="1" a="1"/>
  <c r="AK92" i="1" s="1"/>
  <c r="AL92" i="1" s="1"/>
  <c r="AE94" i="1" a="1"/>
  <c r="Q94" i="1" a="1"/>
  <c r="Q93" i="1"/>
  <c r="X93" i="1" s="1" a="1"/>
  <c r="X93" i="1" s="1"/>
  <c r="Y93" i="1" s="1"/>
  <c r="AE93" i="1"/>
  <c r="AK93" i="1" s="1" a="1"/>
  <c r="AK93" i="1" s="1"/>
  <c r="AL93" i="1" s="1"/>
  <c r="AB93" i="1" l="1" a="1"/>
  <c r="AB93" i="1" s="1"/>
  <c r="Z93" i="1" a="1"/>
  <c r="Z93" i="1" s="1"/>
  <c r="AA93" i="1"/>
  <c r="AM92" i="1" a="1"/>
  <c r="AM92" i="1" s="1"/>
  <c r="AE95" i="1" a="1"/>
  <c r="Q94" i="1"/>
  <c r="AB94" i="1" s="1" a="1"/>
  <c r="AB94" i="1" s="1"/>
  <c r="Q95" i="1" a="1"/>
  <c r="AE94" i="1"/>
  <c r="AM93" i="1" s="1" a="1"/>
  <c r="AM93" i="1" s="1"/>
  <c r="X94" i="1" l="1" a="1"/>
  <c r="X94" i="1" s="1"/>
  <c r="Y94" i="1" s="1"/>
  <c r="Z94" i="1" a="1"/>
  <c r="Z94" i="1" s="1"/>
  <c r="AA94" i="1"/>
  <c r="AK94" i="1" a="1"/>
  <c r="AK94" i="1" s="1"/>
  <c r="AL94" i="1" s="1"/>
  <c r="AE96" i="1" a="1"/>
  <c r="Q95" i="1"/>
  <c r="AB95" i="1" s="1" a="1"/>
  <c r="AB95" i="1" s="1"/>
  <c r="Q96" i="1" a="1"/>
  <c r="AE95" i="1"/>
  <c r="AM94" i="1" s="1" a="1"/>
  <c r="AM94" i="1" s="1"/>
  <c r="Z95" i="1" l="1" a="1"/>
  <c r="Z95" i="1" s="1"/>
  <c r="X95" i="1" a="1"/>
  <c r="X95" i="1" s="1"/>
  <c r="Y95" i="1" s="1"/>
  <c r="AA95" i="1"/>
  <c r="AK95" i="1" a="1"/>
  <c r="AK95" i="1" s="1"/>
  <c r="AL95" i="1" s="1"/>
  <c r="AE97" i="1" a="1"/>
  <c r="Q97" i="1" a="1"/>
  <c r="Q96" i="1"/>
  <c r="AB96" i="1" s="1" a="1"/>
  <c r="AB96" i="1" s="1"/>
  <c r="AE96" i="1"/>
  <c r="AK96" i="1" s="1" a="1"/>
  <c r="AK96" i="1" s="1"/>
  <c r="AL96" i="1" s="1"/>
  <c r="X96" i="1" l="1" a="1"/>
  <c r="X96" i="1" s="1"/>
  <c r="Y96" i="1" s="1"/>
  <c r="Z96" i="1" a="1"/>
  <c r="Z96" i="1" s="1"/>
  <c r="AA96" i="1"/>
  <c r="AM95" i="1" a="1"/>
  <c r="AM95" i="1" s="1"/>
  <c r="AE98" i="1" a="1"/>
  <c r="Q97" i="1"/>
  <c r="AB97" i="1" s="1" a="1"/>
  <c r="AB97" i="1" s="1"/>
  <c r="Q98" i="1" a="1"/>
  <c r="AE97" i="1"/>
  <c r="AM96" i="1" s="1" a="1"/>
  <c r="AM96" i="1" s="1"/>
  <c r="Z97" i="1" l="1" a="1"/>
  <c r="Z97" i="1" s="1"/>
  <c r="X97" i="1" a="1"/>
  <c r="X97" i="1" s="1"/>
  <c r="Y97" i="1" s="1"/>
  <c r="AA97" i="1"/>
  <c r="AK97" i="1" a="1"/>
  <c r="AK97" i="1" s="1"/>
  <c r="AL97" i="1" s="1"/>
  <c r="AE99" i="1" a="1"/>
  <c r="Q98" i="1"/>
  <c r="AB98" i="1" s="1" a="1"/>
  <c r="AB98" i="1" s="1"/>
  <c r="Q99" i="1" a="1"/>
  <c r="AE98" i="1"/>
  <c r="AM97" i="1" s="1" a="1"/>
  <c r="AM97" i="1" s="1"/>
  <c r="Z98" i="1" l="1" a="1"/>
  <c r="Z98" i="1" s="1"/>
  <c r="X98" i="1" a="1"/>
  <c r="X98" i="1" s="1"/>
  <c r="Y98" i="1" s="1"/>
  <c r="AA98" i="1"/>
  <c r="AK98" i="1" a="1"/>
  <c r="AK98" i="1" s="1"/>
  <c r="AL98" i="1" s="1"/>
  <c r="AE100" i="1" a="1"/>
  <c r="Q99" i="1"/>
  <c r="AB99" i="1" s="1" a="1"/>
  <c r="AB99" i="1" s="1"/>
  <c r="Q100" i="1" a="1"/>
  <c r="AE99" i="1"/>
  <c r="AK99" i="1" s="1" a="1"/>
  <c r="AK99" i="1" s="1"/>
  <c r="AL99" i="1" s="1"/>
  <c r="X99" i="1" l="1" a="1"/>
  <c r="X99" i="1" s="1"/>
  <c r="Y99" i="1" s="1"/>
  <c r="Z99" i="1" a="1"/>
  <c r="Z99" i="1" s="1"/>
  <c r="AA99" i="1"/>
  <c r="AM98" i="1" a="1"/>
  <c r="AM98" i="1" s="1"/>
  <c r="AE101" i="1" a="1"/>
  <c r="Q100" i="1"/>
  <c r="AB100" i="1" s="1" a="1"/>
  <c r="AB100" i="1" s="1"/>
  <c r="Q101" i="1" a="1"/>
  <c r="AE100" i="1"/>
  <c r="AM99" i="1" s="1" a="1"/>
  <c r="AM99" i="1" s="1"/>
  <c r="Z100" i="1" l="1" a="1"/>
  <c r="Z100" i="1" s="1"/>
  <c r="X100" i="1" a="1"/>
  <c r="X100" i="1" s="1"/>
  <c r="Y100" i="1" s="1"/>
  <c r="AA100" i="1"/>
  <c r="AK100" i="1" a="1"/>
  <c r="AK100" i="1" s="1"/>
  <c r="AL100" i="1" s="1"/>
  <c r="AE102" i="1" a="1"/>
  <c r="Q101" i="1"/>
  <c r="AB101" i="1" s="1" a="1"/>
  <c r="AB101" i="1" s="1"/>
  <c r="Q102" i="1" a="1"/>
  <c r="AE101" i="1"/>
  <c r="AM100" i="1" s="1" a="1"/>
  <c r="AM100" i="1" s="1"/>
  <c r="Z101" i="1" l="1" a="1"/>
  <c r="Z101" i="1" s="1"/>
  <c r="X101" i="1" a="1"/>
  <c r="X101" i="1" s="1"/>
  <c r="Y101" i="1" s="1"/>
  <c r="AA101" i="1"/>
  <c r="AK101" i="1" a="1"/>
  <c r="AK101" i="1" s="1"/>
  <c r="AL101" i="1" s="1"/>
  <c r="AE103" i="1" a="1"/>
  <c r="Q102" i="1"/>
  <c r="AB102" i="1" s="1" a="1"/>
  <c r="AB102" i="1" s="1"/>
  <c r="Q103" i="1" a="1"/>
  <c r="AE102" i="1"/>
  <c r="AK102" i="1" s="1" a="1"/>
  <c r="AK102" i="1" s="1"/>
  <c r="AL102" i="1" s="1"/>
  <c r="AM101" i="1" l="1" a="1"/>
  <c r="AM101" i="1" s="1"/>
  <c r="X102" i="1" a="1"/>
  <c r="X102" i="1" s="1"/>
  <c r="Y102" i="1" s="1"/>
  <c r="AA102" i="1"/>
  <c r="Z102" i="1" a="1"/>
  <c r="Z102" i="1" s="1"/>
  <c r="AE104" i="1" a="1"/>
  <c r="Q104" i="1" a="1"/>
  <c r="Q103" i="1"/>
  <c r="Z103" i="1" s="1" a="1"/>
  <c r="Z103" i="1" s="1"/>
  <c r="AE103" i="1"/>
  <c r="AM102" i="1" s="1" a="1"/>
  <c r="AM102" i="1" s="1"/>
  <c r="AB103" i="1" l="1" a="1"/>
  <c r="AB103" i="1" s="1"/>
  <c r="X103" i="1" a="1"/>
  <c r="X103" i="1" s="1"/>
  <c r="Y103" i="1" s="1"/>
  <c r="AA103" i="1"/>
  <c r="AK103" i="1" a="1"/>
  <c r="AK103" i="1" s="1"/>
  <c r="AL103" i="1" s="1"/>
  <c r="AE105" i="1" a="1"/>
  <c r="Q104" i="1"/>
  <c r="AB104" i="1" s="1" a="1"/>
  <c r="AB104" i="1" s="1"/>
  <c r="Q105" i="1" a="1"/>
  <c r="AE104" i="1"/>
  <c r="AM103" i="1" s="1" a="1"/>
  <c r="AM103" i="1" s="1"/>
  <c r="X104" i="1" l="1" a="1"/>
  <c r="X104" i="1" s="1"/>
  <c r="Y104" i="1" s="1"/>
  <c r="Z104" i="1" a="1"/>
  <c r="Z104" i="1" s="1"/>
  <c r="AA104" i="1"/>
  <c r="AK104" i="1" a="1"/>
  <c r="AK104" i="1" s="1"/>
  <c r="AL104" i="1" s="1"/>
  <c r="AE106" i="1" a="1"/>
  <c r="Q106" i="1" a="1"/>
  <c r="Q105" i="1"/>
  <c r="AB105" i="1" s="1" a="1"/>
  <c r="AB105" i="1" s="1"/>
  <c r="AE105" i="1"/>
  <c r="AM104" i="1" s="1" a="1"/>
  <c r="AM104" i="1" s="1"/>
  <c r="X105" i="1" l="1" a="1"/>
  <c r="X105" i="1" s="1"/>
  <c r="Y105" i="1" s="1"/>
  <c r="Z105" i="1" a="1"/>
  <c r="Z105" i="1" s="1"/>
  <c r="AA105" i="1"/>
  <c r="AK105" i="1" a="1"/>
  <c r="AK105" i="1" s="1"/>
  <c r="AL105" i="1" s="1"/>
  <c r="AE107" i="1" a="1"/>
  <c r="Q106" i="1"/>
  <c r="AB106" i="1" s="1" a="1"/>
  <c r="AB106" i="1" s="1"/>
  <c r="Q107" i="1" a="1"/>
  <c r="AE106" i="1"/>
  <c r="AM105" i="1" s="1" a="1"/>
  <c r="AM105" i="1" s="1"/>
  <c r="Z106" i="1" l="1" a="1"/>
  <c r="Z106" i="1" s="1"/>
  <c r="X106" i="1" a="1"/>
  <c r="X106" i="1" s="1"/>
  <c r="Y106" i="1" s="1"/>
  <c r="AA106" i="1"/>
  <c r="AK106" i="1" a="1"/>
  <c r="AK106" i="1" s="1"/>
  <c r="AL106" i="1" s="1"/>
  <c r="AE108" i="1" a="1"/>
  <c r="Q108" i="1" a="1"/>
  <c r="Q107" i="1"/>
  <c r="AB107" i="1" s="1" a="1"/>
  <c r="AB107" i="1" s="1"/>
  <c r="AE107" i="1"/>
  <c r="AK107" i="1" s="1" a="1"/>
  <c r="AK107" i="1" s="1"/>
  <c r="AL107" i="1" s="1"/>
  <c r="AM106" i="1" l="1" a="1"/>
  <c r="AM106" i="1" s="1"/>
  <c r="Z107" i="1" a="1"/>
  <c r="Z107" i="1" s="1"/>
  <c r="AA107" i="1"/>
  <c r="X107" i="1" a="1"/>
  <c r="X107" i="1" s="1"/>
  <c r="Y107" i="1" s="1"/>
  <c r="AE109" i="1" a="1"/>
  <c r="Q108" i="1"/>
  <c r="AB108" i="1" s="1" a="1"/>
  <c r="AB108" i="1" s="1"/>
  <c r="Q109" i="1" a="1"/>
  <c r="AE108" i="1"/>
  <c r="AM107" i="1" s="1" a="1"/>
  <c r="AM107" i="1" s="1"/>
  <c r="Z108" i="1" l="1" a="1"/>
  <c r="Z108" i="1" s="1"/>
  <c r="X108" i="1" a="1"/>
  <c r="X108" i="1" s="1"/>
  <c r="Y108" i="1" s="1"/>
  <c r="AA108" i="1"/>
  <c r="AK108" i="1" a="1"/>
  <c r="AK108" i="1" s="1"/>
  <c r="AL108" i="1" s="1"/>
  <c r="AE110" i="1" a="1"/>
  <c r="Q109" i="1"/>
  <c r="AB109" i="1" s="1" a="1"/>
  <c r="AB109" i="1" s="1"/>
  <c r="Q110" i="1" a="1"/>
  <c r="X109" i="1" a="1"/>
  <c r="X109" i="1" s="1"/>
  <c r="Y109" i="1" s="1"/>
  <c r="AE109" i="1"/>
  <c r="AM108" i="1" s="1" a="1"/>
  <c r="AM108" i="1" s="1"/>
  <c r="Z109" i="1" l="1" a="1"/>
  <c r="Z109" i="1" s="1"/>
  <c r="AA109" i="1"/>
  <c r="AK109" i="1" a="1"/>
  <c r="AK109" i="1" s="1"/>
  <c r="AL109" i="1" s="1"/>
  <c r="AE111" i="1" a="1"/>
  <c r="Q110" i="1"/>
  <c r="AB110" i="1" s="1" a="1"/>
  <c r="AB110" i="1" s="1"/>
  <c r="Q111" i="1" a="1"/>
  <c r="AE110" i="1"/>
  <c r="AK110" i="1" s="1" a="1"/>
  <c r="AK110" i="1" s="1"/>
  <c r="AL110" i="1" s="1"/>
  <c r="X110" i="1" l="1" a="1"/>
  <c r="X110" i="1" s="1"/>
  <c r="Y110" i="1" s="1"/>
  <c r="AA110" i="1"/>
  <c r="Z110" i="1" a="1"/>
  <c r="Z110" i="1" s="1"/>
  <c r="AM109" i="1" a="1"/>
  <c r="AM109" i="1" s="1"/>
  <c r="AE112" i="1" a="1"/>
  <c r="Q111" i="1"/>
  <c r="AB111" i="1" s="1" a="1"/>
  <c r="AB111" i="1" s="1"/>
  <c r="Q112" i="1" a="1"/>
  <c r="AE111" i="1"/>
  <c r="AK111" i="1" s="1" a="1"/>
  <c r="AK111" i="1" s="1"/>
  <c r="AL111" i="1" s="1"/>
  <c r="Z111" i="1" l="1" a="1"/>
  <c r="Z111" i="1" s="1"/>
  <c r="X111" i="1" a="1"/>
  <c r="X111" i="1" s="1"/>
  <c r="Y111" i="1" s="1"/>
  <c r="AA111" i="1"/>
  <c r="AM110" i="1" a="1"/>
  <c r="AM110" i="1" s="1"/>
  <c r="AE113" i="1" a="1"/>
  <c r="Q112" i="1"/>
  <c r="AB112" i="1" s="1" a="1"/>
  <c r="AB112" i="1" s="1"/>
  <c r="Q113" i="1" a="1"/>
  <c r="AE112" i="1"/>
  <c r="AM111" i="1" s="1" a="1"/>
  <c r="AM111" i="1" s="1"/>
  <c r="X112" i="1" l="1" a="1"/>
  <c r="X112" i="1" s="1"/>
  <c r="Y112" i="1" s="1"/>
  <c r="Z112" i="1" a="1"/>
  <c r="Z112" i="1" s="1"/>
  <c r="AA112" i="1"/>
  <c r="AK112" i="1" a="1"/>
  <c r="AK112" i="1" s="1"/>
  <c r="AL112" i="1" s="1"/>
  <c r="AE114" i="1" a="1"/>
  <c r="Q114" i="1" a="1"/>
  <c r="Q113" i="1"/>
  <c r="AB113" i="1" s="1" a="1"/>
  <c r="AB113" i="1" s="1"/>
  <c r="AE113" i="1"/>
  <c r="AM112" i="1" s="1" a="1"/>
  <c r="AM112" i="1" s="1"/>
  <c r="AK113" i="1" l="1" a="1"/>
  <c r="AK113" i="1" s="1"/>
  <c r="AL113" i="1" s="1"/>
  <c r="Z113" i="1" a="1"/>
  <c r="Z113" i="1" s="1"/>
  <c r="AA113" i="1"/>
  <c r="X113" i="1" a="1"/>
  <c r="X113" i="1" s="1"/>
  <c r="Y113" i="1" s="1"/>
  <c r="AE115" i="1" a="1"/>
  <c r="Q114" i="1"/>
  <c r="AB114" i="1" s="1" a="1"/>
  <c r="AB114" i="1" s="1"/>
  <c r="Q115" i="1" a="1"/>
  <c r="AE114" i="1"/>
  <c r="AM113" i="1" s="1" a="1"/>
  <c r="AM113" i="1" s="1"/>
  <c r="Z114" i="1" l="1" a="1"/>
  <c r="Z114" i="1" s="1"/>
  <c r="X114" i="1" a="1"/>
  <c r="X114" i="1" s="1"/>
  <c r="Y114" i="1" s="1"/>
  <c r="AA114" i="1"/>
  <c r="AK114" i="1" a="1"/>
  <c r="AK114" i="1" s="1"/>
  <c r="AL114" i="1" s="1"/>
  <c r="AE116" i="1" a="1"/>
  <c r="Q116" i="1" a="1"/>
  <c r="Q115" i="1"/>
  <c r="X115" i="1" s="1" a="1"/>
  <c r="X115" i="1" s="1"/>
  <c r="Y115" i="1" s="1"/>
  <c r="AE115" i="1"/>
  <c r="AM114" i="1" s="1" a="1"/>
  <c r="AM114" i="1" s="1"/>
  <c r="AB115" i="1" l="1" a="1"/>
  <c r="AB115" i="1" s="1"/>
  <c r="Z115" i="1" a="1"/>
  <c r="Z115" i="1" s="1"/>
  <c r="AA115" i="1"/>
  <c r="AK115" i="1" a="1"/>
  <c r="AK115" i="1" s="1"/>
  <c r="AL115" i="1" s="1"/>
  <c r="AE117" i="1" a="1"/>
  <c r="Q116" i="1"/>
  <c r="AB116" i="1" s="1" a="1"/>
  <c r="AB116" i="1" s="1"/>
  <c r="Q117" i="1" a="1"/>
  <c r="AE116" i="1"/>
  <c r="AM115" i="1" s="1" a="1"/>
  <c r="AM115" i="1" s="1"/>
  <c r="Z116" i="1" l="1" a="1"/>
  <c r="Z116" i="1" s="1"/>
  <c r="X116" i="1" a="1"/>
  <c r="X116" i="1" s="1"/>
  <c r="Y116" i="1" s="1"/>
  <c r="AA116" i="1"/>
  <c r="AK116" i="1" a="1"/>
  <c r="AK116" i="1" s="1"/>
  <c r="AL116" i="1" s="1"/>
  <c r="AE118" i="1" a="1"/>
  <c r="Q118" i="1" a="1"/>
  <c r="Q117" i="1"/>
  <c r="Z117" i="1" s="1" a="1"/>
  <c r="Z117" i="1" s="1"/>
  <c r="AE117" i="1"/>
  <c r="AM116" i="1" s="1" a="1"/>
  <c r="AM116" i="1" s="1"/>
  <c r="AB117" i="1" l="1" a="1"/>
  <c r="AB117" i="1" s="1"/>
  <c r="X117" i="1" a="1"/>
  <c r="X117" i="1" s="1"/>
  <c r="Y117" i="1" s="1"/>
  <c r="AA117" i="1"/>
  <c r="AK117" i="1" a="1"/>
  <c r="AK117" i="1" s="1"/>
  <c r="AL117" i="1" s="1"/>
  <c r="AE119" i="1" a="1"/>
  <c r="Q119" i="1" a="1"/>
  <c r="Q118" i="1"/>
  <c r="Z118" i="1" s="1" a="1"/>
  <c r="Z118" i="1" s="1"/>
  <c r="AE118" i="1"/>
  <c r="AM117" i="1" s="1" a="1"/>
  <c r="AM117" i="1" s="1"/>
  <c r="AB118" i="1" l="1" a="1"/>
  <c r="AB118" i="1" s="1"/>
  <c r="X118" i="1" a="1"/>
  <c r="X118" i="1" s="1"/>
  <c r="Y118" i="1" s="1"/>
  <c r="AA118" i="1"/>
  <c r="AK118" i="1" a="1"/>
  <c r="AK118" i="1" s="1"/>
  <c r="AL118" i="1" s="1"/>
  <c r="AE120" i="1" a="1"/>
  <c r="Q119" i="1"/>
  <c r="AB119" i="1" s="1" a="1"/>
  <c r="AB119" i="1" s="1"/>
  <c r="Q120" i="1" a="1"/>
  <c r="AE119" i="1"/>
  <c r="AK119" i="1" s="1" a="1"/>
  <c r="AK119" i="1" s="1"/>
  <c r="AL119" i="1" s="1"/>
  <c r="Z119" i="1" l="1" a="1"/>
  <c r="Z119" i="1" s="1"/>
  <c r="X119" i="1" a="1"/>
  <c r="X119" i="1" s="1"/>
  <c r="Y119" i="1" s="1"/>
  <c r="AA119" i="1"/>
  <c r="AM118" i="1" a="1"/>
  <c r="AM118" i="1" s="1"/>
  <c r="AE121" i="1" a="1"/>
  <c r="Q121" i="1" a="1"/>
  <c r="Q120" i="1"/>
  <c r="AB120" i="1" s="1" a="1"/>
  <c r="AB120" i="1" s="1"/>
  <c r="AE120" i="1"/>
  <c r="AK120" i="1" s="1" a="1"/>
  <c r="AK120" i="1" s="1"/>
  <c r="AL120" i="1" s="1"/>
  <c r="Z120" i="1" l="1" a="1"/>
  <c r="Z120" i="1" s="1"/>
  <c r="AA120" i="1"/>
  <c r="X120" i="1" a="1"/>
  <c r="X120" i="1" s="1"/>
  <c r="Y120" i="1" s="1"/>
  <c r="AM119" i="1" a="1"/>
  <c r="AM119" i="1" s="1"/>
  <c r="AE122" i="1" a="1"/>
  <c r="Q121" i="1"/>
  <c r="AB121" i="1" s="1" a="1"/>
  <c r="AB121" i="1" s="1"/>
  <c r="Q122" i="1" a="1"/>
  <c r="AE121" i="1"/>
  <c r="AK121" i="1" s="1" a="1"/>
  <c r="AK121" i="1" s="1"/>
  <c r="AL121" i="1" s="1"/>
  <c r="Z121" i="1" l="1" a="1"/>
  <c r="Z121" i="1" s="1"/>
  <c r="X121" i="1" a="1"/>
  <c r="X121" i="1" s="1"/>
  <c r="Y121" i="1" s="1"/>
  <c r="AA121" i="1"/>
  <c r="AM120" i="1" a="1"/>
  <c r="AM120" i="1" s="1"/>
  <c r="AE123" i="1" a="1"/>
  <c r="Q122" i="1"/>
  <c r="AB122" i="1" s="1" a="1"/>
  <c r="AB122" i="1" s="1"/>
  <c r="Q123" i="1" a="1"/>
  <c r="AE122" i="1"/>
  <c r="AM121" i="1" s="1" a="1"/>
  <c r="AM121" i="1" s="1"/>
  <c r="Z122" i="1" l="1" a="1"/>
  <c r="Z122" i="1" s="1"/>
  <c r="X122" i="1" a="1"/>
  <c r="X122" i="1" s="1"/>
  <c r="Y122" i="1" s="1"/>
  <c r="AA122" i="1"/>
  <c r="AK122" i="1" a="1"/>
  <c r="AK122" i="1" s="1"/>
  <c r="AL122" i="1" s="1"/>
  <c r="AE124" i="1" a="1"/>
  <c r="Q123" i="1"/>
  <c r="AB123" i="1" s="1" a="1"/>
  <c r="AB123" i="1" s="1"/>
  <c r="Q124" i="1" a="1"/>
  <c r="AE123" i="1"/>
  <c r="AM122" i="1" s="1" a="1"/>
  <c r="AM122" i="1" s="1"/>
  <c r="X123" i="1" l="1" a="1"/>
  <c r="X123" i="1" s="1"/>
  <c r="Y123" i="1" s="1"/>
  <c r="Z123" i="1" a="1"/>
  <c r="Z123" i="1" s="1"/>
  <c r="AA123" i="1"/>
  <c r="AK123" i="1" a="1"/>
  <c r="AK123" i="1" s="1"/>
  <c r="AL123" i="1" s="1"/>
  <c r="AE125" i="1" a="1"/>
  <c r="Q124" i="1"/>
  <c r="AB124" i="1" s="1" a="1"/>
  <c r="AB124" i="1" s="1"/>
  <c r="Q125" i="1" a="1"/>
  <c r="AE124" i="1"/>
  <c r="AM123" i="1" s="1" a="1"/>
  <c r="AM123" i="1" s="1"/>
  <c r="X124" i="1" l="1" a="1"/>
  <c r="X124" i="1" s="1"/>
  <c r="Y124" i="1" s="1"/>
  <c r="Z124" i="1" a="1"/>
  <c r="Z124" i="1" s="1"/>
  <c r="AA124" i="1"/>
  <c r="AK124" i="1" a="1"/>
  <c r="AK124" i="1" s="1"/>
  <c r="AL124" i="1" s="1"/>
  <c r="AE126" i="1" a="1"/>
  <c r="Q126" i="1" a="1"/>
  <c r="Q125" i="1"/>
  <c r="AB125" i="1" s="1" a="1"/>
  <c r="AB125" i="1" s="1"/>
  <c r="AE125" i="1"/>
  <c r="AM124" i="1" s="1" a="1"/>
  <c r="AM124" i="1" s="1"/>
  <c r="Z125" i="1" l="1" a="1"/>
  <c r="Z125" i="1" s="1"/>
  <c r="AA125" i="1"/>
  <c r="X125" i="1" a="1"/>
  <c r="X125" i="1" s="1"/>
  <c r="Y125" i="1" s="1"/>
  <c r="AK125" i="1" a="1"/>
  <c r="AK125" i="1" s="1"/>
  <c r="AL125" i="1" s="1"/>
  <c r="AE127" i="1" a="1"/>
  <c r="Q126" i="1"/>
  <c r="AB126" i="1" s="1" a="1"/>
  <c r="AB126" i="1" s="1"/>
  <c r="Q127" i="1" a="1"/>
  <c r="AE126" i="1"/>
  <c r="AM125" i="1" s="1" a="1"/>
  <c r="AM125" i="1" s="1"/>
  <c r="X126" i="1" l="1" a="1"/>
  <c r="X126" i="1" s="1"/>
  <c r="Y126" i="1" s="1"/>
  <c r="Z126" i="1" a="1"/>
  <c r="Z126" i="1" s="1"/>
  <c r="AA126" i="1"/>
  <c r="AK126" i="1" a="1"/>
  <c r="AK126" i="1" s="1"/>
  <c r="AL126" i="1" s="1"/>
  <c r="AE128" i="1" a="1"/>
  <c r="Q127" i="1"/>
  <c r="AB127" i="1" s="1" a="1"/>
  <c r="AB127" i="1" s="1"/>
  <c r="Q128" i="1" a="1"/>
  <c r="AE127" i="1"/>
  <c r="AK127" i="1" s="1" a="1"/>
  <c r="AK127" i="1" s="1"/>
  <c r="AL127" i="1" s="1"/>
  <c r="Z127" i="1" l="1" a="1"/>
  <c r="Z127" i="1" s="1"/>
  <c r="X127" i="1" a="1"/>
  <c r="X127" i="1" s="1"/>
  <c r="Y127" i="1" s="1"/>
  <c r="AA127" i="1"/>
  <c r="AM126" i="1" a="1"/>
  <c r="AM126" i="1" s="1"/>
  <c r="AE129" i="1" a="1"/>
  <c r="Q128" i="1"/>
  <c r="AB128" i="1" s="1" a="1"/>
  <c r="AB128" i="1" s="1"/>
  <c r="Q129" i="1" a="1"/>
  <c r="AE128" i="1"/>
  <c r="AK128" i="1" s="1" a="1"/>
  <c r="AK128" i="1" s="1"/>
  <c r="AL128" i="1" s="1"/>
  <c r="X128" i="1" l="1" a="1"/>
  <c r="X128" i="1" s="1"/>
  <c r="Y128" i="1" s="1"/>
  <c r="Z128" i="1" a="1"/>
  <c r="Z128" i="1" s="1"/>
  <c r="AA128" i="1"/>
  <c r="AM127" i="1" a="1"/>
  <c r="AM127" i="1" s="1"/>
  <c r="AE130" i="1" a="1"/>
  <c r="Q130" i="1" a="1"/>
  <c r="Q129" i="1"/>
  <c r="AB129" i="1" s="1" a="1"/>
  <c r="AB129" i="1" s="1"/>
  <c r="AE129" i="1"/>
  <c r="AK129" i="1" s="1" a="1"/>
  <c r="AK129" i="1" s="1"/>
  <c r="AL129" i="1" s="1"/>
  <c r="Z129" i="1" l="1" a="1"/>
  <c r="Z129" i="1" s="1"/>
  <c r="X129" i="1" a="1"/>
  <c r="X129" i="1" s="1"/>
  <c r="Y129" i="1" s="1"/>
  <c r="AA129" i="1"/>
  <c r="AM128" i="1" a="1"/>
  <c r="AM128" i="1" s="1"/>
  <c r="AE131" i="1" a="1"/>
  <c r="Q130" i="1"/>
  <c r="AB130" i="1" s="1" a="1"/>
  <c r="AB130" i="1" s="1"/>
  <c r="Q131" i="1" a="1"/>
  <c r="AE130" i="1"/>
  <c r="AM129" i="1" s="1" a="1"/>
  <c r="AM129" i="1" s="1"/>
  <c r="Z130" i="1" l="1" a="1"/>
  <c r="Z130" i="1" s="1"/>
  <c r="X130" i="1" a="1"/>
  <c r="X130" i="1" s="1"/>
  <c r="Y130" i="1" s="1"/>
  <c r="AA130" i="1"/>
  <c r="AK130" i="1" a="1"/>
  <c r="AK130" i="1" s="1"/>
  <c r="AL130" i="1" s="1"/>
  <c r="AE132" i="1" a="1"/>
  <c r="Q131" i="1"/>
  <c r="AB131" i="1" s="1" a="1"/>
  <c r="AB131" i="1" s="1"/>
  <c r="Q132" i="1" a="1"/>
  <c r="AE131" i="1"/>
  <c r="AK131" i="1" s="1" a="1"/>
  <c r="AK131" i="1" s="1"/>
  <c r="AL131" i="1" s="1"/>
  <c r="X131" i="1" l="1" a="1"/>
  <c r="X131" i="1" s="1"/>
  <c r="Y131" i="1" s="1"/>
  <c r="Z131" i="1" a="1"/>
  <c r="Z131" i="1" s="1"/>
  <c r="AA131" i="1"/>
  <c r="AM130" i="1" a="1"/>
  <c r="AM130" i="1" s="1"/>
  <c r="AE133" i="1" a="1"/>
  <c r="Q133" i="1" a="1"/>
  <c r="Q132" i="1"/>
  <c r="AB132" i="1" s="1" a="1"/>
  <c r="AB132" i="1" s="1"/>
  <c r="AE132" i="1"/>
  <c r="AM131" i="1" s="1" a="1"/>
  <c r="AM131" i="1" s="1"/>
  <c r="X132" i="1" l="1" a="1"/>
  <c r="X132" i="1" s="1"/>
  <c r="Y132" i="1" s="1"/>
  <c r="Z132" i="1" a="1"/>
  <c r="Z132" i="1" s="1"/>
  <c r="AA132" i="1"/>
  <c r="AK132" i="1" a="1"/>
  <c r="AK132" i="1" s="1"/>
  <c r="AL132" i="1" s="1"/>
  <c r="AE134" i="1" a="1"/>
  <c r="Q133" i="1"/>
  <c r="AB133" i="1" s="1" a="1"/>
  <c r="AB133" i="1" s="1"/>
  <c r="Q134" i="1" a="1"/>
  <c r="AE133" i="1"/>
  <c r="AK133" i="1" s="1" a="1"/>
  <c r="AK133" i="1" s="1"/>
  <c r="AL133" i="1" s="1"/>
  <c r="Z133" i="1" l="1" a="1"/>
  <c r="Z133" i="1" s="1"/>
  <c r="X133" i="1" a="1"/>
  <c r="X133" i="1" s="1"/>
  <c r="Y133" i="1" s="1"/>
  <c r="AA133" i="1"/>
  <c r="AM132" i="1" a="1"/>
  <c r="AM132" i="1" s="1"/>
  <c r="AE135" i="1" a="1"/>
  <c r="Q134" i="1"/>
  <c r="AB134" i="1" s="1" a="1"/>
  <c r="AB134" i="1" s="1"/>
  <c r="Q135" i="1" a="1"/>
  <c r="AE134" i="1"/>
  <c r="AM133" i="1" s="1" a="1"/>
  <c r="AM133" i="1" s="1"/>
  <c r="X134" i="1" l="1" a="1"/>
  <c r="X134" i="1" s="1"/>
  <c r="Y134" i="1" s="1"/>
  <c r="Z134" i="1" a="1"/>
  <c r="Z134" i="1" s="1"/>
  <c r="AA134" i="1"/>
  <c r="AK134" i="1" a="1"/>
  <c r="AK134" i="1" s="1"/>
  <c r="AL134" i="1" s="1"/>
  <c r="AE136" i="1" a="1"/>
  <c r="Q135" i="1"/>
  <c r="AB135" i="1" s="1" a="1"/>
  <c r="AB135" i="1" s="1"/>
  <c r="Q136" i="1" a="1"/>
  <c r="AE135" i="1"/>
  <c r="AK135" i="1" s="1" a="1"/>
  <c r="AK135" i="1" s="1"/>
  <c r="AL135" i="1" s="1"/>
  <c r="Z135" i="1" l="1" a="1"/>
  <c r="Z135" i="1" s="1"/>
  <c r="X135" i="1" a="1"/>
  <c r="X135" i="1" s="1"/>
  <c r="Y135" i="1" s="1"/>
  <c r="AA135" i="1"/>
  <c r="AM134" i="1" a="1"/>
  <c r="AM134" i="1" s="1"/>
  <c r="AE137" i="1" a="1"/>
  <c r="Q137" i="1" a="1"/>
  <c r="Q136" i="1"/>
  <c r="AB136" i="1" s="1" a="1"/>
  <c r="AB136" i="1" s="1"/>
  <c r="AE136" i="1"/>
  <c r="AK136" i="1" s="1" a="1"/>
  <c r="AK136" i="1" s="1"/>
  <c r="AL136" i="1" s="1"/>
  <c r="X136" i="1" l="1" a="1"/>
  <c r="X136" i="1" s="1"/>
  <c r="Y136" i="1" s="1"/>
  <c r="Z136" i="1" a="1"/>
  <c r="Z136" i="1" s="1"/>
  <c r="AA136" i="1"/>
  <c r="AM135" i="1" a="1"/>
  <c r="AM135" i="1" s="1"/>
  <c r="AE138" i="1" a="1"/>
  <c r="Q138" i="1" a="1"/>
  <c r="Q137" i="1"/>
  <c r="AB137" i="1" s="1" a="1"/>
  <c r="AB137" i="1" s="1"/>
  <c r="AE137" i="1"/>
  <c r="AK137" i="1" s="1" a="1"/>
  <c r="AK137" i="1" s="1"/>
  <c r="AL137" i="1" s="1"/>
  <c r="Z137" i="1" l="1" a="1"/>
  <c r="Z137" i="1" s="1"/>
  <c r="X137" i="1" a="1"/>
  <c r="X137" i="1" s="1"/>
  <c r="Y137" i="1" s="1"/>
  <c r="AA137" i="1"/>
  <c r="AM136" i="1" a="1"/>
  <c r="AM136" i="1" s="1"/>
  <c r="AE139" i="1" a="1"/>
  <c r="Q138" i="1"/>
  <c r="AB138" i="1" s="1" a="1"/>
  <c r="AB138" i="1" s="1"/>
  <c r="Q139" i="1" a="1"/>
  <c r="AE138" i="1"/>
  <c r="AM137" i="1" s="1" a="1"/>
  <c r="AM137" i="1" s="1"/>
  <c r="Z138" i="1" l="1" a="1"/>
  <c r="Z138" i="1" s="1"/>
  <c r="X138" i="1" a="1"/>
  <c r="X138" i="1" s="1"/>
  <c r="Y138" i="1" s="1"/>
  <c r="AA138" i="1"/>
  <c r="AK138" i="1" a="1"/>
  <c r="AK138" i="1" s="1"/>
  <c r="AL138" i="1" s="1"/>
  <c r="AE140" i="1" a="1"/>
  <c r="Q139" i="1"/>
  <c r="AB139" i="1" s="1" a="1"/>
  <c r="AB139" i="1" s="1"/>
  <c r="Q140" i="1" a="1"/>
  <c r="AE139" i="1"/>
  <c r="AK139" i="1" s="1" a="1"/>
  <c r="AK139" i="1" s="1"/>
  <c r="AL139" i="1" s="1"/>
  <c r="X139" i="1" l="1" a="1"/>
  <c r="X139" i="1" s="1"/>
  <c r="Y139" i="1" s="1"/>
  <c r="Z139" i="1" a="1"/>
  <c r="Z139" i="1" s="1"/>
  <c r="AA139" i="1"/>
  <c r="AM138" i="1" a="1"/>
  <c r="AM138" i="1" s="1"/>
  <c r="AE141" i="1" a="1"/>
  <c r="Q140" i="1"/>
  <c r="AB140" i="1" s="1" a="1"/>
  <c r="AB140" i="1" s="1"/>
  <c r="Q141" i="1" a="1"/>
  <c r="AE140" i="1"/>
  <c r="AM139" i="1" s="1" a="1"/>
  <c r="AM139" i="1" s="1"/>
  <c r="X140" i="1" l="1" a="1"/>
  <c r="X140" i="1" s="1"/>
  <c r="Y140" i="1" s="1"/>
  <c r="Z140" i="1" a="1"/>
  <c r="Z140" i="1" s="1"/>
  <c r="AA140" i="1"/>
  <c r="AK140" i="1" a="1"/>
  <c r="AK140" i="1" s="1"/>
  <c r="AL140" i="1" s="1"/>
  <c r="AE142" i="1" a="1"/>
  <c r="Q142" i="1" a="1"/>
  <c r="Q141" i="1"/>
  <c r="AB141" i="1" s="1" a="1"/>
  <c r="AB141" i="1" s="1"/>
  <c r="AE141" i="1"/>
  <c r="AK141" i="1" s="1" a="1"/>
  <c r="AK141" i="1" s="1"/>
  <c r="AL141" i="1" s="1"/>
  <c r="AM140" i="1" l="1" a="1"/>
  <c r="AM140" i="1" s="1"/>
  <c r="Z141" i="1" a="1"/>
  <c r="Z141" i="1" s="1"/>
  <c r="AA141" i="1"/>
  <c r="X141" i="1" a="1"/>
  <c r="X141" i="1" s="1"/>
  <c r="Y141" i="1" s="1"/>
  <c r="AE143" i="1" a="1"/>
  <c r="Q142" i="1"/>
  <c r="AB142" i="1" s="1" a="1"/>
  <c r="AB142" i="1" s="1"/>
  <c r="Q143" i="1" a="1"/>
  <c r="AE142" i="1"/>
  <c r="AM141" i="1" s="1" a="1"/>
  <c r="AM141" i="1" s="1"/>
  <c r="X142" i="1" l="1" a="1"/>
  <c r="X142" i="1" s="1"/>
  <c r="Y142" i="1" s="1"/>
  <c r="AA142" i="1"/>
  <c r="Z142" i="1" a="1"/>
  <c r="Z142" i="1" s="1"/>
  <c r="AK142" i="1" a="1"/>
  <c r="AK142" i="1" s="1"/>
  <c r="AL142" i="1" s="1"/>
  <c r="AE144" i="1" a="1"/>
  <c r="Q143" i="1"/>
  <c r="AB143" i="1" s="1" a="1"/>
  <c r="AB143" i="1" s="1"/>
  <c r="Q144" i="1" a="1"/>
  <c r="AE143" i="1"/>
  <c r="AM142" i="1" s="1" a="1"/>
  <c r="AM142" i="1" s="1"/>
  <c r="Z143" i="1" l="1" a="1"/>
  <c r="Z143" i="1" s="1"/>
  <c r="X143" i="1" a="1"/>
  <c r="X143" i="1" s="1"/>
  <c r="Y143" i="1" s="1"/>
  <c r="AA143" i="1"/>
  <c r="AK143" i="1" a="1"/>
  <c r="AK143" i="1" s="1"/>
  <c r="AL143" i="1" s="1"/>
  <c r="AE145" i="1" a="1"/>
  <c r="Q144" i="1"/>
  <c r="AB144" i="1" s="1" a="1"/>
  <c r="AB144" i="1" s="1"/>
  <c r="Q145" i="1" a="1"/>
  <c r="AE144" i="1"/>
  <c r="AM143" i="1" s="1" a="1"/>
  <c r="AM143" i="1" s="1"/>
  <c r="X144" i="1" l="1" a="1"/>
  <c r="X144" i="1" s="1"/>
  <c r="Y144" i="1" s="1"/>
  <c r="Z144" i="1" a="1"/>
  <c r="Z144" i="1" s="1"/>
  <c r="AA144" i="1"/>
  <c r="AK144" i="1" a="1"/>
  <c r="AK144" i="1" s="1"/>
  <c r="AL144" i="1" s="1"/>
  <c r="AE146" i="1" a="1"/>
  <c r="Q145" i="1"/>
  <c r="AB145" i="1" s="1" a="1"/>
  <c r="AB145" i="1" s="1"/>
  <c r="Q146" i="1" a="1"/>
  <c r="AE145" i="1"/>
  <c r="AK145" i="1" s="1" a="1"/>
  <c r="AK145" i="1" s="1"/>
  <c r="AL145" i="1" s="1"/>
  <c r="X145" i="1" l="1" a="1"/>
  <c r="X145" i="1" s="1"/>
  <c r="Y145" i="1" s="1"/>
  <c r="Z145" i="1" a="1"/>
  <c r="Z145" i="1" s="1"/>
  <c r="AA145" i="1"/>
  <c r="AM144" i="1" a="1"/>
  <c r="AM144" i="1" s="1"/>
  <c r="AE147" i="1" a="1"/>
  <c r="Q146" i="1"/>
  <c r="AB146" i="1" s="1" a="1"/>
  <c r="AB146" i="1" s="1"/>
  <c r="Q147" i="1" a="1"/>
  <c r="AE146" i="1"/>
  <c r="AM145" i="1" s="1" a="1"/>
  <c r="AM145" i="1" s="1"/>
  <c r="Z146" i="1" l="1" a="1"/>
  <c r="Z146" i="1" s="1"/>
  <c r="X146" i="1" a="1"/>
  <c r="X146" i="1" s="1"/>
  <c r="Y146" i="1" s="1"/>
  <c r="AA146" i="1"/>
  <c r="AK146" i="1" a="1"/>
  <c r="AK146" i="1" s="1"/>
  <c r="AL146" i="1" s="1"/>
  <c r="AE148" i="1" a="1"/>
  <c r="Q147" i="1"/>
  <c r="AB147" i="1" s="1" a="1"/>
  <c r="AB147" i="1" s="1"/>
  <c r="Q148" i="1" a="1"/>
  <c r="AE147" i="1"/>
  <c r="AK147" i="1" s="1" a="1"/>
  <c r="AK147" i="1" s="1"/>
  <c r="AL147" i="1" s="1"/>
  <c r="X147" i="1" l="1" a="1"/>
  <c r="X147" i="1" s="1"/>
  <c r="Y147" i="1" s="1"/>
  <c r="Z147" i="1" a="1"/>
  <c r="Z147" i="1" s="1"/>
  <c r="AA147" i="1"/>
  <c r="AM146" i="1" a="1"/>
  <c r="AM146" i="1" s="1"/>
  <c r="AE149" i="1" a="1"/>
  <c r="Q148" i="1"/>
  <c r="AB148" i="1" s="1" a="1"/>
  <c r="AB148" i="1" s="1"/>
  <c r="Q149" i="1" a="1"/>
  <c r="AE148" i="1"/>
  <c r="AM147" i="1" s="1" a="1"/>
  <c r="AM147" i="1" s="1"/>
  <c r="Z148" i="1" l="1" a="1"/>
  <c r="Z148" i="1" s="1"/>
  <c r="X148" i="1" a="1"/>
  <c r="X148" i="1" s="1"/>
  <c r="Y148" i="1" s="1"/>
  <c r="AA148" i="1"/>
  <c r="AK148" i="1" a="1"/>
  <c r="AK148" i="1" s="1"/>
  <c r="AL148" i="1" s="1"/>
  <c r="AE150" i="1" a="1"/>
  <c r="Q150" i="1" a="1"/>
  <c r="Q149" i="1"/>
  <c r="X149" i="1" s="1" a="1"/>
  <c r="X149" i="1" s="1"/>
  <c r="Y149" i="1" s="1"/>
  <c r="AE149" i="1"/>
  <c r="AM148" i="1" s="1" a="1"/>
  <c r="AM148" i="1" s="1"/>
  <c r="AB149" i="1" l="1" a="1"/>
  <c r="AB149" i="1" s="1"/>
  <c r="Z149" i="1" a="1"/>
  <c r="Z149" i="1" s="1"/>
  <c r="AA149" i="1"/>
  <c r="AK149" i="1" a="1"/>
  <c r="AK149" i="1" s="1"/>
  <c r="AL149" i="1" s="1"/>
  <c r="AE151" i="1" a="1"/>
  <c r="Q151" i="1" a="1"/>
  <c r="Q150" i="1"/>
  <c r="AB150" i="1" s="1" a="1"/>
  <c r="AB150" i="1" s="1"/>
  <c r="AE150" i="1"/>
  <c r="AM149" i="1" s="1" a="1"/>
  <c r="AM149" i="1" s="1"/>
  <c r="Z150" i="1" l="1" a="1"/>
  <c r="Z150" i="1" s="1"/>
  <c r="X150" i="1" a="1"/>
  <c r="X150" i="1" s="1"/>
  <c r="Y150" i="1" s="1"/>
  <c r="AA150" i="1"/>
  <c r="AK150" i="1" a="1"/>
  <c r="AK150" i="1" s="1"/>
  <c r="AL150" i="1" s="1"/>
  <c r="AE152" i="1" a="1"/>
  <c r="Q151" i="1"/>
  <c r="AB151" i="1" s="1" a="1"/>
  <c r="AB151" i="1" s="1"/>
  <c r="Q152" i="1" a="1"/>
  <c r="AE151" i="1"/>
  <c r="AK151" i="1" s="1" a="1"/>
  <c r="AK151" i="1" s="1"/>
  <c r="AL151" i="1" s="1"/>
  <c r="Z151" i="1" l="1" a="1"/>
  <c r="Z151" i="1" s="1"/>
  <c r="X151" i="1" a="1"/>
  <c r="X151" i="1" s="1"/>
  <c r="Y151" i="1" s="1"/>
  <c r="AA151" i="1"/>
  <c r="AM150" i="1" a="1"/>
  <c r="AM150" i="1" s="1"/>
  <c r="AE153" i="1" a="1"/>
  <c r="Q152" i="1"/>
  <c r="AB152" i="1" s="1" a="1"/>
  <c r="AB152" i="1" s="1"/>
  <c r="Q153" i="1" a="1"/>
  <c r="AE152" i="1"/>
  <c r="AM151" i="1" s="1" a="1"/>
  <c r="AM151" i="1" s="1"/>
  <c r="X152" i="1" l="1" a="1"/>
  <c r="X152" i="1" s="1"/>
  <c r="Y152" i="1" s="1"/>
  <c r="Z152" i="1" a="1"/>
  <c r="Z152" i="1" s="1"/>
  <c r="AA152" i="1"/>
  <c r="AK152" i="1" a="1"/>
  <c r="AK152" i="1" s="1"/>
  <c r="AL152" i="1" s="1"/>
  <c r="AE154" i="1" a="1"/>
  <c r="Q154" i="1" a="1"/>
  <c r="Q153" i="1"/>
  <c r="AB153" i="1" s="1" a="1"/>
  <c r="AB153" i="1" s="1"/>
  <c r="AE153" i="1"/>
  <c r="AM152" i="1" s="1" a="1"/>
  <c r="AM152" i="1" s="1"/>
  <c r="X153" i="1" l="1" a="1"/>
  <c r="X153" i="1" s="1"/>
  <c r="Y153" i="1" s="1"/>
  <c r="Z153" i="1" a="1"/>
  <c r="Z153" i="1" s="1"/>
  <c r="AA153" i="1"/>
  <c r="AK153" i="1" a="1"/>
  <c r="AK153" i="1" s="1"/>
  <c r="AL153" i="1" s="1"/>
  <c r="AE155" i="1" a="1"/>
  <c r="Q154" i="1"/>
  <c r="AB154" i="1" s="1" a="1"/>
  <c r="AB154" i="1" s="1"/>
  <c r="Q155" i="1" a="1"/>
  <c r="AE154" i="1"/>
  <c r="AM153" i="1" s="1" a="1"/>
  <c r="AM153" i="1" s="1"/>
  <c r="Z154" i="1" l="1" a="1"/>
  <c r="Z154" i="1" s="1"/>
  <c r="X154" i="1" a="1"/>
  <c r="X154" i="1" s="1"/>
  <c r="Y154" i="1" s="1"/>
  <c r="AA154" i="1"/>
  <c r="AK154" i="1" a="1"/>
  <c r="AK154" i="1" s="1"/>
  <c r="AL154" i="1" s="1"/>
  <c r="AE156" i="1" a="1"/>
  <c r="Q155" i="1"/>
  <c r="AB155" i="1" s="1" a="1"/>
  <c r="AB155" i="1" s="1"/>
  <c r="Q156" i="1" a="1"/>
  <c r="AE155" i="1"/>
  <c r="AM154" i="1" s="1" a="1"/>
  <c r="AM154" i="1" s="1"/>
  <c r="X155" i="1" l="1" a="1"/>
  <c r="X155" i="1" s="1"/>
  <c r="Y155" i="1" s="1"/>
  <c r="Z155" i="1" a="1"/>
  <c r="Z155" i="1" s="1"/>
  <c r="AA155" i="1"/>
  <c r="AK155" i="1" a="1"/>
  <c r="AK155" i="1" s="1"/>
  <c r="AL155" i="1" s="1"/>
  <c r="AE157" i="1" a="1"/>
  <c r="Q157" i="1" a="1"/>
  <c r="Q156" i="1"/>
  <c r="AB156" i="1" s="1" a="1"/>
  <c r="AB156" i="1" s="1"/>
  <c r="AE156" i="1"/>
  <c r="AK156" i="1" s="1" a="1"/>
  <c r="AK156" i="1" s="1"/>
  <c r="AL156" i="1" s="1"/>
  <c r="X156" i="1" l="1" a="1"/>
  <c r="X156" i="1" s="1"/>
  <c r="Y156" i="1" s="1"/>
  <c r="Z156" i="1" a="1"/>
  <c r="Z156" i="1" s="1"/>
  <c r="AA156" i="1"/>
  <c r="AM155" i="1" a="1"/>
  <c r="AM155" i="1" s="1"/>
  <c r="AE158" i="1" a="1"/>
  <c r="Q158" i="1" a="1"/>
  <c r="Q157" i="1"/>
  <c r="AB157" i="1" s="1" a="1"/>
  <c r="AB157" i="1" s="1"/>
  <c r="AE157" i="1"/>
  <c r="AK157" i="1" s="1" a="1"/>
  <c r="AK157" i="1" s="1"/>
  <c r="AL157" i="1" s="1"/>
  <c r="AM156" i="1" l="1" a="1"/>
  <c r="AM156" i="1" s="1"/>
  <c r="Z157" i="1" a="1"/>
  <c r="Z157" i="1" s="1"/>
  <c r="AA157" i="1"/>
  <c r="X157" i="1" a="1"/>
  <c r="X157" i="1" s="1"/>
  <c r="Y157" i="1" s="1"/>
  <c r="AE159" i="1" a="1"/>
  <c r="Q158" i="1"/>
  <c r="AB158" i="1" s="1" a="1"/>
  <c r="AB158" i="1" s="1"/>
  <c r="Q159" i="1" a="1"/>
  <c r="AE158" i="1"/>
  <c r="AM157" i="1" s="1" a="1"/>
  <c r="AM157" i="1" s="1"/>
  <c r="X158" i="1" l="1" a="1"/>
  <c r="X158" i="1" s="1"/>
  <c r="Y158" i="1" s="1"/>
  <c r="Z158" i="1" a="1"/>
  <c r="Z158" i="1" s="1"/>
  <c r="AA158" i="1"/>
  <c r="AK158" i="1" a="1"/>
  <c r="AK158" i="1" s="1"/>
  <c r="AL158" i="1" s="1"/>
  <c r="AE160" i="1" a="1"/>
  <c r="Q159" i="1"/>
  <c r="AB159" i="1" s="1" a="1"/>
  <c r="AB159" i="1" s="1"/>
  <c r="Q160" i="1" a="1"/>
  <c r="Z159" i="1" a="1"/>
  <c r="Z159" i="1" s="1"/>
  <c r="AE159" i="1"/>
  <c r="AK159" i="1" s="1" a="1"/>
  <c r="AK159" i="1" s="1"/>
  <c r="AL159" i="1" s="1"/>
  <c r="X159" i="1" l="1" a="1"/>
  <c r="X159" i="1" s="1"/>
  <c r="Y159" i="1" s="1"/>
  <c r="AA159" i="1"/>
  <c r="AM158" i="1" a="1"/>
  <c r="AM158" i="1" s="1"/>
  <c r="AE161" i="1" a="1"/>
  <c r="Q160" i="1"/>
  <c r="AB160" i="1" s="1" a="1"/>
  <c r="AB160" i="1" s="1"/>
  <c r="Q161" i="1" a="1"/>
  <c r="AE160" i="1"/>
  <c r="AM159" i="1" s="1" a="1"/>
  <c r="AM159" i="1" s="1"/>
  <c r="X160" i="1" l="1" a="1"/>
  <c r="X160" i="1" s="1"/>
  <c r="Y160" i="1" s="1"/>
  <c r="Z160" i="1" a="1"/>
  <c r="Z160" i="1" s="1"/>
  <c r="AA160" i="1"/>
  <c r="AK160" i="1" a="1"/>
  <c r="AK160" i="1" s="1"/>
  <c r="AL160" i="1" s="1"/>
  <c r="AE162" i="1" a="1"/>
  <c r="Q162" i="1" a="1"/>
  <c r="Q161" i="1"/>
  <c r="AB161" i="1" s="1" a="1"/>
  <c r="AB161" i="1" s="1"/>
  <c r="AE161" i="1"/>
  <c r="AK161" i="1" s="1" a="1"/>
  <c r="AK161" i="1" s="1"/>
  <c r="AL161" i="1" s="1"/>
  <c r="X161" i="1" l="1" a="1"/>
  <c r="X161" i="1" s="1"/>
  <c r="Y161" i="1" s="1"/>
  <c r="AA161" i="1"/>
  <c r="Z161" i="1" a="1"/>
  <c r="Z161" i="1" s="1"/>
  <c r="AM160" i="1" a="1"/>
  <c r="AM160" i="1" s="1"/>
  <c r="AE163" i="1" a="1"/>
  <c r="Q163" i="1" a="1"/>
  <c r="Q162" i="1"/>
  <c r="AB162" i="1" s="1" a="1"/>
  <c r="AB162" i="1" s="1"/>
  <c r="AE162" i="1"/>
  <c r="AK162" i="1" s="1" a="1"/>
  <c r="AK162" i="1" s="1"/>
  <c r="AL162" i="1" s="1"/>
  <c r="Z162" i="1" l="1" a="1"/>
  <c r="Z162" i="1" s="1"/>
  <c r="X162" i="1" a="1"/>
  <c r="X162" i="1" s="1"/>
  <c r="Y162" i="1" s="1"/>
  <c r="AA162" i="1"/>
  <c r="AM161" i="1" a="1"/>
  <c r="AM161" i="1" s="1"/>
  <c r="AE164" i="1" a="1"/>
  <c r="Q163" i="1"/>
  <c r="AB163" i="1" s="1" a="1"/>
  <c r="AB163" i="1" s="1"/>
  <c r="Q164" i="1" a="1"/>
  <c r="AE163" i="1"/>
  <c r="AK163" i="1" s="1" a="1"/>
  <c r="AK163" i="1" s="1"/>
  <c r="AL163" i="1" s="1"/>
  <c r="Z163" i="1" l="1" a="1"/>
  <c r="Z163" i="1" s="1"/>
  <c r="X163" i="1" a="1"/>
  <c r="X163" i="1" s="1"/>
  <c r="Y163" i="1" s="1"/>
  <c r="AA163" i="1"/>
  <c r="AM162" i="1" a="1"/>
  <c r="AM162" i="1" s="1"/>
  <c r="AE165" i="1" a="1"/>
  <c r="Q164" i="1"/>
  <c r="AB164" i="1" s="1" a="1"/>
  <c r="AB164" i="1" s="1"/>
  <c r="Q165" i="1" a="1"/>
  <c r="AE164" i="1"/>
  <c r="AM163" i="1" s="1" a="1"/>
  <c r="AM163" i="1" s="1"/>
  <c r="Z164" i="1" l="1" a="1"/>
  <c r="Z164" i="1" s="1"/>
  <c r="X164" i="1" a="1"/>
  <c r="X164" i="1" s="1"/>
  <c r="Y164" i="1" s="1"/>
  <c r="AA164" i="1"/>
  <c r="AK164" i="1" a="1"/>
  <c r="AK164" i="1" s="1"/>
  <c r="AL164" i="1" s="1"/>
  <c r="AE166" i="1" a="1"/>
  <c r="Q166" i="1" a="1"/>
  <c r="Q165" i="1"/>
  <c r="AB165" i="1" s="1" a="1"/>
  <c r="AB165" i="1" s="1"/>
  <c r="AE165" i="1"/>
  <c r="AM164" i="1" s="1" a="1"/>
  <c r="AM164" i="1" s="1"/>
  <c r="Z165" i="1" l="1" a="1"/>
  <c r="Z165" i="1" s="1"/>
  <c r="AA165" i="1"/>
  <c r="X165" i="1" a="1"/>
  <c r="X165" i="1" s="1"/>
  <c r="Y165" i="1" s="1"/>
  <c r="AK165" i="1" a="1"/>
  <c r="AK165" i="1" s="1"/>
  <c r="AL165" i="1" s="1"/>
  <c r="AE167" i="1" a="1"/>
  <c r="Q166" i="1"/>
  <c r="Z166" i="1" s="1" a="1"/>
  <c r="Z166" i="1" s="1"/>
  <c r="Q167" i="1" a="1"/>
  <c r="AE166" i="1"/>
  <c r="AM165" i="1" s="1" a="1"/>
  <c r="AM165" i="1" s="1"/>
  <c r="AB166" i="1" l="1" a="1"/>
  <c r="AB166" i="1" s="1"/>
  <c r="X166" i="1" a="1"/>
  <c r="X166" i="1" s="1"/>
  <c r="Y166" i="1" s="1"/>
  <c r="AA166" i="1"/>
  <c r="AK166" i="1" a="1"/>
  <c r="AK166" i="1" s="1"/>
  <c r="AL166" i="1" s="1"/>
  <c r="AE168" i="1" a="1"/>
  <c r="Q167" i="1"/>
  <c r="AB167" i="1" s="1" a="1"/>
  <c r="AB167" i="1" s="1"/>
  <c r="Q168" i="1" a="1"/>
  <c r="AE167" i="1"/>
  <c r="AM166" i="1" s="1" a="1"/>
  <c r="AM166" i="1" s="1"/>
  <c r="Z167" i="1" l="1" a="1"/>
  <c r="Z167" i="1" s="1"/>
  <c r="X167" i="1" a="1"/>
  <c r="X167" i="1" s="1"/>
  <c r="Y167" i="1" s="1"/>
  <c r="AA167" i="1"/>
  <c r="AK167" i="1" a="1"/>
  <c r="AK167" i="1" s="1"/>
  <c r="AL167" i="1" s="1"/>
  <c r="AE169" i="1" a="1"/>
  <c r="Q168" i="1"/>
  <c r="AB168" i="1" s="1" a="1"/>
  <c r="AB168" i="1" s="1"/>
  <c r="Q169" i="1" a="1"/>
  <c r="AE168" i="1"/>
  <c r="AM167" i="1" s="1" a="1"/>
  <c r="AM167" i="1" s="1"/>
  <c r="X168" i="1" l="1" a="1"/>
  <c r="X168" i="1" s="1"/>
  <c r="Y168" i="1" s="1"/>
  <c r="Z168" i="1" a="1"/>
  <c r="Z168" i="1" s="1"/>
  <c r="AA168" i="1"/>
  <c r="AK168" i="1" a="1"/>
  <c r="AK168" i="1" s="1"/>
  <c r="AL168" i="1" s="1"/>
  <c r="AE170" i="1" a="1"/>
  <c r="Q170" i="1" a="1"/>
  <c r="Q169" i="1"/>
  <c r="AB169" i="1" s="1" a="1"/>
  <c r="AB169" i="1" s="1"/>
  <c r="AE169" i="1"/>
  <c r="AK169" i="1" s="1" a="1"/>
  <c r="AK169" i="1" s="1"/>
  <c r="AL169" i="1" s="1"/>
  <c r="Z169" i="1" l="1" a="1"/>
  <c r="Z169" i="1" s="1"/>
  <c r="X169" i="1" a="1"/>
  <c r="X169" i="1" s="1"/>
  <c r="Y169" i="1" s="1"/>
  <c r="AA169" i="1"/>
  <c r="AM168" i="1" a="1"/>
  <c r="AM168" i="1" s="1"/>
  <c r="AE171" i="1" a="1"/>
  <c r="Q170" i="1"/>
  <c r="X170" i="1" s="1" a="1"/>
  <c r="X170" i="1" s="1"/>
  <c r="Y170" i="1" s="1"/>
  <c r="Q171" i="1" a="1"/>
  <c r="AE170" i="1"/>
  <c r="AM169" i="1" s="1" a="1"/>
  <c r="AM169" i="1" s="1"/>
  <c r="AB170" i="1" l="1" a="1"/>
  <c r="AB170" i="1" s="1"/>
  <c r="Z170" i="1" a="1"/>
  <c r="Z170" i="1" s="1"/>
  <c r="AA170" i="1"/>
  <c r="AK170" i="1" a="1"/>
  <c r="AK170" i="1" s="1"/>
  <c r="AL170" i="1" s="1"/>
  <c r="AE172" i="1" a="1"/>
  <c r="Q171" i="1"/>
  <c r="AB171" i="1" s="1" a="1"/>
  <c r="AB171" i="1" s="1"/>
  <c r="Q172" i="1" a="1"/>
  <c r="AE171" i="1"/>
  <c r="AM170" i="1" s="1" a="1"/>
  <c r="AM170" i="1" s="1"/>
  <c r="X171" i="1" l="1" a="1"/>
  <c r="X171" i="1" s="1"/>
  <c r="Y171" i="1" s="1"/>
  <c r="AA171" i="1"/>
  <c r="AK171" i="1" a="1"/>
  <c r="AK171" i="1" s="1"/>
  <c r="AL171" i="1" s="1"/>
  <c r="Z171" i="1" a="1"/>
  <c r="Z171" i="1" s="1"/>
  <c r="AE173" i="1" a="1"/>
  <c r="Q172" i="1"/>
  <c r="Z172" i="1" s="1" a="1"/>
  <c r="Z172" i="1" s="1"/>
  <c r="Q173" i="1" a="1"/>
  <c r="AE172" i="1"/>
  <c r="AK172" i="1" s="1" a="1"/>
  <c r="AK172" i="1" s="1"/>
  <c r="AL172" i="1" s="1"/>
  <c r="AB172" i="1" l="1" a="1"/>
  <c r="AB172" i="1" s="1"/>
  <c r="X172" i="1" a="1"/>
  <c r="X172" i="1" s="1"/>
  <c r="Y172" i="1" s="1"/>
  <c r="AA172" i="1"/>
  <c r="AM171" i="1" a="1"/>
  <c r="AM171" i="1" s="1"/>
  <c r="AE174" i="1" a="1"/>
  <c r="Q174" i="1" a="1"/>
  <c r="Q173" i="1"/>
  <c r="X173" i="1" s="1" a="1"/>
  <c r="X173" i="1" s="1"/>
  <c r="Y173" i="1" s="1"/>
  <c r="AE173" i="1"/>
  <c r="AM172" i="1" s="1" a="1"/>
  <c r="AM172" i="1" s="1"/>
  <c r="AB173" i="1" l="1" a="1"/>
  <c r="AB173" i="1" s="1"/>
  <c r="Z173" i="1" a="1"/>
  <c r="Z173" i="1" s="1"/>
  <c r="AA173" i="1"/>
  <c r="AK173" i="1" a="1"/>
  <c r="AK173" i="1" s="1"/>
  <c r="AL173" i="1" s="1"/>
  <c r="AE175" i="1" a="1"/>
  <c r="Q174" i="1"/>
  <c r="Z174" i="1" s="1" a="1"/>
  <c r="Z174" i="1" s="1"/>
  <c r="Q175" i="1" a="1"/>
  <c r="AE174" i="1"/>
  <c r="AM173" i="1" s="1" a="1"/>
  <c r="AM173" i="1" s="1"/>
  <c r="AB174" i="1" l="1" a="1"/>
  <c r="AB174" i="1" s="1"/>
  <c r="X174" i="1" a="1"/>
  <c r="X174" i="1" s="1"/>
  <c r="Y174" i="1" s="1"/>
  <c r="AA174" i="1"/>
  <c r="AK174" i="1" a="1"/>
  <c r="AK174" i="1" s="1"/>
  <c r="AL174" i="1" s="1"/>
  <c r="AE176" i="1" a="1"/>
  <c r="Q175" i="1"/>
  <c r="Z175" i="1" s="1" a="1"/>
  <c r="Z175" i="1" s="1"/>
  <c r="Q176" i="1" a="1"/>
  <c r="AE175" i="1"/>
  <c r="AK175" i="1" s="1" a="1"/>
  <c r="AK175" i="1" s="1"/>
  <c r="AL175" i="1" s="1"/>
  <c r="AB175" i="1" l="1" a="1"/>
  <c r="AB175" i="1" s="1"/>
  <c r="X175" i="1" a="1"/>
  <c r="X175" i="1" s="1"/>
  <c r="Y175" i="1" s="1"/>
  <c r="AA175" i="1"/>
  <c r="AM174" i="1" a="1"/>
  <c r="AM174" i="1" s="1"/>
  <c r="AE177" i="1" a="1"/>
  <c r="Q176" i="1"/>
  <c r="X176" i="1" s="1" a="1"/>
  <c r="X176" i="1" s="1"/>
  <c r="Y176" i="1" s="1"/>
  <c r="Q177" i="1" a="1"/>
  <c r="AE176" i="1"/>
  <c r="AM175" i="1" s="1" a="1"/>
  <c r="AM175" i="1" s="1"/>
  <c r="AB176" i="1" l="1" a="1"/>
  <c r="AB176" i="1" s="1"/>
  <c r="Z176" i="1" a="1"/>
  <c r="Z176" i="1" s="1"/>
  <c r="AA176" i="1"/>
  <c r="AK176" i="1" a="1"/>
  <c r="AK176" i="1" s="1"/>
  <c r="AL176" i="1" s="1"/>
  <c r="AE178" i="1" a="1"/>
  <c r="Q178" i="1" a="1"/>
  <c r="Q177" i="1"/>
  <c r="Z177" i="1" s="1" a="1"/>
  <c r="Z177" i="1" s="1"/>
  <c r="AE177" i="1"/>
  <c r="AK177" i="1" s="1" a="1"/>
  <c r="AK177" i="1" s="1"/>
  <c r="AL177" i="1" s="1"/>
  <c r="AB177" i="1" l="1" a="1"/>
  <c r="AB177" i="1" s="1"/>
  <c r="X177" i="1" a="1"/>
  <c r="X177" i="1" s="1"/>
  <c r="Y177" i="1" s="1"/>
  <c r="AA177" i="1"/>
  <c r="AM176" i="1" a="1"/>
  <c r="AM176" i="1" s="1"/>
  <c r="AE179" i="1" a="1"/>
  <c r="Q179" i="1" a="1"/>
  <c r="Q178" i="1"/>
  <c r="AB178" i="1" s="1" a="1"/>
  <c r="AB178" i="1" s="1"/>
  <c r="AE178" i="1"/>
  <c r="AM177" i="1" s="1" a="1"/>
  <c r="AM177" i="1" s="1"/>
  <c r="AK178" i="1" l="1" a="1"/>
  <c r="AK178" i="1" s="1"/>
  <c r="AL178" i="1" s="1"/>
  <c r="Z178" i="1" a="1"/>
  <c r="Z178" i="1" s="1"/>
  <c r="AA178" i="1"/>
  <c r="X178" i="1" a="1"/>
  <c r="X178" i="1" s="1"/>
  <c r="Y178" i="1" s="1"/>
  <c r="AE180" i="1" a="1"/>
  <c r="Q179" i="1"/>
  <c r="AB179" i="1" s="1" a="1"/>
  <c r="AB179" i="1" s="1"/>
  <c r="Q180" i="1" a="1"/>
  <c r="AE179" i="1"/>
  <c r="AK179" i="1" s="1" a="1"/>
  <c r="AK179" i="1" s="1"/>
  <c r="AL179" i="1" s="1"/>
  <c r="X179" i="1" l="1" a="1"/>
  <c r="X179" i="1" s="1"/>
  <c r="Y179" i="1" s="1"/>
  <c r="Z179" i="1" a="1"/>
  <c r="Z179" i="1" s="1"/>
  <c r="AA179" i="1"/>
  <c r="AM178" i="1" a="1"/>
  <c r="AM178" i="1" s="1"/>
  <c r="AE181" i="1" a="1"/>
  <c r="Q180" i="1"/>
  <c r="Z180" i="1" s="1" a="1"/>
  <c r="Z180" i="1" s="1"/>
  <c r="Q181" i="1" a="1"/>
  <c r="AE180" i="1"/>
  <c r="AM179" i="1" s="1" a="1"/>
  <c r="AM179" i="1" s="1"/>
  <c r="AB180" i="1" l="1" a="1"/>
  <c r="AB180" i="1" s="1"/>
  <c r="X180" i="1" a="1"/>
  <c r="X180" i="1" s="1"/>
  <c r="Y180" i="1" s="1"/>
  <c r="AA180" i="1"/>
  <c r="AK180" i="1" a="1"/>
  <c r="AK180" i="1" s="1"/>
  <c r="AL180" i="1" s="1"/>
  <c r="AE182" i="1" a="1"/>
  <c r="Q182" i="1" a="1"/>
  <c r="Q181" i="1"/>
  <c r="AB181" i="1" s="1" a="1"/>
  <c r="AB181" i="1" s="1"/>
  <c r="AE181" i="1"/>
  <c r="AK181" i="1" s="1" a="1"/>
  <c r="AK181" i="1" s="1"/>
  <c r="AL181" i="1" s="1"/>
  <c r="AM180" i="1" l="1" a="1"/>
  <c r="AM180" i="1" s="1"/>
  <c r="Z181" i="1" a="1"/>
  <c r="Z181" i="1" s="1"/>
  <c r="AA181" i="1"/>
  <c r="X181" i="1" a="1"/>
  <c r="X181" i="1" s="1"/>
  <c r="Y181" i="1" s="1"/>
  <c r="AE183" i="1" a="1"/>
  <c r="Q182" i="1"/>
  <c r="AB182" i="1" s="1" a="1"/>
  <c r="AB182" i="1" s="1"/>
  <c r="Q183" i="1" a="1"/>
  <c r="AE182" i="1"/>
  <c r="AM181" i="1" s="1" a="1"/>
  <c r="AM181" i="1" s="1"/>
  <c r="Z182" i="1" l="1" a="1"/>
  <c r="Z182" i="1" s="1"/>
  <c r="X182" i="1" a="1"/>
  <c r="X182" i="1" s="1"/>
  <c r="Y182" i="1" s="1"/>
  <c r="AA182" i="1"/>
  <c r="AK182" i="1" a="1"/>
  <c r="AK182" i="1" s="1"/>
  <c r="AL182" i="1" s="1"/>
  <c r="AE184" i="1" a="1"/>
  <c r="Q183" i="1"/>
  <c r="Z183" i="1" s="1" a="1"/>
  <c r="Z183" i="1" s="1"/>
  <c r="Q184" i="1" a="1"/>
  <c r="AE183" i="1"/>
  <c r="AK183" i="1" s="1" a="1"/>
  <c r="AK183" i="1" s="1"/>
  <c r="AL183" i="1" s="1"/>
  <c r="AB183" i="1" l="1" a="1"/>
  <c r="AB183" i="1" s="1"/>
  <c r="X183" i="1" a="1"/>
  <c r="X183" i="1" s="1"/>
  <c r="Y183" i="1" s="1"/>
  <c r="AA183" i="1"/>
  <c r="AM182" i="1" a="1"/>
  <c r="AM182" i="1" s="1"/>
  <c r="AE185" i="1" a="1"/>
  <c r="Q184" i="1"/>
  <c r="AB184" i="1" s="1" a="1"/>
  <c r="AB184" i="1" s="1"/>
  <c r="Q185" i="1" a="1"/>
  <c r="AE184" i="1"/>
  <c r="AK184" i="1" s="1" a="1"/>
  <c r="AK184" i="1" s="1"/>
  <c r="AL184" i="1" s="1"/>
  <c r="AM183" i="1" l="1" a="1"/>
  <c r="AM183" i="1" s="1"/>
  <c r="Z184" i="1" a="1"/>
  <c r="Z184" i="1" s="1"/>
  <c r="AA184" i="1"/>
  <c r="X184" i="1" a="1"/>
  <c r="X184" i="1" s="1"/>
  <c r="Y184" i="1" s="1"/>
  <c r="AE186" i="1" a="1"/>
  <c r="Q186" i="1" a="1"/>
  <c r="Q185" i="1"/>
  <c r="AB185" i="1" s="1" a="1"/>
  <c r="AB185" i="1" s="1"/>
  <c r="AE185" i="1"/>
  <c r="AK185" i="1" s="1" a="1"/>
  <c r="AK185" i="1" s="1"/>
  <c r="AL185" i="1" s="1"/>
  <c r="X185" i="1" l="1" a="1"/>
  <c r="X185" i="1" s="1"/>
  <c r="Y185" i="1" s="1"/>
  <c r="AA185" i="1"/>
  <c r="Z185" i="1" a="1"/>
  <c r="Z185" i="1" s="1"/>
  <c r="AM184" i="1" a="1"/>
  <c r="AM184" i="1" s="1"/>
  <c r="AE187" i="1" a="1"/>
  <c r="Q186" i="1"/>
  <c r="X186" i="1" s="1" a="1"/>
  <c r="X186" i="1" s="1"/>
  <c r="Y186" i="1" s="1"/>
  <c r="Q187" i="1" a="1"/>
  <c r="AE186" i="1"/>
  <c r="AM185" i="1" s="1" a="1"/>
  <c r="AM185" i="1" s="1"/>
  <c r="AB186" i="1" l="1" a="1"/>
  <c r="AB186" i="1" s="1"/>
  <c r="Z186" i="1" a="1"/>
  <c r="Z186" i="1" s="1"/>
  <c r="AA186" i="1"/>
  <c r="AK186" i="1" a="1"/>
  <c r="AK186" i="1" s="1"/>
  <c r="AL186" i="1" s="1"/>
  <c r="AE188" i="1" a="1"/>
  <c r="Q187" i="1"/>
  <c r="AB187" i="1" s="1" a="1"/>
  <c r="AB187" i="1" s="1"/>
  <c r="Q188" i="1" a="1"/>
  <c r="AE187" i="1"/>
  <c r="AK187" i="1" s="1" a="1"/>
  <c r="AK187" i="1" s="1"/>
  <c r="AL187" i="1" s="1"/>
  <c r="X187" i="1" l="1" a="1"/>
  <c r="X187" i="1" s="1"/>
  <c r="Y187" i="1" s="1"/>
  <c r="Z187" i="1" a="1"/>
  <c r="Z187" i="1" s="1"/>
  <c r="AA187" i="1"/>
  <c r="AM186" i="1" a="1"/>
  <c r="AM186" i="1" s="1"/>
  <c r="AE189" i="1" a="1"/>
  <c r="Q188" i="1"/>
  <c r="AB188" i="1" s="1" a="1"/>
  <c r="AB188" i="1" s="1"/>
  <c r="Q189" i="1" a="1"/>
  <c r="AE188" i="1"/>
  <c r="AM187" i="1" s="1" a="1"/>
  <c r="AM187" i="1" s="1"/>
  <c r="Z188" i="1" l="1" a="1"/>
  <c r="Z188" i="1" s="1"/>
  <c r="X188" i="1" a="1"/>
  <c r="X188" i="1" s="1"/>
  <c r="Y188" i="1" s="1"/>
  <c r="AA188" i="1"/>
  <c r="AK188" i="1" a="1"/>
  <c r="AK188" i="1" s="1"/>
  <c r="AL188" i="1" s="1"/>
  <c r="AE190" i="1" a="1"/>
  <c r="Q189" i="1"/>
  <c r="AB189" i="1" s="1" a="1"/>
  <c r="AB189" i="1" s="1"/>
  <c r="Q190" i="1" a="1"/>
  <c r="AE189" i="1"/>
  <c r="AM188" i="1" s="1" a="1"/>
  <c r="AM188" i="1" s="1"/>
  <c r="AK189" i="1" l="1" a="1"/>
  <c r="AK189" i="1" s="1"/>
  <c r="AL189" i="1" s="1"/>
  <c r="Z189" i="1" a="1"/>
  <c r="Z189" i="1" s="1"/>
  <c r="AA189" i="1"/>
  <c r="X189" i="1" a="1"/>
  <c r="X189" i="1" s="1"/>
  <c r="Y189" i="1" s="1"/>
  <c r="AE191" i="1" a="1"/>
  <c r="Q191" i="1" a="1"/>
  <c r="Q190" i="1"/>
  <c r="AB190" i="1" s="1" a="1"/>
  <c r="AB190" i="1" s="1"/>
  <c r="AE190" i="1"/>
  <c r="AK190" i="1" s="1" a="1"/>
  <c r="AK190" i="1" s="1"/>
  <c r="AL190" i="1" s="1"/>
  <c r="Z190" i="1" l="1" a="1"/>
  <c r="Z190" i="1" s="1"/>
  <c r="AA190" i="1"/>
  <c r="AM189" i="1" a="1"/>
  <c r="AM189" i="1" s="1"/>
  <c r="X190" i="1" a="1"/>
  <c r="X190" i="1" s="1"/>
  <c r="Y190" i="1" s="1"/>
  <c r="AE192" i="1" a="1"/>
  <c r="Q191" i="1"/>
  <c r="AB191" i="1" s="1" a="1"/>
  <c r="AB191" i="1" s="1"/>
  <c r="Q192" i="1" a="1"/>
  <c r="AE191" i="1"/>
  <c r="AM190" i="1" s="1" a="1"/>
  <c r="AM190" i="1" s="1"/>
  <c r="Z191" i="1" l="1" a="1"/>
  <c r="Z191" i="1" s="1"/>
  <c r="X191" i="1" a="1"/>
  <c r="X191" i="1" s="1"/>
  <c r="Y191" i="1" s="1"/>
  <c r="AA191" i="1"/>
  <c r="AK191" i="1" a="1"/>
  <c r="AK191" i="1" s="1"/>
  <c r="AL191" i="1" s="1"/>
  <c r="AE193" i="1" a="1"/>
  <c r="Q192" i="1"/>
  <c r="AB192" i="1" s="1" a="1"/>
  <c r="AB192" i="1" s="1"/>
  <c r="Q193" i="1" a="1"/>
  <c r="AE192" i="1"/>
  <c r="AK192" i="1" s="1" a="1"/>
  <c r="AK192" i="1" s="1"/>
  <c r="AL192" i="1" s="1"/>
  <c r="X192" i="1" l="1" a="1"/>
  <c r="X192" i="1" s="1"/>
  <c r="Y192" i="1" s="1"/>
  <c r="Z192" i="1" a="1"/>
  <c r="Z192" i="1" s="1"/>
  <c r="AA192" i="1"/>
  <c r="AM191" i="1" a="1"/>
  <c r="AM191" i="1" s="1"/>
  <c r="AE194" i="1" a="1"/>
  <c r="Q193" i="1"/>
  <c r="AB193" i="1" s="1" a="1"/>
  <c r="AB193" i="1" s="1"/>
  <c r="Q194" i="1" a="1"/>
  <c r="AE193" i="1"/>
  <c r="AK193" i="1" s="1" a="1"/>
  <c r="AK193" i="1" s="1"/>
  <c r="AL193" i="1" s="1"/>
  <c r="X193" i="1" l="1" a="1"/>
  <c r="X193" i="1" s="1"/>
  <c r="Y193" i="1" s="1"/>
  <c r="AA193" i="1"/>
  <c r="Z193" i="1" a="1"/>
  <c r="Z193" i="1" s="1"/>
  <c r="AM192" i="1" a="1"/>
  <c r="AM192" i="1" s="1"/>
  <c r="AE195" i="1" a="1"/>
  <c r="Q194" i="1"/>
  <c r="AB194" i="1" s="1" a="1"/>
  <c r="AB194" i="1" s="1"/>
  <c r="Q195" i="1" a="1"/>
  <c r="AE194" i="1"/>
  <c r="AM193" i="1" s="1" a="1"/>
  <c r="AM193" i="1" s="1"/>
  <c r="X194" i="1" l="1" a="1"/>
  <c r="X194" i="1" s="1"/>
  <c r="Y194" i="1" s="1"/>
  <c r="Z194" i="1" a="1"/>
  <c r="Z194" i="1" s="1"/>
  <c r="AA194" i="1"/>
  <c r="AK194" i="1" a="1"/>
  <c r="AK194" i="1" s="1"/>
  <c r="AL194" i="1" s="1"/>
  <c r="AE196" i="1" a="1"/>
  <c r="Q196" i="1" a="1"/>
  <c r="Q195" i="1"/>
  <c r="AB195" i="1" s="1" a="1"/>
  <c r="AB195" i="1" s="1"/>
  <c r="AE195" i="1"/>
  <c r="AK195" i="1" s="1" a="1"/>
  <c r="AK195" i="1" s="1"/>
  <c r="AL195" i="1" s="1"/>
  <c r="Z195" i="1" l="1" a="1"/>
  <c r="Z195" i="1" s="1"/>
  <c r="AA195" i="1"/>
  <c r="X195" i="1" a="1"/>
  <c r="X195" i="1" s="1"/>
  <c r="Y195" i="1" s="1"/>
  <c r="AM194" i="1" a="1"/>
  <c r="AM194" i="1" s="1"/>
  <c r="AE197" i="1" a="1"/>
  <c r="Q197" i="1" a="1"/>
  <c r="Q196" i="1"/>
  <c r="AB196" i="1" s="1" a="1"/>
  <c r="AB196" i="1" s="1"/>
  <c r="AE196" i="1"/>
  <c r="AK196" i="1" s="1" a="1"/>
  <c r="AK196" i="1" s="1"/>
  <c r="AL196" i="1" s="1"/>
  <c r="X196" i="1" l="1" a="1"/>
  <c r="X196" i="1" s="1"/>
  <c r="Y196" i="1" s="1"/>
  <c r="AA196" i="1"/>
  <c r="AM195" i="1" a="1"/>
  <c r="AM195" i="1" s="1"/>
  <c r="Z196" i="1" a="1"/>
  <c r="Z196" i="1" s="1"/>
  <c r="AE198" i="1" a="1"/>
  <c r="Q198" i="1" a="1"/>
  <c r="Q197" i="1"/>
  <c r="X197" i="1" s="1" a="1"/>
  <c r="X197" i="1" s="1"/>
  <c r="Y197" i="1" s="1"/>
  <c r="AE197" i="1"/>
  <c r="AM196" i="1" s="1" a="1"/>
  <c r="AM196" i="1" s="1"/>
  <c r="AB197" i="1" l="1" a="1"/>
  <c r="AB197" i="1" s="1"/>
  <c r="Z197" i="1" a="1"/>
  <c r="Z197" i="1" s="1"/>
  <c r="AA197" i="1"/>
  <c r="AK197" i="1" a="1"/>
  <c r="AK197" i="1" s="1"/>
  <c r="AL197" i="1" s="1"/>
  <c r="AE199" i="1" a="1"/>
  <c r="Q198" i="1"/>
  <c r="AB198" i="1" s="1" a="1"/>
  <c r="AB198" i="1" s="1"/>
  <c r="Q199" i="1" a="1"/>
  <c r="AE198" i="1"/>
  <c r="AM197" i="1" s="1" a="1"/>
  <c r="AM197" i="1" s="1"/>
  <c r="X198" i="1" l="1" a="1"/>
  <c r="X198" i="1" s="1"/>
  <c r="Y198" i="1" s="1"/>
  <c r="Z198" i="1" a="1"/>
  <c r="Z198" i="1" s="1"/>
  <c r="AA198" i="1"/>
  <c r="AK198" i="1" a="1"/>
  <c r="AK198" i="1" s="1"/>
  <c r="AL198" i="1" s="1"/>
  <c r="AE200" i="1" a="1"/>
  <c r="Q200" i="1" a="1"/>
  <c r="Q199" i="1"/>
  <c r="AB199" i="1" s="1" a="1"/>
  <c r="AB199" i="1" s="1"/>
  <c r="AE199" i="1"/>
  <c r="AK199" i="1" s="1" a="1"/>
  <c r="AK199" i="1" s="1"/>
  <c r="AL199" i="1" s="1"/>
  <c r="X199" i="1" l="1" a="1"/>
  <c r="X199" i="1" s="1"/>
  <c r="Y199" i="1" s="1"/>
  <c r="AA199" i="1"/>
  <c r="AM198" i="1" a="1"/>
  <c r="AM198" i="1" s="1"/>
  <c r="Z199" i="1" a="1"/>
  <c r="Z199" i="1" s="1"/>
  <c r="AE201" i="1" a="1"/>
  <c r="Q200" i="1"/>
  <c r="AB200" i="1" s="1" a="1"/>
  <c r="AB200" i="1" s="1"/>
  <c r="Q201" i="1" a="1"/>
  <c r="AE200" i="1"/>
  <c r="AK200" i="1" s="1" a="1"/>
  <c r="AK200" i="1" s="1"/>
  <c r="AL200" i="1" s="1"/>
  <c r="X200" i="1" l="1" a="1"/>
  <c r="X200" i="1" s="1"/>
  <c r="Y200" i="1" s="1"/>
  <c r="Z200" i="1" a="1"/>
  <c r="Z200" i="1" s="1"/>
  <c r="AA200" i="1"/>
  <c r="AM199" i="1" a="1"/>
  <c r="AM199" i="1" s="1"/>
  <c r="AE202" i="1" a="1"/>
  <c r="Q202" i="1" a="1"/>
  <c r="Q201" i="1"/>
  <c r="AB201" i="1" s="1" a="1"/>
  <c r="AB201" i="1" s="1"/>
  <c r="AE201" i="1"/>
  <c r="AM200" i="1" s="1" a="1"/>
  <c r="AM200" i="1" s="1"/>
  <c r="AK201" i="1" l="1" a="1"/>
  <c r="AK201" i="1" s="1"/>
  <c r="AL201" i="1" s="1"/>
  <c r="X201" i="1" a="1"/>
  <c r="X201" i="1" s="1"/>
  <c r="Y201" i="1" s="1"/>
  <c r="AA201" i="1"/>
  <c r="Z201" i="1" a="1"/>
  <c r="Z201" i="1" s="1"/>
  <c r="AE203" i="1" a="1"/>
  <c r="Q202" i="1"/>
  <c r="AB202" i="1" s="1" a="1"/>
  <c r="AB202" i="1" s="1"/>
  <c r="Q203" i="1" a="1"/>
  <c r="AE202" i="1"/>
  <c r="AM201" i="1" s="1" a="1"/>
  <c r="AM201" i="1" s="1"/>
  <c r="X202" i="1" l="1" a="1"/>
  <c r="X202" i="1" s="1"/>
  <c r="Y202" i="1" s="1"/>
  <c r="Z202" i="1" a="1"/>
  <c r="Z202" i="1" s="1"/>
  <c r="AA202" i="1"/>
  <c r="AK202" i="1" a="1"/>
  <c r="AK202" i="1" s="1"/>
  <c r="AL202" i="1" s="1"/>
  <c r="AE204" i="1" a="1"/>
  <c r="Q203" i="1"/>
  <c r="AB203" i="1" s="1" a="1"/>
  <c r="AB203" i="1" s="1"/>
  <c r="Q204" i="1" a="1"/>
  <c r="AE203" i="1"/>
  <c r="AK203" i="1" s="1" a="1"/>
  <c r="AK203" i="1" s="1"/>
  <c r="AL203" i="1" s="1"/>
  <c r="X203" i="1" l="1" a="1"/>
  <c r="X203" i="1" s="1"/>
  <c r="Y203" i="1" s="1"/>
  <c r="Z203" i="1" a="1"/>
  <c r="Z203" i="1" s="1"/>
  <c r="AA203" i="1"/>
  <c r="AM202" i="1" a="1"/>
  <c r="AM202" i="1" s="1"/>
  <c r="AE205" i="1" a="1"/>
  <c r="Q204" i="1"/>
  <c r="AB204" i="1" s="1" a="1"/>
  <c r="AB204" i="1" s="1"/>
  <c r="Q205" i="1" a="1"/>
  <c r="AE204" i="1"/>
  <c r="AM203" i="1" s="1" a="1"/>
  <c r="AM203" i="1" s="1"/>
  <c r="Z204" i="1" l="1" a="1"/>
  <c r="Z204" i="1" s="1"/>
  <c r="X204" i="1" a="1"/>
  <c r="X204" i="1" s="1"/>
  <c r="Y204" i="1" s="1"/>
  <c r="AA204" i="1"/>
  <c r="AK204" i="1" a="1"/>
  <c r="AK204" i="1" s="1"/>
  <c r="AL204" i="1" s="1"/>
  <c r="AE206" i="1" a="1"/>
  <c r="Q205" i="1"/>
  <c r="AB205" i="1" s="1" a="1"/>
  <c r="AB205" i="1" s="1"/>
  <c r="Q206" i="1" a="1"/>
  <c r="X205" i="1" a="1"/>
  <c r="X205" i="1" s="1"/>
  <c r="Y205" i="1" s="1"/>
  <c r="AE205" i="1"/>
  <c r="AM204" i="1" s="1" a="1"/>
  <c r="AM204" i="1" s="1"/>
  <c r="Z205" i="1" l="1" a="1"/>
  <c r="Z205" i="1" s="1"/>
  <c r="AA205" i="1"/>
  <c r="AK205" i="1" a="1"/>
  <c r="AK205" i="1" s="1"/>
  <c r="AL205" i="1" s="1"/>
  <c r="AE207" i="1" a="1"/>
  <c r="Q206" i="1"/>
  <c r="AB206" i="1" s="1" a="1"/>
  <c r="AB206" i="1" s="1"/>
  <c r="Q207" i="1" a="1"/>
  <c r="AE206" i="1"/>
  <c r="AM205" i="1" s="1" a="1"/>
  <c r="AM205" i="1" s="1"/>
  <c r="X206" i="1" l="1" a="1"/>
  <c r="X206" i="1" s="1"/>
  <c r="Y206" i="1" s="1"/>
  <c r="Z206" i="1" a="1"/>
  <c r="Z206" i="1" s="1"/>
  <c r="AA206" i="1"/>
  <c r="AK206" i="1" a="1"/>
  <c r="AK206" i="1" s="1"/>
  <c r="AL206" i="1" s="1"/>
  <c r="AE208" i="1" a="1"/>
  <c r="Q207" i="1"/>
  <c r="AB207" i="1" s="1" a="1"/>
  <c r="AB207" i="1" s="1"/>
  <c r="Q208" i="1" a="1"/>
  <c r="AE207" i="1"/>
  <c r="AM206" i="1" s="1" a="1"/>
  <c r="AM206" i="1" s="1"/>
  <c r="Z207" i="1" l="1" a="1"/>
  <c r="Z207" i="1" s="1"/>
  <c r="X207" i="1" a="1"/>
  <c r="X207" i="1" s="1"/>
  <c r="Y207" i="1" s="1"/>
  <c r="AA207" i="1"/>
  <c r="AK207" i="1" a="1"/>
  <c r="AK207" i="1" s="1"/>
  <c r="AL207" i="1" s="1"/>
  <c r="AE209" i="1" a="1"/>
  <c r="Q208" i="1"/>
  <c r="AB208" i="1" s="1" a="1"/>
  <c r="AB208" i="1" s="1"/>
  <c r="Q209" i="1" a="1"/>
  <c r="X208" i="1" a="1"/>
  <c r="X208" i="1" s="1"/>
  <c r="Y208" i="1" s="1"/>
  <c r="AE208" i="1"/>
  <c r="AK208" i="1" s="1" a="1"/>
  <c r="AK208" i="1" s="1"/>
  <c r="AL208" i="1" s="1"/>
  <c r="Z208" i="1" l="1" a="1"/>
  <c r="Z208" i="1" s="1"/>
  <c r="AA208" i="1"/>
  <c r="AM207" i="1" a="1"/>
  <c r="AM207" i="1" s="1"/>
  <c r="AE210" i="1" a="1"/>
  <c r="Q209" i="1"/>
  <c r="AB209" i="1" s="1" a="1"/>
  <c r="AB209" i="1" s="1"/>
  <c r="Q210" i="1" a="1"/>
  <c r="AE209" i="1"/>
  <c r="AK209" i="1" s="1" a="1"/>
  <c r="AK209" i="1" s="1"/>
  <c r="AL209" i="1" s="1"/>
  <c r="Z209" i="1" l="1" a="1"/>
  <c r="Z209" i="1" s="1"/>
  <c r="X209" i="1" a="1"/>
  <c r="X209" i="1" s="1"/>
  <c r="Y209" i="1" s="1"/>
  <c r="AA209" i="1"/>
  <c r="AM208" i="1" a="1"/>
  <c r="AM208" i="1" s="1"/>
  <c r="AE211" i="1" a="1"/>
  <c r="Q211" i="1" a="1"/>
  <c r="Q210" i="1"/>
  <c r="AB210" i="1" s="1" a="1"/>
  <c r="AB210" i="1" s="1"/>
  <c r="AE210" i="1"/>
  <c r="AK210" i="1" s="1" a="1"/>
  <c r="AK210" i="1" s="1"/>
  <c r="AL210" i="1" s="1"/>
  <c r="X210" i="1" l="1" a="1"/>
  <c r="X210" i="1" s="1"/>
  <c r="Y210" i="1" s="1"/>
  <c r="Z210" i="1" a="1"/>
  <c r="Z210" i="1" s="1"/>
  <c r="AA210" i="1"/>
  <c r="AM209" i="1" a="1"/>
  <c r="AM209" i="1" s="1"/>
  <c r="AE212" i="1" a="1"/>
  <c r="Q211" i="1"/>
  <c r="AB211" i="1" s="1" a="1"/>
  <c r="AB211" i="1" s="1"/>
  <c r="Q212" i="1" a="1"/>
  <c r="AE211" i="1"/>
  <c r="AK211" i="1" s="1" a="1"/>
  <c r="AK211" i="1" s="1"/>
  <c r="AL211" i="1" s="1"/>
  <c r="X211" i="1" l="1" a="1"/>
  <c r="X211" i="1" s="1"/>
  <c r="Y211" i="1" s="1"/>
  <c r="Z211" i="1" a="1"/>
  <c r="Z211" i="1" s="1"/>
  <c r="AA211" i="1"/>
  <c r="AM210" i="1" a="1"/>
  <c r="AM210" i="1" s="1"/>
  <c r="AE213" i="1" a="1"/>
  <c r="Q212" i="1"/>
  <c r="AB212" i="1" s="1" a="1"/>
  <c r="AB212" i="1" s="1"/>
  <c r="Q213" i="1" a="1"/>
  <c r="AE212" i="1"/>
  <c r="AM211" i="1" s="1" a="1"/>
  <c r="AM211" i="1" s="1"/>
  <c r="X212" i="1" l="1" a="1"/>
  <c r="X212" i="1" s="1"/>
  <c r="Y212" i="1" s="1"/>
  <c r="AA212" i="1"/>
  <c r="Z212" i="1" a="1"/>
  <c r="Z212" i="1" s="1"/>
  <c r="AK212" i="1" a="1"/>
  <c r="AK212" i="1" s="1"/>
  <c r="AL212" i="1" s="1"/>
  <c r="AE214" i="1" a="1"/>
  <c r="Q213" i="1"/>
  <c r="AB213" i="1" s="1" a="1"/>
  <c r="AB213" i="1" s="1"/>
  <c r="Q214" i="1" a="1"/>
  <c r="AE213" i="1"/>
  <c r="AK213" i="1" s="1" a="1"/>
  <c r="AK213" i="1" s="1"/>
  <c r="AL213" i="1" s="1"/>
  <c r="X213" i="1" l="1" a="1"/>
  <c r="X213" i="1" s="1"/>
  <c r="Y213" i="1" s="1"/>
  <c r="Z213" i="1" a="1"/>
  <c r="Z213" i="1" s="1"/>
  <c r="AA213" i="1"/>
  <c r="AM212" i="1" a="1"/>
  <c r="AM212" i="1" s="1"/>
  <c r="AE215" i="1" a="1"/>
  <c r="Q215" i="1" a="1"/>
  <c r="Q214" i="1"/>
  <c r="AB214" i="1" s="1" a="1"/>
  <c r="AB214" i="1" s="1"/>
  <c r="AE214" i="1"/>
  <c r="AK214" i="1" s="1" a="1"/>
  <c r="AK214" i="1" s="1"/>
  <c r="AL214" i="1" s="1"/>
  <c r="Z214" i="1" l="1" a="1"/>
  <c r="Z214" i="1" s="1"/>
  <c r="X214" i="1" a="1"/>
  <c r="X214" i="1" s="1"/>
  <c r="Y214" i="1" s="1"/>
  <c r="AA214" i="1"/>
  <c r="AM213" i="1" a="1"/>
  <c r="AM213" i="1" s="1"/>
  <c r="AE216" i="1" a="1"/>
  <c r="Q216" i="1" a="1"/>
  <c r="Q215" i="1"/>
  <c r="AB215" i="1" s="1" a="1"/>
  <c r="AB215" i="1" s="1"/>
  <c r="AE215" i="1"/>
  <c r="AM214" i="1" s="1" a="1"/>
  <c r="AM214" i="1" s="1"/>
  <c r="Z215" i="1" l="1" a="1"/>
  <c r="Z215" i="1" s="1"/>
  <c r="X215" i="1" a="1"/>
  <c r="X215" i="1" s="1"/>
  <c r="Y215" i="1" s="1"/>
  <c r="AA215" i="1"/>
  <c r="AK215" i="1" a="1"/>
  <c r="AK215" i="1" s="1"/>
  <c r="AL215" i="1" s="1"/>
  <c r="AE217" i="1" a="1"/>
  <c r="Q216" i="1"/>
  <c r="AB216" i="1" s="1" a="1"/>
  <c r="AB216" i="1" s="1"/>
  <c r="Q217" i="1" a="1"/>
  <c r="AE216" i="1"/>
  <c r="AM215" i="1" s="1" a="1"/>
  <c r="AM215" i="1" s="1"/>
  <c r="X216" i="1" l="1" a="1"/>
  <c r="X216" i="1" s="1"/>
  <c r="Y216" i="1" s="1"/>
  <c r="Z216" i="1" a="1"/>
  <c r="Z216" i="1" s="1"/>
  <c r="AA216" i="1"/>
  <c r="AK216" i="1" a="1"/>
  <c r="AK216" i="1" s="1"/>
  <c r="AL216" i="1" s="1"/>
  <c r="AE218" i="1" a="1"/>
  <c r="Q218" i="1" a="1"/>
  <c r="Q217" i="1"/>
  <c r="AB217" i="1" s="1" a="1"/>
  <c r="AB217" i="1" s="1"/>
  <c r="AE217" i="1"/>
  <c r="AK217" i="1" s="1" a="1"/>
  <c r="AK217" i="1" s="1"/>
  <c r="AL217" i="1" s="1"/>
  <c r="Z217" i="1" l="1" a="1"/>
  <c r="Z217" i="1" s="1"/>
  <c r="X217" i="1" a="1"/>
  <c r="X217" i="1" s="1"/>
  <c r="Y217" i="1" s="1"/>
  <c r="AA217" i="1"/>
  <c r="AM216" i="1" a="1"/>
  <c r="AM216" i="1" s="1"/>
  <c r="AE219" i="1" a="1"/>
  <c r="Q218" i="1"/>
  <c r="AB218" i="1" s="1" a="1"/>
  <c r="AB218" i="1" s="1"/>
  <c r="Q219" i="1" a="1"/>
  <c r="AE218" i="1"/>
  <c r="AK218" i="1" s="1" a="1"/>
  <c r="AK218" i="1" s="1"/>
  <c r="AL218" i="1" s="1"/>
  <c r="X218" i="1" l="1" a="1"/>
  <c r="X218" i="1" s="1"/>
  <c r="Y218" i="1" s="1"/>
  <c r="Z218" i="1" a="1"/>
  <c r="Z218" i="1" s="1"/>
  <c r="AA218" i="1"/>
  <c r="AM217" i="1" a="1"/>
  <c r="AM217" i="1" s="1"/>
  <c r="AE220" i="1" a="1"/>
  <c r="Q220" i="1" a="1"/>
  <c r="Q219" i="1"/>
  <c r="AB219" i="1" s="1" a="1"/>
  <c r="AB219" i="1" s="1"/>
  <c r="AE219" i="1"/>
  <c r="AM218" i="1" s="1" a="1"/>
  <c r="AM218" i="1" s="1"/>
  <c r="Z219" i="1" l="1" a="1"/>
  <c r="Z219" i="1" s="1"/>
  <c r="X219" i="1" a="1"/>
  <c r="X219" i="1" s="1"/>
  <c r="Y219" i="1" s="1"/>
  <c r="AA219" i="1"/>
  <c r="AK219" i="1" a="1"/>
  <c r="AK219" i="1" s="1"/>
  <c r="AL219" i="1" s="1"/>
  <c r="AE221" i="1" a="1"/>
  <c r="Q220" i="1"/>
  <c r="AB220" i="1" s="1" a="1"/>
  <c r="AB220" i="1" s="1"/>
  <c r="Q221" i="1" a="1"/>
  <c r="AE220" i="1"/>
  <c r="AK220" i="1" s="1" a="1"/>
  <c r="AK220" i="1" s="1"/>
  <c r="AL220" i="1" s="1"/>
  <c r="AM219" i="1" l="1" a="1"/>
  <c r="AM219" i="1" s="1"/>
  <c r="X220" i="1" a="1"/>
  <c r="X220" i="1" s="1"/>
  <c r="Y220" i="1" s="1"/>
  <c r="AA220" i="1"/>
  <c r="Z220" i="1" a="1"/>
  <c r="Z220" i="1" s="1"/>
  <c r="AE222" i="1" a="1"/>
  <c r="Q221" i="1"/>
  <c r="AB221" i="1" s="1" a="1"/>
  <c r="AB221" i="1" s="1"/>
  <c r="Q222" i="1" a="1"/>
  <c r="AE221" i="1"/>
  <c r="AM220" i="1" s="1" a="1"/>
  <c r="AM220" i="1" s="1"/>
  <c r="X221" i="1" l="1" a="1"/>
  <c r="X221" i="1" s="1"/>
  <c r="Y221" i="1" s="1"/>
  <c r="Z221" i="1" a="1"/>
  <c r="Z221" i="1" s="1"/>
  <c r="AA221" i="1"/>
  <c r="AK221" i="1" a="1"/>
  <c r="AK221" i="1" s="1"/>
  <c r="AL221" i="1" s="1"/>
  <c r="AE223" i="1" a="1"/>
  <c r="Q223" i="1" a="1"/>
  <c r="Q222" i="1"/>
  <c r="AB222" i="1" s="1" a="1"/>
  <c r="AB222" i="1" s="1"/>
  <c r="AE222" i="1"/>
  <c r="AK222" i="1" s="1" a="1"/>
  <c r="AK222" i="1" s="1"/>
  <c r="AL222" i="1" s="1"/>
  <c r="AM221" i="1" l="1" a="1"/>
  <c r="AM221" i="1" s="1"/>
  <c r="X222" i="1" a="1"/>
  <c r="X222" i="1" s="1"/>
  <c r="Y222" i="1" s="1"/>
  <c r="AA222" i="1"/>
  <c r="Z222" i="1" a="1"/>
  <c r="Z222" i="1" s="1"/>
  <c r="AE224" i="1" a="1"/>
  <c r="Q223" i="1"/>
  <c r="AB223" i="1" s="1" a="1"/>
  <c r="AB223" i="1" s="1"/>
  <c r="Q224" i="1" a="1"/>
  <c r="AE223" i="1"/>
  <c r="AM222" i="1" s="1" a="1"/>
  <c r="AM222" i="1" s="1"/>
  <c r="AK223" i="1" l="1" a="1"/>
  <c r="AK223" i="1" s="1"/>
  <c r="AL223" i="1" s="1"/>
  <c r="X223" i="1" a="1"/>
  <c r="X223" i="1" s="1"/>
  <c r="Y223" i="1" s="1"/>
  <c r="AA223" i="1"/>
  <c r="Z223" i="1" a="1"/>
  <c r="Z223" i="1" s="1"/>
  <c r="AE225" i="1" a="1"/>
  <c r="Q224" i="1"/>
  <c r="X224" i="1" s="1" a="1"/>
  <c r="X224" i="1" s="1"/>
  <c r="Y224" i="1" s="1"/>
  <c r="Q225" i="1" a="1"/>
  <c r="AE224" i="1"/>
  <c r="AK224" i="1" s="1" a="1"/>
  <c r="AK224" i="1" s="1"/>
  <c r="AL224" i="1" s="1"/>
  <c r="AB224" i="1" l="1" a="1"/>
  <c r="AB224" i="1" s="1"/>
  <c r="Z224" i="1" a="1"/>
  <c r="Z224" i="1" s="1"/>
  <c r="AA224" i="1"/>
  <c r="AM223" i="1" a="1"/>
  <c r="AM223" i="1" s="1"/>
  <c r="AE226" i="1" a="1"/>
  <c r="Q225" i="1"/>
  <c r="AB225" i="1" s="1" a="1"/>
  <c r="AB225" i="1" s="1"/>
  <c r="Q226" i="1" a="1"/>
  <c r="AE225" i="1"/>
  <c r="AK225" i="1" s="1" a="1"/>
  <c r="AK225" i="1" s="1"/>
  <c r="AL225" i="1" s="1"/>
  <c r="Z225" i="1" l="1" a="1"/>
  <c r="Z225" i="1" s="1"/>
  <c r="X225" i="1" a="1"/>
  <c r="X225" i="1" s="1"/>
  <c r="Y225" i="1" s="1"/>
  <c r="AA225" i="1"/>
  <c r="AM224" i="1" a="1"/>
  <c r="AM224" i="1" s="1"/>
  <c r="AE227" i="1" a="1"/>
  <c r="Q226" i="1"/>
  <c r="AB226" i="1" s="1" a="1"/>
  <c r="AB226" i="1" s="1"/>
  <c r="Q227" i="1" a="1"/>
  <c r="AE226" i="1"/>
  <c r="AK226" i="1" s="1" a="1"/>
  <c r="AK226" i="1" s="1"/>
  <c r="AL226" i="1" s="1"/>
  <c r="X226" i="1" l="1" a="1"/>
  <c r="X226" i="1" s="1"/>
  <c r="Y226" i="1" s="1"/>
  <c r="Z226" i="1" a="1"/>
  <c r="Z226" i="1" s="1"/>
  <c r="AA226" i="1"/>
  <c r="AM225" i="1" a="1"/>
  <c r="AM225" i="1" s="1"/>
  <c r="AE228" i="1" a="1"/>
  <c r="Q227" i="1"/>
  <c r="AB227" i="1" s="1" a="1"/>
  <c r="AB227" i="1" s="1"/>
  <c r="Q228" i="1" a="1"/>
  <c r="AE227" i="1"/>
  <c r="AK227" i="1" s="1" a="1"/>
  <c r="AK227" i="1" s="1"/>
  <c r="AL227" i="1" s="1"/>
  <c r="Z227" i="1" l="1" a="1"/>
  <c r="Z227" i="1" s="1"/>
  <c r="X227" i="1" a="1"/>
  <c r="X227" i="1" s="1"/>
  <c r="Y227" i="1" s="1"/>
  <c r="AA227" i="1"/>
  <c r="AM226" i="1" a="1"/>
  <c r="AM226" i="1" s="1"/>
  <c r="AE229" i="1" a="1"/>
  <c r="Q228" i="1"/>
  <c r="AB228" i="1" s="1" a="1"/>
  <c r="AB228" i="1" s="1"/>
  <c r="Q229" i="1" a="1"/>
  <c r="AE228" i="1"/>
  <c r="AM227" i="1" s="1" a="1"/>
  <c r="AM227" i="1" s="1"/>
  <c r="Z228" i="1" l="1" a="1"/>
  <c r="Z228" i="1" s="1"/>
  <c r="X228" i="1" a="1"/>
  <c r="X228" i="1" s="1"/>
  <c r="Y228" i="1" s="1"/>
  <c r="AA228" i="1"/>
  <c r="AK228" i="1" a="1"/>
  <c r="AK228" i="1" s="1"/>
  <c r="AL228" i="1" s="1"/>
  <c r="AE230" i="1" a="1"/>
  <c r="Q230" i="1" a="1"/>
  <c r="Q229" i="1"/>
  <c r="AB229" i="1" s="1" a="1"/>
  <c r="AB229" i="1" s="1"/>
  <c r="AE229" i="1"/>
  <c r="AM228" i="1" s="1" a="1"/>
  <c r="AM228" i="1" s="1"/>
  <c r="Z229" i="1" l="1" a="1"/>
  <c r="Z229" i="1" s="1"/>
  <c r="AA229" i="1"/>
  <c r="AK229" i="1" a="1"/>
  <c r="AK229" i="1" s="1"/>
  <c r="AL229" i="1" s="1"/>
  <c r="X229" i="1" a="1"/>
  <c r="X229" i="1" s="1"/>
  <c r="Y229" i="1" s="1"/>
  <c r="AE231" i="1" a="1"/>
  <c r="Q230" i="1"/>
  <c r="AB230" i="1" s="1" a="1"/>
  <c r="AB230" i="1" s="1"/>
  <c r="Q231" i="1" a="1"/>
  <c r="AE230" i="1"/>
  <c r="AM229" i="1" s="1" a="1"/>
  <c r="AM229" i="1" s="1"/>
  <c r="Z230" i="1" l="1" a="1"/>
  <c r="Z230" i="1" s="1"/>
  <c r="X230" i="1" a="1"/>
  <c r="X230" i="1" s="1"/>
  <c r="Y230" i="1" s="1"/>
  <c r="AA230" i="1"/>
  <c r="AK230" i="1" a="1"/>
  <c r="AK230" i="1" s="1"/>
  <c r="AL230" i="1" s="1"/>
  <c r="AE232" i="1" a="1"/>
  <c r="Q232" i="1" a="1"/>
  <c r="Q231" i="1"/>
  <c r="AB231" i="1" s="1" a="1"/>
  <c r="AB231" i="1" s="1"/>
  <c r="AE231" i="1"/>
  <c r="AM230" i="1" s="1" a="1"/>
  <c r="AM230" i="1" s="1"/>
  <c r="Z231" i="1" l="1" a="1"/>
  <c r="Z231" i="1" s="1"/>
  <c r="X231" i="1" a="1"/>
  <c r="X231" i="1" s="1"/>
  <c r="Y231" i="1" s="1"/>
  <c r="AA231" i="1"/>
  <c r="AK231" i="1" a="1"/>
  <c r="AK231" i="1" s="1"/>
  <c r="AL231" i="1" s="1"/>
  <c r="AE233" i="1" a="1"/>
  <c r="Q232" i="1"/>
  <c r="AB232" i="1" s="1" a="1"/>
  <c r="AB232" i="1" s="1"/>
  <c r="Q233" i="1" a="1"/>
  <c r="AE232" i="1"/>
  <c r="AK232" i="1" s="1" a="1"/>
  <c r="AK232" i="1" s="1"/>
  <c r="AL232" i="1" s="1"/>
  <c r="Z232" i="1" l="1" a="1"/>
  <c r="Z232" i="1" s="1"/>
  <c r="AA232" i="1"/>
  <c r="X232" i="1" a="1"/>
  <c r="X232" i="1" s="1"/>
  <c r="Y232" i="1" s="1"/>
  <c r="AM231" i="1" a="1"/>
  <c r="AM231" i="1" s="1"/>
  <c r="AE234" i="1" a="1"/>
  <c r="Q233" i="1"/>
  <c r="AB233" i="1" s="1" a="1"/>
  <c r="AB233" i="1" s="1"/>
  <c r="Q234" i="1" a="1"/>
  <c r="AE233" i="1"/>
  <c r="AK233" i="1" s="1" a="1"/>
  <c r="AK233" i="1" s="1"/>
  <c r="AL233" i="1" s="1"/>
  <c r="Z233" i="1" l="1" a="1"/>
  <c r="Z233" i="1" s="1"/>
  <c r="X233" i="1" a="1"/>
  <c r="X233" i="1" s="1"/>
  <c r="Y233" i="1" s="1"/>
  <c r="AA233" i="1"/>
  <c r="AM232" i="1" a="1"/>
  <c r="AM232" i="1" s="1"/>
  <c r="AE235" i="1" a="1"/>
  <c r="Q234" i="1"/>
  <c r="AB234" i="1" s="1" a="1"/>
  <c r="AB234" i="1" s="1"/>
  <c r="Q235" i="1" a="1"/>
  <c r="AE234" i="1"/>
  <c r="AK234" i="1" s="1" a="1"/>
  <c r="AK234" i="1" s="1"/>
  <c r="AL234" i="1" s="1"/>
  <c r="X234" i="1" l="1" a="1"/>
  <c r="X234" i="1" s="1"/>
  <c r="Y234" i="1" s="1"/>
  <c r="Z234" i="1" a="1"/>
  <c r="Z234" i="1" s="1"/>
  <c r="AA234" i="1"/>
  <c r="AM233" i="1" a="1"/>
  <c r="AM233" i="1" s="1"/>
  <c r="AE236" i="1" a="1"/>
  <c r="Q235" i="1"/>
  <c r="AB235" i="1" s="1" a="1"/>
  <c r="AB235" i="1" s="1"/>
  <c r="Q236" i="1" a="1"/>
  <c r="AE235" i="1"/>
  <c r="AK235" i="1" s="1" a="1"/>
  <c r="AK235" i="1" s="1"/>
  <c r="AL235" i="1" s="1"/>
  <c r="Z235" i="1" l="1" a="1"/>
  <c r="Z235" i="1" s="1"/>
  <c r="X235" i="1" a="1"/>
  <c r="X235" i="1" s="1"/>
  <c r="Y235" i="1" s="1"/>
  <c r="AA235" i="1"/>
  <c r="AM234" i="1" a="1"/>
  <c r="AM234" i="1" s="1"/>
  <c r="AE237" i="1" a="1"/>
  <c r="Q236" i="1"/>
  <c r="AB236" i="1" s="1" a="1"/>
  <c r="AB236" i="1" s="1"/>
  <c r="Q237" i="1" a="1"/>
  <c r="AE236" i="1"/>
  <c r="AM235" i="1" s="1" a="1"/>
  <c r="AM235" i="1" s="1"/>
  <c r="Z236" i="1" l="1" a="1"/>
  <c r="Z236" i="1" s="1"/>
  <c r="X236" i="1" a="1"/>
  <c r="X236" i="1" s="1"/>
  <c r="Y236" i="1" s="1"/>
  <c r="AA236" i="1"/>
  <c r="AK236" i="1" a="1"/>
  <c r="AK236" i="1" s="1"/>
  <c r="AL236" i="1" s="1"/>
  <c r="AE238" i="1" a="1"/>
  <c r="Q238" i="1" a="1"/>
  <c r="Q237" i="1"/>
  <c r="X237" i="1" s="1" a="1"/>
  <c r="X237" i="1" s="1"/>
  <c r="Y237" i="1" s="1"/>
  <c r="AE237" i="1"/>
  <c r="AM236" i="1" s="1" a="1"/>
  <c r="AM236" i="1" s="1"/>
  <c r="AB237" i="1" l="1" a="1"/>
  <c r="AB237" i="1" s="1"/>
  <c r="Z237" i="1" a="1"/>
  <c r="Z237" i="1" s="1"/>
  <c r="AA237" i="1"/>
  <c r="AK237" i="1" a="1"/>
  <c r="AK237" i="1" s="1"/>
  <c r="AL237" i="1" s="1"/>
  <c r="AE239" i="1" a="1"/>
  <c r="Q238" i="1"/>
  <c r="AB238" i="1" s="1" a="1"/>
  <c r="AB238" i="1" s="1"/>
  <c r="Q239" i="1" a="1"/>
  <c r="AE238" i="1"/>
  <c r="AM237" i="1" s="1" a="1"/>
  <c r="AM237" i="1" s="1"/>
  <c r="X238" i="1" l="1" a="1"/>
  <c r="X238" i="1" s="1"/>
  <c r="Y238" i="1" s="1"/>
  <c r="Z238" i="1" a="1"/>
  <c r="Z238" i="1" s="1"/>
  <c r="AA238" i="1"/>
  <c r="AK238" i="1" a="1"/>
  <c r="AK238" i="1" s="1"/>
  <c r="AL238" i="1" s="1"/>
  <c r="AE240" i="1" a="1"/>
  <c r="Q240" i="1" a="1"/>
  <c r="Q239" i="1"/>
  <c r="AB239" i="1" s="1" a="1"/>
  <c r="AB239" i="1" s="1"/>
  <c r="AE239" i="1"/>
  <c r="AM238" i="1" s="1" a="1"/>
  <c r="AM238" i="1" s="1"/>
  <c r="AK239" i="1" l="1" a="1"/>
  <c r="AK239" i="1" s="1"/>
  <c r="AL239" i="1" s="1"/>
  <c r="X239" i="1" a="1"/>
  <c r="X239" i="1" s="1"/>
  <c r="Y239" i="1" s="1"/>
  <c r="AA239" i="1"/>
  <c r="Z239" i="1" a="1"/>
  <c r="Z239" i="1" s="1"/>
  <c r="AE241" i="1" a="1"/>
  <c r="Q240" i="1"/>
  <c r="X240" i="1" s="1" a="1"/>
  <c r="X240" i="1" s="1"/>
  <c r="Y240" i="1" s="1"/>
  <c r="Q241" i="1" a="1"/>
  <c r="AE240" i="1"/>
  <c r="AM239" i="1" s="1" a="1"/>
  <c r="AM239" i="1" s="1"/>
  <c r="AB240" i="1" l="1" a="1"/>
  <c r="AB240" i="1" s="1"/>
  <c r="Z240" i="1" a="1"/>
  <c r="Z240" i="1" s="1"/>
  <c r="AA240" i="1"/>
  <c r="AK240" i="1" a="1"/>
  <c r="AK240" i="1" s="1"/>
  <c r="AL240" i="1" s="1"/>
  <c r="AE242" i="1" a="1"/>
  <c r="Q241" i="1"/>
  <c r="AB241" i="1" s="1" a="1"/>
  <c r="AB241" i="1" s="1"/>
  <c r="Q242" i="1" a="1"/>
  <c r="AE241" i="1"/>
  <c r="AK241" i="1" s="1" a="1"/>
  <c r="AK241" i="1" s="1"/>
  <c r="AL241" i="1" s="1"/>
  <c r="Z241" i="1" l="1" a="1"/>
  <c r="Z241" i="1" s="1"/>
  <c r="X241" i="1" a="1"/>
  <c r="X241" i="1" s="1"/>
  <c r="Y241" i="1" s="1"/>
  <c r="AA241" i="1"/>
  <c r="AM240" i="1" a="1"/>
  <c r="AM240" i="1" s="1"/>
  <c r="AE243" i="1" a="1"/>
  <c r="Q242" i="1"/>
  <c r="AB242" i="1" s="1" a="1"/>
  <c r="AB242" i="1" s="1"/>
  <c r="Q243" i="1" a="1"/>
  <c r="AE242" i="1"/>
  <c r="AK242" i="1" s="1" a="1"/>
  <c r="AK242" i="1" s="1"/>
  <c r="AL242" i="1" s="1"/>
  <c r="X242" i="1" l="1" a="1"/>
  <c r="X242" i="1" s="1"/>
  <c r="Y242" i="1" s="1"/>
  <c r="Z242" i="1" a="1"/>
  <c r="Z242" i="1" s="1"/>
  <c r="AA242" i="1"/>
  <c r="AM241" i="1" a="1"/>
  <c r="AM241" i="1" s="1"/>
  <c r="AE244" i="1" a="1"/>
  <c r="Q243" i="1"/>
  <c r="AB243" i="1" s="1" a="1"/>
  <c r="AB243" i="1" s="1"/>
  <c r="Q244" i="1" a="1"/>
  <c r="AE243" i="1"/>
  <c r="AM242" i="1" s="1" a="1"/>
  <c r="AM242" i="1" s="1"/>
  <c r="X243" i="1" l="1" a="1"/>
  <c r="X243" i="1" s="1"/>
  <c r="Y243" i="1" s="1"/>
  <c r="Z243" i="1" a="1"/>
  <c r="Z243" i="1" s="1"/>
  <c r="AA243" i="1"/>
  <c r="AK243" i="1" a="1"/>
  <c r="AK243" i="1" s="1"/>
  <c r="AL243" i="1" s="1"/>
  <c r="AE245" i="1" a="1"/>
  <c r="Q245" i="1" a="1"/>
  <c r="Q244" i="1"/>
  <c r="AB244" i="1" s="1" a="1"/>
  <c r="AB244" i="1" s="1"/>
  <c r="AE244" i="1"/>
  <c r="AM243" i="1" s="1" a="1"/>
  <c r="AM243" i="1" s="1"/>
  <c r="Z244" i="1" l="1" a="1"/>
  <c r="Z244" i="1" s="1"/>
  <c r="X244" i="1" a="1"/>
  <c r="X244" i="1" s="1"/>
  <c r="Y244" i="1" s="1"/>
  <c r="AA244" i="1"/>
  <c r="AK244" i="1" a="1"/>
  <c r="AK244" i="1" s="1"/>
  <c r="AL244" i="1" s="1"/>
  <c r="AE246" i="1" a="1"/>
  <c r="Q245" i="1"/>
  <c r="X245" i="1" s="1" a="1"/>
  <c r="X245" i="1" s="1"/>
  <c r="Y245" i="1" s="1"/>
  <c r="Q246" i="1" a="1"/>
  <c r="AE245" i="1"/>
  <c r="AM244" i="1" s="1" a="1"/>
  <c r="AM244" i="1" s="1"/>
  <c r="AB245" i="1" l="1" a="1"/>
  <c r="AB245" i="1" s="1"/>
  <c r="Z245" i="1" a="1"/>
  <c r="Z245" i="1" s="1"/>
  <c r="AA245" i="1"/>
  <c r="AK245" i="1" a="1"/>
  <c r="AK245" i="1" s="1"/>
  <c r="AL245" i="1" s="1"/>
  <c r="AE247" i="1" a="1"/>
  <c r="Q247" i="1" a="1"/>
  <c r="Q246" i="1"/>
  <c r="AB246" i="1" s="1" a="1"/>
  <c r="AB246" i="1" s="1"/>
  <c r="AE246" i="1"/>
  <c r="AM245" i="1" s="1" a="1"/>
  <c r="AM245" i="1" s="1"/>
  <c r="Z246" i="1" l="1" a="1"/>
  <c r="Z246" i="1" s="1"/>
  <c r="AA246" i="1"/>
  <c r="X246" i="1" a="1"/>
  <c r="X246" i="1" s="1"/>
  <c r="Y246" i="1" s="1"/>
  <c r="AK246" i="1" a="1"/>
  <c r="AK246" i="1" s="1"/>
  <c r="AL246" i="1" s="1"/>
  <c r="AE248" i="1" a="1"/>
  <c r="Q247" i="1"/>
  <c r="AB247" i="1" s="1" a="1"/>
  <c r="AB247" i="1" s="1"/>
  <c r="Q248" i="1" a="1"/>
  <c r="AE247" i="1"/>
  <c r="AK247" i="1" s="1" a="1"/>
  <c r="AK247" i="1" s="1"/>
  <c r="AL247" i="1" s="1"/>
  <c r="Z247" i="1" l="1" a="1"/>
  <c r="Z247" i="1" s="1"/>
  <c r="X247" i="1" a="1"/>
  <c r="X247" i="1" s="1"/>
  <c r="Y247" i="1" s="1"/>
  <c r="AA247" i="1"/>
  <c r="AM246" i="1" a="1"/>
  <c r="AM246" i="1" s="1"/>
  <c r="AE249" i="1" a="1"/>
  <c r="Q248" i="1"/>
  <c r="AB248" i="1" s="1" a="1"/>
  <c r="AB248" i="1" s="1"/>
  <c r="Q249" i="1" a="1"/>
  <c r="AE248" i="1"/>
  <c r="AM247" i="1" s="1" a="1"/>
  <c r="AM247" i="1" s="1"/>
  <c r="X248" i="1" l="1" a="1"/>
  <c r="X248" i="1" s="1"/>
  <c r="Y248" i="1" s="1"/>
  <c r="Z248" i="1" a="1"/>
  <c r="Z248" i="1" s="1"/>
  <c r="AA248" i="1"/>
  <c r="AK248" i="1" a="1"/>
  <c r="AK248" i="1" s="1"/>
  <c r="AL248" i="1" s="1"/>
  <c r="AE250" i="1" a="1"/>
  <c r="Q249" i="1"/>
  <c r="AB249" i="1" s="1" a="1"/>
  <c r="AB249" i="1" s="1"/>
  <c r="Q250" i="1" a="1"/>
  <c r="AE249" i="1"/>
  <c r="AK249" i="1" s="1" a="1"/>
  <c r="AK249" i="1" s="1"/>
  <c r="AL249" i="1" s="1"/>
  <c r="Z249" i="1" l="1" a="1"/>
  <c r="Z249" i="1" s="1"/>
  <c r="X249" i="1" a="1"/>
  <c r="X249" i="1" s="1"/>
  <c r="Y249" i="1" s="1"/>
  <c r="AA249" i="1"/>
  <c r="AM248" i="1" a="1"/>
  <c r="AM248" i="1" s="1"/>
  <c r="AE251" i="1" a="1"/>
  <c r="Q250" i="1"/>
  <c r="AB250" i="1" s="1" a="1"/>
  <c r="AB250" i="1" s="1"/>
  <c r="Q251" i="1" a="1"/>
  <c r="AE250" i="1"/>
  <c r="AK250" i="1" s="1" a="1"/>
  <c r="AK250" i="1" s="1"/>
  <c r="AL250" i="1" s="1"/>
  <c r="X250" i="1" l="1" a="1"/>
  <c r="X250" i="1" s="1"/>
  <c r="Y250" i="1" s="1"/>
  <c r="Z250" i="1" a="1"/>
  <c r="Z250" i="1" s="1"/>
  <c r="AA250" i="1"/>
  <c r="AM249" i="1" a="1"/>
  <c r="AM249" i="1" s="1"/>
  <c r="AE252" i="1" a="1"/>
  <c r="Q251" i="1"/>
  <c r="AB251" i="1" s="1" a="1"/>
  <c r="AB251" i="1" s="1"/>
  <c r="Q252" i="1" a="1"/>
  <c r="AE251" i="1"/>
  <c r="AK251" i="1" s="1" a="1"/>
  <c r="AK251" i="1" s="1"/>
  <c r="AL251" i="1" s="1"/>
  <c r="X251" i="1" l="1" a="1"/>
  <c r="X251" i="1" s="1"/>
  <c r="Y251" i="1" s="1"/>
  <c r="Z251" i="1" a="1"/>
  <c r="Z251" i="1" s="1"/>
  <c r="AA251" i="1"/>
  <c r="AM250" i="1" a="1"/>
  <c r="AM250" i="1" s="1"/>
  <c r="AE253" i="1" a="1"/>
  <c r="Q252" i="1"/>
  <c r="AB252" i="1" s="1" a="1"/>
  <c r="AB252" i="1" s="1"/>
  <c r="Q253" i="1" a="1"/>
  <c r="AE252" i="1"/>
  <c r="AM251" i="1" s="1" a="1"/>
  <c r="AM251" i="1" s="1"/>
  <c r="Z252" i="1" l="1" a="1"/>
  <c r="Z252" i="1" s="1"/>
  <c r="X252" i="1" a="1"/>
  <c r="X252" i="1" s="1"/>
  <c r="Y252" i="1" s="1"/>
  <c r="AA252" i="1"/>
  <c r="AK252" i="1" a="1"/>
  <c r="AK252" i="1" s="1"/>
  <c r="AL252" i="1" s="1"/>
  <c r="AE254" i="1" a="1"/>
  <c r="Q254" i="1" a="1"/>
  <c r="Q253" i="1"/>
  <c r="X253" i="1" s="1" a="1"/>
  <c r="X253" i="1" s="1"/>
  <c r="Y253" i="1" s="1"/>
  <c r="AE253" i="1"/>
  <c r="AM252" i="1" s="1" a="1"/>
  <c r="AM252" i="1" s="1"/>
  <c r="AB253" i="1" l="1" a="1"/>
  <c r="AB253" i="1" s="1"/>
  <c r="Z253" i="1" a="1"/>
  <c r="Z253" i="1" s="1"/>
  <c r="AA253" i="1"/>
  <c r="AK253" i="1" a="1"/>
  <c r="AK253" i="1" s="1"/>
  <c r="AL253" i="1" s="1"/>
  <c r="AE255" i="1" a="1"/>
  <c r="Q254" i="1"/>
  <c r="AB254" i="1" s="1" a="1"/>
  <c r="AB254" i="1" s="1"/>
  <c r="Q255" i="1" a="1"/>
  <c r="AE254" i="1"/>
  <c r="AK254" i="1" s="1" a="1"/>
  <c r="AK254" i="1" s="1"/>
  <c r="AL254" i="1" s="1"/>
  <c r="X254" i="1" l="1" a="1"/>
  <c r="X254" i="1" s="1"/>
  <c r="Y254" i="1" s="1"/>
  <c r="Z254" i="1" a="1"/>
  <c r="Z254" i="1" s="1"/>
  <c r="AA254" i="1"/>
  <c r="AM253" i="1" a="1"/>
  <c r="AM253" i="1" s="1"/>
  <c r="AE256" i="1" a="1"/>
  <c r="Q255" i="1"/>
  <c r="AB255" i="1" s="1" a="1"/>
  <c r="AB255" i="1" s="1"/>
  <c r="Q256" i="1" a="1"/>
  <c r="AE255" i="1"/>
  <c r="AM254" i="1" s="1" a="1"/>
  <c r="AM254" i="1" s="1"/>
  <c r="Z255" i="1" l="1" a="1"/>
  <c r="Z255" i="1" s="1"/>
  <c r="X255" i="1" a="1"/>
  <c r="X255" i="1" s="1"/>
  <c r="Y255" i="1" s="1"/>
  <c r="AA255" i="1"/>
  <c r="AK255" i="1" a="1"/>
  <c r="AK255" i="1" s="1"/>
  <c r="AL255" i="1" s="1"/>
  <c r="AE257" i="1" a="1"/>
  <c r="Q257" i="1" a="1"/>
  <c r="Q256" i="1"/>
  <c r="AB256" i="1" s="1" a="1"/>
  <c r="AB256" i="1" s="1"/>
  <c r="AE256" i="1"/>
  <c r="AK256" i="1" s="1" a="1"/>
  <c r="AK256" i="1" s="1"/>
  <c r="AL256" i="1" s="1"/>
  <c r="X256" i="1" l="1" a="1"/>
  <c r="X256" i="1" s="1"/>
  <c r="Y256" i="1" s="1"/>
  <c r="Z256" i="1" a="1"/>
  <c r="Z256" i="1" s="1"/>
  <c r="AA256" i="1"/>
  <c r="AM255" i="1" a="1"/>
  <c r="AM255" i="1" s="1"/>
  <c r="AE258" i="1" a="1"/>
  <c r="Q257" i="1"/>
  <c r="AB257" i="1" s="1" a="1"/>
  <c r="AB257" i="1" s="1"/>
  <c r="Q258" i="1" a="1"/>
  <c r="AE257" i="1"/>
  <c r="AK257" i="1" s="1" a="1"/>
  <c r="AK257" i="1" s="1"/>
  <c r="AL257" i="1" s="1"/>
  <c r="Z257" i="1" l="1" a="1"/>
  <c r="Z257" i="1" s="1"/>
  <c r="X257" i="1" a="1"/>
  <c r="X257" i="1" s="1"/>
  <c r="Y257" i="1" s="1"/>
  <c r="AA257" i="1"/>
  <c r="AM256" i="1" a="1"/>
  <c r="AM256" i="1" s="1"/>
  <c r="AE259" i="1" a="1"/>
  <c r="Q259" i="1" a="1"/>
  <c r="Q258" i="1"/>
  <c r="AB258" i="1" s="1" a="1"/>
  <c r="AB258" i="1" s="1"/>
  <c r="AE258" i="1"/>
  <c r="AM257" i="1" s="1" a="1"/>
  <c r="AM257" i="1" s="1"/>
  <c r="X258" i="1" l="1" a="1"/>
  <c r="X258" i="1" s="1"/>
  <c r="Y258" i="1" s="1"/>
  <c r="Z258" i="1" a="1"/>
  <c r="Z258" i="1" s="1"/>
  <c r="AA258" i="1"/>
  <c r="AK258" i="1" a="1"/>
  <c r="AK258" i="1" s="1"/>
  <c r="AL258" i="1" s="1"/>
  <c r="AE260" i="1" a="1"/>
  <c r="Q259" i="1"/>
  <c r="AB259" i="1" s="1" a="1"/>
  <c r="AB259" i="1" s="1"/>
  <c r="Q260" i="1" a="1"/>
  <c r="AE259" i="1"/>
  <c r="AK259" i="1" s="1" a="1"/>
  <c r="AK259" i="1" s="1"/>
  <c r="AL259" i="1" s="1"/>
  <c r="X259" i="1" l="1" a="1"/>
  <c r="X259" i="1" s="1"/>
  <c r="Y259" i="1" s="1"/>
  <c r="Z259" i="1" a="1"/>
  <c r="Z259" i="1" s="1"/>
  <c r="AA259" i="1"/>
  <c r="AM258" i="1" a="1"/>
  <c r="AM258" i="1" s="1"/>
  <c r="AE261" i="1" a="1"/>
  <c r="Q260" i="1"/>
  <c r="AB260" i="1" s="1" a="1"/>
  <c r="AB260" i="1" s="1"/>
  <c r="Q261" i="1" a="1"/>
  <c r="AE260" i="1"/>
  <c r="AM259" i="1" s="1" a="1"/>
  <c r="AM259" i="1" s="1"/>
  <c r="Z260" i="1" l="1" a="1"/>
  <c r="Z260" i="1" s="1"/>
  <c r="X260" i="1" a="1"/>
  <c r="X260" i="1" s="1"/>
  <c r="Y260" i="1" s="1"/>
  <c r="AA260" i="1"/>
  <c r="AK260" i="1" a="1"/>
  <c r="AK260" i="1" s="1"/>
  <c r="AL260" i="1" s="1"/>
  <c r="AE262" i="1" a="1"/>
  <c r="Q262" i="1" a="1"/>
  <c r="Q261" i="1"/>
  <c r="X261" i="1" s="1" a="1"/>
  <c r="X261" i="1" s="1"/>
  <c r="Y261" i="1" s="1"/>
  <c r="AE261" i="1"/>
  <c r="AM260" i="1" s="1" a="1"/>
  <c r="AM260" i="1" s="1"/>
  <c r="AB261" i="1" l="1" a="1"/>
  <c r="AB261" i="1" s="1"/>
  <c r="Z261" i="1" a="1"/>
  <c r="Z261" i="1" s="1"/>
  <c r="AA261" i="1"/>
  <c r="AK261" i="1" a="1"/>
  <c r="AK261" i="1" s="1"/>
  <c r="AL261" i="1" s="1"/>
  <c r="AE263" i="1" a="1"/>
  <c r="Q262" i="1"/>
  <c r="AB262" i="1" s="1" a="1"/>
  <c r="AB262" i="1" s="1"/>
  <c r="Q263" i="1" a="1"/>
  <c r="AE262" i="1"/>
  <c r="AM261" i="1" s="1" a="1"/>
  <c r="AM261" i="1" s="1"/>
  <c r="X262" i="1" l="1" a="1"/>
  <c r="X262" i="1" s="1"/>
  <c r="Y262" i="1" s="1"/>
  <c r="Z262" i="1" a="1"/>
  <c r="Z262" i="1" s="1"/>
  <c r="AA262" i="1"/>
  <c r="AK262" i="1" a="1"/>
  <c r="AK262" i="1" s="1"/>
  <c r="AL262" i="1" s="1"/>
  <c r="AE264" i="1" a="1"/>
  <c r="Q264" i="1" a="1"/>
  <c r="Q263" i="1"/>
  <c r="AB263" i="1" s="1" a="1"/>
  <c r="AB263" i="1" s="1"/>
  <c r="AE263" i="1"/>
  <c r="AM262" i="1" s="1" a="1"/>
  <c r="AM262" i="1" s="1"/>
  <c r="AK263" i="1" l="1" a="1"/>
  <c r="AK263" i="1" s="1"/>
  <c r="AL263" i="1" s="1"/>
  <c r="X263" i="1" a="1"/>
  <c r="X263" i="1" s="1"/>
  <c r="Y263" i="1" s="1"/>
  <c r="AA263" i="1"/>
  <c r="Z263" i="1" a="1"/>
  <c r="Z263" i="1" s="1"/>
  <c r="AE265" i="1" a="1"/>
  <c r="Q265" i="1" a="1"/>
  <c r="Q264" i="1"/>
  <c r="AB264" i="1" s="1" a="1"/>
  <c r="AB264" i="1" s="1"/>
  <c r="AE264" i="1"/>
  <c r="AM263" i="1" s="1" a="1"/>
  <c r="AM263" i="1" s="1"/>
  <c r="X264" i="1" l="1" a="1"/>
  <c r="X264" i="1" s="1"/>
  <c r="Y264" i="1" s="1"/>
  <c r="Z264" i="1" a="1"/>
  <c r="Z264" i="1" s="1"/>
  <c r="AA264" i="1"/>
  <c r="AK264" i="1" a="1"/>
  <c r="AK264" i="1" s="1"/>
  <c r="AL264" i="1" s="1"/>
  <c r="AE266" i="1" a="1"/>
  <c r="Q266" i="1" a="1"/>
  <c r="Q265" i="1"/>
  <c r="Z265" i="1" s="1" a="1"/>
  <c r="Z265" i="1" s="1"/>
  <c r="AE265" i="1"/>
  <c r="AK265" i="1" s="1" a="1"/>
  <c r="AK265" i="1" s="1"/>
  <c r="AL265" i="1" s="1"/>
  <c r="AB265" i="1" l="1" a="1"/>
  <c r="AB265" i="1" s="1"/>
  <c r="X265" i="1" a="1"/>
  <c r="X265" i="1" s="1"/>
  <c r="Y265" i="1" s="1"/>
  <c r="AA265" i="1"/>
  <c r="AM264" i="1" a="1"/>
  <c r="AM264" i="1" s="1"/>
  <c r="AE267" i="1" a="1"/>
  <c r="Q266" i="1"/>
  <c r="AB266" i="1" s="1" a="1"/>
  <c r="AB266" i="1" s="1"/>
  <c r="Q267" i="1" a="1"/>
  <c r="AE266" i="1"/>
  <c r="AK266" i="1" s="1" a="1"/>
  <c r="AK266" i="1" s="1"/>
  <c r="AL266" i="1" s="1"/>
  <c r="X266" i="1" l="1" a="1"/>
  <c r="X266" i="1" s="1"/>
  <c r="Y266" i="1" s="1"/>
  <c r="Z266" i="1" a="1"/>
  <c r="Z266" i="1" s="1"/>
  <c r="AA266" i="1"/>
  <c r="AM265" i="1" a="1"/>
  <c r="AM265" i="1" s="1"/>
  <c r="AE268" i="1" a="1"/>
  <c r="Q268" i="1" a="1"/>
  <c r="Q267" i="1"/>
  <c r="AB267" i="1" s="1" a="1"/>
  <c r="AB267" i="1" s="1"/>
  <c r="AE267" i="1"/>
  <c r="AM266" i="1" s="1" a="1"/>
  <c r="AM266" i="1" s="1"/>
  <c r="AK267" i="1" l="1" a="1"/>
  <c r="AK267" i="1" s="1"/>
  <c r="AL267" i="1" s="1"/>
  <c r="Z267" i="1" a="1"/>
  <c r="Z267" i="1" s="1"/>
  <c r="AA267" i="1"/>
  <c r="X267" i="1" a="1"/>
  <c r="X267" i="1" s="1"/>
  <c r="Y267" i="1" s="1"/>
  <c r="AE269" i="1" a="1"/>
  <c r="Q268" i="1"/>
  <c r="AB268" i="1" s="1" a="1"/>
  <c r="AB268" i="1" s="1"/>
  <c r="Q269" i="1" a="1"/>
  <c r="AE268" i="1"/>
  <c r="AM267" i="1" s="1" a="1"/>
  <c r="AM267" i="1" s="1"/>
  <c r="Z268" i="1" l="1" a="1"/>
  <c r="Z268" i="1" s="1"/>
  <c r="X268" i="1" a="1"/>
  <c r="X268" i="1" s="1"/>
  <c r="Y268" i="1" s="1"/>
  <c r="AA268" i="1"/>
  <c r="AK268" i="1" a="1"/>
  <c r="AK268" i="1" s="1"/>
  <c r="AL268" i="1" s="1"/>
  <c r="AE270" i="1" a="1"/>
  <c r="Q269" i="1"/>
  <c r="AB269" i="1" s="1" a="1"/>
  <c r="AB269" i="1" s="1"/>
  <c r="Q270" i="1" a="1"/>
  <c r="AE269" i="1"/>
  <c r="AM268" i="1" s="1" a="1"/>
  <c r="AM268" i="1" s="1"/>
  <c r="X269" i="1" l="1" a="1"/>
  <c r="X269" i="1" s="1"/>
  <c r="Y269" i="1" s="1"/>
  <c r="Z269" i="1" a="1"/>
  <c r="Z269" i="1" s="1"/>
  <c r="AA269" i="1"/>
  <c r="AK269" i="1" a="1"/>
  <c r="AK269" i="1" s="1"/>
  <c r="AL269" i="1" s="1"/>
  <c r="AE271" i="1" a="1"/>
  <c r="Q271" i="1" a="1"/>
  <c r="Q270" i="1"/>
  <c r="AB270" i="1" s="1" a="1"/>
  <c r="AB270" i="1" s="1"/>
  <c r="AE270" i="1"/>
  <c r="AK270" i="1" s="1" a="1"/>
  <c r="AK270" i="1" s="1"/>
  <c r="AL270" i="1" s="1"/>
  <c r="AM269" i="1" l="1" a="1"/>
  <c r="AM269" i="1" s="1"/>
  <c r="Z270" i="1" a="1"/>
  <c r="Z270" i="1" s="1"/>
  <c r="AA270" i="1"/>
  <c r="X270" i="1" a="1"/>
  <c r="X270" i="1" s="1"/>
  <c r="Y270" i="1" s="1"/>
  <c r="AE272" i="1" a="1"/>
  <c r="Q272" i="1" a="1"/>
  <c r="Q271" i="1"/>
  <c r="AB271" i="1" s="1" a="1"/>
  <c r="AB271" i="1" s="1"/>
  <c r="AE271" i="1"/>
  <c r="AK271" i="1" s="1" a="1"/>
  <c r="AK271" i="1" s="1"/>
  <c r="AL271" i="1" s="1"/>
  <c r="X271" i="1" l="1" a="1"/>
  <c r="X271" i="1" s="1"/>
  <c r="Y271" i="1" s="1"/>
  <c r="AA271" i="1"/>
  <c r="AM270" i="1" a="1"/>
  <c r="AM270" i="1" s="1"/>
  <c r="Z271" i="1" a="1"/>
  <c r="Z271" i="1" s="1"/>
  <c r="AE273" i="1" a="1"/>
  <c r="Q272" i="1"/>
  <c r="AB272" i="1" s="1" a="1"/>
  <c r="AB272" i="1" s="1"/>
  <c r="Q273" i="1" a="1"/>
  <c r="AE272" i="1"/>
  <c r="AK272" i="1" s="1" a="1"/>
  <c r="AK272" i="1" s="1"/>
  <c r="AL272" i="1" s="1"/>
  <c r="X272" i="1" l="1" a="1"/>
  <c r="X272" i="1" s="1"/>
  <c r="Y272" i="1" s="1"/>
  <c r="Z272" i="1" a="1"/>
  <c r="Z272" i="1" s="1"/>
  <c r="AA272" i="1"/>
  <c r="AM271" i="1" a="1"/>
  <c r="AM271" i="1" s="1"/>
  <c r="AE274" i="1" a="1"/>
  <c r="Q273" i="1"/>
  <c r="AB273" i="1" s="1" a="1"/>
  <c r="AB273" i="1" s="1"/>
  <c r="Q274" i="1" a="1"/>
  <c r="AE273" i="1"/>
  <c r="AM272" i="1" s="1" a="1"/>
  <c r="AM272" i="1" s="1"/>
  <c r="Z273" i="1" l="1" a="1"/>
  <c r="Z273" i="1" s="1"/>
  <c r="X273" i="1" a="1"/>
  <c r="X273" i="1" s="1"/>
  <c r="Y273" i="1" s="1"/>
  <c r="AA273" i="1"/>
  <c r="AK273" i="1" a="1"/>
  <c r="AK273" i="1" s="1"/>
  <c r="AL273" i="1" s="1"/>
  <c r="AE275" i="1" a="1"/>
  <c r="Q274" i="1"/>
  <c r="AB274" i="1" s="1" a="1"/>
  <c r="AB274" i="1" s="1"/>
  <c r="Q275" i="1" a="1"/>
  <c r="AE274" i="1"/>
  <c r="AM273" i="1" s="1" a="1"/>
  <c r="AM273" i="1" s="1"/>
  <c r="X274" i="1" l="1" a="1"/>
  <c r="X274" i="1" s="1"/>
  <c r="Y274" i="1" s="1"/>
  <c r="Z274" i="1" a="1"/>
  <c r="Z274" i="1" s="1"/>
  <c r="AA274" i="1"/>
  <c r="AK274" i="1" a="1"/>
  <c r="AK274" i="1" s="1"/>
  <c r="AL274" i="1" s="1"/>
  <c r="AE276" i="1" a="1"/>
  <c r="Q275" i="1"/>
  <c r="AB275" i="1" s="1" a="1"/>
  <c r="AB275" i="1" s="1"/>
  <c r="Q276" i="1" a="1"/>
  <c r="AE275" i="1"/>
  <c r="AM274" i="1" s="1" a="1"/>
  <c r="AM274" i="1" s="1"/>
  <c r="X275" i="1" l="1" a="1"/>
  <c r="X275" i="1" s="1"/>
  <c r="Y275" i="1" s="1"/>
  <c r="Z275" i="1" a="1"/>
  <c r="Z275" i="1" s="1"/>
  <c r="AA275" i="1"/>
  <c r="AK275" i="1" a="1"/>
  <c r="AK275" i="1" s="1"/>
  <c r="AL275" i="1" s="1"/>
  <c r="AE277" i="1" a="1"/>
  <c r="Q277" i="1" a="1"/>
  <c r="Q276" i="1"/>
  <c r="AB276" i="1" s="1" a="1"/>
  <c r="AB276" i="1" s="1"/>
  <c r="AE276" i="1"/>
  <c r="AK276" i="1" s="1" a="1"/>
  <c r="AK276" i="1" s="1"/>
  <c r="AL276" i="1" s="1"/>
  <c r="Z276" i="1" l="1" a="1"/>
  <c r="Z276" i="1" s="1"/>
  <c r="X276" i="1" a="1"/>
  <c r="X276" i="1" s="1"/>
  <c r="Y276" i="1" s="1"/>
  <c r="AA276" i="1"/>
  <c r="AM275" i="1" a="1"/>
  <c r="AM275" i="1" s="1"/>
  <c r="AE278" i="1" a="1"/>
  <c r="Q277" i="1"/>
  <c r="AB277" i="1" s="1" a="1"/>
  <c r="AB277" i="1" s="1"/>
  <c r="Q278" i="1" a="1"/>
  <c r="AE277" i="1"/>
  <c r="AK277" i="1" s="1" a="1"/>
  <c r="AK277" i="1" s="1"/>
  <c r="AL277" i="1" s="1"/>
  <c r="X277" i="1" l="1" a="1"/>
  <c r="X277" i="1" s="1"/>
  <c r="Y277" i="1" s="1"/>
  <c r="Z277" i="1" a="1"/>
  <c r="Z277" i="1" s="1"/>
  <c r="AA277" i="1"/>
  <c r="AM276" i="1" a="1"/>
  <c r="AM276" i="1" s="1"/>
  <c r="AE279" i="1" a="1"/>
  <c r="Q278" i="1"/>
  <c r="AB278" i="1" s="1" a="1"/>
  <c r="AB278" i="1" s="1"/>
  <c r="Q279" i="1" a="1"/>
  <c r="AE278" i="1"/>
  <c r="AK278" i="1" s="1" a="1"/>
  <c r="AK278" i="1" s="1"/>
  <c r="AL278" i="1" s="1"/>
  <c r="Z278" i="1" l="1" a="1"/>
  <c r="Z278" i="1" s="1"/>
  <c r="X278" i="1" a="1"/>
  <c r="X278" i="1" s="1"/>
  <c r="Y278" i="1" s="1"/>
  <c r="AA278" i="1"/>
  <c r="AM277" i="1" a="1"/>
  <c r="AM277" i="1" s="1"/>
  <c r="AE280" i="1" a="1"/>
  <c r="Q279" i="1"/>
  <c r="AB279" i="1" s="1" a="1"/>
  <c r="AB279" i="1" s="1"/>
  <c r="Q280" i="1" a="1"/>
  <c r="AE279" i="1"/>
  <c r="AK279" i="1" s="1" a="1"/>
  <c r="AK279" i="1" s="1"/>
  <c r="AL279" i="1" s="1"/>
  <c r="AM278" i="1" l="1" a="1"/>
  <c r="AM278" i="1" s="1"/>
  <c r="X279" i="1" a="1"/>
  <c r="X279" i="1" s="1"/>
  <c r="Y279" i="1" s="1"/>
  <c r="AA279" i="1"/>
  <c r="Z279" i="1" a="1"/>
  <c r="Z279" i="1" s="1"/>
  <c r="AE281" i="1" a="1"/>
  <c r="Q280" i="1"/>
  <c r="AB280" i="1" s="1" a="1"/>
  <c r="AB280" i="1" s="1"/>
  <c r="Q281" i="1" a="1"/>
  <c r="AE280" i="1"/>
  <c r="AK280" i="1" s="1" a="1"/>
  <c r="AK280" i="1" s="1"/>
  <c r="AL280" i="1" s="1"/>
  <c r="AM279" i="1" l="1" a="1"/>
  <c r="AM279" i="1" s="1"/>
  <c r="Z280" i="1" a="1"/>
  <c r="Z280" i="1" s="1"/>
  <c r="AA280" i="1"/>
  <c r="X280" i="1" a="1"/>
  <c r="X280" i="1" s="1"/>
  <c r="Y280" i="1" s="1"/>
  <c r="AE282" i="1" a="1"/>
  <c r="Q282" i="1" a="1"/>
  <c r="Q281" i="1"/>
  <c r="AB281" i="1" s="1" a="1"/>
  <c r="AB281" i="1" s="1"/>
  <c r="AE281" i="1"/>
  <c r="AK281" i="1" s="1" a="1"/>
  <c r="AK281" i="1" s="1"/>
  <c r="AL281" i="1" s="1"/>
  <c r="Z281" i="1" l="1" a="1"/>
  <c r="Z281" i="1" s="1"/>
  <c r="X281" i="1" a="1"/>
  <c r="X281" i="1" s="1"/>
  <c r="Y281" i="1" s="1"/>
  <c r="AA281" i="1"/>
  <c r="AM280" i="1" a="1"/>
  <c r="AM280" i="1" s="1"/>
  <c r="AE283" i="1" a="1"/>
  <c r="Q282" i="1"/>
  <c r="AB282" i="1" s="1" a="1"/>
  <c r="AB282" i="1" s="1"/>
  <c r="Q283" i="1" a="1"/>
  <c r="AE282" i="1"/>
  <c r="AK282" i="1" s="1" a="1"/>
  <c r="AK282" i="1" s="1"/>
  <c r="AL282" i="1" s="1"/>
  <c r="X282" i="1" l="1" a="1"/>
  <c r="X282" i="1" s="1"/>
  <c r="Y282" i="1" s="1"/>
  <c r="Z282" i="1" a="1"/>
  <c r="Z282" i="1" s="1"/>
  <c r="AA282" i="1"/>
  <c r="AM281" i="1" a="1"/>
  <c r="AM281" i="1" s="1"/>
  <c r="AE284" i="1" a="1"/>
  <c r="Q283" i="1"/>
  <c r="AB283" i="1" s="1" a="1"/>
  <c r="AB283" i="1" s="1"/>
  <c r="Q284" i="1" a="1"/>
  <c r="AE283" i="1"/>
  <c r="AK283" i="1" s="1" a="1"/>
  <c r="AK283" i="1" s="1"/>
  <c r="AL283" i="1" s="1"/>
  <c r="Z283" i="1" l="1" a="1"/>
  <c r="Z283" i="1" s="1"/>
  <c r="X283" i="1" a="1"/>
  <c r="X283" i="1" s="1"/>
  <c r="Y283" i="1" s="1"/>
  <c r="AA283" i="1"/>
  <c r="AM282" i="1" a="1"/>
  <c r="AM282" i="1" s="1"/>
  <c r="AE285" i="1" a="1"/>
  <c r="Q284" i="1"/>
  <c r="AB284" i="1" s="1" a="1"/>
  <c r="AB284" i="1" s="1"/>
  <c r="Q285" i="1" a="1"/>
  <c r="AE284" i="1"/>
  <c r="AM283" i="1" s="1" a="1"/>
  <c r="AM283" i="1" s="1"/>
  <c r="Z284" i="1" l="1" a="1"/>
  <c r="Z284" i="1" s="1"/>
  <c r="X284" i="1" a="1"/>
  <c r="X284" i="1" s="1"/>
  <c r="Y284" i="1" s="1"/>
  <c r="AA284" i="1"/>
  <c r="AK284" i="1" a="1"/>
  <c r="AK284" i="1" s="1"/>
  <c r="AL284" i="1" s="1"/>
  <c r="AE286" i="1" a="1"/>
  <c r="Q285" i="1"/>
  <c r="X285" i="1" s="1" a="1"/>
  <c r="X285" i="1" s="1"/>
  <c r="Y285" i="1" s="1"/>
  <c r="Q286" i="1" a="1"/>
  <c r="AE285" i="1"/>
  <c r="AM284" i="1" s="1" a="1"/>
  <c r="AM284" i="1" s="1"/>
  <c r="AB285" i="1" l="1" a="1"/>
  <c r="AB285" i="1" s="1"/>
  <c r="Z285" i="1" a="1"/>
  <c r="Z285" i="1" s="1"/>
  <c r="AA285" i="1"/>
  <c r="AK285" i="1" a="1"/>
  <c r="AK285" i="1" s="1"/>
  <c r="AL285" i="1" s="1"/>
  <c r="AE287" i="1" a="1"/>
  <c r="Q286" i="1"/>
  <c r="AB286" i="1" s="1" a="1"/>
  <c r="AB286" i="1" s="1"/>
  <c r="Q287" i="1" a="1"/>
  <c r="AE286" i="1"/>
  <c r="AM285" i="1" s="1" a="1"/>
  <c r="AM285" i="1" s="1"/>
  <c r="Z286" i="1" l="1" a="1"/>
  <c r="Z286" i="1" s="1"/>
  <c r="X286" i="1" a="1"/>
  <c r="X286" i="1" s="1"/>
  <c r="Y286" i="1" s="1"/>
  <c r="AA286" i="1"/>
  <c r="AK286" i="1" a="1"/>
  <c r="AK286" i="1" s="1"/>
  <c r="AL286" i="1" s="1"/>
  <c r="AE288" i="1" a="1"/>
  <c r="Q287" i="1"/>
  <c r="AB287" i="1" s="1" a="1"/>
  <c r="AB287" i="1" s="1"/>
  <c r="Q288" i="1" a="1"/>
  <c r="AE287" i="1"/>
  <c r="AK287" i="1" s="1" a="1"/>
  <c r="AK287" i="1" s="1"/>
  <c r="AL287" i="1" s="1"/>
  <c r="Z287" i="1" l="1" a="1"/>
  <c r="Z287" i="1" s="1"/>
  <c r="X287" i="1" a="1"/>
  <c r="X287" i="1" s="1"/>
  <c r="Y287" i="1" s="1"/>
  <c r="AA287" i="1"/>
  <c r="AM286" i="1" a="1"/>
  <c r="AM286" i="1" s="1"/>
  <c r="AE289" i="1" a="1"/>
  <c r="Q289" i="1" a="1"/>
  <c r="Q288" i="1"/>
  <c r="X288" i="1" s="1" a="1"/>
  <c r="X288" i="1" s="1"/>
  <c r="Y288" i="1" s="1"/>
  <c r="AE288" i="1"/>
  <c r="AM287" i="1" s="1" a="1"/>
  <c r="AM287" i="1" s="1"/>
  <c r="AB288" i="1" l="1" a="1"/>
  <c r="AB288" i="1" s="1"/>
  <c r="Z288" i="1" a="1"/>
  <c r="Z288" i="1" s="1"/>
  <c r="AA288" i="1"/>
  <c r="AK288" i="1" a="1"/>
  <c r="AK288" i="1" s="1"/>
  <c r="AL288" i="1" s="1"/>
  <c r="AE290" i="1" a="1"/>
  <c r="Q289" i="1"/>
  <c r="AB289" i="1" s="1" a="1"/>
  <c r="AB289" i="1" s="1"/>
  <c r="Q290" i="1" a="1"/>
  <c r="AE289" i="1"/>
  <c r="AK289" i="1" s="1" a="1"/>
  <c r="AK289" i="1" s="1"/>
  <c r="AL289" i="1" s="1"/>
  <c r="Z289" i="1" l="1" a="1"/>
  <c r="Z289" i="1" s="1"/>
  <c r="X289" i="1" a="1"/>
  <c r="X289" i="1" s="1"/>
  <c r="Y289" i="1" s="1"/>
  <c r="AA289" i="1"/>
  <c r="AM288" i="1" a="1"/>
  <c r="AM288" i="1" s="1"/>
  <c r="AE291" i="1" a="1"/>
  <c r="Q291" i="1" a="1"/>
  <c r="Q290" i="1"/>
  <c r="X290" i="1" s="1" a="1"/>
  <c r="X290" i="1" s="1"/>
  <c r="Y290" i="1" s="1"/>
  <c r="AE290" i="1"/>
  <c r="AK290" i="1" s="1" a="1"/>
  <c r="AK290" i="1" s="1"/>
  <c r="AL290" i="1" s="1"/>
  <c r="AB290" i="1" l="1" a="1"/>
  <c r="AB290" i="1" s="1"/>
  <c r="Z290" i="1" a="1"/>
  <c r="Z290" i="1" s="1"/>
  <c r="AA290" i="1"/>
  <c r="AM289" i="1" a="1"/>
  <c r="AM289" i="1" s="1"/>
  <c r="AE292" i="1" a="1"/>
  <c r="Q291" i="1"/>
  <c r="AB291" i="1" s="1" a="1"/>
  <c r="AB291" i="1" s="1"/>
  <c r="Q292" i="1" a="1"/>
  <c r="AE291" i="1"/>
  <c r="AK291" i="1" s="1" a="1"/>
  <c r="AK291" i="1" s="1"/>
  <c r="AL291" i="1" s="1"/>
  <c r="Z291" i="1" l="1" a="1"/>
  <c r="Z291" i="1" s="1"/>
  <c r="X291" i="1" a="1"/>
  <c r="X291" i="1" s="1"/>
  <c r="Y291" i="1" s="1"/>
  <c r="AA291" i="1"/>
  <c r="AM290" i="1" a="1"/>
  <c r="AM290" i="1" s="1"/>
  <c r="AE293" i="1" a="1"/>
  <c r="Q293" i="1" a="1"/>
  <c r="Q292" i="1"/>
  <c r="AB292" i="1" s="1" a="1"/>
  <c r="AB292" i="1" s="1"/>
  <c r="AE292" i="1"/>
  <c r="AK292" i="1" s="1" a="1"/>
  <c r="AK292" i="1" s="1"/>
  <c r="AL292" i="1" s="1"/>
  <c r="AM291" i="1" l="1" a="1"/>
  <c r="AM291" i="1" s="1"/>
  <c r="X292" i="1" a="1"/>
  <c r="X292" i="1" s="1"/>
  <c r="Y292" i="1" s="1"/>
  <c r="AA292" i="1"/>
  <c r="Z292" i="1" a="1"/>
  <c r="Z292" i="1" s="1"/>
  <c r="AE294" i="1" a="1"/>
  <c r="Q294" i="1" a="1"/>
  <c r="Q293" i="1"/>
  <c r="AB293" i="1" s="1" a="1"/>
  <c r="AB293" i="1" s="1"/>
  <c r="AE293" i="1"/>
  <c r="AM292" i="1" s="1" a="1"/>
  <c r="AM292" i="1" s="1"/>
  <c r="X293" i="1" l="1" a="1"/>
  <c r="X293" i="1" s="1"/>
  <c r="Y293" i="1" s="1"/>
  <c r="Z293" i="1" a="1"/>
  <c r="Z293" i="1" s="1"/>
  <c r="AA293" i="1"/>
  <c r="AK293" i="1" a="1"/>
  <c r="AK293" i="1" s="1"/>
  <c r="AL293" i="1" s="1"/>
  <c r="AE295" i="1" a="1"/>
  <c r="Q294" i="1"/>
  <c r="AB294" i="1" s="1" a="1"/>
  <c r="AB294" i="1" s="1"/>
  <c r="Q295" i="1" a="1"/>
  <c r="AE294" i="1"/>
  <c r="AM293" i="1" s="1" a="1"/>
  <c r="AM293" i="1" s="1"/>
  <c r="Z294" i="1" l="1" a="1"/>
  <c r="Z294" i="1" s="1"/>
  <c r="X294" i="1" a="1"/>
  <c r="X294" i="1" s="1"/>
  <c r="Y294" i="1" s="1"/>
  <c r="AA294" i="1"/>
  <c r="AK294" i="1" a="1"/>
  <c r="AK294" i="1" s="1"/>
  <c r="AL294" i="1" s="1"/>
  <c r="AE296" i="1" a="1"/>
  <c r="Q296" i="1" a="1"/>
  <c r="Q295" i="1"/>
  <c r="Z295" i="1" s="1" a="1"/>
  <c r="Z295" i="1" s="1"/>
  <c r="AE295" i="1"/>
  <c r="AM294" i="1" s="1" a="1"/>
  <c r="AM294" i="1" s="1"/>
  <c r="AB295" i="1" l="1" a="1"/>
  <c r="AB295" i="1" s="1"/>
  <c r="X295" i="1" a="1"/>
  <c r="X295" i="1" s="1"/>
  <c r="Y295" i="1" s="1"/>
  <c r="AA295" i="1"/>
  <c r="AK295" i="1" a="1"/>
  <c r="AK295" i="1" s="1"/>
  <c r="AL295" i="1" s="1"/>
  <c r="AE297" i="1" a="1"/>
  <c r="Q296" i="1"/>
  <c r="AB296" i="1" s="1" a="1"/>
  <c r="AB296" i="1" s="1"/>
  <c r="Q297" i="1" a="1"/>
  <c r="AE296" i="1"/>
  <c r="AK296" i="1" s="1" a="1"/>
  <c r="AK296" i="1" s="1"/>
  <c r="AL296" i="1" s="1"/>
  <c r="X296" i="1" l="1" a="1"/>
  <c r="X296" i="1" s="1"/>
  <c r="Y296" i="1" s="1"/>
  <c r="Z296" i="1" a="1"/>
  <c r="Z296" i="1" s="1"/>
  <c r="AA296" i="1"/>
  <c r="AM295" i="1" a="1"/>
  <c r="AM295" i="1" s="1"/>
  <c r="AE298" i="1" a="1"/>
  <c r="Q298" i="1" a="1"/>
  <c r="Q297" i="1"/>
  <c r="AB297" i="1" s="1" a="1"/>
  <c r="AB297" i="1" s="1"/>
  <c r="AE297" i="1"/>
  <c r="AK297" i="1" s="1" a="1"/>
  <c r="AK297" i="1" s="1"/>
  <c r="AL297" i="1" s="1"/>
  <c r="Z297" i="1" l="1" a="1"/>
  <c r="Z297" i="1" s="1"/>
  <c r="X297" i="1" a="1"/>
  <c r="X297" i="1" s="1"/>
  <c r="Y297" i="1" s="1"/>
  <c r="AA297" i="1"/>
  <c r="AM296" i="1" a="1"/>
  <c r="AM296" i="1" s="1"/>
  <c r="AE299" i="1" a="1"/>
  <c r="Q298" i="1"/>
  <c r="AB298" i="1" s="1" a="1"/>
  <c r="AB298" i="1" s="1"/>
  <c r="Q299" i="1" a="1"/>
  <c r="AE298" i="1"/>
  <c r="AM297" i="1" s="1" a="1"/>
  <c r="AM297" i="1" s="1"/>
  <c r="AK298" i="1" l="1" a="1"/>
  <c r="AK298" i="1" s="1"/>
  <c r="AL298" i="1" s="1"/>
  <c r="Z298" i="1" a="1"/>
  <c r="Z298" i="1" s="1"/>
  <c r="AA298" i="1"/>
  <c r="X298" i="1" a="1"/>
  <c r="X298" i="1" s="1"/>
  <c r="Y298" i="1" s="1"/>
  <c r="AE300" i="1" a="1"/>
  <c r="Q299" i="1"/>
  <c r="AB299" i="1" s="1" a="1"/>
  <c r="AB299" i="1" s="1"/>
  <c r="Q300" i="1" a="1"/>
  <c r="X299" i="1" a="1"/>
  <c r="X299" i="1" s="1"/>
  <c r="Y299" i="1" s="1"/>
  <c r="AE299" i="1"/>
  <c r="AK299" i="1" s="1" a="1"/>
  <c r="AK299" i="1" s="1"/>
  <c r="AL299" i="1" s="1"/>
  <c r="Z299" i="1" l="1" a="1"/>
  <c r="Z299" i="1" s="1"/>
  <c r="AA299" i="1"/>
  <c r="AM298" i="1" a="1"/>
  <c r="AM298" i="1" s="1"/>
  <c r="AE301" i="1" a="1"/>
  <c r="Q300" i="1"/>
  <c r="AB300" i="1" s="1" a="1"/>
  <c r="AB300" i="1" s="1"/>
  <c r="Q301" i="1" a="1"/>
  <c r="AE300" i="1"/>
  <c r="AM299" i="1" s="1" a="1"/>
  <c r="AM299" i="1" s="1"/>
  <c r="Z300" i="1" l="1" a="1"/>
  <c r="Z300" i="1" s="1"/>
  <c r="X300" i="1" a="1"/>
  <c r="X300" i="1" s="1"/>
  <c r="Y300" i="1" s="1"/>
  <c r="AA300" i="1"/>
  <c r="AK300" i="1" a="1"/>
  <c r="AK300" i="1" s="1"/>
  <c r="AL300" i="1" s="1"/>
  <c r="AE302" i="1" a="1"/>
  <c r="Q301" i="1"/>
  <c r="X301" i="1" s="1" a="1"/>
  <c r="X301" i="1" s="1"/>
  <c r="Y301" i="1" s="1"/>
  <c r="Q302" i="1" a="1"/>
  <c r="AE301" i="1"/>
  <c r="AM300" i="1" s="1" a="1"/>
  <c r="AM300" i="1" s="1"/>
  <c r="AB301" i="1" l="1" a="1"/>
  <c r="AB301" i="1" s="1"/>
  <c r="Z301" i="1" a="1"/>
  <c r="Z301" i="1" s="1"/>
  <c r="AA301" i="1"/>
  <c r="AK301" i="1" a="1"/>
  <c r="AK301" i="1" s="1"/>
  <c r="AL301" i="1" s="1"/>
  <c r="AE303" i="1" a="1"/>
  <c r="Q302" i="1"/>
  <c r="AB302" i="1" s="1" a="1"/>
  <c r="AB302" i="1" s="1"/>
  <c r="Q303" i="1" a="1"/>
  <c r="AE302" i="1"/>
  <c r="AK302" i="1" s="1" a="1"/>
  <c r="AK302" i="1" s="1"/>
  <c r="AL302" i="1" s="1"/>
  <c r="X302" i="1" l="1" a="1"/>
  <c r="X302" i="1" s="1"/>
  <c r="Y302" i="1" s="1"/>
  <c r="Z302" i="1" a="1"/>
  <c r="Z302" i="1" s="1"/>
  <c r="AA302" i="1"/>
  <c r="AM301" i="1" a="1"/>
  <c r="AM301" i="1" s="1"/>
  <c r="AE304" i="1" a="1"/>
  <c r="Q303" i="1"/>
  <c r="AB303" i="1" s="1" a="1"/>
  <c r="AB303" i="1" s="1"/>
  <c r="Q304" i="1" a="1"/>
  <c r="AE303" i="1"/>
  <c r="AK303" i="1" s="1" a="1"/>
  <c r="AK303" i="1" s="1"/>
  <c r="AL303" i="1" s="1"/>
  <c r="Z303" i="1" l="1" a="1"/>
  <c r="Z303" i="1" s="1"/>
  <c r="X303" i="1" a="1"/>
  <c r="X303" i="1" s="1"/>
  <c r="Y303" i="1" s="1"/>
  <c r="AA303" i="1"/>
  <c r="AM302" i="1" a="1"/>
  <c r="AM302" i="1" s="1"/>
  <c r="AE305" i="1" a="1"/>
  <c r="Q304" i="1"/>
  <c r="AB304" i="1" s="1" a="1"/>
  <c r="AB304" i="1" s="1"/>
  <c r="Q305" i="1" a="1"/>
  <c r="AE304" i="1"/>
  <c r="AK304" i="1" s="1" a="1"/>
  <c r="AK304" i="1" s="1"/>
  <c r="AL304" i="1" s="1"/>
  <c r="AM303" i="1" l="1" a="1"/>
  <c r="AM303" i="1" s="1"/>
  <c r="Z304" i="1" a="1"/>
  <c r="Z304" i="1" s="1"/>
  <c r="AA304" i="1"/>
  <c r="X304" i="1" a="1"/>
  <c r="X304" i="1" s="1"/>
  <c r="Y304" i="1" s="1"/>
  <c r="AE306" i="1" a="1"/>
  <c r="Q305" i="1"/>
  <c r="AB305" i="1" s="1" a="1"/>
  <c r="AB305" i="1" s="1"/>
  <c r="Q306" i="1" a="1"/>
  <c r="AE305" i="1"/>
  <c r="AK305" i="1" s="1" a="1"/>
  <c r="AK305" i="1" s="1"/>
  <c r="AL305" i="1" s="1"/>
  <c r="Z305" i="1" l="1" a="1"/>
  <c r="Z305" i="1" s="1"/>
  <c r="X305" i="1" a="1"/>
  <c r="X305" i="1" s="1"/>
  <c r="Y305" i="1" s="1"/>
  <c r="AA305" i="1"/>
  <c r="AM304" i="1" a="1"/>
  <c r="AM304" i="1" s="1"/>
  <c r="AE307" i="1" a="1"/>
  <c r="Q307" i="1" a="1"/>
  <c r="Q306" i="1"/>
  <c r="AB306" i="1" s="1" a="1"/>
  <c r="AB306" i="1" s="1"/>
  <c r="AE306" i="1"/>
  <c r="AM305" i="1" s="1" a="1"/>
  <c r="AM305" i="1" s="1"/>
  <c r="X306" i="1" l="1" a="1"/>
  <c r="X306" i="1" s="1"/>
  <c r="Y306" i="1" s="1"/>
  <c r="Z306" i="1" a="1"/>
  <c r="Z306" i="1" s="1"/>
  <c r="AA306" i="1"/>
  <c r="AK306" i="1" a="1"/>
  <c r="AK306" i="1" s="1"/>
  <c r="AL306" i="1" s="1"/>
  <c r="AE308" i="1" a="1"/>
  <c r="Q308" i="1" a="1"/>
  <c r="Q307" i="1"/>
  <c r="AB307" i="1" s="1" a="1"/>
  <c r="AB307" i="1" s="1"/>
  <c r="AE307" i="1"/>
  <c r="AM306" i="1" s="1" a="1"/>
  <c r="AM306" i="1" s="1"/>
  <c r="Z307" i="1" l="1" a="1"/>
  <c r="Z307" i="1" s="1"/>
  <c r="X307" i="1" a="1"/>
  <c r="X307" i="1" s="1"/>
  <c r="Y307" i="1" s="1"/>
  <c r="AA307" i="1"/>
  <c r="AK307" i="1" a="1"/>
  <c r="AK307" i="1" s="1"/>
  <c r="AL307" i="1" s="1"/>
  <c r="AE309" i="1" a="1"/>
  <c r="Q309" i="1" a="1"/>
  <c r="Q308" i="1"/>
  <c r="AB308" i="1" s="1" a="1"/>
  <c r="AB308" i="1" s="1"/>
  <c r="AE308" i="1"/>
  <c r="AK308" i="1" s="1" a="1"/>
  <c r="AK308" i="1" s="1"/>
  <c r="AL308" i="1" s="1"/>
  <c r="Z308" i="1" l="1" a="1"/>
  <c r="Z308" i="1" s="1"/>
  <c r="X308" i="1" a="1"/>
  <c r="X308" i="1" s="1"/>
  <c r="Y308" i="1" s="1"/>
  <c r="AA308" i="1"/>
  <c r="AM307" i="1" a="1"/>
  <c r="AM307" i="1" s="1"/>
  <c r="AE310" i="1" a="1"/>
  <c r="Q310" i="1" a="1"/>
  <c r="Q309" i="1"/>
  <c r="X309" i="1" s="1" a="1"/>
  <c r="X309" i="1" s="1"/>
  <c r="Y309" i="1" s="1"/>
  <c r="AE309" i="1"/>
  <c r="AK309" i="1" s="1" a="1"/>
  <c r="AK309" i="1" s="1"/>
  <c r="AL309" i="1" s="1"/>
  <c r="AB309" i="1" l="1" a="1"/>
  <c r="AB309" i="1" s="1"/>
  <c r="Z309" i="1" a="1"/>
  <c r="Z309" i="1" s="1"/>
  <c r="AA309" i="1"/>
  <c r="AM308" i="1" a="1"/>
  <c r="AM308" i="1" s="1"/>
  <c r="AE311" i="1" a="1"/>
  <c r="Q310" i="1"/>
  <c r="AB310" i="1" s="1" a="1"/>
  <c r="AB310" i="1" s="1"/>
  <c r="Q311" i="1" a="1"/>
  <c r="AE310" i="1"/>
  <c r="AM309" i="1" s="1" a="1"/>
  <c r="AM309" i="1" s="1"/>
  <c r="AK310" i="1" l="1" a="1"/>
  <c r="AK310" i="1" s="1"/>
  <c r="AL310" i="1" s="1"/>
  <c r="X310" i="1" a="1"/>
  <c r="X310" i="1" s="1"/>
  <c r="Y310" i="1" s="1"/>
  <c r="AA310" i="1"/>
  <c r="Z310" i="1" a="1"/>
  <c r="Z310" i="1" s="1"/>
  <c r="AE312" i="1" a="1"/>
  <c r="Q311" i="1"/>
  <c r="AB311" i="1" s="1" a="1"/>
  <c r="AB311" i="1" s="1"/>
  <c r="Q312" i="1" a="1"/>
  <c r="Z311" i="1" a="1"/>
  <c r="Z311" i="1" s="1"/>
  <c r="AE311" i="1"/>
  <c r="AK311" i="1" s="1" a="1"/>
  <c r="AK311" i="1" s="1"/>
  <c r="AL311" i="1" s="1"/>
  <c r="X311" i="1" l="1" a="1"/>
  <c r="X311" i="1" s="1"/>
  <c r="Y311" i="1" s="1"/>
  <c r="AA311" i="1"/>
  <c r="AM310" i="1" a="1"/>
  <c r="AM310" i="1" s="1"/>
  <c r="AE313" i="1" a="1"/>
  <c r="Q313" i="1" a="1"/>
  <c r="Q312" i="1"/>
  <c r="X312" i="1" s="1" a="1"/>
  <c r="X312" i="1" s="1"/>
  <c r="Y312" i="1" s="1"/>
  <c r="AE312" i="1"/>
  <c r="AM311" i="1" s="1" a="1"/>
  <c r="AM311" i="1" s="1"/>
  <c r="AB312" i="1" l="1" a="1"/>
  <c r="AB312" i="1" s="1"/>
  <c r="Z312" i="1" a="1"/>
  <c r="Z312" i="1" s="1"/>
  <c r="AA312" i="1"/>
  <c r="AK312" i="1" a="1"/>
  <c r="AK312" i="1" s="1"/>
  <c r="AL312" i="1" s="1"/>
  <c r="AE314" i="1" a="1"/>
  <c r="Q313" i="1"/>
  <c r="AB313" i="1" s="1" a="1"/>
  <c r="AB313" i="1" s="1"/>
  <c r="Q314" i="1" a="1"/>
  <c r="AE313" i="1"/>
  <c r="AM312" i="1" s="1" a="1"/>
  <c r="AM312" i="1" s="1"/>
  <c r="Z313" i="1" l="1" a="1"/>
  <c r="Z313" i="1" s="1"/>
  <c r="X313" i="1" a="1"/>
  <c r="X313" i="1" s="1"/>
  <c r="Y313" i="1" s="1"/>
  <c r="AA313" i="1"/>
  <c r="AK313" i="1" a="1"/>
  <c r="AK313" i="1" s="1"/>
  <c r="AL313" i="1" s="1"/>
  <c r="AE315" i="1" a="1"/>
  <c r="Q314" i="1"/>
  <c r="AB314" i="1" s="1" a="1"/>
  <c r="AB314" i="1" s="1"/>
  <c r="Q315" i="1" a="1"/>
  <c r="AE314" i="1"/>
  <c r="AK314" i="1" s="1" a="1"/>
  <c r="AK314" i="1" s="1"/>
  <c r="AL314" i="1" s="1"/>
  <c r="X314" i="1" l="1" a="1"/>
  <c r="X314" i="1" s="1"/>
  <c r="Y314" i="1" s="1"/>
  <c r="Z314" i="1" a="1"/>
  <c r="Z314" i="1" s="1"/>
  <c r="AA314" i="1"/>
  <c r="AM313" i="1" a="1"/>
  <c r="AM313" i="1" s="1"/>
  <c r="AE316" i="1" a="1"/>
  <c r="Q315" i="1"/>
  <c r="AB315" i="1" s="1" a="1"/>
  <c r="AB315" i="1" s="1"/>
  <c r="Q316" i="1" a="1"/>
  <c r="AE315" i="1"/>
  <c r="AK315" i="1" s="1" a="1"/>
  <c r="AK315" i="1" s="1"/>
  <c r="AL315" i="1" s="1"/>
  <c r="X315" i="1" l="1" a="1"/>
  <c r="X315" i="1" s="1"/>
  <c r="Y315" i="1" s="1"/>
  <c r="Z315" i="1" a="1"/>
  <c r="Z315" i="1" s="1"/>
  <c r="AA315" i="1"/>
  <c r="AM314" i="1" a="1"/>
  <c r="AM314" i="1" s="1"/>
  <c r="AE317" i="1" a="1"/>
  <c r="Q317" i="1" a="1"/>
  <c r="Q316" i="1"/>
  <c r="AB316" i="1" s="1" a="1"/>
  <c r="AB316" i="1" s="1"/>
  <c r="AE316" i="1"/>
  <c r="AM315" i="1" s="1" a="1"/>
  <c r="AM315" i="1" s="1"/>
  <c r="Z316" i="1" l="1" a="1"/>
  <c r="Z316" i="1" s="1"/>
  <c r="X316" i="1" a="1"/>
  <c r="X316" i="1" s="1"/>
  <c r="Y316" i="1" s="1"/>
  <c r="AA316" i="1"/>
  <c r="AK316" i="1" a="1"/>
  <c r="AK316" i="1" s="1"/>
  <c r="AL316" i="1" s="1"/>
  <c r="AE318" i="1" a="1"/>
  <c r="Q317" i="1"/>
  <c r="AB317" i="1" s="1" a="1"/>
  <c r="AB317" i="1" s="1"/>
  <c r="Q318" i="1" a="1"/>
  <c r="AE317" i="1"/>
  <c r="AM316" i="1" s="1" a="1"/>
  <c r="AM316" i="1" s="1"/>
  <c r="X317" i="1" l="1" a="1"/>
  <c r="X317" i="1" s="1"/>
  <c r="Y317" i="1" s="1"/>
  <c r="Z317" i="1" a="1"/>
  <c r="Z317" i="1" s="1"/>
  <c r="AA317" i="1"/>
  <c r="AK317" i="1" a="1"/>
  <c r="AK317" i="1" s="1"/>
  <c r="AL317" i="1" s="1"/>
  <c r="AE319" i="1" a="1"/>
  <c r="Q319" i="1" a="1"/>
  <c r="Q318" i="1"/>
  <c r="X318" i="1" s="1" a="1"/>
  <c r="X318" i="1" s="1"/>
  <c r="Y318" i="1" s="1"/>
  <c r="AE318" i="1"/>
  <c r="AM317" i="1" s="1" a="1"/>
  <c r="AM317" i="1" s="1"/>
  <c r="AB318" i="1" l="1" a="1"/>
  <c r="AB318" i="1" s="1"/>
  <c r="Z318" i="1" a="1"/>
  <c r="Z318" i="1" s="1"/>
  <c r="AA318" i="1"/>
  <c r="AK318" i="1" a="1"/>
  <c r="AK318" i="1" s="1"/>
  <c r="AL318" i="1" s="1"/>
  <c r="AE320" i="1" a="1"/>
  <c r="Q319" i="1"/>
  <c r="AB319" i="1" s="1" a="1"/>
  <c r="AB319" i="1" s="1"/>
  <c r="Q320" i="1" a="1"/>
  <c r="AE319" i="1"/>
  <c r="AM318" i="1" s="1" a="1"/>
  <c r="AM318" i="1" s="1"/>
  <c r="Z319" i="1" l="1" a="1"/>
  <c r="Z319" i="1" s="1"/>
  <c r="X319" i="1" a="1"/>
  <c r="X319" i="1" s="1"/>
  <c r="Y319" i="1" s="1"/>
  <c r="AA319" i="1"/>
  <c r="AK319" i="1" a="1"/>
  <c r="AK319" i="1" s="1"/>
  <c r="AL319" i="1" s="1"/>
  <c r="AE321" i="1" a="1"/>
  <c r="Q320" i="1"/>
  <c r="AB320" i="1" s="1" a="1"/>
  <c r="AB320" i="1" s="1"/>
  <c r="Q321" i="1" a="1"/>
  <c r="AE320" i="1"/>
  <c r="AM319" i="1" s="1" a="1"/>
  <c r="AM319" i="1" s="1"/>
  <c r="X320" i="1" l="1" a="1"/>
  <c r="X320" i="1" s="1"/>
  <c r="Y320" i="1" s="1"/>
  <c r="Z320" i="1" a="1"/>
  <c r="Z320" i="1" s="1"/>
  <c r="AA320" i="1"/>
  <c r="AK320" i="1" a="1"/>
  <c r="AK320" i="1" s="1"/>
  <c r="AL320" i="1" s="1"/>
  <c r="AE322" i="1" a="1"/>
  <c r="Q321" i="1"/>
  <c r="AB321" i="1" s="1" a="1"/>
  <c r="AB321" i="1" s="1"/>
  <c r="Q322" i="1" a="1"/>
  <c r="AE321" i="1"/>
  <c r="AK321" i="1" s="1" a="1"/>
  <c r="AK321" i="1" s="1"/>
  <c r="AL321" i="1" s="1"/>
  <c r="Z321" i="1" l="1" a="1"/>
  <c r="Z321" i="1" s="1"/>
  <c r="X321" i="1" a="1"/>
  <c r="X321" i="1" s="1"/>
  <c r="Y321" i="1" s="1"/>
  <c r="AA321" i="1"/>
  <c r="AM320" i="1" a="1"/>
  <c r="AM320" i="1" s="1"/>
  <c r="AE323" i="1" a="1"/>
  <c r="Q322" i="1"/>
  <c r="AB322" i="1" s="1" a="1"/>
  <c r="AB322" i="1" s="1"/>
  <c r="Q323" i="1" a="1"/>
  <c r="AE322" i="1"/>
  <c r="AM321" i="1" s="1" a="1"/>
  <c r="AM321" i="1" s="1"/>
  <c r="X322" i="1" l="1" a="1"/>
  <c r="X322" i="1" s="1"/>
  <c r="Y322" i="1" s="1"/>
  <c r="Z322" i="1" a="1"/>
  <c r="Z322" i="1" s="1"/>
  <c r="AA322" i="1"/>
  <c r="AK322" i="1" a="1"/>
  <c r="AK322" i="1" s="1"/>
  <c r="AL322" i="1" s="1"/>
  <c r="AE324" i="1" a="1"/>
  <c r="Q323" i="1"/>
  <c r="AB323" i="1" s="1" a="1"/>
  <c r="AB323" i="1" s="1"/>
  <c r="Q324" i="1" a="1"/>
  <c r="AE323" i="1"/>
  <c r="AK323" i="1" s="1" a="1"/>
  <c r="AK323" i="1" s="1"/>
  <c r="AL323" i="1" s="1"/>
  <c r="X323" i="1" l="1" a="1"/>
  <c r="X323" i="1" s="1"/>
  <c r="Y323" i="1" s="1"/>
  <c r="Z323" i="1" a="1"/>
  <c r="Z323" i="1" s="1"/>
  <c r="AA323" i="1"/>
  <c r="AM322" i="1" a="1"/>
  <c r="AM322" i="1" s="1"/>
  <c r="AE325" i="1" a="1"/>
  <c r="Q324" i="1"/>
  <c r="AB324" i="1" s="1" a="1"/>
  <c r="AB324" i="1" s="1"/>
  <c r="Q325" i="1" a="1"/>
  <c r="AE324" i="1"/>
  <c r="AM323" i="1" s="1" a="1"/>
  <c r="AM323" i="1" s="1"/>
  <c r="Z324" i="1" l="1" a="1"/>
  <c r="Z324" i="1" s="1"/>
  <c r="X324" i="1" a="1"/>
  <c r="X324" i="1" s="1"/>
  <c r="Y324" i="1" s="1"/>
  <c r="AA324" i="1"/>
  <c r="AK324" i="1" a="1"/>
  <c r="AK324" i="1" s="1"/>
  <c r="AL324" i="1" s="1"/>
  <c r="AE326" i="1" a="1"/>
  <c r="Q326" i="1" a="1"/>
  <c r="Q325" i="1"/>
  <c r="X325" i="1" s="1" a="1"/>
  <c r="X325" i="1" s="1"/>
  <c r="Y325" i="1" s="1"/>
  <c r="AE325" i="1"/>
  <c r="AM324" i="1" s="1" a="1"/>
  <c r="AM324" i="1" s="1"/>
  <c r="AB325" i="1" l="1" a="1"/>
  <c r="AB325" i="1" s="1"/>
  <c r="Z325" i="1" a="1"/>
  <c r="Z325" i="1" s="1"/>
  <c r="AA325" i="1"/>
  <c r="AK325" i="1" a="1"/>
  <c r="AK325" i="1" s="1"/>
  <c r="AL325" i="1" s="1"/>
  <c r="AE327" i="1" a="1"/>
  <c r="Q326" i="1"/>
  <c r="AB326" i="1" s="1" a="1"/>
  <c r="AB326" i="1" s="1"/>
  <c r="Q327" i="1" a="1"/>
  <c r="AE326" i="1"/>
  <c r="AM325" i="1" s="1" a="1"/>
  <c r="AM325" i="1" s="1"/>
  <c r="X326" i="1" l="1" a="1"/>
  <c r="X326" i="1" s="1"/>
  <c r="Y326" i="1" s="1"/>
  <c r="Z326" i="1" a="1"/>
  <c r="Z326" i="1" s="1"/>
  <c r="AA326" i="1"/>
  <c r="AK326" i="1" a="1"/>
  <c r="AK326" i="1" s="1"/>
  <c r="AL326" i="1" s="1"/>
  <c r="AE328" i="1" a="1"/>
  <c r="Q327" i="1"/>
  <c r="AB327" i="1" s="1" a="1"/>
  <c r="AB327" i="1" s="1"/>
  <c r="Q328" i="1" a="1"/>
  <c r="AE327" i="1"/>
  <c r="AM326" i="1" s="1" a="1"/>
  <c r="AM326" i="1" s="1"/>
  <c r="AK327" i="1" l="1" a="1"/>
  <c r="AK327" i="1" s="1"/>
  <c r="AL327" i="1" s="1"/>
  <c r="X327" i="1" a="1"/>
  <c r="X327" i="1" s="1"/>
  <c r="Y327" i="1" s="1"/>
  <c r="AA327" i="1"/>
  <c r="Z327" i="1" a="1"/>
  <c r="Z327" i="1" s="1"/>
  <c r="AE329" i="1" a="1"/>
  <c r="Q328" i="1"/>
  <c r="AB328" i="1" s="1" a="1"/>
  <c r="AB328" i="1" s="1"/>
  <c r="Q329" i="1" a="1"/>
  <c r="AE328" i="1"/>
  <c r="AK328" i="1" s="1" a="1"/>
  <c r="AK328" i="1" s="1"/>
  <c r="AL328" i="1" s="1"/>
  <c r="X328" i="1" l="1" a="1"/>
  <c r="X328" i="1" s="1"/>
  <c r="Y328" i="1" s="1"/>
  <c r="Z328" i="1" a="1"/>
  <c r="Z328" i="1" s="1"/>
  <c r="AA328" i="1"/>
  <c r="AM327" i="1" a="1"/>
  <c r="AM327" i="1" s="1"/>
  <c r="AE330" i="1" a="1"/>
  <c r="Q329" i="1"/>
  <c r="Z329" i="1" s="1" a="1"/>
  <c r="Z329" i="1" s="1"/>
  <c r="Q330" i="1" a="1"/>
  <c r="AE329" i="1"/>
  <c r="AK329" i="1" s="1" a="1"/>
  <c r="AK329" i="1" s="1"/>
  <c r="AL329" i="1" s="1"/>
  <c r="AB329" i="1" l="1" a="1"/>
  <c r="AB329" i="1" s="1"/>
  <c r="X329" i="1" a="1"/>
  <c r="X329" i="1" s="1"/>
  <c r="Y329" i="1" s="1"/>
  <c r="AA329" i="1"/>
  <c r="AM328" i="1" a="1"/>
  <c r="AM328" i="1" s="1"/>
  <c r="AE331" i="1" a="1"/>
  <c r="Q331" i="1" a="1"/>
  <c r="Q330" i="1"/>
  <c r="AB330" i="1" s="1" a="1"/>
  <c r="AB330" i="1" s="1"/>
  <c r="AE330" i="1"/>
  <c r="AK330" i="1" s="1" a="1"/>
  <c r="AK330" i="1" s="1"/>
  <c r="AL330" i="1" s="1"/>
  <c r="X330" i="1" l="1" a="1"/>
  <c r="X330" i="1" s="1"/>
  <c r="Y330" i="1" s="1"/>
  <c r="Z330" i="1" a="1"/>
  <c r="Z330" i="1" s="1"/>
  <c r="AA330" i="1"/>
  <c r="AM329" i="1" a="1"/>
  <c r="AM329" i="1" s="1"/>
  <c r="AE332" i="1" a="1"/>
  <c r="Q331" i="1"/>
  <c r="AB331" i="1" s="1" a="1"/>
  <c r="AB331" i="1" s="1"/>
  <c r="Q332" i="1" a="1"/>
  <c r="AE331" i="1"/>
  <c r="AK331" i="1" s="1" a="1"/>
  <c r="AK331" i="1" s="1"/>
  <c r="AL331" i="1" s="1"/>
  <c r="X331" i="1" l="1" a="1"/>
  <c r="X331" i="1" s="1"/>
  <c r="Y331" i="1" s="1"/>
  <c r="Z331" i="1" a="1"/>
  <c r="Z331" i="1" s="1"/>
  <c r="AA331" i="1"/>
  <c r="AM330" i="1" a="1"/>
  <c r="AM330" i="1" s="1"/>
  <c r="AE333" i="1" a="1"/>
  <c r="Q332" i="1"/>
  <c r="AB332" i="1" s="1" a="1"/>
  <c r="AB332" i="1" s="1"/>
  <c r="Q333" i="1" a="1"/>
  <c r="AE332" i="1"/>
  <c r="AM331" i="1" s="1" a="1"/>
  <c r="AM331" i="1" s="1"/>
  <c r="Z332" i="1" l="1" a="1"/>
  <c r="Z332" i="1" s="1"/>
  <c r="X332" i="1" a="1"/>
  <c r="X332" i="1" s="1"/>
  <c r="Y332" i="1" s="1"/>
  <c r="AA332" i="1"/>
  <c r="AK332" i="1" a="1"/>
  <c r="AK332" i="1" s="1"/>
  <c r="AL332" i="1" s="1"/>
  <c r="AE334" i="1" a="1"/>
  <c r="Q333" i="1"/>
  <c r="AB333" i="1" s="1" a="1"/>
  <c r="AB333" i="1" s="1"/>
  <c r="Q334" i="1" a="1"/>
  <c r="AE333" i="1"/>
  <c r="AM332" i="1" s="1" a="1"/>
  <c r="AM332" i="1" s="1"/>
  <c r="X333" i="1" l="1" a="1"/>
  <c r="X333" i="1" s="1"/>
  <c r="Y333" i="1" s="1"/>
  <c r="Z333" i="1" a="1"/>
  <c r="Z333" i="1" s="1"/>
  <c r="AA333" i="1"/>
  <c r="AK333" i="1" a="1"/>
  <c r="AK333" i="1" s="1"/>
  <c r="AL333" i="1" s="1"/>
  <c r="AE335" i="1" a="1"/>
  <c r="Q334" i="1"/>
  <c r="AB334" i="1" s="1" a="1"/>
  <c r="AB334" i="1" s="1"/>
  <c r="Q335" i="1" a="1"/>
  <c r="AE334" i="1"/>
  <c r="AK334" i="1" s="1" a="1"/>
  <c r="AK334" i="1" s="1"/>
  <c r="AL334" i="1" s="1"/>
  <c r="AM333" i="1" l="1" a="1"/>
  <c r="AM333" i="1" s="1"/>
  <c r="X334" i="1" a="1"/>
  <c r="X334" i="1" s="1"/>
  <c r="Y334" i="1" s="1"/>
  <c r="AA334" i="1"/>
  <c r="Z334" i="1" a="1"/>
  <c r="Z334" i="1" s="1"/>
  <c r="AE336" i="1" a="1"/>
  <c r="Q335" i="1"/>
  <c r="AB335" i="1" s="1" a="1"/>
  <c r="AB335" i="1" s="1"/>
  <c r="Q336" i="1" a="1"/>
  <c r="Z335" i="1" a="1"/>
  <c r="Z335" i="1" s="1"/>
  <c r="AE335" i="1"/>
  <c r="AM334" i="1" s="1" a="1"/>
  <c r="AM334" i="1" s="1"/>
  <c r="X335" i="1" l="1" a="1"/>
  <c r="X335" i="1" s="1"/>
  <c r="Y335" i="1" s="1"/>
  <c r="AA335" i="1"/>
  <c r="AK335" i="1" a="1"/>
  <c r="AK335" i="1" s="1"/>
  <c r="AL335" i="1" s="1"/>
  <c r="AE337" i="1" a="1"/>
  <c r="Q336" i="1"/>
  <c r="AB336" i="1" s="1" a="1"/>
  <c r="AB336" i="1" s="1"/>
  <c r="Q337" i="1" a="1"/>
  <c r="AE336" i="1"/>
  <c r="AK336" i="1" s="1" a="1"/>
  <c r="AK336" i="1" s="1"/>
  <c r="AL336" i="1" s="1"/>
  <c r="X336" i="1" l="1" a="1"/>
  <c r="X336" i="1" s="1"/>
  <c r="Y336" i="1" s="1"/>
  <c r="Z336" i="1" a="1"/>
  <c r="Z336" i="1" s="1"/>
  <c r="AA336" i="1"/>
  <c r="AM335" i="1" a="1"/>
  <c r="AM335" i="1" s="1"/>
  <c r="AE338" i="1" a="1"/>
  <c r="Q338" i="1" a="1"/>
  <c r="Q337" i="1"/>
  <c r="Z337" i="1" s="1" a="1"/>
  <c r="Z337" i="1" s="1"/>
  <c r="AE337" i="1"/>
  <c r="AK337" i="1" s="1" a="1"/>
  <c r="AK337" i="1" s="1"/>
  <c r="AL337" i="1" s="1"/>
  <c r="AB337" i="1" l="1" a="1"/>
  <c r="AB337" i="1" s="1"/>
  <c r="X337" i="1" a="1"/>
  <c r="X337" i="1" s="1"/>
  <c r="Y337" i="1" s="1"/>
  <c r="AA337" i="1"/>
  <c r="AM336" i="1" a="1"/>
  <c r="AM336" i="1" s="1"/>
  <c r="AE339" i="1" a="1"/>
  <c r="Q338" i="1"/>
  <c r="AB338" i="1" s="1" a="1"/>
  <c r="AB338" i="1" s="1"/>
  <c r="Q339" i="1" a="1"/>
  <c r="AE338" i="1"/>
  <c r="AK338" i="1" s="1" a="1"/>
  <c r="AK338" i="1" s="1"/>
  <c r="AL338" i="1" s="1"/>
  <c r="X338" i="1" l="1" a="1"/>
  <c r="X338" i="1" s="1"/>
  <c r="Y338" i="1" s="1"/>
  <c r="Z338" i="1" a="1"/>
  <c r="Z338" i="1" s="1"/>
  <c r="AA338" i="1"/>
  <c r="AM337" i="1" a="1"/>
  <c r="AM337" i="1" s="1"/>
  <c r="AE340" i="1" a="1"/>
  <c r="Q339" i="1"/>
  <c r="AB339" i="1" s="1" a="1"/>
  <c r="AB339" i="1" s="1"/>
  <c r="Q340" i="1" a="1"/>
  <c r="AE339" i="1"/>
  <c r="AM338" i="1" s="1" a="1"/>
  <c r="AM338" i="1" s="1"/>
  <c r="AK339" i="1" l="1" a="1"/>
  <c r="AK339" i="1" s="1"/>
  <c r="AL339" i="1" s="1"/>
  <c r="X339" i="1" a="1"/>
  <c r="X339" i="1" s="1"/>
  <c r="Y339" i="1" s="1"/>
  <c r="AA339" i="1"/>
  <c r="Z339" i="1" a="1"/>
  <c r="Z339" i="1" s="1"/>
  <c r="AE341" i="1" a="1"/>
  <c r="Q340" i="1"/>
  <c r="AB340" i="1" s="1" a="1"/>
  <c r="AB340" i="1" s="1"/>
  <c r="Q341" i="1" a="1"/>
  <c r="AE340" i="1"/>
  <c r="AK340" i="1" s="1" a="1"/>
  <c r="AK340" i="1" s="1"/>
  <c r="AL340" i="1" s="1"/>
  <c r="Z340" i="1" l="1" a="1"/>
  <c r="Z340" i="1" s="1"/>
  <c r="X340" i="1" a="1"/>
  <c r="X340" i="1" s="1"/>
  <c r="Y340" i="1" s="1"/>
  <c r="AA340" i="1"/>
  <c r="AM339" i="1" a="1"/>
  <c r="AM339" i="1" s="1"/>
  <c r="AE342" i="1" a="1"/>
  <c r="Q342" i="1" a="1"/>
  <c r="Q341" i="1"/>
  <c r="X341" i="1" s="1" a="1"/>
  <c r="X341" i="1" s="1"/>
  <c r="Y341" i="1" s="1"/>
  <c r="AE341" i="1"/>
  <c r="AM340" i="1" s="1" a="1"/>
  <c r="AM340" i="1" s="1"/>
  <c r="AB341" i="1" l="1" a="1"/>
  <c r="AB341" i="1" s="1"/>
  <c r="Z341" i="1" a="1"/>
  <c r="Z341" i="1" s="1"/>
  <c r="AA341" i="1"/>
  <c r="AK341" i="1" a="1"/>
  <c r="AK341" i="1" s="1"/>
  <c r="AL341" i="1" s="1"/>
  <c r="AE343" i="1" a="1"/>
  <c r="Q342" i="1"/>
  <c r="AB342" i="1" s="1" a="1"/>
  <c r="AB342" i="1" s="1"/>
  <c r="Q343" i="1" a="1"/>
  <c r="AE342" i="1"/>
  <c r="AM341" i="1" s="1" a="1"/>
  <c r="AM341" i="1" s="1"/>
  <c r="Z342" i="1" l="1" a="1"/>
  <c r="Z342" i="1" s="1"/>
  <c r="X342" i="1" a="1"/>
  <c r="X342" i="1" s="1"/>
  <c r="Y342" i="1" s="1"/>
  <c r="AA342" i="1"/>
  <c r="AK342" i="1" a="1"/>
  <c r="AK342" i="1" s="1"/>
  <c r="AL342" i="1" s="1"/>
  <c r="AE344" i="1" a="1"/>
  <c r="Q343" i="1"/>
  <c r="AB343" i="1" s="1" a="1"/>
  <c r="AB343" i="1" s="1"/>
  <c r="Q344" i="1" a="1"/>
  <c r="AE343" i="1"/>
  <c r="AM342" i="1" s="1" a="1"/>
  <c r="AM342" i="1" s="1"/>
  <c r="Z343" i="1" l="1" a="1"/>
  <c r="Z343" i="1" s="1"/>
  <c r="X343" i="1" a="1"/>
  <c r="X343" i="1" s="1"/>
  <c r="Y343" i="1" s="1"/>
  <c r="AA343" i="1"/>
  <c r="AK343" i="1" a="1"/>
  <c r="AK343" i="1" s="1"/>
  <c r="AL343" i="1" s="1"/>
  <c r="AE345" i="1" a="1"/>
  <c r="Q344" i="1"/>
  <c r="AB344" i="1" s="1" a="1"/>
  <c r="AB344" i="1" s="1"/>
  <c r="Q345" i="1" a="1"/>
  <c r="AE344" i="1"/>
  <c r="AK344" i="1" s="1" a="1"/>
  <c r="AK344" i="1" s="1"/>
  <c r="AL344" i="1" s="1"/>
  <c r="X344" i="1" l="1" a="1"/>
  <c r="X344" i="1" s="1"/>
  <c r="Y344" i="1" s="1"/>
  <c r="Z344" i="1" a="1"/>
  <c r="Z344" i="1" s="1"/>
  <c r="AA344" i="1"/>
  <c r="AM343" i="1" a="1"/>
  <c r="AM343" i="1" s="1"/>
  <c r="AE346" i="1" a="1"/>
  <c r="Q345" i="1"/>
  <c r="AB345" i="1" s="1" a="1"/>
  <c r="AB345" i="1" s="1"/>
  <c r="Q346" i="1" a="1"/>
  <c r="AE345" i="1"/>
  <c r="AK345" i="1" s="1" a="1"/>
  <c r="AK345" i="1" s="1"/>
  <c r="AL345" i="1" s="1"/>
  <c r="Z345" i="1" l="1" a="1"/>
  <c r="Z345" i="1" s="1"/>
  <c r="X345" i="1" a="1"/>
  <c r="X345" i="1" s="1"/>
  <c r="Y345" i="1" s="1"/>
  <c r="AA345" i="1"/>
  <c r="AM344" i="1" a="1"/>
  <c r="AM344" i="1" s="1"/>
  <c r="AE347" i="1" a="1"/>
  <c r="Q346" i="1"/>
  <c r="X346" i="1" s="1" a="1"/>
  <c r="X346" i="1" s="1"/>
  <c r="Y346" i="1" s="1"/>
  <c r="Q347" i="1" a="1"/>
  <c r="AE346" i="1"/>
  <c r="AM345" i="1" s="1" a="1"/>
  <c r="AM345" i="1" s="1"/>
  <c r="AB346" i="1" l="1" a="1"/>
  <c r="AB346" i="1" s="1"/>
  <c r="Z346" i="1" a="1"/>
  <c r="Z346" i="1" s="1"/>
  <c r="AA346" i="1"/>
  <c r="AK346" i="1" a="1"/>
  <c r="AK346" i="1" s="1"/>
  <c r="AL346" i="1" s="1"/>
  <c r="AE348" i="1" a="1"/>
  <c r="Q347" i="1"/>
  <c r="AB347" i="1" s="1" a="1"/>
  <c r="AB347" i="1" s="1"/>
  <c r="Q348" i="1" a="1"/>
  <c r="AE347" i="1"/>
  <c r="AK347" i="1" s="1" a="1"/>
  <c r="AK347" i="1" s="1"/>
  <c r="AL347" i="1" s="1"/>
  <c r="Z347" i="1" l="1" a="1"/>
  <c r="Z347" i="1" s="1"/>
  <c r="X347" i="1" a="1"/>
  <c r="X347" i="1" s="1"/>
  <c r="Y347" i="1" s="1"/>
  <c r="AA347" i="1"/>
  <c r="AM346" i="1" a="1"/>
  <c r="AM346" i="1" s="1"/>
  <c r="AE349" i="1" a="1"/>
  <c r="Q349" i="1" a="1"/>
  <c r="Q348" i="1"/>
  <c r="AB348" i="1" s="1" a="1"/>
  <c r="AB348" i="1" s="1"/>
  <c r="AE348" i="1"/>
  <c r="AK348" i="1" s="1" a="1"/>
  <c r="AK348" i="1" s="1"/>
  <c r="AL348" i="1" s="1"/>
  <c r="Z348" i="1" l="1" a="1"/>
  <c r="Z348" i="1" s="1"/>
  <c r="X348" i="1" a="1"/>
  <c r="X348" i="1" s="1"/>
  <c r="Y348" i="1" s="1"/>
  <c r="AA348" i="1"/>
  <c r="AM347" i="1" a="1"/>
  <c r="AM347" i="1" s="1"/>
  <c r="AE350" i="1" a="1"/>
  <c r="Q349" i="1"/>
  <c r="AB349" i="1" s="1" a="1"/>
  <c r="AB349" i="1" s="1"/>
  <c r="Q350" i="1" a="1"/>
  <c r="AE349" i="1"/>
  <c r="AM348" i="1" s="1" a="1"/>
  <c r="AM348" i="1" s="1"/>
  <c r="X349" i="1" l="1" a="1"/>
  <c r="X349" i="1" s="1"/>
  <c r="Y349" i="1" s="1"/>
  <c r="Z349" i="1" a="1"/>
  <c r="Z349" i="1" s="1"/>
  <c r="AA349" i="1"/>
  <c r="AK349" i="1" a="1"/>
  <c r="AK349" i="1" s="1"/>
  <c r="AL349" i="1" s="1"/>
  <c r="AE351" i="1" a="1"/>
  <c r="Q350" i="1"/>
  <c r="AB350" i="1" s="1" a="1"/>
  <c r="AB350" i="1" s="1"/>
  <c r="Q351" i="1" a="1"/>
  <c r="AE350" i="1"/>
  <c r="AM349" i="1" s="1" a="1"/>
  <c r="AM349" i="1" s="1"/>
  <c r="Z350" i="1" l="1" a="1"/>
  <c r="Z350" i="1" s="1"/>
  <c r="X350" i="1" a="1"/>
  <c r="X350" i="1" s="1"/>
  <c r="Y350" i="1" s="1"/>
  <c r="AA350" i="1"/>
  <c r="AK350" i="1" a="1"/>
  <c r="AK350" i="1" s="1"/>
  <c r="AL350" i="1" s="1"/>
  <c r="AE352" i="1" a="1"/>
  <c r="Q351" i="1"/>
  <c r="AB351" i="1" s="1" a="1"/>
  <c r="AB351" i="1" s="1"/>
  <c r="Q352" i="1" a="1"/>
  <c r="AE351" i="1"/>
  <c r="AK351" i="1" s="1" a="1"/>
  <c r="AK351" i="1" s="1"/>
  <c r="AL351" i="1" s="1"/>
  <c r="X351" i="1" l="1" a="1"/>
  <c r="X351" i="1" s="1"/>
  <c r="Y351" i="1" s="1"/>
  <c r="AA351" i="1"/>
  <c r="Z351" i="1" a="1"/>
  <c r="Z351" i="1" s="1"/>
  <c r="AM350" i="1" a="1"/>
  <c r="AM350" i="1" s="1"/>
  <c r="AE353" i="1" a="1"/>
  <c r="Q352" i="1"/>
  <c r="AB352" i="1" s="1" a="1"/>
  <c r="AB352" i="1" s="1"/>
  <c r="Q353" i="1" a="1"/>
  <c r="AE352" i="1"/>
  <c r="AM351" i="1" s="1" a="1"/>
  <c r="AM351" i="1" s="1"/>
  <c r="X352" i="1" l="1" a="1"/>
  <c r="X352" i="1" s="1"/>
  <c r="Y352" i="1" s="1"/>
  <c r="Z352" i="1" a="1"/>
  <c r="Z352" i="1" s="1"/>
  <c r="AA352" i="1"/>
  <c r="AK352" i="1" a="1"/>
  <c r="AK352" i="1" s="1"/>
  <c r="AL352" i="1" s="1"/>
  <c r="AE354" i="1" a="1"/>
  <c r="Q353" i="1"/>
  <c r="AB353" i="1" s="1" a="1"/>
  <c r="AB353" i="1" s="1"/>
  <c r="Q354" i="1" a="1"/>
  <c r="AE353" i="1"/>
  <c r="AK353" i="1" s="1" a="1"/>
  <c r="AK353" i="1" s="1"/>
  <c r="AL353" i="1" s="1"/>
  <c r="Z353" i="1" l="1" a="1"/>
  <c r="Z353" i="1" s="1"/>
  <c r="X353" i="1" a="1"/>
  <c r="X353" i="1" s="1"/>
  <c r="Y353" i="1" s="1"/>
  <c r="AA353" i="1"/>
  <c r="AM352" i="1" a="1"/>
  <c r="AM352" i="1" s="1"/>
  <c r="AE355" i="1" a="1"/>
  <c r="Q355" i="1" a="1"/>
  <c r="Q354" i="1"/>
  <c r="AB354" i="1" s="1" a="1"/>
  <c r="AB354" i="1" s="1"/>
  <c r="AE354" i="1"/>
  <c r="AM353" i="1" s="1" a="1"/>
  <c r="AM353" i="1" s="1"/>
  <c r="AK354" i="1" l="1" a="1"/>
  <c r="AK354" i="1" s="1"/>
  <c r="AL354" i="1" s="1"/>
  <c r="Z354" i="1" a="1"/>
  <c r="Z354" i="1" s="1"/>
  <c r="AA354" i="1"/>
  <c r="X354" i="1" a="1"/>
  <c r="X354" i="1" s="1"/>
  <c r="Y354" i="1" s="1"/>
  <c r="AE356" i="1" a="1"/>
  <c r="Q355" i="1"/>
  <c r="AB355" i="1" s="1" a="1"/>
  <c r="AB355" i="1" s="1"/>
  <c r="Q356" i="1" a="1"/>
  <c r="AE355" i="1"/>
  <c r="AK355" i="1" s="1" a="1"/>
  <c r="AK355" i="1" s="1"/>
  <c r="AL355" i="1" s="1"/>
  <c r="Z355" i="1" l="1" a="1"/>
  <c r="Z355" i="1" s="1"/>
  <c r="X355" i="1" a="1"/>
  <c r="X355" i="1" s="1"/>
  <c r="Y355" i="1" s="1"/>
  <c r="AA355" i="1"/>
  <c r="AM354" i="1" a="1"/>
  <c r="AM354" i="1" s="1"/>
  <c r="AE357" i="1" a="1"/>
  <c r="Q356" i="1"/>
  <c r="AB356" i="1" s="1" a="1"/>
  <c r="AB356" i="1" s="1"/>
  <c r="Q357" i="1" a="1"/>
  <c r="AE356" i="1"/>
  <c r="AK356" i="1" s="1" a="1"/>
  <c r="AK356" i="1" s="1"/>
  <c r="AL356" i="1" s="1"/>
  <c r="Z356" i="1" l="1" a="1"/>
  <c r="Z356" i="1" s="1"/>
  <c r="X356" i="1" a="1"/>
  <c r="X356" i="1" s="1"/>
  <c r="Y356" i="1" s="1"/>
  <c r="AA356" i="1"/>
  <c r="AM355" i="1" a="1"/>
  <c r="AM355" i="1" s="1"/>
  <c r="AE358" i="1" a="1"/>
  <c r="Q357" i="1"/>
  <c r="AB357" i="1" s="1" a="1"/>
  <c r="AB357" i="1" s="1"/>
  <c r="Q358" i="1" a="1"/>
  <c r="AE357" i="1"/>
  <c r="AM356" i="1" s="1" a="1"/>
  <c r="AM356" i="1" s="1"/>
  <c r="X357" i="1" l="1" a="1"/>
  <c r="X357" i="1" s="1"/>
  <c r="Y357" i="1" s="1"/>
  <c r="Z357" i="1" a="1"/>
  <c r="Z357" i="1" s="1"/>
  <c r="AA357" i="1"/>
  <c r="AK357" i="1" a="1"/>
  <c r="AK357" i="1" s="1"/>
  <c r="AL357" i="1" s="1"/>
  <c r="AE359" i="1" a="1"/>
  <c r="Q358" i="1"/>
  <c r="AB358" i="1" s="1" a="1"/>
  <c r="AB358" i="1" s="1"/>
  <c r="Q359" i="1" a="1"/>
  <c r="AE358" i="1"/>
  <c r="AM357" i="1" s="1" a="1"/>
  <c r="AM357" i="1" s="1"/>
  <c r="AK358" i="1" l="1" a="1"/>
  <c r="AK358" i="1" s="1"/>
  <c r="AL358" i="1" s="1"/>
  <c r="X358" i="1" a="1"/>
  <c r="X358" i="1" s="1"/>
  <c r="Y358" i="1" s="1"/>
  <c r="AA358" i="1"/>
  <c r="Z358" i="1" a="1"/>
  <c r="Z358" i="1" s="1"/>
  <c r="AE360" i="1" a="1"/>
  <c r="Q359" i="1"/>
  <c r="AB359" i="1" s="1" a="1"/>
  <c r="AB359" i="1" s="1"/>
  <c r="Q360" i="1" a="1"/>
  <c r="AE359" i="1"/>
  <c r="AM358" i="1" s="1" a="1"/>
  <c r="AM358" i="1" s="1"/>
  <c r="Z359" i="1" l="1" a="1"/>
  <c r="Z359" i="1" s="1"/>
  <c r="X359" i="1" a="1"/>
  <c r="X359" i="1" s="1"/>
  <c r="Y359" i="1" s="1"/>
  <c r="AA359" i="1"/>
  <c r="AK359" i="1" a="1"/>
  <c r="AK359" i="1" s="1"/>
  <c r="AL359" i="1" s="1"/>
  <c r="AE361" i="1" a="1"/>
  <c r="Q360" i="1"/>
  <c r="AB360" i="1" s="1" a="1"/>
  <c r="AB360" i="1" s="1"/>
  <c r="Q361" i="1" a="1"/>
  <c r="AE360" i="1"/>
  <c r="AK360" i="1" s="1" a="1"/>
  <c r="AK360" i="1" s="1"/>
  <c r="AL360" i="1" s="1"/>
  <c r="X360" i="1" l="1" a="1"/>
  <c r="X360" i="1" s="1"/>
  <c r="Y360" i="1" s="1"/>
  <c r="Z360" i="1" a="1"/>
  <c r="Z360" i="1" s="1"/>
  <c r="AA360" i="1"/>
  <c r="AM359" i="1" a="1"/>
  <c r="AM359" i="1" s="1"/>
  <c r="AE362" i="1" a="1"/>
  <c r="Q361" i="1"/>
  <c r="Z361" i="1" s="1" a="1"/>
  <c r="Z361" i="1" s="1"/>
  <c r="Q362" i="1" a="1"/>
  <c r="AE361" i="1"/>
  <c r="AK361" i="1" s="1" a="1"/>
  <c r="AK361" i="1" s="1"/>
  <c r="AL361" i="1" s="1"/>
  <c r="AB361" i="1" l="1" a="1"/>
  <c r="AB361" i="1" s="1"/>
  <c r="X361" i="1" a="1"/>
  <c r="X361" i="1" s="1"/>
  <c r="Y361" i="1" s="1"/>
  <c r="AA361" i="1"/>
  <c r="AM360" i="1" a="1"/>
  <c r="AM360" i="1" s="1"/>
  <c r="AE363" i="1" a="1"/>
  <c r="Q362" i="1"/>
  <c r="AB362" i="1" s="1" a="1"/>
  <c r="AB362" i="1" s="1"/>
  <c r="Q363" i="1" a="1"/>
  <c r="AE362" i="1"/>
  <c r="AM361" i="1" s="1" a="1"/>
  <c r="AM361" i="1" s="1"/>
  <c r="X362" i="1" l="1" a="1"/>
  <c r="X362" i="1" s="1"/>
  <c r="Y362" i="1" s="1"/>
  <c r="Z362" i="1" a="1"/>
  <c r="Z362" i="1" s="1"/>
  <c r="AA362" i="1"/>
  <c r="AK362" i="1" a="1"/>
  <c r="AK362" i="1" s="1"/>
  <c r="AL362" i="1" s="1"/>
  <c r="AE364" i="1" a="1"/>
  <c r="Q363" i="1"/>
  <c r="AB363" i="1" s="1" a="1"/>
  <c r="AB363" i="1" s="1"/>
  <c r="Q364" i="1" a="1"/>
  <c r="AE363" i="1"/>
  <c r="AK363" i="1" s="1" a="1"/>
  <c r="AK363" i="1" s="1"/>
  <c r="AL363" i="1" s="1"/>
  <c r="Z363" i="1" l="1" a="1"/>
  <c r="Z363" i="1" s="1"/>
  <c r="X363" i="1" a="1"/>
  <c r="X363" i="1" s="1"/>
  <c r="Y363" i="1" s="1"/>
  <c r="AA363" i="1"/>
  <c r="AM362" i="1" a="1"/>
  <c r="AM362" i="1" s="1"/>
  <c r="AE365" i="1" a="1"/>
  <c r="Q364" i="1"/>
  <c r="AB364" i="1" s="1" a="1"/>
  <c r="AB364" i="1" s="1"/>
  <c r="Q365" i="1" a="1"/>
  <c r="AE364" i="1"/>
  <c r="AM363" i="1" s="1" a="1"/>
  <c r="AM363" i="1" s="1"/>
  <c r="Z364" i="1" l="1" a="1"/>
  <c r="Z364" i="1" s="1"/>
  <c r="X364" i="1" a="1"/>
  <c r="X364" i="1" s="1"/>
  <c r="Y364" i="1" s="1"/>
  <c r="AA364" i="1"/>
  <c r="AK364" i="1" a="1"/>
  <c r="AK364" i="1" s="1"/>
  <c r="AL364" i="1" s="1"/>
  <c r="AE366" i="1" a="1"/>
  <c r="Q365" i="1"/>
  <c r="AB365" i="1" s="1" a="1"/>
  <c r="AB365" i="1" s="1"/>
  <c r="Q366" i="1" a="1"/>
  <c r="AE365" i="1"/>
  <c r="AM364" i="1" s="1" a="1"/>
  <c r="AM364" i="1" s="1"/>
  <c r="X365" i="1" l="1" a="1"/>
  <c r="X365" i="1" s="1"/>
  <c r="Y365" i="1" s="1"/>
  <c r="Z365" i="1" a="1"/>
  <c r="Z365" i="1" s="1"/>
  <c r="AA365" i="1"/>
  <c r="AK365" i="1" a="1"/>
  <c r="AK365" i="1" s="1"/>
  <c r="AL365" i="1" s="1"/>
  <c r="AE367" i="1" a="1"/>
  <c r="Q366" i="1"/>
  <c r="AB366" i="1" s="1" a="1"/>
  <c r="AB366" i="1" s="1"/>
  <c r="Q367" i="1" a="1"/>
  <c r="AE366" i="1"/>
  <c r="AM365" i="1" s="1" a="1"/>
  <c r="AM365" i="1" s="1"/>
  <c r="X366" i="1" l="1" a="1"/>
  <c r="X366" i="1" s="1"/>
  <c r="Y366" i="1" s="1"/>
  <c r="Z366" i="1" a="1"/>
  <c r="Z366" i="1" s="1"/>
  <c r="AA366" i="1"/>
  <c r="AK366" i="1" a="1"/>
  <c r="AK366" i="1" s="1"/>
  <c r="AL366" i="1" s="1"/>
  <c r="AE368" i="1" a="1"/>
  <c r="Q367" i="1"/>
  <c r="AB367" i="1" s="1" a="1"/>
  <c r="AB367" i="1" s="1"/>
  <c r="Q368" i="1" a="1"/>
  <c r="AE367" i="1"/>
  <c r="AK367" i="1" s="1" a="1"/>
  <c r="AK367" i="1" s="1"/>
  <c r="AL367" i="1" s="1"/>
  <c r="Z367" i="1" l="1" a="1"/>
  <c r="Z367" i="1" s="1"/>
  <c r="X367" i="1" a="1"/>
  <c r="X367" i="1" s="1"/>
  <c r="Y367" i="1" s="1"/>
  <c r="AA367" i="1"/>
  <c r="AM366" i="1" a="1"/>
  <c r="AM366" i="1" s="1"/>
  <c r="AE369" i="1" a="1"/>
  <c r="Q368" i="1"/>
  <c r="AB368" i="1" s="1" a="1"/>
  <c r="AB368" i="1" s="1"/>
  <c r="Q369" i="1" a="1"/>
  <c r="AE368" i="1"/>
  <c r="AK368" i="1" s="1" a="1"/>
  <c r="AK368" i="1" s="1"/>
  <c r="AL368" i="1" s="1"/>
  <c r="X368" i="1" l="1" a="1"/>
  <c r="X368" i="1" s="1"/>
  <c r="Y368" i="1" s="1"/>
  <c r="Z368" i="1" a="1"/>
  <c r="Z368" i="1" s="1"/>
  <c r="AA368" i="1"/>
  <c r="AM367" i="1" a="1"/>
  <c r="AM367" i="1" s="1"/>
  <c r="AE370" i="1" a="1"/>
  <c r="Q369" i="1"/>
  <c r="AB369" i="1" s="1" a="1"/>
  <c r="AB369" i="1" s="1"/>
  <c r="Q370" i="1" a="1"/>
  <c r="AE369" i="1"/>
  <c r="AK369" i="1" s="1" a="1"/>
  <c r="AK369" i="1" s="1"/>
  <c r="AL369" i="1" s="1"/>
  <c r="Z369" i="1" l="1" a="1"/>
  <c r="Z369" i="1" s="1"/>
  <c r="X369" i="1" a="1"/>
  <c r="X369" i="1" s="1"/>
  <c r="Y369" i="1" s="1"/>
  <c r="AA369" i="1"/>
  <c r="AM368" i="1" a="1"/>
  <c r="AM368" i="1" s="1"/>
  <c r="AE371" i="1" a="1"/>
  <c r="Q371" i="1" a="1"/>
  <c r="Q370" i="1"/>
  <c r="AB370" i="1" s="1" a="1"/>
  <c r="AB370" i="1" s="1"/>
  <c r="AE370" i="1"/>
  <c r="AK370" i="1" s="1" a="1"/>
  <c r="AK370" i="1" s="1"/>
  <c r="AL370" i="1" s="1"/>
  <c r="X370" i="1" l="1" a="1"/>
  <c r="X370" i="1" s="1"/>
  <c r="Y370" i="1" s="1"/>
  <c r="Z370" i="1" a="1"/>
  <c r="Z370" i="1" s="1"/>
  <c r="AA370" i="1"/>
  <c r="AM369" i="1" a="1"/>
  <c r="AM369" i="1" s="1"/>
  <c r="AE372" i="1" a="1"/>
  <c r="Q371" i="1"/>
  <c r="AB371" i="1" s="1" a="1"/>
  <c r="AB371" i="1" s="1"/>
  <c r="Q372" i="1" a="1"/>
  <c r="AE371" i="1"/>
  <c r="AK371" i="1" s="1" a="1"/>
  <c r="AK371" i="1" s="1"/>
  <c r="AL371" i="1" s="1"/>
  <c r="X371" i="1" l="1" a="1"/>
  <c r="X371" i="1" s="1"/>
  <c r="Y371" i="1" s="1"/>
  <c r="Z371" i="1" a="1"/>
  <c r="Z371" i="1" s="1"/>
  <c r="AA371" i="1"/>
  <c r="AM370" i="1" a="1"/>
  <c r="AM370" i="1" s="1"/>
  <c r="AE373" i="1" a="1"/>
  <c r="Q372" i="1"/>
  <c r="AB372" i="1" s="1" a="1"/>
  <c r="AB372" i="1" s="1"/>
  <c r="Q373" i="1" a="1"/>
  <c r="AE372" i="1"/>
  <c r="AM371" i="1" s="1" a="1"/>
  <c r="AM371" i="1" s="1"/>
  <c r="Z372" i="1" l="1" a="1"/>
  <c r="Z372" i="1" s="1"/>
  <c r="X372" i="1" a="1"/>
  <c r="X372" i="1" s="1"/>
  <c r="Y372" i="1" s="1"/>
  <c r="AA372" i="1"/>
  <c r="AK372" i="1" a="1"/>
  <c r="AK372" i="1" s="1"/>
  <c r="AL372" i="1" s="1"/>
  <c r="AE374" i="1" a="1"/>
  <c r="Q373" i="1"/>
  <c r="AB373" i="1" s="1" a="1"/>
  <c r="AB373" i="1" s="1"/>
  <c r="Q374" i="1" a="1"/>
  <c r="AE373" i="1"/>
  <c r="AM372" i="1" s="1" a="1"/>
  <c r="AM372" i="1" s="1"/>
  <c r="X373" i="1" l="1" a="1"/>
  <c r="X373" i="1" s="1"/>
  <c r="Y373" i="1" s="1"/>
  <c r="Z373" i="1" a="1"/>
  <c r="Z373" i="1" s="1"/>
  <c r="AA373" i="1"/>
  <c r="AK373" i="1" a="1"/>
  <c r="AK373" i="1" s="1"/>
  <c r="AL373" i="1" s="1"/>
  <c r="AE375" i="1" a="1"/>
  <c r="Q374" i="1"/>
  <c r="AB374" i="1" s="1" a="1"/>
  <c r="AB374" i="1" s="1"/>
  <c r="Q375" i="1" a="1"/>
  <c r="AE374" i="1"/>
  <c r="AM373" i="1" s="1" a="1"/>
  <c r="AM373" i="1" s="1"/>
  <c r="Z374" i="1" l="1" a="1"/>
  <c r="Z374" i="1" s="1"/>
  <c r="X374" i="1" a="1"/>
  <c r="X374" i="1" s="1"/>
  <c r="Y374" i="1" s="1"/>
  <c r="AA374" i="1"/>
  <c r="AK374" i="1" a="1"/>
  <c r="AK374" i="1" s="1"/>
  <c r="AL374" i="1" s="1"/>
  <c r="AE376" i="1" a="1"/>
  <c r="Q375" i="1"/>
  <c r="AB375" i="1" s="1" a="1"/>
  <c r="AB375" i="1" s="1"/>
  <c r="Q376" i="1" a="1"/>
  <c r="AE375" i="1"/>
  <c r="AM374" i="1" s="1" a="1"/>
  <c r="AM374" i="1" s="1"/>
  <c r="Z375" i="1" l="1" a="1"/>
  <c r="Z375" i="1" s="1"/>
  <c r="X375" i="1" a="1"/>
  <c r="X375" i="1" s="1"/>
  <c r="Y375" i="1" s="1"/>
  <c r="AA375" i="1"/>
  <c r="AK375" i="1" a="1"/>
  <c r="AK375" i="1" s="1"/>
  <c r="AL375" i="1" s="1"/>
  <c r="AE377" i="1" a="1"/>
  <c r="Q376" i="1"/>
  <c r="X376" i="1" s="1" a="1"/>
  <c r="X376" i="1" s="1"/>
  <c r="Y376" i="1" s="1"/>
  <c r="Q377" i="1" a="1"/>
  <c r="AE376" i="1"/>
  <c r="AM375" i="1" s="1" a="1"/>
  <c r="AM375" i="1" s="1"/>
  <c r="AB376" i="1" l="1" a="1"/>
  <c r="AB376" i="1" s="1"/>
  <c r="Z376" i="1" a="1"/>
  <c r="Z376" i="1" s="1"/>
  <c r="AA376" i="1"/>
  <c r="AK376" i="1" a="1"/>
  <c r="AK376" i="1" s="1"/>
  <c r="AL376" i="1" s="1"/>
  <c r="AE378" i="1" a="1"/>
  <c r="Q377" i="1"/>
  <c r="AB377" i="1" s="1" a="1"/>
  <c r="AB377" i="1" s="1"/>
  <c r="Q378" i="1" a="1"/>
  <c r="AE377" i="1"/>
  <c r="AK377" i="1" s="1" a="1"/>
  <c r="AK377" i="1" s="1"/>
  <c r="AL377" i="1" s="1"/>
  <c r="Z377" i="1" l="1" a="1"/>
  <c r="Z377" i="1" s="1"/>
  <c r="X377" i="1" a="1"/>
  <c r="X377" i="1" s="1"/>
  <c r="Y377" i="1" s="1"/>
  <c r="AA377" i="1"/>
  <c r="AM376" i="1" a="1"/>
  <c r="AM376" i="1" s="1"/>
  <c r="AE379" i="1" a="1"/>
  <c r="Q378" i="1"/>
  <c r="AB378" i="1" s="1" a="1"/>
  <c r="AB378" i="1" s="1"/>
  <c r="Q379" i="1" a="1"/>
  <c r="AE378" i="1"/>
  <c r="AK378" i="1" s="1" a="1"/>
  <c r="AK378" i="1" s="1"/>
  <c r="AL378" i="1" s="1"/>
  <c r="X378" i="1" l="1" a="1"/>
  <c r="X378" i="1" s="1"/>
  <c r="Y378" i="1" s="1"/>
  <c r="Z378" i="1" a="1"/>
  <c r="Z378" i="1" s="1"/>
  <c r="AA378" i="1"/>
  <c r="AM377" i="1" a="1"/>
  <c r="AM377" i="1" s="1"/>
  <c r="AE380" i="1" a="1"/>
  <c r="Q379" i="1"/>
  <c r="AB379" i="1" s="1" a="1"/>
  <c r="AB379" i="1" s="1"/>
  <c r="Q380" i="1" a="1"/>
  <c r="AE379" i="1"/>
  <c r="AK379" i="1" s="1" a="1"/>
  <c r="AK379" i="1" s="1"/>
  <c r="AL379" i="1" s="1"/>
  <c r="Z379" i="1" l="1" a="1"/>
  <c r="Z379" i="1" s="1"/>
  <c r="X379" i="1" a="1"/>
  <c r="X379" i="1" s="1"/>
  <c r="Y379" i="1" s="1"/>
  <c r="AA379" i="1"/>
  <c r="AM378" i="1" a="1"/>
  <c r="AM378" i="1" s="1"/>
  <c r="AE381" i="1" a="1"/>
  <c r="Q380" i="1"/>
  <c r="AB380" i="1" s="1" a="1"/>
  <c r="AB380" i="1" s="1"/>
  <c r="Q381" i="1" a="1"/>
  <c r="AE380" i="1"/>
  <c r="AM379" i="1" s="1" a="1"/>
  <c r="AM379" i="1" s="1"/>
  <c r="Z380" i="1" l="1" a="1"/>
  <c r="Z380" i="1" s="1"/>
  <c r="X380" i="1" a="1"/>
  <c r="X380" i="1" s="1"/>
  <c r="Y380" i="1" s="1"/>
  <c r="AA380" i="1"/>
  <c r="AK380" i="1" a="1"/>
  <c r="AK380" i="1" s="1"/>
  <c r="AL380" i="1" s="1"/>
  <c r="AE382" i="1" a="1"/>
  <c r="Q382" i="1" a="1"/>
  <c r="Q381" i="1"/>
  <c r="AB381" i="1" s="1" a="1"/>
  <c r="AB381" i="1" s="1"/>
  <c r="AE381" i="1"/>
  <c r="AM380" i="1" s="1" a="1"/>
  <c r="AM380" i="1" s="1"/>
  <c r="X381" i="1" l="1" a="1"/>
  <c r="X381" i="1" s="1"/>
  <c r="Y381" i="1" s="1"/>
  <c r="Z381" i="1" a="1"/>
  <c r="Z381" i="1" s="1"/>
  <c r="AA381" i="1"/>
  <c r="AK381" i="1" a="1"/>
  <c r="AK381" i="1" s="1"/>
  <c r="AL381" i="1" s="1"/>
  <c r="AE383" i="1" a="1"/>
  <c r="Q382" i="1"/>
  <c r="AB382" i="1" s="1" a="1"/>
  <c r="AB382" i="1" s="1"/>
  <c r="Q383" i="1" a="1"/>
  <c r="AE382" i="1"/>
  <c r="AM381" i="1" s="1" a="1"/>
  <c r="AM381" i="1" s="1"/>
  <c r="X382" i="1" l="1" a="1"/>
  <c r="X382" i="1" s="1"/>
  <c r="Y382" i="1" s="1"/>
  <c r="Z382" i="1" a="1"/>
  <c r="Z382" i="1" s="1"/>
  <c r="AA382" i="1"/>
  <c r="AK382" i="1" a="1"/>
  <c r="AK382" i="1" s="1"/>
  <c r="AL382" i="1" s="1"/>
  <c r="AE384" i="1" a="1"/>
  <c r="Q383" i="1"/>
  <c r="AB383" i="1" s="1" a="1"/>
  <c r="AB383" i="1" s="1"/>
  <c r="Q384" i="1" a="1"/>
  <c r="AE383" i="1"/>
  <c r="AK383" i="1" s="1" a="1"/>
  <c r="AK383" i="1" s="1"/>
  <c r="AL383" i="1" s="1"/>
  <c r="Z383" i="1" l="1" a="1"/>
  <c r="Z383" i="1" s="1"/>
  <c r="X383" i="1" a="1"/>
  <c r="X383" i="1" s="1"/>
  <c r="Y383" i="1" s="1"/>
  <c r="AA383" i="1"/>
  <c r="AM382" i="1" a="1"/>
  <c r="AM382" i="1" s="1"/>
  <c r="AE385" i="1" a="1"/>
  <c r="Q385" i="1" a="1"/>
  <c r="Q384" i="1"/>
  <c r="X384" i="1" s="1" a="1"/>
  <c r="X384" i="1" s="1"/>
  <c r="Y384" i="1" s="1"/>
  <c r="AE384" i="1"/>
  <c r="AK384" i="1" s="1" a="1"/>
  <c r="AK384" i="1" s="1"/>
  <c r="AL384" i="1" s="1"/>
  <c r="AB384" i="1" l="1" a="1"/>
  <c r="AB384" i="1" s="1"/>
  <c r="Z384" i="1" a="1"/>
  <c r="Z384" i="1" s="1"/>
  <c r="AA384" i="1"/>
  <c r="AM383" i="1" a="1"/>
  <c r="AM383" i="1" s="1"/>
  <c r="AE386" i="1" a="1"/>
  <c r="Q386" i="1" a="1"/>
  <c r="Q385" i="1"/>
  <c r="AB385" i="1" s="1" a="1"/>
  <c r="AB385" i="1" s="1"/>
  <c r="AE385" i="1"/>
  <c r="AK385" i="1" s="1" a="1"/>
  <c r="AK385" i="1" s="1"/>
  <c r="AL385" i="1" s="1"/>
  <c r="Z385" i="1" l="1" a="1"/>
  <c r="Z385" i="1" s="1"/>
  <c r="X385" i="1" a="1"/>
  <c r="X385" i="1" s="1"/>
  <c r="Y385" i="1" s="1"/>
  <c r="AA385" i="1"/>
  <c r="AM384" i="1" a="1"/>
  <c r="AM384" i="1" s="1"/>
  <c r="AE387" i="1" a="1"/>
  <c r="Q387" i="1" a="1"/>
  <c r="Q386" i="1"/>
  <c r="X386" i="1" s="1" a="1"/>
  <c r="X386" i="1" s="1"/>
  <c r="Y386" i="1" s="1"/>
  <c r="AE386" i="1"/>
  <c r="AK386" i="1" s="1" a="1"/>
  <c r="AK386" i="1" s="1"/>
  <c r="AL386" i="1" s="1"/>
  <c r="AB386" i="1" l="1" a="1"/>
  <c r="AB386" i="1" s="1"/>
  <c r="Z386" i="1" a="1"/>
  <c r="Z386" i="1" s="1"/>
  <c r="AA386" i="1"/>
  <c r="AM385" i="1" a="1"/>
  <c r="AM385" i="1" s="1"/>
  <c r="AE388" i="1" a="1"/>
  <c r="Q387" i="1"/>
  <c r="AB387" i="1" s="1" a="1"/>
  <c r="AB387" i="1" s="1"/>
  <c r="Q388" i="1" a="1"/>
  <c r="AE387" i="1"/>
  <c r="AK387" i="1" s="1" a="1"/>
  <c r="AK387" i="1" s="1"/>
  <c r="AL387" i="1" s="1"/>
  <c r="X387" i="1" l="1" a="1"/>
  <c r="X387" i="1" s="1"/>
  <c r="Y387" i="1" s="1"/>
  <c r="Z387" i="1" a="1"/>
  <c r="Z387" i="1" s="1"/>
  <c r="AA387" i="1"/>
  <c r="AM386" i="1" a="1"/>
  <c r="AM386" i="1" s="1"/>
  <c r="AE389" i="1" a="1"/>
  <c r="Q388" i="1"/>
  <c r="AB388" i="1" s="1" a="1"/>
  <c r="AB388" i="1" s="1"/>
  <c r="Q389" i="1" a="1"/>
  <c r="AE388" i="1"/>
  <c r="AM387" i="1" s="1" a="1"/>
  <c r="AM387" i="1" s="1"/>
  <c r="Z388" i="1" l="1" a="1"/>
  <c r="Z388" i="1" s="1"/>
  <c r="X388" i="1" a="1"/>
  <c r="X388" i="1" s="1"/>
  <c r="Y388" i="1" s="1"/>
  <c r="AA388" i="1"/>
  <c r="AK388" i="1" a="1"/>
  <c r="AK388" i="1" s="1"/>
  <c r="AL388" i="1" s="1"/>
  <c r="AE390" i="1" a="1"/>
  <c r="Q389" i="1"/>
  <c r="AB389" i="1" s="1" a="1"/>
  <c r="AB389" i="1" s="1"/>
  <c r="Q390" i="1" a="1"/>
  <c r="AE389" i="1"/>
  <c r="AK389" i="1" s="1" a="1"/>
  <c r="AK389" i="1" s="1"/>
  <c r="AL389" i="1" s="1"/>
  <c r="AM388" i="1" l="1" a="1"/>
  <c r="AM388" i="1" s="1"/>
  <c r="Z389" i="1" a="1"/>
  <c r="Z389" i="1" s="1"/>
  <c r="AA389" i="1"/>
  <c r="X389" i="1" a="1"/>
  <c r="X389" i="1" s="1"/>
  <c r="Y389" i="1" s="1"/>
  <c r="AE391" i="1" a="1"/>
  <c r="Q390" i="1"/>
  <c r="AB390" i="1" s="1" a="1"/>
  <c r="AB390" i="1" s="1"/>
  <c r="Q391" i="1" a="1"/>
  <c r="AE390" i="1"/>
  <c r="AK390" i="1" s="1" a="1"/>
  <c r="AK390" i="1" s="1"/>
  <c r="AL390" i="1" s="1"/>
  <c r="X390" i="1" l="1" a="1"/>
  <c r="X390" i="1" s="1"/>
  <c r="Y390" i="1" s="1"/>
  <c r="Z390" i="1" a="1"/>
  <c r="Z390" i="1" s="1"/>
  <c r="AA390" i="1"/>
  <c r="AM389" i="1" a="1"/>
  <c r="AM389" i="1" s="1"/>
  <c r="AE392" i="1" a="1"/>
  <c r="Q392" i="1" a="1"/>
  <c r="Q391" i="1"/>
  <c r="AB391" i="1" s="1" a="1"/>
  <c r="AB391" i="1" s="1"/>
  <c r="Z391" i="1" a="1"/>
  <c r="Z391" i="1" s="1"/>
  <c r="AE391" i="1"/>
  <c r="AM390" i="1" s="1" a="1"/>
  <c r="AM390" i="1" s="1"/>
  <c r="X391" i="1" l="1" a="1"/>
  <c r="X391" i="1" s="1"/>
  <c r="Y391" i="1" s="1"/>
  <c r="AA391" i="1"/>
  <c r="AK391" i="1" a="1"/>
  <c r="AK391" i="1" s="1"/>
  <c r="AL391" i="1" s="1"/>
  <c r="AE393" i="1" a="1"/>
  <c r="Q393" i="1" a="1"/>
  <c r="Q392" i="1"/>
  <c r="AB392" i="1" s="1" a="1"/>
  <c r="AB392" i="1" s="1"/>
  <c r="AE392" i="1"/>
  <c r="AM391" i="1" s="1" a="1"/>
  <c r="AM391" i="1" s="1"/>
  <c r="AK392" i="1" l="1" a="1"/>
  <c r="AK392" i="1" s="1"/>
  <c r="AL392" i="1" s="1"/>
  <c r="Z392" i="1" a="1"/>
  <c r="Z392" i="1" s="1"/>
  <c r="AA392" i="1"/>
  <c r="X392" i="1" a="1"/>
  <c r="X392" i="1" s="1"/>
  <c r="Y392" i="1" s="1"/>
  <c r="AE394" i="1" a="1"/>
  <c r="Q393" i="1"/>
  <c r="AB393" i="1" s="1" a="1"/>
  <c r="AB393" i="1" s="1"/>
  <c r="Q394" i="1" a="1"/>
  <c r="AE393" i="1"/>
  <c r="AK393" i="1" s="1" a="1"/>
  <c r="AK393" i="1" s="1"/>
  <c r="AL393" i="1" s="1"/>
  <c r="X393" i="1" l="1" a="1"/>
  <c r="X393" i="1" s="1"/>
  <c r="Y393" i="1" s="1"/>
  <c r="AA393" i="1"/>
  <c r="Z393" i="1" a="1"/>
  <c r="Z393" i="1" s="1"/>
  <c r="AM392" i="1" a="1"/>
  <c r="AM392" i="1" s="1"/>
  <c r="AE395" i="1" a="1"/>
  <c r="Q394" i="1"/>
  <c r="AB394" i="1" s="1" a="1"/>
  <c r="AB394" i="1" s="1"/>
  <c r="Q395" i="1" a="1"/>
  <c r="AE394" i="1"/>
  <c r="AK394" i="1" s="1" a="1"/>
  <c r="AK394" i="1" s="1"/>
  <c r="AL394" i="1" s="1"/>
  <c r="Z394" i="1" l="1" a="1"/>
  <c r="Z394" i="1" s="1"/>
  <c r="X394" i="1" a="1"/>
  <c r="X394" i="1" s="1"/>
  <c r="Y394" i="1" s="1"/>
  <c r="AA394" i="1"/>
  <c r="AM393" i="1" a="1"/>
  <c r="AM393" i="1" s="1"/>
  <c r="AE396" i="1" a="1"/>
  <c r="Q395" i="1"/>
  <c r="AB395" i="1" s="1" a="1"/>
  <c r="AB395" i="1" s="1"/>
  <c r="Q396" i="1" a="1"/>
  <c r="AE395" i="1"/>
  <c r="AK395" i="1" s="1" a="1"/>
  <c r="AK395" i="1" s="1"/>
  <c r="AL395" i="1" s="1"/>
  <c r="X395" i="1" l="1" a="1"/>
  <c r="X395" i="1" s="1"/>
  <c r="Y395" i="1" s="1"/>
  <c r="Z395" i="1" a="1"/>
  <c r="Z395" i="1" s="1"/>
  <c r="AA395" i="1"/>
  <c r="AM394" i="1" a="1"/>
  <c r="AM394" i="1" s="1"/>
  <c r="AE397" i="1" a="1"/>
  <c r="Q397" i="1" a="1"/>
  <c r="Q396" i="1"/>
  <c r="AB396" i="1" s="1" a="1"/>
  <c r="AB396" i="1" s="1"/>
  <c r="AE396" i="1"/>
  <c r="AM395" i="1" s="1" a="1"/>
  <c r="AM395" i="1" s="1"/>
  <c r="X396" i="1" l="1" a="1"/>
  <c r="X396" i="1" s="1"/>
  <c r="Y396" i="1" s="1"/>
  <c r="AA396" i="1"/>
  <c r="Z396" i="1" a="1"/>
  <c r="Z396" i="1" s="1"/>
  <c r="AK396" i="1" a="1"/>
  <c r="AK396" i="1" s="1"/>
  <c r="AL396" i="1" s="1"/>
  <c r="AE398" i="1" a="1"/>
  <c r="Q398" i="1" a="1"/>
  <c r="Q397" i="1"/>
  <c r="AB397" i="1" s="1" a="1"/>
  <c r="AB397" i="1" s="1"/>
  <c r="AE397" i="1"/>
  <c r="AM396" i="1" s="1" a="1"/>
  <c r="AM396" i="1" s="1"/>
  <c r="X397" i="1" l="1" a="1"/>
  <c r="X397" i="1" s="1"/>
  <c r="Y397" i="1" s="1"/>
  <c r="Z397" i="1" a="1"/>
  <c r="Z397" i="1" s="1"/>
  <c r="AA397" i="1"/>
  <c r="AK397" i="1" a="1"/>
  <c r="AK397" i="1" s="1"/>
  <c r="AL397" i="1" s="1"/>
  <c r="AE399" i="1" a="1"/>
  <c r="Q398" i="1"/>
  <c r="X398" i="1" s="1" a="1"/>
  <c r="X398" i="1" s="1"/>
  <c r="Y398" i="1" s="1"/>
  <c r="Q399" i="1" a="1"/>
  <c r="AE398" i="1"/>
  <c r="AM397" i="1" s="1" a="1"/>
  <c r="AM397" i="1" s="1"/>
  <c r="AB398" i="1" l="1" a="1"/>
  <c r="AB398" i="1" s="1"/>
  <c r="Z398" i="1" a="1"/>
  <c r="Z398" i="1" s="1"/>
  <c r="AA398" i="1"/>
  <c r="AK398" i="1" a="1"/>
  <c r="AK398" i="1" s="1"/>
  <c r="AL398" i="1" s="1"/>
  <c r="AE400" i="1" a="1"/>
  <c r="Q400" i="1" a="1"/>
  <c r="Q399" i="1"/>
  <c r="AB399" i="1" s="1" a="1"/>
  <c r="AB399" i="1" s="1"/>
  <c r="AE399" i="1"/>
  <c r="AM398" i="1" s="1" a="1"/>
  <c r="AM398" i="1" s="1"/>
  <c r="Z399" i="1" l="1" a="1"/>
  <c r="Z399" i="1" s="1"/>
  <c r="X399" i="1" a="1"/>
  <c r="X399" i="1" s="1"/>
  <c r="Y399" i="1" s="1"/>
  <c r="AA399" i="1"/>
  <c r="AK399" i="1" a="1"/>
  <c r="AK399" i="1" s="1"/>
  <c r="AL399" i="1" s="1"/>
  <c r="AE401" i="1" a="1"/>
  <c r="Q400" i="1"/>
  <c r="AB400" i="1" s="1" a="1"/>
  <c r="AB400" i="1" s="1"/>
  <c r="Q401" i="1" a="1"/>
  <c r="AE400" i="1"/>
  <c r="AK400" i="1" s="1" a="1"/>
  <c r="AK400" i="1" s="1"/>
  <c r="AL400" i="1" s="1"/>
  <c r="X400" i="1" l="1" a="1"/>
  <c r="X400" i="1" s="1"/>
  <c r="Y400" i="1" s="1"/>
  <c r="Z400" i="1" a="1"/>
  <c r="Z400" i="1" s="1"/>
  <c r="AA400" i="1"/>
  <c r="AM399" i="1" a="1"/>
  <c r="AM399" i="1" s="1"/>
  <c r="AE402" i="1" a="1"/>
  <c r="Q401" i="1"/>
  <c r="AB401" i="1" s="1" a="1"/>
  <c r="AB401" i="1" s="1"/>
  <c r="Q402" i="1" a="1"/>
  <c r="AE401" i="1"/>
  <c r="AK401" i="1" s="1" a="1"/>
  <c r="AK401" i="1" s="1"/>
  <c r="AL401" i="1" s="1"/>
  <c r="Z401" i="1" l="1" a="1"/>
  <c r="Z401" i="1" s="1"/>
  <c r="X401" i="1" a="1"/>
  <c r="X401" i="1" s="1"/>
  <c r="Y401" i="1" s="1"/>
  <c r="AA401" i="1"/>
  <c r="AM400" i="1" a="1"/>
  <c r="AM400" i="1" s="1"/>
  <c r="AE403" i="1" a="1"/>
  <c r="Q402" i="1"/>
  <c r="AB402" i="1" s="1" a="1"/>
  <c r="AB402" i="1" s="1"/>
  <c r="Q403" i="1" a="1"/>
  <c r="AE402" i="1"/>
  <c r="AK402" i="1" s="1" a="1"/>
  <c r="AK402" i="1" s="1"/>
  <c r="AL402" i="1" s="1"/>
  <c r="X402" i="1" l="1" a="1"/>
  <c r="X402" i="1" s="1"/>
  <c r="Y402" i="1" s="1"/>
  <c r="Z402" i="1" a="1"/>
  <c r="Z402" i="1" s="1"/>
  <c r="AA402" i="1"/>
  <c r="AM401" i="1" a="1"/>
  <c r="AM401" i="1" s="1"/>
  <c r="AE404" i="1" a="1"/>
  <c r="Q404" i="1" a="1"/>
  <c r="Q403" i="1"/>
  <c r="AB403" i="1" s="1" a="1"/>
  <c r="AB403" i="1" s="1"/>
  <c r="AE403" i="1"/>
  <c r="AK403" i="1" s="1" a="1"/>
  <c r="AK403" i="1" s="1"/>
  <c r="AL403" i="1" s="1"/>
  <c r="Z403" i="1" l="1" a="1"/>
  <c r="Z403" i="1" s="1"/>
  <c r="AA403" i="1"/>
  <c r="X403" i="1" a="1"/>
  <c r="X403" i="1" s="1"/>
  <c r="Y403" i="1" s="1"/>
  <c r="AM402" i="1" a="1"/>
  <c r="AM402" i="1" s="1"/>
  <c r="AE405" i="1" a="1"/>
  <c r="Q405" i="1" a="1"/>
  <c r="Q404" i="1"/>
  <c r="AB404" i="1" s="1" a="1"/>
  <c r="AB404" i="1" s="1"/>
  <c r="AE404" i="1"/>
  <c r="AM403" i="1" s="1" a="1"/>
  <c r="AM403" i="1" s="1"/>
  <c r="Z404" i="1" l="1" a="1"/>
  <c r="Z404" i="1" s="1"/>
  <c r="X404" i="1" a="1"/>
  <c r="X404" i="1" s="1"/>
  <c r="Y404" i="1" s="1"/>
  <c r="AA404" i="1"/>
  <c r="AK404" i="1" a="1"/>
  <c r="AK404" i="1" s="1"/>
  <c r="AL404" i="1" s="1"/>
  <c r="AE406" i="1" a="1"/>
  <c r="Q406" i="1" a="1"/>
  <c r="Q405" i="1"/>
  <c r="AB405" i="1" s="1" a="1"/>
  <c r="AB405" i="1" s="1"/>
  <c r="AE405" i="1"/>
  <c r="AM404" i="1" s="1" a="1"/>
  <c r="AM404" i="1" s="1"/>
  <c r="X405" i="1" l="1" a="1"/>
  <c r="X405" i="1" s="1"/>
  <c r="Y405" i="1" s="1"/>
  <c r="Z405" i="1" a="1"/>
  <c r="Z405" i="1" s="1"/>
  <c r="AA405" i="1"/>
  <c r="AK405" i="1" a="1"/>
  <c r="AK405" i="1" s="1"/>
  <c r="AL405" i="1" s="1"/>
  <c r="AE407" i="1" a="1"/>
  <c r="Q407" i="1" a="1"/>
  <c r="Q406" i="1"/>
  <c r="AB406" i="1" s="1" a="1"/>
  <c r="AB406" i="1" s="1"/>
  <c r="AE406" i="1"/>
  <c r="AK406" i="1" s="1" a="1"/>
  <c r="AK406" i="1" s="1"/>
  <c r="AL406" i="1" s="1"/>
  <c r="AM405" i="1" l="1" a="1"/>
  <c r="AM405" i="1" s="1"/>
  <c r="X406" i="1" a="1"/>
  <c r="X406" i="1" s="1"/>
  <c r="Y406" i="1" s="1"/>
  <c r="AA406" i="1"/>
  <c r="Z406" i="1" a="1"/>
  <c r="Z406" i="1" s="1"/>
  <c r="AE408" i="1" a="1"/>
  <c r="Q407" i="1"/>
  <c r="Z407" i="1" s="1" a="1"/>
  <c r="Z407" i="1" s="1"/>
  <c r="Q408" i="1" a="1"/>
  <c r="AE407" i="1"/>
  <c r="AM406" i="1" s="1" a="1"/>
  <c r="AM406" i="1" s="1"/>
  <c r="AB407" i="1" l="1" a="1"/>
  <c r="AB407" i="1" s="1"/>
  <c r="X407" i="1" a="1"/>
  <c r="X407" i="1" s="1"/>
  <c r="Y407" i="1" s="1"/>
  <c r="AA407" i="1"/>
  <c r="AK407" i="1" a="1"/>
  <c r="AK407" i="1" s="1"/>
  <c r="AL407" i="1" s="1"/>
  <c r="AE408" i="1"/>
  <c r="AM407" i="1" s="1" a="1"/>
  <c r="AM407" i="1" s="1"/>
  <c r="AE409" i="1" a="1"/>
  <c r="Q408" i="1"/>
  <c r="AB408" i="1" s="1" a="1"/>
  <c r="AB408" i="1" s="1"/>
  <c r="Q409" i="1" a="1"/>
  <c r="Z408" i="1" l="1" a="1"/>
  <c r="Z408" i="1" s="1"/>
  <c r="AA408" i="1"/>
  <c r="AK408" i="1" a="1"/>
  <c r="AK408" i="1" s="1"/>
  <c r="AL408" i="1" s="1"/>
  <c r="X408" i="1" a="1"/>
  <c r="X408" i="1" s="1"/>
  <c r="Y408" i="1" s="1"/>
  <c r="AE410" i="1" a="1"/>
  <c r="Q409" i="1"/>
  <c r="AB409" i="1" s="1" a="1"/>
  <c r="AB409" i="1" s="1"/>
  <c r="Q410" i="1" a="1"/>
  <c r="AE409" i="1"/>
  <c r="AK409" i="1" s="1" a="1"/>
  <c r="AK409" i="1" s="1"/>
  <c r="AL409" i="1" s="1"/>
  <c r="Z409" i="1" l="1" a="1"/>
  <c r="Z409" i="1" s="1"/>
  <c r="X409" i="1" a="1"/>
  <c r="X409" i="1" s="1"/>
  <c r="Y409" i="1" s="1"/>
  <c r="AA409" i="1"/>
  <c r="AM408" i="1" a="1"/>
  <c r="AM408" i="1" s="1"/>
  <c r="AE411" i="1" a="1"/>
  <c r="Q411" i="1" a="1"/>
  <c r="Q410" i="1"/>
  <c r="AB410" i="1" s="1" a="1"/>
  <c r="AB410" i="1" s="1"/>
  <c r="AE410" i="1"/>
  <c r="AK410" i="1" s="1" a="1"/>
  <c r="AK410" i="1" s="1"/>
  <c r="AL410" i="1" s="1"/>
  <c r="X410" i="1" l="1" a="1"/>
  <c r="X410" i="1" s="1"/>
  <c r="Y410" i="1" s="1"/>
  <c r="Z410" i="1" a="1"/>
  <c r="Z410" i="1" s="1"/>
  <c r="AA410" i="1"/>
  <c r="AM409" i="1" a="1"/>
  <c r="AM409" i="1" s="1"/>
  <c r="AE412" i="1" a="1"/>
  <c r="Q411" i="1"/>
  <c r="AB411" i="1" s="1" a="1"/>
  <c r="AB411" i="1" s="1"/>
  <c r="Q412" i="1" a="1"/>
  <c r="AE411" i="1"/>
  <c r="AK411" i="1" s="1" a="1"/>
  <c r="AK411" i="1" s="1"/>
  <c r="AL411" i="1" s="1"/>
  <c r="Z411" i="1" l="1" a="1"/>
  <c r="Z411" i="1" s="1"/>
  <c r="X411" i="1" a="1"/>
  <c r="X411" i="1" s="1"/>
  <c r="Y411" i="1" s="1"/>
  <c r="AA411" i="1"/>
  <c r="AM410" i="1" a="1"/>
  <c r="AM410" i="1" s="1"/>
  <c r="AE413" i="1" a="1"/>
  <c r="Q412" i="1"/>
  <c r="AB412" i="1" s="1" a="1"/>
  <c r="AB412" i="1" s="1"/>
  <c r="Q413" i="1" a="1"/>
  <c r="AE412" i="1"/>
  <c r="AM411" i="1" s="1" a="1"/>
  <c r="AM411" i="1" s="1"/>
  <c r="Z412" i="1" l="1" a="1"/>
  <c r="Z412" i="1" s="1"/>
  <c r="X412" i="1" a="1"/>
  <c r="X412" i="1" s="1"/>
  <c r="Y412" i="1" s="1"/>
  <c r="AA412" i="1"/>
  <c r="AK412" i="1" a="1"/>
  <c r="AK412" i="1" s="1"/>
  <c r="AL412" i="1" s="1"/>
  <c r="AE414" i="1" a="1"/>
  <c r="Q414" i="1" a="1"/>
  <c r="Q413" i="1"/>
  <c r="X413" i="1" s="1" a="1"/>
  <c r="X413" i="1" s="1"/>
  <c r="Y413" i="1" s="1"/>
  <c r="AE413" i="1"/>
  <c r="AM412" i="1" s="1" a="1"/>
  <c r="AM412" i="1" s="1"/>
  <c r="AB413" i="1" l="1" a="1"/>
  <c r="AB413" i="1" s="1"/>
  <c r="Z413" i="1" a="1"/>
  <c r="Z413" i="1" s="1"/>
  <c r="AA413" i="1"/>
  <c r="AK413" i="1" a="1"/>
  <c r="AK413" i="1" s="1"/>
  <c r="AL413" i="1" s="1"/>
  <c r="AE415" i="1" a="1"/>
  <c r="Q415" i="1" a="1"/>
  <c r="Q414" i="1"/>
  <c r="AB414" i="1" s="1" a="1"/>
  <c r="AB414" i="1" s="1"/>
  <c r="AE414" i="1"/>
  <c r="AM413" i="1" s="1" a="1"/>
  <c r="AM413" i="1" s="1"/>
  <c r="Z414" i="1" l="1" a="1"/>
  <c r="Z414" i="1" s="1"/>
  <c r="X414" i="1" a="1"/>
  <c r="X414" i="1" s="1"/>
  <c r="Y414" i="1" s="1"/>
  <c r="AA414" i="1"/>
  <c r="AK414" i="1" a="1"/>
  <c r="AK414" i="1" s="1"/>
  <c r="AL414" i="1" s="1"/>
  <c r="AE416" i="1" a="1"/>
  <c r="Q415" i="1"/>
  <c r="AB415" i="1" s="1" a="1"/>
  <c r="AB415" i="1" s="1"/>
  <c r="Q416" i="1" a="1"/>
  <c r="AE415" i="1"/>
  <c r="AK415" i="1" s="1" a="1"/>
  <c r="AK415" i="1" s="1"/>
  <c r="AL415" i="1" s="1"/>
  <c r="Z415" i="1" l="1" a="1"/>
  <c r="Z415" i="1" s="1"/>
  <c r="X415" i="1" a="1"/>
  <c r="X415" i="1" s="1"/>
  <c r="Y415" i="1" s="1"/>
  <c r="AA415" i="1"/>
  <c r="AM414" i="1" a="1"/>
  <c r="AM414" i="1" s="1"/>
  <c r="AE417" i="1" a="1"/>
  <c r="Q416" i="1"/>
  <c r="AB416" i="1" s="1" a="1"/>
  <c r="AB416" i="1" s="1"/>
  <c r="Q417" i="1" a="1"/>
  <c r="AE416" i="1"/>
  <c r="AK416" i="1" s="1" a="1"/>
  <c r="AK416" i="1" s="1"/>
  <c r="AL416" i="1" s="1"/>
  <c r="X416" i="1" l="1" a="1"/>
  <c r="X416" i="1" s="1"/>
  <c r="Y416" i="1" s="1"/>
  <c r="Z416" i="1" a="1"/>
  <c r="Z416" i="1" s="1"/>
  <c r="AA416" i="1"/>
  <c r="AM415" i="1" a="1"/>
  <c r="AM415" i="1" s="1"/>
  <c r="AE418" i="1" a="1"/>
  <c r="Q417" i="1"/>
  <c r="AB417" i="1" s="1" a="1"/>
  <c r="AB417" i="1" s="1"/>
  <c r="Q418" i="1" a="1"/>
  <c r="AE417" i="1"/>
  <c r="AK417" i="1" s="1" a="1"/>
  <c r="AK417" i="1" s="1"/>
  <c r="AL417" i="1" s="1"/>
  <c r="Z417" i="1" l="1" a="1"/>
  <c r="Z417" i="1" s="1"/>
  <c r="X417" i="1" a="1"/>
  <c r="X417" i="1" s="1"/>
  <c r="Y417" i="1" s="1"/>
  <c r="AA417" i="1"/>
  <c r="AM416" i="1" a="1"/>
  <c r="AM416" i="1" s="1"/>
  <c r="AE419" i="1" a="1"/>
  <c r="Q418" i="1"/>
  <c r="AB418" i="1" s="1" a="1"/>
  <c r="AB418" i="1" s="1"/>
  <c r="Q419" i="1" a="1"/>
  <c r="AE418" i="1"/>
  <c r="AK418" i="1" s="1" a="1"/>
  <c r="AK418" i="1" s="1"/>
  <c r="AL418" i="1" s="1"/>
  <c r="X418" i="1" l="1" a="1"/>
  <c r="X418" i="1" s="1"/>
  <c r="Y418" i="1" s="1"/>
  <c r="Z418" i="1" a="1"/>
  <c r="Z418" i="1" s="1"/>
  <c r="AA418" i="1"/>
  <c r="AM417" i="1" a="1"/>
  <c r="AM417" i="1" s="1"/>
  <c r="AE420" i="1" a="1"/>
  <c r="Q419" i="1"/>
  <c r="AB419" i="1" s="1" a="1"/>
  <c r="AB419" i="1" s="1"/>
  <c r="Q420" i="1" a="1"/>
  <c r="AE419" i="1"/>
  <c r="AK419" i="1" s="1" a="1"/>
  <c r="AK419" i="1" s="1"/>
  <c r="AL419" i="1" s="1"/>
  <c r="Z419" i="1" l="1" a="1"/>
  <c r="Z419" i="1" s="1"/>
  <c r="X419" i="1" a="1"/>
  <c r="X419" i="1" s="1"/>
  <c r="Y419" i="1" s="1"/>
  <c r="AA419" i="1"/>
  <c r="AM418" i="1" a="1"/>
  <c r="AM418" i="1" s="1"/>
  <c r="AE421" i="1" a="1"/>
  <c r="Q421" i="1" a="1"/>
  <c r="Q420" i="1"/>
  <c r="Z420" i="1" s="1" a="1"/>
  <c r="Z420" i="1" s="1"/>
  <c r="AE420" i="1"/>
  <c r="AM419" i="1" s="1" a="1"/>
  <c r="AM419" i="1" s="1"/>
  <c r="AB420" i="1" l="1" a="1"/>
  <c r="AB420" i="1" s="1"/>
  <c r="X420" i="1" a="1"/>
  <c r="X420" i="1" s="1"/>
  <c r="Y420" i="1" s="1"/>
  <c r="AA420" i="1"/>
  <c r="AK420" i="1" a="1"/>
  <c r="AK420" i="1" s="1"/>
  <c r="AL420" i="1" s="1"/>
  <c r="AE422" i="1" a="1"/>
  <c r="Q421" i="1"/>
  <c r="X421" i="1" s="1" a="1"/>
  <c r="X421" i="1" s="1"/>
  <c r="Y421" i="1" s="1"/>
  <c r="Q422" i="1" a="1"/>
  <c r="AE421" i="1"/>
  <c r="AM420" i="1" s="1" a="1"/>
  <c r="AM420" i="1" s="1"/>
  <c r="AB421" i="1" l="1" a="1"/>
  <c r="AB421" i="1" s="1"/>
  <c r="Z421" i="1" a="1"/>
  <c r="Z421" i="1" s="1"/>
  <c r="AA421" i="1"/>
  <c r="AK421" i="1" a="1"/>
  <c r="AK421" i="1" s="1"/>
  <c r="AL421" i="1" s="1"/>
  <c r="AE423" i="1" a="1"/>
  <c r="Q423" i="1" a="1"/>
  <c r="Q422" i="1"/>
  <c r="X422" i="1" s="1" a="1"/>
  <c r="X422" i="1" s="1"/>
  <c r="Y422" i="1" s="1"/>
  <c r="AE422" i="1"/>
  <c r="AM421" i="1" s="1" a="1"/>
  <c r="AM421" i="1" s="1"/>
  <c r="AB422" i="1" l="1" a="1"/>
  <c r="AB422" i="1" s="1"/>
  <c r="Z422" i="1" a="1"/>
  <c r="Z422" i="1" s="1"/>
  <c r="AA422" i="1"/>
  <c r="AK422" i="1" a="1"/>
  <c r="AK422" i="1" s="1"/>
  <c r="AL422" i="1" s="1"/>
  <c r="AE424" i="1" a="1"/>
  <c r="Q423" i="1"/>
  <c r="AB423" i="1" s="1" a="1"/>
  <c r="AB423" i="1" s="1"/>
  <c r="Q424" i="1" a="1"/>
  <c r="AE423" i="1"/>
  <c r="AM422" i="1" s="1" a="1"/>
  <c r="AM422" i="1" s="1"/>
  <c r="Z423" i="1" l="1" a="1"/>
  <c r="Z423" i="1" s="1"/>
  <c r="X423" i="1" a="1"/>
  <c r="X423" i="1" s="1"/>
  <c r="Y423" i="1" s="1"/>
  <c r="AA423" i="1"/>
  <c r="AK423" i="1" a="1"/>
  <c r="AK423" i="1" s="1"/>
  <c r="AL423" i="1" s="1"/>
  <c r="AE425" i="1" a="1"/>
  <c r="Q424" i="1"/>
  <c r="AB424" i="1" s="1" a="1"/>
  <c r="AB424" i="1" s="1"/>
  <c r="Q425" i="1" a="1"/>
  <c r="AE424" i="1"/>
  <c r="AK424" i="1" s="1" a="1"/>
  <c r="AK424" i="1" s="1"/>
  <c r="AL424" i="1" s="1"/>
  <c r="X424" i="1" l="1" a="1"/>
  <c r="X424" i="1" s="1"/>
  <c r="Y424" i="1" s="1"/>
  <c r="Z424" i="1" a="1"/>
  <c r="Z424" i="1" s="1"/>
  <c r="AA424" i="1"/>
  <c r="AM423" i="1" a="1"/>
  <c r="AM423" i="1" s="1"/>
  <c r="AE426" i="1" a="1"/>
  <c r="Q426" i="1" a="1"/>
  <c r="Q425" i="1"/>
  <c r="AB425" i="1" s="1" a="1"/>
  <c r="AB425" i="1" s="1"/>
  <c r="AE425" i="1"/>
  <c r="AK425" i="1" s="1" a="1"/>
  <c r="AK425" i="1" s="1"/>
  <c r="AL425" i="1" s="1"/>
  <c r="Z425" i="1" l="1" a="1"/>
  <c r="Z425" i="1" s="1"/>
  <c r="X425" i="1" a="1"/>
  <c r="X425" i="1" s="1"/>
  <c r="Y425" i="1" s="1"/>
  <c r="AA425" i="1"/>
  <c r="AM424" i="1" a="1"/>
  <c r="AM424" i="1" s="1"/>
  <c r="AE427" i="1" a="1"/>
  <c r="Q426" i="1"/>
  <c r="AB426" i="1" s="1" a="1"/>
  <c r="AB426" i="1" s="1"/>
  <c r="Q427" i="1" a="1"/>
  <c r="AE426" i="1"/>
  <c r="AK426" i="1" s="1" a="1"/>
  <c r="AK426" i="1" s="1"/>
  <c r="AL426" i="1" s="1"/>
  <c r="X426" i="1" l="1" a="1"/>
  <c r="X426" i="1" s="1"/>
  <c r="Y426" i="1" s="1"/>
  <c r="Z426" i="1" a="1"/>
  <c r="Z426" i="1" s="1"/>
  <c r="AA426" i="1"/>
  <c r="AM425" i="1" a="1"/>
  <c r="AM425" i="1" s="1"/>
  <c r="AE428" i="1" a="1"/>
  <c r="Q427" i="1"/>
  <c r="AB427" i="1" s="1" a="1"/>
  <c r="AB427" i="1" s="1"/>
  <c r="Q428" i="1" a="1"/>
  <c r="AE427" i="1"/>
  <c r="AK427" i="1" s="1" a="1"/>
  <c r="AK427" i="1" s="1"/>
  <c r="AL427" i="1" s="1"/>
  <c r="Z427" i="1" l="1" a="1"/>
  <c r="Z427" i="1" s="1"/>
  <c r="X427" i="1" a="1"/>
  <c r="X427" i="1" s="1"/>
  <c r="Y427" i="1" s="1"/>
  <c r="AA427" i="1"/>
  <c r="AM426" i="1" a="1"/>
  <c r="AM426" i="1" s="1"/>
  <c r="AE429" i="1" a="1"/>
  <c r="Q428" i="1"/>
  <c r="AB428" i="1" s="1" a="1"/>
  <c r="AB428" i="1" s="1"/>
  <c r="Q429" i="1" a="1"/>
  <c r="AE428" i="1"/>
  <c r="AM427" i="1" s="1" a="1"/>
  <c r="AM427" i="1" s="1"/>
  <c r="Z428" i="1" l="1" a="1"/>
  <c r="Z428" i="1" s="1"/>
  <c r="X428" i="1" a="1"/>
  <c r="X428" i="1" s="1"/>
  <c r="Y428" i="1" s="1"/>
  <c r="AA428" i="1"/>
  <c r="AK428" i="1" a="1"/>
  <c r="AK428" i="1" s="1"/>
  <c r="AL428" i="1" s="1"/>
  <c r="AE430" i="1" a="1"/>
  <c r="Q430" i="1" a="1"/>
  <c r="Q429" i="1"/>
  <c r="X429" i="1" s="1" a="1"/>
  <c r="X429" i="1" s="1"/>
  <c r="Y429" i="1" s="1"/>
  <c r="AE429" i="1"/>
  <c r="AM428" i="1" s="1" a="1"/>
  <c r="AM428" i="1" s="1"/>
  <c r="AB429" i="1" l="1" a="1"/>
  <c r="AB429" i="1" s="1"/>
  <c r="Z429" i="1" a="1"/>
  <c r="Z429" i="1" s="1"/>
  <c r="AA429" i="1"/>
  <c r="AK429" i="1" a="1"/>
  <c r="AK429" i="1" s="1"/>
  <c r="AL429" i="1" s="1"/>
  <c r="AE431" i="1" a="1"/>
  <c r="Q431" i="1" a="1"/>
  <c r="Q430" i="1"/>
  <c r="AB430" i="1" s="1" a="1"/>
  <c r="AB430" i="1" s="1"/>
  <c r="AE430" i="1"/>
  <c r="AM429" i="1" s="1" a="1"/>
  <c r="AM429" i="1" s="1"/>
  <c r="Z430" i="1" l="1" a="1"/>
  <c r="Z430" i="1" s="1"/>
  <c r="X430" i="1" a="1"/>
  <c r="X430" i="1" s="1"/>
  <c r="Y430" i="1" s="1"/>
  <c r="AA430" i="1"/>
  <c r="AK430" i="1" a="1"/>
  <c r="AK430" i="1" s="1"/>
  <c r="AL430" i="1" s="1"/>
  <c r="AE432" i="1" a="1"/>
  <c r="Q431" i="1"/>
  <c r="AB431" i="1" s="1" a="1"/>
  <c r="AB431" i="1" s="1"/>
  <c r="Q432" i="1" a="1"/>
  <c r="AE431" i="1"/>
  <c r="AK431" i="1" s="1" a="1"/>
  <c r="AK431" i="1" s="1"/>
  <c r="AL431" i="1" s="1"/>
  <c r="Z431" i="1" l="1" a="1"/>
  <c r="Z431" i="1" s="1"/>
  <c r="X431" i="1" a="1"/>
  <c r="X431" i="1" s="1"/>
  <c r="Y431" i="1" s="1"/>
  <c r="AA431" i="1"/>
  <c r="AM430" i="1" a="1"/>
  <c r="AM430" i="1" s="1"/>
  <c r="AE433" i="1" a="1"/>
  <c r="Q432" i="1"/>
  <c r="AB432" i="1" s="1" a="1"/>
  <c r="AB432" i="1" s="1"/>
  <c r="Q433" i="1" a="1"/>
  <c r="AE432" i="1"/>
  <c r="AK432" i="1" s="1" a="1"/>
  <c r="AK432" i="1" s="1"/>
  <c r="AL432" i="1" s="1"/>
  <c r="X432" i="1" l="1" a="1"/>
  <c r="X432" i="1" s="1"/>
  <c r="Y432" i="1" s="1"/>
  <c r="Z432" i="1" a="1"/>
  <c r="Z432" i="1" s="1"/>
  <c r="AA432" i="1"/>
  <c r="AM431" i="1" a="1"/>
  <c r="AM431" i="1" s="1"/>
  <c r="AE434" i="1" a="1"/>
  <c r="Q434" i="1" a="1"/>
  <c r="Q433" i="1"/>
  <c r="AB433" i="1" s="1" a="1"/>
  <c r="AB433" i="1" s="1"/>
  <c r="AE433" i="1"/>
  <c r="AM432" i="1" s="1" a="1"/>
  <c r="AM432" i="1" s="1"/>
  <c r="Z433" i="1" l="1" a="1"/>
  <c r="Z433" i="1" s="1"/>
  <c r="X433" i="1" a="1"/>
  <c r="X433" i="1" s="1"/>
  <c r="Y433" i="1" s="1"/>
  <c r="AA433" i="1"/>
  <c r="AK433" i="1" a="1"/>
  <c r="AK433" i="1" s="1"/>
  <c r="AL433" i="1" s="1"/>
  <c r="AE435" i="1" a="1"/>
  <c r="Q434" i="1"/>
  <c r="AB434" i="1" s="1" a="1"/>
  <c r="AB434" i="1" s="1"/>
  <c r="Q435" i="1" a="1"/>
  <c r="AE434" i="1"/>
  <c r="AK434" i="1" s="1" a="1"/>
  <c r="AK434" i="1" s="1"/>
  <c r="AL434" i="1" s="1"/>
  <c r="Z434" i="1" l="1" a="1"/>
  <c r="Z434" i="1" s="1"/>
  <c r="X434" i="1" a="1"/>
  <c r="X434" i="1" s="1"/>
  <c r="Y434" i="1" s="1"/>
  <c r="AA434" i="1"/>
  <c r="AM433" i="1" a="1"/>
  <c r="AM433" i="1" s="1"/>
  <c r="AE436" i="1" a="1"/>
  <c r="Q435" i="1"/>
  <c r="AB435" i="1" s="1" a="1"/>
  <c r="AB435" i="1" s="1"/>
  <c r="Q436" i="1" a="1"/>
  <c r="AE435" i="1"/>
  <c r="AK435" i="1" s="1" a="1"/>
  <c r="AK435" i="1" s="1"/>
  <c r="AL435" i="1" s="1"/>
  <c r="X435" i="1" l="1" a="1"/>
  <c r="X435" i="1" s="1"/>
  <c r="Y435" i="1" s="1"/>
  <c r="Z435" i="1" a="1"/>
  <c r="Z435" i="1" s="1"/>
  <c r="AA435" i="1"/>
  <c r="AM434" i="1" a="1"/>
  <c r="AM434" i="1" s="1"/>
  <c r="AE437" i="1" a="1"/>
  <c r="Q437" i="1" a="1"/>
  <c r="Q436" i="1"/>
  <c r="Z436" i="1" s="1" a="1"/>
  <c r="Z436" i="1" s="1"/>
  <c r="AE436" i="1"/>
  <c r="AM435" i="1" s="1" a="1"/>
  <c r="AM435" i="1" s="1"/>
  <c r="AB436" i="1" l="1" a="1"/>
  <c r="AB436" i="1" s="1"/>
  <c r="X436" i="1" a="1"/>
  <c r="X436" i="1" s="1"/>
  <c r="Y436" i="1" s="1"/>
  <c r="AA436" i="1"/>
  <c r="AK436" i="1" a="1"/>
  <c r="AK436" i="1" s="1"/>
  <c r="AL436" i="1" s="1"/>
  <c r="AE438" i="1" a="1"/>
  <c r="Q437" i="1"/>
  <c r="AB437" i="1" s="1" a="1"/>
  <c r="AB437" i="1" s="1"/>
  <c r="Q438" i="1" a="1"/>
  <c r="AE437" i="1"/>
  <c r="AK437" i="1" s="1" a="1"/>
  <c r="AK437" i="1" s="1"/>
  <c r="AL437" i="1" s="1"/>
  <c r="Z437" i="1" l="1" a="1"/>
  <c r="Z437" i="1" s="1"/>
  <c r="X437" i="1" a="1"/>
  <c r="X437" i="1" s="1"/>
  <c r="Y437" i="1" s="1"/>
  <c r="AA437" i="1"/>
  <c r="AM436" i="1" a="1"/>
  <c r="AM436" i="1" s="1"/>
  <c r="AE439" i="1" a="1"/>
  <c r="Q438" i="1"/>
  <c r="AB438" i="1" s="1" a="1"/>
  <c r="AB438" i="1" s="1"/>
  <c r="Q439" i="1" a="1"/>
  <c r="AE438" i="1"/>
  <c r="AM437" i="1" s="1" a="1"/>
  <c r="AM437" i="1" s="1"/>
  <c r="X438" i="1" l="1" a="1"/>
  <c r="X438" i="1" s="1"/>
  <c r="Y438" i="1" s="1"/>
  <c r="Z438" i="1" a="1"/>
  <c r="Z438" i="1" s="1"/>
  <c r="AA438" i="1"/>
  <c r="AK438" i="1" a="1"/>
  <c r="AK438" i="1" s="1"/>
  <c r="AL438" i="1" s="1"/>
  <c r="AE440" i="1" a="1"/>
  <c r="Q439" i="1"/>
  <c r="AB439" i="1" s="1" a="1"/>
  <c r="AB439" i="1" s="1"/>
  <c r="Q440" i="1" a="1"/>
  <c r="AE439" i="1"/>
  <c r="AM438" i="1" s="1" a="1"/>
  <c r="AM438" i="1" s="1"/>
  <c r="X439" i="1" l="1" a="1"/>
  <c r="X439" i="1" s="1"/>
  <c r="Y439" i="1" s="1"/>
  <c r="Z439" i="1" a="1"/>
  <c r="Z439" i="1" s="1"/>
  <c r="AA439" i="1"/>
  <c r="AK439" i="1" a="1"/>
  <c r="AK439" i="1" s="1"/>
  <c r="AL439" i="1" s="1"/>
  <c r="AE441" i="1" a="1"/>
  <c r="Q440" i="1"/>
  <c r="AB440" i="1" s="1" a="1"/>
  <c r="AB440" i="1" s="1"/>
  <c r="Q441" i="1" a="1"/>
  <c r="AE440" i="1"/>
  <c r="AK440" i="1" s="1" a="1"/>
  <c r="AK440" i="1" s="1"/>
  <c r="AL440" i="1" s="1"/>
  <c r="Z440" i="1" l="1" a="1"/>
  <c r="Z440" i="1" s="1"/>
  <c r="X440" i="1" a="1"/>
  <c r="X440" i="1" s="1"/>
  <c r="Y440" i="1" s="1"/>
  <c r="AA440" i="1"/>
  <c r="AM439" i="1" a="1"/>
  <c r="AM439" i="1" s="1"/>
  <c r="AE442" i="1" a="1"/>
  <c r="Q441" i="1"/>
  <c r="AB441" i="1" s="1" a="1"/>
  <c r="AB441" i="1" s="1"/>
  <c r="Q442" i="1" a="1"/>
  <c r="AE441" i="1"/>
  <c r="AK441" i="1" s="1" a="1"/>
  <c r="AK441" i="1" s="1"/>
  <c r="AL441" i="1" s="1"/>
  <c r="X441" i="1" l="1" a="1"/>
  <c r="X441" i="1" s="1"/>
  <c r="Y441" i="1" s="1"/>
  <c r="Z441" i="1" a="1"/>
  <c r="Z441" i="1" s="1"/>
  <c r="AA441" i="1"/>
  <c r="AM440" i="1" a="1"/>
  <c r="AM440" i="1" s="1"/>
  <c r="AE443" i="1" a="1"/>
  <c r="Q442" i="1"/>
  <c r="AB442" i="1" s="1" a="1"/>
  <c r="AB442" i="1" s="1"/>
  <c r="Q443" i="1" a="1"/>
  <c r="AE442" i="1"/>
  <c r="AK442" i="1" s="1" a="1"/>
  <c r="AK442" i="1" s="1"/>
  <c r="AL442" i="1" s="1"/>
  <c r="X442" i="1" l="1" a="1"/>
  <c r="X442" i="1" s="1"/>
  <c r="Y442" i="1" s="1"/>
  <c r="AA442" i="1"/>
  <c r="Z442" i="1" a="1"/>
  <c r="Z442" i="1" s="1"/>
  <c r="AM441" i="1" a="1"/>
  <c r="AM441" i="1" s="1"/>
  <c r="AE444" i="1" a="1"/>
  <c r="Q444" i="1" a="1"/>
  <c r="Q443" i="1"/>
  <c r="AB443" i="1" s="1" a="1"/>
  <c r="AB443" i="1" s="1"/>
  <c r="AE443" i="1"/>
  <c r="AK443" i="1" s="1" a="1"/>
  <c r="AK443" i="1" s="1"/>
  <c r="AL443" i="1" s="1"/>
  <c r="X443" i="1" l="1" a="1"/>
  <c r="X443" i="1" s="1"/>
  <c r="Y443" i="1" s="1"/>
  <c r="Z443" i="1" a="1"/>
  <c r="Z443" i="1" s="1"/>
  <c r="AA443" i="1"/>
  <c r="AM442" i="1" a="1"/>
  <c r="AM442" i="1" s="1"/>
  <c r="AE445" i="1" a="1"/>
  <c r="Q444" i="1"/>
  <c r="AB444" i="1" s="1" a="1"/>
  <c r="AB444" i="1" s="1"/>
  <c r="Q445" i="1" a="1"/>
  <c r="AE444" i="1"/>
  <c r="AK444" i="1" s="1" a="1"/>
  <c r="AK444" i="1" s="1"/>
  <c r="AL444" i="1" s="1"/>
  <c r="Z444" i="1" l="1" a="1"/>
  <c r="Z444" i="1" s="1"/>
  <c r="X444" i="1" a="1"/>
  <c r="X444" i="1" s="1"/>
  <c r="Y444" i="1" s="1"/>
  <c r="AA444" i="1"/>
  <c r="AM443" i="1" a="1"/>
  <c r="AM443" i="1" s="1"/>
  <c r="AE446" i="1" a="1"/>
  <c r="Q446" i="1" a="1"/>
  <c r="Q445" i="1"/>
  <c r="AB445" i="1" s="1" a="1"/>
  <c r="AB445" i="1" s="1"/>
  <c r="AE445" i="1"/>
  <c r="AK445" i="1" s="1" a="1"/>
  <c r="AK445" i="1" s="1"/>
  <c r="AL445" i="1" s="1"/>
  <c r="Z445" i="1" l="1" a="1"/>
  <c r="Z445" i="1" s="1"/>
  <c r="X445" i="1" a="1"/>
  <c r="X445" i="1" s="1"/>
  <c r="Y445" i="1" s="1"/>
  <c r="AA445" i="1"/>
  <c r="AM444" i="1" a="1"/>
  <c r="AM444" i="1" s="1"/>
  <c r="AE447" i="1" a="1"/>
  <c r="Q446" i="1"/>
  <c r="AB446" i="1" s="1" a="1"/>
  <c r="AB446" i="1" s="1"/>
  <c r="Q447" i="1" a="1"/>
  <c r="AE446" i="1"/>
  <c r="AK446" i="1" s="1" a="1"/>
  <c r="AK446" i="1" s="1"/>
  <c r="AL446" i="1" s="1"/>
  <c r="X446" i="1" l="1" a="1"/>
  <c r="X446" i="1" s="1"/>
  <c r="Y446" i="1" s="1"/>
  <c r="Z446" i="1" a="1"/>
  <c r="Z446" i="1" s="1"/>
  <c r="AA446" i="1"/>
  <c r="AM445" i="1" a="1"/>
  <c r="AM445" i="1" s="1"/>
  <c r="AE448" i="1" a="1"/>
  <c r="Q447" i="1"/>
  <c r="AB447" i="1" s="1" a="1"/>
  <c r="AB447" i="1" s="1"/>
  <c r="Q448" i="1" a="1"/>
  <c r="AE447" i="1"/>
  <c r="AM446" i="1" s="1" a="1"/>
  <c r="AM446" i="1" s="1"/>
  <c r="AK447" i="1" l="1" a="1"/>
  <c r="AK447" i="1" s="1"/>
  <c r="AL447" i="1" s="1"/>
  <c r="X447" i="1" a="1"/>
  <c r="X447" i="1" s="1"/>
  <c r="Y447" i="1" s="1"/>
  <c r="AA447" i="1"/>
  <c r="Z447" i="1" a="1"/>
  <c r="Z447" i="1" s="1"/>
  <c r="AE449" i="1" a="1"/>
  <c r="Q448" i="1"/>
  <c r="AB448" i="1" s="1" a="1"/>
  <c r="AB448" i="1" s="1"/>
  <c r="Q449" i="1" a="1"/>
  <c r="AE448" i="1"/>
  <c r="AK448" i="1" s="1" a="1"/>
  <c r="AK448" i="1" s="1"/>
  <c r="AL448" i="1" s="1"/>
  <c r="Z448" i="1" l="1" a="1"/>
  <c r="Z448" i="1" s="1"/>
  <c r="X448" i="1" a="1"/>
  <c r="X448" i="1" s="1"/>
  <c r="Y448" i="1" s="1"/>
  <c r="AA448" i="1"/>
  <c r="AM447" i="1" a="1"/>
  <c r="AM447" i="1" s="1"/>
  <c r="AE450" i="1" a="1"/>
  <c r="Q449" i="1"/>
  <c r="AB449" i="1" s="1" a="1"/>
  <c r="AB449" i="1" s="1"/>
  <c r="Q450" i="1" a="1"/>
  <c r="AE449" i="1"/>
  <c r="AK449" i="1" s="1" a="1"/>
  <c r="AK449" i="1" s="1"/>
  <c r="AL449" i="1" s="1"/>
  <c r="X449" i="1" l="1" a="1"/>
  <c r="X449" i="1" s="1"/>
  <c r="Y449" i="1" s="1"/>
  <c r="Z449" i="1" a="1"/>
  <c r="Z449" i="1" s="1"/>
  <c r="AA449" i="1"/>
  <c r="AM448" i="1" a="1"/>
  <c r="AM448" i="1" s="1"/>
  <c r="AE451" i="1" a="1"/>
  <c r="Q450" i="1"/>
  <c r="AB450" i="1" s="1" a="1"/>
  <c r="AB450" i="1" s="1"/>
  <c r="Q451" i="1" a="1"/>
  <c r="Z450" i="1" a="1"/>
  <c r="Z450" i="1" s="1"/>
  <c r="AE450" i="1"/>
  <c r="AK450" i="1" s="1" a="1"/>
  <c r="AK450" i="1" s="1"/>
  <c r="AL450" i="1" s="1"/>
  <c r="X450" i="1" l="1" a="1"/>
  <c r="X450" i="1" s="1"/>
  <c r="Y450" i="1" s="1"/>
  <c r="AA450" i="1"/>
  <c r="AM449" i="1" a="1"/>
  <c r="AM449" i="1" s="1"/>
  <c r="AE452" i="1" a="1"/>
  <c r="Q452" i="1" a="1"/>
  <c r="Q451" i="1"/>
  <c r="AB451" i="1" s="1" a="1"/>
  <c r="AB451" i="1" s="1"/>
  <c r="AE451" i="1"/>
  <c r="AM450" i="1" s="1" a="1"/>
  <c r="AM450" i="1" s="1"/>
  <c r="X451" i="1" l="1" a="1"/>
  <c r="X451" i="1" s="1"/>
  <c r="Y451" i="1" s="1"/>
  <c r="Z451" i="1" a="1"/>
  <c r="Z451" i="1" s="1"/>
  <c r="AA451" i="1"/>
  <c r="AK451" i="1" a="1"/>
  <c r="AK451" i="1" s="1"/>
  <c r="AL451" i="1" s="1"/>
  <c r="AE453" i="1" a="1"/>
  <c r="Q452" i="1"/>
  <c r="AB452" i="1" s="1" a="1"/>
  <c r="AB452" i="1" s="1"/>
  <c r="Q453" i="1" a="1"/>
  <c r="AE452" i="1"/>
  <c r="AK452" i="1" s="1" a="1"/>
  <c r="AK452" i="1" s="1"/>
  <c r="AL452" i="1" s="1"/>
  <c r="X452" i="1" l="1" a="1"/>
  <c r="X452" i="1" s="1"/>
  <c r="Y452" i="1" s="1"/>
  <c r="Z452" i="1" a="1"/>
  <c r="Z452" i="1" s="1"/>
  <c r="AA452" i="1"/>
  <c r="AM451" i="1" a="1"/>
  <c r="AM451" i="1" s="1"/>
  <c r="AE454" i="1" a="1"/>
  <c r="Q453" i="1"/>
  <c r="AB453" i="1" s="1" a="1"/>
  <c r="AB453" i="1" s="1"/>
  <c r="Q454" i="1" a="1"/>
  <c r="Z453" i="1" a="1"/>
  <c r="Z453" i="1" s="1"/>
  <c r="AE453" i="1"/>
  <c r="AM452" i="1" s="1" a="1"/>
  <c r="AM452" i="1" s="1"/>
  <c r="X453" i="1" l="1" a="1"/>
  <c r="X453" i="1" s="1"/>
  <c r="Y453" i="1" s="1"/>
  <c r="AA453" i="1"/>
  <c r="AK453" i="1" a="1"/>
  <c r="AK453" i="1" s="1"/>
  <c r="AL453" i="1" s="1"/>
  <c r="AE455" i="1" a="1"/>
  <c r="Q454" i="1"/>
  <c r="AB454" i="1" s="1" a="1"/>
  <c r="AB454" i="1" s="1"/>
  <c r="Q455" i="1" a="1"/>
  <c r="AE454" i="1"/>
  <c r="AK454" i="1" s="1" a="1"/>
  <c r="AK454" i="1" s="1"/>
  <c r="AL454" i="1" s="1"/>
  <c r="AM453" i="1" l="1" a="1"/>
  <c r="AM453" i="1" s="1"/>
  <c r="Z454" i="1" a="1"/>
  <c r="Z454" i="1" s="1"/>
  <c r="AA454" i="1"/>
  <c r="X454" i="1" a="1"/>
  <c r="X454" i="1" s="1"/>
  <c r="Y454" i="1" s="1"/>
  <c r="AE456" i="1" a="1"/>
  <c r="Q455" i="1"/>
  <c r="AB455" i="1" s="1" a="1"/>
  <c r="AB455" i="1" s="1"/>
  <c r="Q456" i="1" a="1"/>
  <c r="AE455" i="1"/>
  <c r="AK455" i="1" s="1" a="1"/>
  <c r="AK455" i="1" s="1"/>
  <c r="AL455" i="1" s="1"/>
  <c r="Z455" i="1" l="1" a="1"/>
  <c r="Z455" i="1" s="1"/>
  <c r="X455" i="1" a="1"/>
  <c r="X455" i="1" s="1"/>
  <c r="Y455" i="1" s="1"/>
  <c r="AA455" i="1"/>
  <c r="AM454" i="1" a="1"/>
  <c r="AM454" i="1" s="1"/>
  <c r="AE457" i="1" a="1"/>
  <c r="Q457" i="1" a="1"/>
  <c r="Q456" i="1"/>
  <c r="AB456" i="1" s="1" a="1"/>
  <c r="AB456" i="1" s="1"/>
  <c r="AE456" i="1"/>
  <c r="AK456" i="1" s="1" a="1"/>
  <c r="AK456" i="1" s="1"/>
  <c r="AL456" i="1" s="1"/>
  <c r="AM455" i="1" l="1" a="1"/>
  <c r="AM455" i="1" s="1"/>
  <c r="Z456" i="1" a="1"/>
  <c r="Z456" i="1" s="1"/>
  <c r="AA456" i="1"/>
  <c r="X456" i="1" a="1"/>
  <c r="X456" i="1" s="1"/>
  <c r="Y456" i="1" s="1"/>
  <c r="AE458" i="1" a="1"/>
  <c r="Q458" i="1" a="1"/>
  <c r="Q457" i="1"/>
  <c r="AB457" i="1" s="1" a="1"/>
  <c r="AB457" i="1" s="1"/>
  <c r="AE457" i="1"/>
  <c r="AK457" i="1" s="1" a="1"/>
  <c r="AK457" i="1" s="1"/>
  <c r="AL457" i="1" s="1"/>
  <c r="Z457" i="1" l="1" a="1"/>
  <c r="Z457" i="1" s="1"/>
  <c r="X457" i="1" a="1"/>
  <c r="X457" i="1" s="1"/>
  <c r="Y457" i="1" s="1"/>
  <c r="AA457" i="1"/>
  <c r="AM456" i="1" a="1"/>
  <c r="AM456" i="1" s="1"/>
  <c r="AE459" i="1" a="1"/>
  <c r="Q458" i="1"/>
  <c r="AB458" i="1" s="1" a="1"/>
  <c r="AB458" i="1" s="1"/>
  <c r="Q459" i="1" a="1"/>
  <c r="AE458" i="1"/>
  <c r="AK458" i="1" s="1" a="1"/>
  <c r="AK458" i="1" s="1"/>
  <c r="AL458" i="1" s="1"/>
  <c r="Z458" i="1" l="1" a="1"/>
  <c r="Z458" i="1" s="1"/>
  <c r="X458" i="1" a="1"/>
  <c r="X458" i="1" s="1"/>
  <c r="Y458" i="1" s="1"/>
  <c r="AA458" i="1"/>
  <c r="AM457" i="1" a="1"/>
  <c r="AM457" i="1" s="1"/>
  <c r="AE460" i="1" a="1"/>
  <c r="Q459" i="1"/>
  <c r="AB459" i="1" s="1" a="1"/>
  <c r="AB459" i="1" s="1"/>
  <c r="Q460" i="1" a="1"/>
  <c r="X459" i="1" a="1"/>
  <c r="X459" i="1" s="1"/>
  <c r="Y459" i="1" s="1"/>
  <c r="AE459" i="1"/>
  <c r="AM458" i="1" s="1" a="1"/>
  <c r="AM458" i="1" s="1"/>
  <c r="Z459" i="1" l="1" a="1"/>
  <c r="Z459" i="1" s="1"/>
  <c r="AA459" i="1"/>
  <c r="AK459" i="1" a="1"/>
  <c r="AK459" i="1" s="1"/>
  <c r="AL459" i="1" s="1"/>
  <c r="AE461" i="1" a="1"/>
  <c r="Q460" i="1"/>
  <c r="AB460" i="1" s="1" a="1"/>
  <c r="AB460" i="1" s="1"/>
  <c r="Q461" i="1" a="1"/>
  <c r="AE460" i="1"/>
  <c r="AK460" i="1" s="1" a="1"/>
  <c r="AK460" i="1" s="1"/>
  <c r="AL460" i="1" s="1"/>
  <c r="X460" i="1" l="1" a="1"/>
  <c r="X460" i="1" s="1"/>
  <c r="Y460" i="1" s="1"/>
  <c r="Z460" i="1" a="1"/>
  <c r="Z460" i="1" s="1"/>
  <c r="AA460" i="1"/>
  <c r="AM459" i="1" a="1"/>
  <c r="AM459" i="1" s="1"/>
  <c r="AE462" i="1" a="1"/>
  <c r="Q461" i="1"/>
  <c r="AB461" i="1" s="1" a="1"/>
  <c r="AB461" i="1" s="1"/>
  <c r="Q462" i="1" a="1"/>
  <c r="AE461" i="1"/>
  <c r="AM460" i="1" s="1" a="1"/>
  <c r="AM460" i="1" s="1"/>
  <c r="Z461" i="1" l="1" a="1"/>
  <c r="Z461" i="1" s="1"/>
  <c r="X461" i="1" a="1"/>
  <c r="X461" i="1" s="1"/>
  <c r="Y461" i="1" s="1"/>
  <c r="AA461" i="1"/>
  <c r="AK461" i="1" a="1"/>
  <c r="AK461" i="1" s="1"/>
  <c r="AL461" i="1" s="1"/>
  <c r="AE463" i="1" a="1"/>
  <c r="Q463" i="1" a="1"/>
  <c r="Q462" i="1"/>
  <c r="AB462" i="1" s="1" a="1"/>
  <c r="AB462" i="1" s="1"/>
  <c r="AE462" i="1"/>
  <c r="AK462" i="1" s="1" a="1"/>
  <c r="AK462" i="1" s="1"/>
  <c r="AL462" i="1" s="1"/>
  <c r="AM461" i="1" l="1" a="1"/>
  <c r="AM461" i="1" s="1"/>
  <c r="Z462" i="1" a="1"/>
  <c r="Z462" i="1" s="1"/>
  <c r="AA462" i="1"/>
  <c r="X462" i="1" a="1"/>
  <c r="X462" i="1" s="1"/>
  <c r="Y462" i="1" s="1"/>
  <c r="AE464" i="1" a="1"/>
  <c r="Q463" i="1"/>
  <c r="AB463" i="1" s="1" a="1"/>
  <c r="AB463" i="1" s="1"/>
  <c r="Q464" i="1" a="1"/>
  <c r="AE463" i="1"/>
  <c r="AM462" i="1" s="1" a="1"/>
  <c r="AM462" i="1" s="1"/>
  <c r="Z463" i="1" l="1" a="1"/>
  <c r="Z463" i="1" s="1"/>
  <c r="X463" i="1" a="1"/>
  <c r="X463" i="1" s="1"/>
  <c r="Y463" i="1" s="1"/>
  <c r="AA463" i="1"/>
  <c r="AK463" i="1" a="1"/>
  <c r="AK463" i="1" s="1"/>
  <c r="AL463" i="1" s="1"/>
  <c r="AE465" i="1" a="1"/>
  <c r="Q465" i="1" a="1"/>
  <c r="Q464" i="1"/>
  <c r="Z464" i="1" s="1" a="1"/>
  <c r="Z464" i="1" s="1"/>
  <c r="AE464" i="1"/>
  <c r="AM463" i="1" s="1" a="1"/>
  <c r="AM463" i="1" s="1"/>
  <c r="AB464" i="1" l="1" a="1"/>
  <c r="AB464" i="1" s="1"/>
  <c r="X464" i="1" a="1"/>
  <c r="X464" i="1" s="1"/>
  <c r="Y464" i="1" s="1"/>
  <c r="AA464" i="1"/>
  <c r="AK464" i="1" a="1"/>
  <c r="AK464" i="1" s="1"/>
  <c r="AL464" i="1" s="1"/>
  <c r="AE466" i="1" a="1"/>
  <c r="Q465" i="1"/>
  <c r="AB465" i="1" s="1" a="1"/>
  <c r="AB465" i="1" s="1"/>
  <c r="Q466" i="1" a="1"/>
  <c r="AE465" i="1"/>
  <c r="AM464" i="1" s="1" a="1"/>
  <c r="AM464" i="1" s="1"/>
  <c r="X465" i="1" l="1" a="1"/>
  <c r="X465" i="1" s="1"/>
  <c r="Y465" i="1" s="1"/>
  <c r="AA465" i="1"/>
  <c r="Z465" i="1" a="1"/>
  <c r="Z465" i="1" s="1"/>
  <c r="AK465" i="1" a="1"/>
  <c r="AK465" i="1" s="1"/>
  <c r="AL465" i="1" s="1"/>
  <c r="AE467" i="1" a="1"/>
  <c r="Q466" i="1"/>
  <c r="AB466" i="1" s="1" a="1"/>
  <c r="AB466" i="1" s="1"/>
  <c r="Q467" i="1" a="1"/>
  <c r="AE466" i="1"/>
  <c r="AK466" i="1" s="1" a="1"/>
  <c r="AK466" i="1" s="1"/>
  <c r="AL466" i="1" s="1"/>
  <c r="Z466" i="1" l="1" a="1"/>
  <c r="Z466" i="1" s="1"/>
  <c r="X466" i="1" a="1"/>
  <c r="X466" i="1" s="1"/>
  <c r="Y466" i="1" s="1"/>
  <c r="AA466" i="1"/>
  <c r="AM465" i="1" a="1"/>
  <c r="AM465" i="1" s="1"/>
  <c r="AE468" i="1" a="1"/>
  <c r="Q467" i="1"/>
  <c r="AB467" i="1" s="1" a="1"/>
  <c r="AB467" i="1" s="1"/>
  <c r="Q468" i="1" a="1"/>
  <c r="AE467" i="1"/>
  <c r="AK467" i="1" s="1" a="1"/>
  <c r="AK467" i="1" s="1"/>
  <c r="AL467" i="1" s="1"/>
  <c r="X467" i="1" l="1" a="1"/>
  <c r="X467" i="1" s="1"/>
  <c r="Y467" i="1" s="1"/>
  <c r="Z467" i="1" a="1"/>
  <c r="Z467" i="1" s="1"/>
  <c r="AA467" i="1"/>
  <c r="AM466" i="1" a="1"/>
  <c r="AM466" i="1" s="1"/>
  <c r="AE469" i="1" a="1"/>
  <c r="Q468" i="1"/>
  <c r="AB468" i="1" s="1" a="1"/>
  <c r="AB468" i="1" s="1"/>
  <c r="Q469" i="1" a="1"/>
  <c r="AE468" i="1"/>
  <c r="AK468" i="1" s="1" a="1"/>
  <c r="AK468" i="1" s="1"/>
  <c r="AL468" i="1" s="1"/>
  <c r="X468" i="1" l="1" a="1"/>
  <c r="X468" i="1" s="1"/>
  <c r="Y468" i="1" s="1"/>
  <c r="Z468" i="1" a="1"/>
  <c r="Z468" i="1" s="1"/>
  <c r="AA468" i="1"/>
  <c r="AM467" i="1" a="1"/>
  <c r="AM467" i="1" s="1"/>
  <c r="AE470" i="1" a="1"/>
  <c r="Q469" i="1"/>
  <c r="AB469" i="1" s="1" a="1"/>
  <c r="AB469" i="1" s="1"/>
  <c r="Q470" i="1" a="1"/>
  <c r="AE469" i="1"/>
  <c r="AK469" i="1" s="1" a="1"/>
  <c r="AK469" i="1" s="1"/>
  <c r="AL469" i="1" s="1"/>
  <c r="Z469" i="1" l="1" a="1"/>
  <c r="Z469" i="1" s="1"/>
  <c r="X469" i="1" a="1"/>
  <c r="X469" i="1" s="1"/>
  <c r="Y469" i="1" s="1"/>
  <c r="AA469" i="1"/>
  <c r="AM468" i="1" a="1"/>
  <c r="AM468" i="1" s="1"/>
  <c r="AE471" i="1" a="1"/>
  <c r="Q470" i="1"/>
  <c r="AB470" i="1" s="1" a="1"/>
  <c r="AB470" i="1" s="1"/>
  <c r="Q471" i="1" a="1"/>
  <c r="AE470" i="1"/>
  <c r="AM469" i="1" s="1" a="1"/>
  <c r="AM469" i="1" s="1"/>
  <c r="X470" i="1" l="1" a="1"/>
  <c r="X470" i="1" s="1"/>
  <c r="Y470" i="1" s="1"/>
  <c r="Z470" i="1" a="1"/>
  <c r="Z470" i="1" s="1"/>
  <c r="AA470" i="1"/>
  <c r="AK470" i="1" a="1"/>
  <c r="AK470" i="1" s="1"/>
  <c r="AL470" i="1" s="1"/>
  <c r="AE472" i="1" a="1"/>
  <c r="Q471" i="1"/>
  <c r="AB471" i="1" s="1" a="1"/>
  <c r="AB471" i="1" s="1"/>
  <c r="Q472" i="1" a="1"/>
  <c r="AE471" i="1"/>
  <c r="AM470" i="1" s="1" a="1"/>
  <c r="AM470" i="1" s="1"/>
  <c r="X471" i="1" l="1" a="1"/>
  <c r="X471" i="1" s="1"/>
  <c r="Y471" i="1" s="1"/>
  <c r="Z471" i="1" a="1"/>
  <c r="Z471" i="1" s="1"/>
  <c r="AA471" i="1"/>
  <c r="AK471" i="1" a="1"/>
  <c r="AK471" i="1" s="1"/>
  <c r="AL471" i="1" s="1"/>
  <c r="AE473" i="1" a="1"/>
  <c r="Q473" i="1" a="1"/>
  <c r="Q472" i="1"/>
  <c r="AB472" i="1" s="1" a="1"/>
  <c r="AB472" i="1" s="1"/>
  <c r="AE472" i="1"/>
  <c r="AM471" i="1" s="1" a="1"/>
  <c r="AM471" i="1" s="1"/>
  <c r="AK472" i="1" l="1" a="1"/>
  <c r="AK472" i="1" s="1"/>
  <c r="AL472" i="1" s="1"/>
  <c r="X472" i="1" a="1"/>
  <c r="X472" i="1" s="1"/>
  <c r="Y472" i="1" s="1"/>
  <c r="AA472" i="1"/>
  <c r="Z472" i="1" a="1"/>
  <c r="Z472" i="1" s="1"/>
  <c r="AE474" i="1" a="1"/>
  <c r="Q474" i="1" a="1"/>
  <c r="Q473" i="1"/>
  <c r="AB473" i="1" s="1" a="1"/>
  <c r="AB473" i="1" s="1"/>
  <c r="AE473" i="1"/>
  <c r="AM472" i="1" s="1" a="1"/>
  <c r="AM472" i="1" s="1"/>
  <c r="X473" i="1" l="1" a="1"/>
  <c r="X473" i="1" s="1"/>
  <c r="Y473" i="1" s="1"/>
  <c r="Z473" i="1" a="1"/>
  <c r="Z473" i="1" s="1"/>
  <c r="AA473" i="1"/>
  <c r="AK473" i="1" a="1"/>
  <c r="AK473" i="1" s="1"/>
  <c r="AL473" i="1" s="1"/>
  <c r="AE475" i="1" a="1"/>
  <c r="Q474" i="1"/>
  <c r="AB474" i="1" s="1" a="1"/>
  <c r="AB474" i="1" s="1"/>
  <c r="Q475" i="1" a="1"/>
  <c r="AE474" i="1"/>
  <c r="AM473" i="1" s="1" a="1"/>
  <c r="AM473" i="1" s="1"/>
  <c r="Z474" i="1" l="1" a="1"/>
  <c r="Z474" i="1" s="1"/>
  <c r="X474" i="1" a="1"/>
  <c r="X474" i="1" s="1"/>
  <c r="Y474" i="1" s="1"/>
  <c r="AA474" i="1"/>
  <c r="AK474" i="1" a="1"/>
  <c r="AK474" i="1" s="1"/>
  <c r="AL474" i="1" s="1"/>
  <c r="AE476" i="1" a="1"/>
  <c r="Q476" i="1" a="1"/>
  <c r="Q475" i="1"/>
  <c r="X475" i="1" s="1" a="1"/>
  <c r="X475" i="1" s="1"/>
  <c r="Y475" i="1" s="1"/>
  <c r="AE475" i="1"/>
  <c r="AK475" i="1" s="1" a="1"/>
  <c r="AK475" i="1" s="1"/>
  <c r="AL475" i="1" s="1"/>
  <c r="AB475" i="1" l="1" a="1"/>
  <c r="AB475" i="1" s="1"/>
  <c r="Z475" i="1" a="1"/>
  <c r="Z475" i="1" s="1"/>
  <c r="AA475" i="1"/>
  <c r="AM474" i="1" a="1"/>
  <c r="AM474" i="1" s="1"/>
  <c r="AE477" i="1" a="1"/>
  <c r="Q476" i="1"/>
  <c r="AB476" i="1" s="1" a="1"/>
  <c r="AB476" i="1" s="1"/>
  <c r="Q477" i="1" a="1"/>
  <c r="AE476" i="1"/>
  <c r="AK476" i="1" s="1" a="1"/>
  <c r="AK476" i="1" s="1"/>
  <c r="AL476" i="1" s="1"/>
  <c r="AM475" i="1" l="1" a="1"/>
  <c r="AM475" i="1" s="1"/>
  <c r="X476" i="1" a="1"/>
  <c r="X476" i="1" s="1"/>
  <c r="Y476" i="1" s="1"/>
  <c r="AA476" i="1"/>
  <c r="Z476" i="1" a="1"/>
  <c r="Z476" i="1" s="1"/>
  <c r="AE478" i="1" a="1"/>
  <c r="Q478" i="1" a="1"/>
  <c r="Q477" i="1"/>
  <c r="Z477" i="1" s="1" a="1"/>
  <c r="Z477" i="1" s="1"/>
  <c r="AE477" i="1"/>
  <c r="AK477" i="1" s="1" a="1"/>
  <c r="AK477" i="1" s="1"/>
  <c r="AL477" i="1" s="1"/>
  <c r="AB477" i="1" l="1" a="1"/>
  <c r="AB477" i="1" s="1"/>
  <c r="X477" i="1" a="1"/>
  <c r="X477" i="1" s="1"/>
  <c r="Y477" i="1" s="1"/>
  <c r="AA477" i="1"/>
  <c r="AM476" i="1" a="1"/>
  <c r="AM476" i="1" s="1"/>
  <c r="AE479" i="1" a="1"/>
  <c r="Q478" i="1"/>
  <c r="AB478" i="1" s="1" a="1"/>
  <c r="AB478" i="1" s="1"/>
  <c r="Q479" i="1" a="1"/>
  <c r="AE478" i="1"/>
  <c r="AM477" i="1" s="1" a="1"/>
  <c r="AM477" i="1" s="1"/>
  <c r="X478" i="1" l="1" a="1"/>
  <c r="X478" i="1" s="1"/>
  <c r="Y478" i="1" s="1"/>
  <c r="Z478" i="1" a="1"/>
  <c r="Z478" i="1" s="1"/>
  <c r="AA478" i="1"/>
  <c r="AK478" i="1" a="1"/>
  <c r="AK478" i="1" s="1"/>
  <c r="AL478" i="1" s="1"/>
  <c r="AE480" i="1" a="1"/>
  <c r="Q479" i="1"/>
  <c r="AB479" i="1" s="1" a="1"/>
  <c r="AB479" i="1" s="1"/>
  <c r="Q480" i="1" a="1"/>
  <c r="AE479" i="1"/>
  <c r="AM478" i="1" s="1" a="1"/>
  <c r="AM478" i="1" s="1"/>
  <c r="X479" i="1" l="1" a="1"/>
  <c r="X479" i="1" s="1"/>
  <c r="Y479" i="1" s="1"/>
  <c r="Z479" i="1" a="1"/>
  <c r="Z479" i="1" s="1"/>
  <c r="AA479" i="1"/>
  <c r="AK479" i="1" a="1"/>
  <c r="AK479" i="1" s="1"/>
  <c r="AL479" i="1" s="1"/>
  <c r="AE481" i="1" a="1"/>
  <c r="Q480" i="1"/>
  <c r="AB480" i="1" s="1" a="1"/>
  <c r="AB480" i="1" s="1"/>
  <c r="Q481" i="1" a="1"/>
  <c r="AE480" i="1"/>
  <c r="AM479" i="1" s="1" a="1"/>
  <c r="AM479" i="1" s="1"/>
  <c r="Z480" i="1" l="1" a="1"/>
  <c r="Z480" i="1" s="1"/>
  <c r="X480" i="1" a="1"/>
  <c r="X480" i="1" s="1"/>
  <c r="Y480" i="1" s="1"/>
  <c r="AA480" i="1"/>
  <c r="AK480" i="1" a="1"/>
  <c r="AK480" i="1" s="1"/>
  <c r="AL480" i="1" s="1"/>
  <c r="AE482" i="1" a="1"/>
  <c r="Q482" i="1" a="1"/>
  <c r="Q481" i="1"/>
  <c r="Z481" i="1" s="1" a="1"/>
  <c r="Z481" i="1" s="1"/>
  <c r="AE481" i="1"/>
  <c r="AM480" i="1" s="1" a="1"/>
  <c r="AM480" i="1" s="1"/>
  <c r="AB481" i="1" l="1" a="1"/>
  <c r="AB481" i="1" s="1"/>
  <c r="X481" i="1" a="1"/>
  <c r="X481" i="1" s="1"/>
  <c r="Y481" i="1" s="1"/>
  <c r="AA481" i="1"/>
  <c r="AK481" i="1" a="1"/>
  <c r="AK481" i="1" s="1"/>
  <c r="AL481" i="1" s="1"/>
  <c r="AE483" i="1" a="1"/>
  <c r="Q482" i="1"/>
  <c r="AB482" i="1" s="1" a="1"/>
  <c r="AB482" i="1" s="1"/>
  <c r="Q483" i="1" a="1"/>
  <c r="AE482" i="1"/>
  <c r="AK482" i="1" s="1" a="1"/>
  <c r="AK482" i="1" s="1"/>
  <c r="AL482" i="1" s="1"/>
  <c r="Z482" i="1" l="1" a="1"/>
  <c r="Z482" i="1" s="1"/>
  <c r="X482" i="1" a="1"/>
  <c r="X482" i="1" s="1"/>
  <c r="Y482" i="1" s="1"/>
  <c r="AA482" i="1"/>
  <c r="AM481" i="1" a="1"/>
  <c r="AM481" i="1" s="1"/>
  <c r="AE484" i="1" a="1"/>
  <c r="Q483" i="1"/>
  <c r="AB483" i="1" s="1" a="1"/>
  <c r="AB483" i="1" s="1"/>
  <c r="Q484" i="1" a="1"/>
  <c r="AE483" i="1"/>
  <c r="AK483" i="1" s="1" a="1"/>
  <c r="AK483" i="1" s="1"/>
  <c r="AL483" i="1" s="1"/>
  <c r="X483" i="1" l="1" a="1"/>
  <c r="X483" i="1" s="1"/>
  <c r="Y483" i="1" s="1"/>
  <c r="Z483" i="1" a="1"/>
  <c r="Z483" i="1" s="1"/>
  <c r="AA483" i="1"/>
  <c r="AM482" i="1" a="1"/>
  <c r="AM482" i="1" s="1"/>
  <c r="AE485" i="1" a="1"/>
  <c r="Q484" i="1"/>
  <c r="AB484" i="1" s="1" a="1"/>
  <c r="AB484" i="1" s="1"/>
  <c r="Q485" i="1" a="1"/>
  <c r="AE484" i="1"/>
  <c r="AK484" i="1" s="1" a="1"/>
  <c r="AK484" i="1" s="1"/>
  <c r="AL484" i="1" s="1"/>
  <c r="X484" i="1" l="1" a="1"/>
  <c r="X484" i="1" s="1"/>
  <c r="Y484" i="1" s="1"/>
  <c r="Z484" i="1" a="1"/>
  <c r="Z484" i="1" s="1"/>
  <c r="AA484" i="1"/>
  <c r="AM483" i="1" a="1"/>
  <c r="AM483" i="1" s="1"/>
  <c r="AE486" i="1" a="1"/>
  <c r="Q486" i="1" a="1"/>
  <c r="Q485" i="1"/>
  <c r="AB485" i="1" s="1" a="1"/>
  <c r="AB485" i="1" s="1"/>
  <c r="AE485" i="1"/>
  <c r="AM484" i="1" s="1" a="1"/>
  <c r="AM484" i="1" s="1"/>
  <c r="AK485" i="1" l="1" a="1"/>
  <c r="AK485" i="1" s="1"/>
  <c r="AL485" i="1" s="1"/>
  <c r="X485" i="1" a="1"/>
  <c r="X485" i="1" s="1"/>
  <c r="Y485" i="1" s="1"/>
  <c r="AA485" i="1"/>
  <c r="Z485" i="1" a="1"/>
  <c r="Z485" i="1" s="1"/>
  <c r="AE487" i="1" a="1"/>
  <c r="Q486" i="1"/>
  <c r="AB486" i="1" s="1" a="1"/>
  <c r="AB486" i="1" s="1"/>
  <c r="Q487" i="1" a="1"/>
  <c r="X486" i="1" a="1"/>
  <c r="X486" i="1" s="1"/>
  <c r="Y486" i="1" s="1"/>
  <c r="AE486" i="1"/>
  <c r="AM485" i="1" s="1" a="1"/>
  <c r="AM485" i="1" s="1"/>
  <c r="Z486" i="1" l="1" a="1"/>
  <c r="Z486" i="1" s="1"/>
  <c r="AA486" i="1"/>
  <c r="AK486" i="1" a="1"/>
  <c r="AK486" i="1" s="1"/>
  <c r="AL486" i="1" s="1"/>
  <c r="AE488" i="1" a="1"/>
  <c r="Q487" i="1"/>
  <c r="AB487" i="1" s="1" a="1"/>
  <c r="AB487" i="1" s="1"/>
  <c r="Q488" i="1" a="1"/>
  <c r="AE487" i="1"/>
  <c r="AM486" i="1" s="1" a="1"/>
  <c r="AM486" i="1" s="1"/>
  <c r="X487" i="1" l="1" a="1"/>
  <c r="X487" i="1" s="1"/>
  <c r="Y487" i="1" s="1"/>
  <c r="AA487" i="1"/>
  <c r="Z487" i="1" a="1"/>
  <c r="Z487" i="1" s="1"/>
  <c r="AK487" i="1" a="1"/>
  <c r="AK487" i="1" s="1"/>
  <c r="AL487" i="1" s="1"/>
  <c r="AE489" i="1" a="1"/>
  <c r="Q489" i="1" a="1"/>
  <c r="Q488" i="1"/>
  <c r="AB488" i="1" s="1" a="1"/>
  <c r="AB488" i="1" s="1"/>
  <c r="AE488" i="1"/>
  <c r="AK488" i="1" s="1" a="1"/>
  <c r="AK488" i="1" s="1"/>
  <c r="AL488" i="1" s="1"/>
  <c r="Z488" i="1" l="1" a="1"/>
  <c r="Z488" i="1" s="1"/>
  <c r="AA488" i="1"/>
  <c r="AM487" i="1" a="1"/>
  <c r="AM487" i="1" s="1"/>
  <c r="X488" i="1" a="1"/>
  <c r="X488" i="1" s="1"/>
  <c r="Y488" i="1" s="1"/>
  <c r="AE490" i="1" a="1"/>
  <c r="Q489" i="1"/>
  <c r="AB489" i="1" s="1" a="1"/>
  <c r="AB489" i="1" s="1"/>
  <c r="Q490" i="1" a="1"/>
  <c r="AE489" i="1"/>
  <c r="AM488" i="1" s="1" a="1"/>
  <c r="AM488" i="1" s="1"/>
  <c r="Z489" i="1" l="1" a="1"/>
  <c r="Z489" i="1" s="1"/>
  <c r="X489" i="1" a="1"/>
  <c r="X489" i="1" s="1"/>
  <c r="Y489" i="1" s="1"/>
  <c r="AA489" i="1"/>
  <c r="AK489" i="1" a="1"/>
  <c r="AK489" i="1" s="1"/>
  <c r="AL489" i="1" s="1"/>
  <c r="AE491" i="1" a="1"/>
  <c r="Q490" i="1"/>
  <c r="AB490" i="1" s="1" a="1"/>
  <c r="AB490" i="1" s="1"/>
  <c r="Q491" i="1" a="1"/>
  <c r="AE490" i="1"/>
  <c r="AM489" i="1" s="1" a="1"/>
  <c r="AM489" i="1" s="1"/>
  <c r="Z490" i="1" l="1" a="1"/>
  <c r="Z490" i="1" s="1"/>
  <c r="X490" i="1" a="1"/>
  <c r="X490" i="1" s="1"/>
  <c r="Y490" i="1" s="1"/>
  <c r="AA490" i="1"/>
  <c r="AK490" i="1" a="1"/>
  <c r="AK490" i="1" s="1"/>
  <c r="AL490" i="1" s="1"/>
  <c r="AE492" i="1" a="1"/>
  <c r="Q492" i="1" a="1"/>
  <c r="Q491" i="1"/>
  <c r="AB491" i="1" s="1" a="1"/>
  <c r="AB491" i="1" s="1"/>
  <c r="AE491" i="1"/>
  <c r="AM490" i="1" s="1" a="1"/>
  <c r="AM490" i="1" s="1"/>
  <c r="AK491" i="1" l="1" a="1"/>
  <c r="AK491" i="1" s="1"/>
  <c r="AL491" i="1" s="1"/>
  <c r="Z491" i="1" a="1"/>
  <c r="Z491" i="1" s="1"/>
  <c r="AA491" i="1"/>
  <c r="X491" i="1" a="1"/>
  <c r="X491" i="1" s="1"/>
  <c r="Y491" i="1" s="1"/>
  <c r="AE493" i="1" a="1"/>
  <c r="Q492" i="1"/>
  <c r="AB492" i="1" s="1" a="1"/>
  <c r="AB492" i="1" s="1"/>
  <c r="Q493" i="1" a="1"/>
  <c r="AE492" i="1"/>
  <c r="AK492" i="1" s="1" a="1"/>
  <c r="AK492" i="1" s="1"/>
  <c r="AL492" i="1" s="1"/>
  <c r="X492" i="1" l="1" a="1"/>
  <c r="X492" i="1" s="1"/>
  <c r="Y492" i="1" s="1"/>
  <c r="Z492" i="1" a="1"/>
  <c r="Z492" i="1" s="1"/>
  <c r="AA492" i="1"/>
  <c r="AM491" i="1" a="1"/>
  <c r="AM491" i="1" s="1"/>
  <c r="AE494" i="1" a="1"/>
  <c r="Q493" i="1"/>
  <c r="AB493" i="1" s="1" a="1"/>
  <c r="AB493" i="1" s="1"/>
  <c r="Q494" i="1" a="1"/>
  <c r="AE493" i="1"/>
  <c r="AK493" i="1" s="1" a="1"/>
  <c r="AK493" i="1" s="1"/>
  <c r="AL493" i="1" s="1"/>
  <c r="Z493" i="1" l="1" a="1"/>
  <c r="Z493" i="1" s="1"/>
  <c r="X493" i="1" a="1"/>
  <c r="X493" i="1" s="1"/>
  <c r="Y493" i="1" s="1"/>
  <c r="AA493" i="1"/>
  <c r="AM492" i="1" a="1"/>
  <c r="AM492" i="1" s="1"/>
  <c r="AE495" i="1" a="1"/>
  <c r="Q494" i="1"/>
  <c r="AB494" i="1" s="1" a="1"/>
  <c r="AB494" i="1" s="1"/>
  <c r="Q495" i="1" a="1"/>
  <c r="AE494" i="1"/>
  <c r="AM493" i="1" s="1" a="1"/>
  <c r="AM493" i="1" s="1"/>
  <c r="X494" i="1" l="1" a="1"/>
  <c r="X494" i="1" s="1"/>
  <c r="Y494" i="1" s="1"/>
  <c r="Z494" i="1" a="1"/>
  <c r="Z494" i="1" s="1"/>
  <c r="AA494" i="1"/>
  <c r="AK494" i="1" a="1"/>
  <c r="AK494" i="1" s="1"/>
  <c r="AL494" i="1" s="1"/>
  <c r="AE496" i="1" a="1"/>
  <c r="Q495" i="1"/>
  <c r="AB495" i="1" s="1" a="1"/>
  <c r="AB495" i="1" s="1"/>
  <c r="Q496" i="1" a="1"/>
  <c r="AE495" i="1"/>
  <c r="AM494" i="1" s="1" a="1"/>
  <c r="AM494" i="1" s="1"/>
  <c r="Z495" i="1" l="1" a="1"/>
  <c r="Z495" i="1" s="1"/>
  <c r="X495" i="1" a="1"/>
  <c r="X495" i="1" s="1"/>
  <c r="Y495" i="1" s="1"/>
  <c r="AA495" i="1"/>
  <c r="AK495" i="1" a="1"/>
  <c r="AK495" i="1" s="1"/>
  <c r="AL495" i="1" s="1"/>
  <c r="AE497" i="1" a="1"/>
  <c r="Q497" i="1" a="1"/>
  <c r="Q496" i="1"/>
  <c r="X496" i="1" s="1" a="1"/>
  <c r="X496" i="1" s="1"/>
  <c r="Y496" i="1" s="1"/>
  <c r="AE496" i="1"/>
  <c r="AM495" i="1" s="1" a="1"/>
  <c r="AM495" i="1" s="1"/>
  <c r="AB496" i="1" l="1" a="1"/>
  <c r="AB496" i="1" s="1"/>
  <c r="Z496" i="1" a="1"/>
  <c r="Z496" i="1" s="1"/>
  <c r="AA496" i="1"/>
  <c r="AK496" i="1" a="1"/>
  <c r="AK496" i="1" s="1"/>
  <c r="AL496" i="1" s="1"/>
  <c r="AE498" i="1" a="1"/>
  <c r="Q497" i="1"/>
  <c r="AB497" i="1" s="1" a="1"/>
  <c r="AB497" i="1" s="1"/>
  <c r="Q498" i="1" a="1"/>
  <c r="AE497" i="1"/>
  <c r="AK497" i="1" s="1" a="1"/>
  <c r="AK497" i="1" s="1"/>
  <c r="AL497" i="1" s="1"/>
  <c r="AM496" i="1" l="1" a="1"/>
  <c r="AM496" i="1" s="1"/>
  <c r="X497" i="1" a="1"/>
  <c r="X497" i="1" s="1"/>
  <c r="Y497" i="1" s="1"/>
  <c r="AA497" i="1"/>
  <c r="Z497" i="1" a="1"/>
  <c r="Z497" i="1" s="1"/>
  <c r="AE499" i="1" a="1"/>
  <c r="Q498" i="1"/>
  <c r="AB498" i="1" s="1" a="1"/>
  <c r="AB498" i="1" s="1"/>
  <c r="Q499" i="1" a="1"/>
  <c r="AE498" i="1"/>
  <c r="AK498" i="1" s="1" a="1"/>
  <c r="AK498" i="1" s="1"/>
  <c r="AL498" i="1" s="1"/>
  <c r="Z498" i="1" l="1" a="1"/>
  <c r="Z498" i="1" s="1"/>
  <c r="X498" i="1" a="1"/>
  <c r="X498" i="1" s="1"/>
  <c r="Y498" i="1" s="1"/>
  <c r="AA498" i="1"/>
  <c r="AM497" i="1" a="1"/>
  <c r="AM497" i="1" s="1"/>
  <c r="AE500" i="1" a="1"/>
  <c r="Q500" i="1" a="1"/>
  <c r="Q499" i="1"/>
  <c r="AB499" i="1" s="1" a="1"/>
  <c r="AB499" i="1" s="1"/>
  <c r="AE499" i="1"/>
  <c r="AM498" i="1" s="1" a="1"/>
  <c r="AM498" i="1" s="1"/>
  <c r="AK499" i="1" l="1" a="1"/>
  <c r="AK499" i="1" s="1"/>
  <c r="AL499" i="1" s="1"/>
  <c r="Z499" i="1" a="1"/>
  <c r="Z499" i="1" s="1"/>
  <c r="AA499" i="1"/>
  <c r="X499" i="1" a="1"/>
  <c r="X499" i="1" s="1"/>
  <c r="Y499" i="1" s="1"/>
  <c r="AE501" i="1" a="1"/>
  <c r="Q500" i="1"/>
  <c r="AB500" i="1" s="1" a="1"/>
  <c r="AB500" i="1" s="1"/>
  <c r="Q501" i="1" a="1"/>
  <c r="AE500" i="1"/>
  <c r="AM499" i="1" s="1" a="1"/>
  <c r="AM499" i="1" s="1"/>
  <c r="X500" i="1" l="1" a="1"/>
  <c r="X500" i="1" s="1"/>
  <c r="Y500" i="1" s="1"/>
  <c r="Z500" i="1" a="1"/>
  <c r="Z500" i="1" s="1"/>
  <c r="AA500" i="1"/>
  <c r="AK500" i="1" a="1"/>
  <c r="AK500" i="1" s="1"/>
  <c r="AL500" i="1" s="1"/>
  <c r="AE502" i="1" a="1"/>
  <c r="Q502" i="1" a="1"/>
  <c r="Q501" i="1"/>
  <c r="Z501" i="1" s="1" a="1"/>
  <c r="Z501" i="1" s="1"/>
  <c r="AE501" i="1"/>
  <c r="AK501" i="1" s="1" a="1"/>
  <c r="AK501" i="1" s="1"/>
  <c r="AL501" i="1" s="1"/>
  <c r="AB501" i="1" l="1" a="1"/>
  <c r="AB501" i="1" s="1"/>
  <c r="X501" i="1" a="1"/>
  <c r="X501" i="1" s="1"/>
  <c r="Y501" i="1" s="1"/>
  <c r="AA501" i="1"/>
  <c r="AM500" i="1" a="1"/>
  <c r="AM500" i="1" s="1"/>
  <c r="AE503" i="1" a="1"/>
  <c r="Q503" i="1" a="1"/>
  <c r="Q502" i="1"/>
  <c r="AB502" i="1" s="1" a="1"/>
  <c r="AB502" i="1" s="1"/>
  <c r="AE502" i="1"/>
  <c r="AM501" i="1" s="1" a="1"/>
  <c r="AM501" i="1" s="1"/>
  <c r="X502" i="1" l="1" a="1"/>
  <c r="X502" i="1" s="1"/>
  <c r="Y502" i="1" s="1"/>
  <c r="Z502" i="1" a="1"/>
  <c r="Z502" i="1" s="1"/>
  <c r="AA502" i="1"/>
  <c r="AK502" i="1" a="1"/>
  <c r="AK502" i="1" s="1"/>
  <c r="AL502" i="1" s="1"/>
  <c r="AE504" i="1" a="1"/>
  <c r="Q504" i="1" a="1"/>
  <c r="Q503" i="1"/>
  <c r="AB503" i="1" s="1" a="1"/>
  <c r="AB503" i="1" s="1"/>
  <c r="AE503" i="1"/>
  <c r="AM502" i="1" s="1" a="1"/>
  <c r="AM502" i="1" s="1"/>
  <c r="X503" i="1" l="1" a="1"/>
  <c r="X503" i="1" s="1"/>
  <c r="Y503" i="1" s="1"/>
  <c r="Z503" i="1" a="1"/>
  <c r="Z503" i="1" s="1"/>
  <c r="AA503" i="1"/>
  <c r="AK503" i="1" a="1"/>
  <c r="AK503" i="1" s="1"/>
  <c r="AL503" i="1" s="1"/>
  <c r="AE505" i="1" a="1"/>
  <c r="Q504" i="1"/>
  <c r="AB504" i="1" s="1" a="1"/>
  <c r="AB504" i="1" s="1"/>
  <c r="Q505" i="1" a="1"/>
  <c r="AE504" i="1"/>
  <c r="AM503" i="1" s="1" a="1"/>
  <c r="AM503" i="1" s="1"/>
  <c r="Z504" i="1" l="1" a="1"/>
  <c r="Z504" i="1" s="1"/>
  <c r="X504" i="1" a="1"/>
  <c r="X504" i="1" s="1"/>
  <c r="Y504" i="1" s="1"/>
  <c r="AA504" i="1"/>
  <c r="AK504" i="1" a="1"/>
  <c r="AK504" i="1" s="1"/>
  <c r="AL504" i="1" s="1"/>
  <c r="AE506" i="1" a="1"/>
  <c r="Q505" i="1"/>
  <c r="AB505" i="1" s="1" a="1"/>
  <c r="AB505" i="1" s="1"/>
  <c r="Q506" i="1" a="1"/>
  <c r="AE505" i="1"/>
  <c r="AM504" i="1" s="1" a="1"/>
  <c r="AM504" i="1" s="1"/>
  <c r="X505" i="1" l="1" a="1"/>
  <c r="X505" i="1" s="1"/>
  <c r="Y505" i="1" s="1"/>
  <c r="Z505" i="1" a="1"/>
  <c r="Z505" i="1" s="1"/>
  <c r="AA505" i="1"/>
  <c r="AK505" i="1" a="1"/>
  <c r="AK505" i="1" s="1"/>
  <c r="AL505" i="1" s="1"/>
  <c r="AE507" i="1" a="1"/>
  <c r="Q506" i="1"/>
  <c r="AB506" i="1" s="1" a="1"/>
  <c r="AB506" i="1" s="1"/>
  <c r="Q507" i="1" a="1"/>
  <c r="AE506" i="1"/>
  <c r="AK506" i="1" s="1" a="1"/>
  <c r="AK506" i="1" s="1"/>
  <c r="AL506" i="1" s="1"/>
  <c r="Z506" i="1" l="1" a="1"/>
  <c r="Z506" i="1" s="1"/>
  <c r="X506" i="1" a="1"/>
  <c r="X506" i="1" s="1"/>
  <c r="Y506" i="1" s="1"/>
  <c r="AA506" i="1"/>
  <c r="AM505" i="1" a="1"/>
  <c r="AM505" i="1" s="1"/>
  <c r="AE508" i="1" a="1"/>
  <c r="Q507" i="1"/>
  <c r="AB507" i="1" s="1" a="1"/>
  <c r="AB507" i="1" s="1"/>
  <c r="Q508" i="1" a="1"/>
  <c r="AE507" i="1"/>
  <c r="AM506" i="1" s="1" a="1"/>
  <c r="AM506" i="1" s="1"/>
  <c r="AK507" i="1" l="1" a="1"/>
  <c r="AK507" i="1" s="1"/>
  <c r="AL507" i="1" s="1"/>
  <c r="Z507" i="1" a="1"/>
  <c r="Z507" i="1" s="1"/>
  <c r="AA507" i="1"/>
  <c r="X507" i="1" a="1"/>
  <c r="X507" i="1" s="1"/>
  <c r="Y507" i="1" s="1"/>
  <c r="AE509" i="1" a="1"/>
  <c r="Q509" i="1" a="1"/>
  <c r="Q508" i="1"/>
  <c r="AB508" i="1" s="1" a="1"/>
  <c r="AB508" i="1" s="1"/>
  <c r="AE508" i="1"/>
  <c r="AM507" i="1" s="1" a="1"/>
  <c r="AM507" i="1" s="1"/>
  <c r="Z508" i="1" l="1" a="1"/>
  <c r="Z508" i="1" s="1"/>
  <c r="X508" i="1" a="1"/>
  <c r="X508" i="1" s="1"/>
  <c r="Y508" i="1" s="1"/>
  <c r="AA508" i="1"/>
  <c r="AK508" i="1" a="1"/>
  <c r="AK508" i="1" s="1"/>
  <c r="AL508" i="1" s="1"/>
  <c r="AE510" i="1" a="1"/>
  <c r="Q510" i="1" a="1"/>
  <c r="Q509" i="1"/>
  <c r="AB509" i="1" s="1" a="1"/>
  <c r="AB509" i="1" s="1"/>
  <c r="AE509" i="1"/>
  <c r="AK509" i="1" s="1" a="1"/>
  <c r="AK509" i="1" s="1"/>
  <c r="AL509" i="1" s="1"/>
  <c r="Z509" i="1" l="1" a="1"/>
  <c r="Z509" i="1" s="1"/>
  <c r="X509" i="1" a="1"/>
  <c r="X509" i="1" s="1"/>
  <c r="Y509" i="1" s="1"/>
  <c r="AA509" i="1"/>
  <c r="AM508" i="1" a="1"/>
  <c r="AM508" i="1" s="1"/>
  <c r="AE511" i="1" a="1"/>
  <c r="Q510" i="1"/>
  <c r="AB510" i="1" s="1" a="1"/>
  <c r="AB510" i="1" s="1"/>
  <c r="Q511" i="1" a="1"/>
  <c r="AE510" i="1"/>
  <c r="AK510" i="1" s="1" a="1"/>
  <c r="AK510" i="1" s="1"/>
  <c r="AL510" i="1" s="1"/>
  <c r="X510" i="1" l="1" a="1"/>
  <c r="X510" i="1" s="1"/>
  <c r="Y510" i="1" s="1"/>
  <c r="Z510" i="1" a="1"/>
  <c r="Z510" i="1" s="1"/>
  <c r="AA510" i="1"/>
  <c r="AM509" i="1" a="1"/>
  <c r="AM509" i="1" s="1"/>
  <c r="AE512" i="1" a="1"/>
  <c r="Q511" i="1"/>
  <c r="AB511" i="1" s="1" a="1"/>
  <c r="AB511" i="1" s="1"/>
  <c r="Q512" i="1" a="1"/>
  <c r="AE511" i="1"/>
  <c r="AK511" i="1" s="1" a="1"/>
  <c r="AK511" i="1" s="1"/>
  <c r="AL511" i="1" s="1"/>
  <c r="Z511" i="1" l="1" a="1"/>
  <c r="Z511" i="1" s="1"/>
  <c r="X511" i="1" a="1"/>
  <c r="X511" i="1" s="1"/>
  <c r="Y511" i="1" s="1"/>
  <c r="AA511" i="1"/>
  <c r="AM510" i="1" a="1"/>
  <c r="AM510" i="1" s="1"/>
  <c r="AE513" i="1" a="1"/>
  <c r="Q513" i="1" a="1"/>
  <c r="Q512" i="1"/>
  <c r="AB512" i="1" s="1" a="1"/>
  <c r="AB512" i="1" s="1"/>
  <c r="AE512" i="1"/>
  <c r="AK512" i="1" s="1" a="1"/>
  <c r="AK512" i="1" s="1"/>
  <c r="AL512" i="1" s="1"/>
  <c r="X512" i="1" l="1" a="1"/>
  <c r="X512" i="1" s="1"/>
  <c r="Y512" i="1" s="1"/>
  <c r="Z512" i="1" a="1"/>
  <c r="Z512" i="1" s="1"/>
  <c r="AA512" i="1"/>
  <c r="AM511" i="1" a="1"/>
  <c r="AM511" i="1" s="1"/>
  <c r="AE514" i="1" a="1"/>
  <c r="Q513" i="1"/>
  <c r="AB513" i="1" s="1" a="1"/>
  <c r="AB513" i="1" s="1"/>
  <c r="Q514" i="1" a="1"/>
  <c r="AE513" i="1"/>
  <c r="AK513" i="1" s="1" a="1"/>
  <c r="AK513" i="1" s="1"/>
  <c r="AL513" i="1" s="1"/>
  <c r="AM512" i="1" l="1" a="1"/>
  <c r="AM512" i="1" s="1"/>
  <c r="Z513" i="1" a="1"/>
  <c r="Z513" i="1" s="1"/>
  <c r="AA513" i="1"/>
  <c r="X513" i="1" a="1"/>
  <c r="X513" i="1" s="1"/>
  <c r="Y513" i="1" s="1"/>
  <c r="AE515" i="1" a="1"/>
  <c r="Q514" i="1"/>
  <c r="AB514" i="1" s="1" a="1"/>
  <c r="AB514" i="1" s="1"/>
  <c r="Q515" i="1" a="1"/>
  <c r="AE514" i="1"/>
  <c r="AK514" i="1" s="1" a="1"/>
  <c r="AK514" i="1" s="1"/>
  <c r="AL514" i="1" s="1"/>
  <c r="Z514" i="1" l="1" a="1"/>
  <c r="Z514" i="1" s="1"/>
  <c r="X514" i="1" a="1"/>
  <c r="X514" i="1" s="1"/>
  <c r="Y514" i="1" s="1"/>
  <c r="AA514" i="1"/>
  <c r="AM513" i="1" a="1"/>
  <c r="AM513" i="1" s="1"/>
  <c r="AE516" i="1" a="1"/>
  <c r="Q515" i="1"/>
  <c r="AB515" i="1" s="1" a="1"/>
  <c r="AB515" i="1" s="1"/>
  <c r="Q516" i="1" a="1"/>
  <c r="AE515" i="1"/>
  <c r="AK515" i="1" s="1" a="1"/>
  <c r="AK515" i="1" s="1"/>
  <c r="AL515" i="1" s="1"/>
  <c r="X515" i="1" l="1" a="1"/>
  <c r="X515" i="1" s="1"/>
  <c r="Y515" i="1" s="1"/>
  <c r="Z515" i="1" a="1"/>
  <c r="Z515" i="1" s="1"/>
  <c r="AA515" i="1"/>
  <c r="AM514" i="1" a="1"/>
  <c r="AM514" i="1" s="1"/>
  <c r="AE517" i="1" a="1"/>
  <c r="Q516" i="1"/>
  <c r="AB516" i="1" s="1" a="1"/>
  <c r="AB516" i="1" s="1"/>
  <c r="Q517" i="1" a="1"/>
  <c r="AE516" i="1"/>
  <c r="AM515" i="1" s="1" a="1"/>
  <c r="AM515" i="1" s="1"/>
  <c r="X516" i="1" l="1" a="1"/>
  <c r="X516" i="1" s="1"/>
  <c r="Y516" i="1" s="1"/>
  <c r="Z516" i="1" a="1"/>
  <c r="Z516" i="1" s="1"/>
  <c r="AA516" i="1"/>
  <c r="AK516" i="1" a="1"/>
  <c r="AK516" i="1" s="1"/>
  <c r="AL516" i="1" s="1"/>
  <c r="AE518" i="1" a="1"/>
  <c r="Q517" i="1"/>
  <c r="AB517" i="1" s="1" a="1"/>
  <c r="AB517" i="1" s="1"/>
  <c r="Q518" i="1" a="1"/>
  <c r="AE517" i="1"/>
  <c r="AM516" i="1" s="1" a="1"/>
  <c r="AM516" i="1" s="1"/>
  <c r="Z517" i="1" l="1" a="1"/>
  <c r="Z517" i="1" s="1"/>
  <c r="AK517" i="1" a="1"/>
  <c r="AK517" i="1" s="1"/>
  <c r="AL517" i="1" s="1"/>
  <c r="X517" i="1" a="1"/>
  <c r="X517" i="1" s="1"/>
  <c r="Y517" i="1" s="1"/>
  <c r="AA517" i="1"/>
  <c r="AE519" i="1" a="1"/>
  <c r="Q519" i="1" a="1"/>
  <c r="Q518" i="1"/>
  <c r="AB518" i="1" s="1" a="1"/>
  <c r="AB518" i="1" s="1"/>
  <c r="AE518" i="1"/>
  <c r="AK518" i="1" s="1" a="1"/>
  <c r="AK518" i="1" s="1"/>
  <c r="AL518" i="1" s="1"/>
  <c r="X518" i="1" l="1" a="1"/>
  <c r="X518" i="1" s="1"/>
  <c r="Y518" i="1" s="1"/>
  <c r="AM517" i="1" a="1"/>
  <c r="AM517" i="1" s="1"/>
  <c r="Z518" i="1" a="1"/>
  <c r="Z518" i="1" s="1"/>
  <c r="AA518" i="1"/>
  <c r="AE520" i="1" a="1"/>
  <c r="Q520" i="1" a="1"/>
  <c r="Q519" i="1"/>
  <c r="AB519" i="1" s="1" a="1"/>
  <c r="AB519" i="1" s="1"/>
  <c r="AE519" i="1"/>
  <c r="AK519" i="1" s="1" a="1"/>
  <c r="AK519" i="1" s="1"/>
  <c r="AL519" i="1" s="1"/>
  <c r="Z519" i="1" l="1" a="1"/>
  <c r="Z519" i="1" s="1"/>
  <c r="AM518" i="1" a="1"/>
  <c r="AM518" i="1" s="1"/>
  <c r="X519" i="1" a="1"/>
  <c r="X519" i="1" s="1"/>
  <c r="Y519" i="1" s="1"/>
  <c r="AA519" i="1"/>
  <c r="AE521" i="1" a="1"/>
  <c r="Q521" i="1" a="1"/>
  <c r="Q520" i="1"/>
  <c r="AB520" i="1" s="1" a="1"/>
  <c r="AB520" i="1" s="1"/>
  <c r="AE520" i="1"/>
  <c r="AK520" i="1" s="1" a="1"/>
  <c r="AK520" i="1" s="1"/>
  <c r="AL520" i="1" s="1"/>
  <c r="AM519" i="1" l="1" a="1"/>
  <c r="AM519" i="1" s="1"/>
  <c r="Z520" i="1" a="1"/>
  <c r="Z520" i="1" s="1"/>
  <c r="AA520" i="1"/>
  <c r="X520" i="1" a="1"/>
  <c r="X520" i="1" s="1"/>
  <c r="Y520" i="1" s="1"/>
  <c r="AE522" i="1" a="1"/>
  <c r="Q521" i="1"/>
  <c r="AB521" i="1" s="1" a="1"/>
  <c r="AB521" i="1" s="1"/>
  <c r="Q522" i="1" a="1"/>
  <c r="AE521" i="1"/>
  <c r="AM520" i="1" s="1" a="1"/>
  <c r="AM520" i="1" s="1"/>
  <c r="Z521" i="1" l="1" a="1"/>
  <c r="Z521" i="1" s="1"/>
  <c r="X521" i="1" a="1"/>
  <c r="X521" i="1" s="1"/>
  <c r="Y521" i="1" s="1"/>
  <c r="AA521" i="1"/>
  <c r="AK521" i="1" a="1"/>
  <c r="AK521" i="1" s="1"/>
  <c r="AL521" i="1" s="1"/>
  <c r="AE523" i="1" a="1"/>
  <c r="Q522" i="1"/>
  <c r="AB522" i="1" s="1" a="1"/>
  <c r="AB522" i="1" s="1"/>
  <c r="Q523" i="1" a="1"/>
  <c r="AE522" i="1"/>
  <c r="AK522" i="1" s="1" a="1"/>
  <c r="AK522" i="1" s="1"/>
  <c r="AL522" i="1" s="1"/>
  <c r="Z522" i="1" l="1" a="1"/>
  <c r="Z522" i="1" s="1"/>
  <c r="X522" i="1" a="1"/>
  <c r="X522" i="1" s="1"/>
  <c r="Y522" i="1" s="1"/>
  <c r="AA522" i="1"/>
  <c r="AM521" i="1" a="1"/>
  <c r="AM521" i="1" s="1"/>
  <c r="AE524" i="1" a="1"/>
  <c r="Q524" i="1" a="1"/>
  <c r="Q523" i="1"/>
  <c r="X523" i="1" s="1" a="1"/>
  <c r="X523" i="1" s="1"/>
  <c r="Y523" i="1" s="1"/>
  <c r="AE523" i="1"/>
  <c r="AM522" i="1" s="1" a="1"/>
  <c r="AM522" i="1" s="1"/>
  <c r="AB523" i="1" l="1" a="1"/>
  <c r="AB523" i="1" s="1"/>
  <c r="Z523" i="1" a="1"/>
  <c r="Z523" i="1" s="1"/>
  <c r="AA523" i="1"/>
  <c r="AK523" i="1" a="1"/>
  <c r="AK523" i="1" s="1"/>
  <c r="AL523" i="1" s="1"/>
  <c r="AE525" i="1" a="1"/>
  <c r="Q524" i="1"/>
  <c r="AB524" i="1" s="1" a="1"/>
  <c r="AB524" i="1" s="1"/>
  <c r="Q525" i="1" a="1"/>
  <c r="AE524" i="1"/>
  <c r="AM523" i="1" s="1" a="1"/>
  <c r="AM523" i="1" s="1"/>
  <c r="X524" i="1" l="1" a="1"/>
  <c r="X524" i="1" s="1"/>
  <c r="Y524" i="1" s="1"/>
  <c r="Z524" i="1" a="1"/>
  <c r="Z524" i="1" s="1"/>
  <c r="AA524" i="1"/>
  <c r="AK524" i="1" a="1"/>
  <c r="AK524" i="1" s="1"/>
  <c r="AL524" i="1" s="1"/>
  <c r="AE526" i="1" a="1"/>
  <c r="Q526" i="1" a="1"/>
  <c r="Q525" i="1"/>
  <c r="AB525" i="1" s="1" a="1"/>
  <c r="AB525" i="1" s="1"/>
  <c r="AE525" i="1"/>
  <c r="AK525" i="1" s="1" a="1"/>
  <c r="AK525" i="1" s="1"/>
  <c r="AL525" i="1" s="1"/>
  <c r="AM524" i="1" l="1" a="1"/>
  <c r="AM524" i="1" s="1"/>
  <c r="X525" i="1" a="1"/>
  <c r="X525" i="1" s="1"/>
  <c r="Y525" i="1" s="1"/>
  <c r="AA525" i="1"/>
  <c r="Z525" i="1" a="1"/>
  <c r="Z525" i="1" s="1"/>
  <c r="AE527" i="1" a="1"/>
  <c r="Q527" i="1" a="1"/>
  <c r="Q526" i="1"/>
  <c r="X526" i="1" s="1" a="1"/>
  <c r="X526" i="1" s="1"/>
  <c r="Y526" i="1" s="1"/>
  <c r="AE526" i="1"/>
  <c r="AM525" i="1" s="1" a="1"/>
  <c r="AM525" i="1" s="1"/>
  <c r="AB526" i="1" l="1" a="1"/>
  <c r="AB526" i="1" s="1"/>
  <c r="Z526" i="1" a="1"/>
  <c r="Z526" i="1" s="1"/>
  <c r="AA526" i="1"/>
  <c r="AK526" i="1" a="1"/>
  <c r="AK526" i="1" s="1"/>
  <c r="AL526" i="1" s="1"/>
  <c r="AE528" i="1" a="1"/>
  <c r="Q528" i="1" a="1"/>
  <c r="Q527" i="1"/>
  <c r="AB527" i="1" s="1" a="1"/>
  <c r="AB527" i="1" s="1"/>
  <c r="AE527" i="1"/>
  <c r="AK527" i="1" s="1" a="1"/>
  <c r="AK527" i="1" s="1"/>
  <c r="AL527" i="1" s="1"/>
  <c r="Z527" i="1" l="1" a="1"/>
  <c r="Z527" i="1" s="1"/>
  <c r="X527" i="1" a="1"/>
  <c r="X527" i="1" s="1"/>
  <c r="Y527" i="1" s="1"/>
  <c r="AA527" i="1"/>
  <c r="AM526" i="1" a="1"/>
  <c r="AM526" i="1" s="1"/>
  <c r="AE529" i="1" a="1"/>
  <c r="Q528" i="1"/>
  <c r="AB528" i="1" s="1" a="1"/>
  <c r="AB528" i="1" s="1"/>
  <c r="Q529" i="1" a="1"/>
  <c r="AE528" i="1"/>
  <c r="AK528" i="1" s="1" a="1"/>
  <c r="AK528" i="1" s="1"/>
  <c r="AL528" i="1" s="1"/>
  <c r="AM527" i="1" l="1" a="1"/>
  <c r="AM527" i="1" s="1"/>
  <c r="X528" i="1" a="1"/>
  <c r="X528" i="1" s="1"/>
  <c r="Y528" i="1" s="1"/>
  <c r="AA528" i="1"/>
  <c r="Z528" i="1" a="1"/>
  <c r="Z528" i="1" s="1"/>
  <c r="AE530" i="1" a="1"/>
  <c r="Q529" i="1"/>
  <c r="AB529" i="1" s="1" a="1"/>
  <c r="AB529" i="1" s="1"/>
  <c r="Q530" i="1" a="1"/>
  <c r="AE529" i="1"/>
  <c r="AK529" i="1" s="1" a="1"/>
  <c r="AK529" i="1" s="1"/>
  <c r="AL529" i="1" s="1"/>
  <c r="Z529" i="1" l="1" a="1"/>
  <c r="Z529" i="1" s="1"/>
  <c r="X529" i="1" a="1"/>
  <c r="X529" i="1" s="1"/>
  <c r="Y529" i="1" s="1"/>
  <c r="AA529" i="1"/>
  <c r="AM528" i="1" a="1"/>
  <c r="AM528" i="1" s="1"/>
  <c r="AE531" i="1" a="1"/>
  <c r="Q531" i="1" a="1"/>
  <c r="Q530" i="1"/>
  <c r="AB530" i="1" s="1" a="1"/>
  <c r="AB530" i="1" s="1"/>
  <c r="AE530" i="1"/>
  <c r="AK530" i="1" s="1" a="1"/>
  <c r="AK530" i="1" s="1"/>
  <c r="AL530" i="1" s="1"/>
  <c r="AM529" i="1" l="1" a="1"/>
  <c r="AM529" i="1" s="1"/>
  <c r="X530" i="1" a="1"/>
  <c r="X530" i="1" s="1"/>
  <c r="Y530" i="1" s="1"/>
  <c r="AA530" i="1"/>
  <c r="Z530" i="1" a="1"/>
  <c r="Z530" i="1" s="1"/>
  <c r="AE532" i="1" a="1"/>
  <c r="Q531" i="1"/>
  <c r="AB531" i="1" s="1" a="1"/>
  <c r="AB531" i="1" s="1"/>
  <c r="Q532" i="1" a="1"/>
  <c r="AE531" i="1"/>
  <c r="AM530" i="1" s="1" a="1"/>
  <c r="AM530" i="1" s="1"/>
  <c r="X531" i="1" l="1" a="1"/>
  <c r="X531" i="1" s="1"/>
  <c r="Y531" i="1" s="1"/>
  <c r="Z531" i="1" a="1"/>
  <c r="Z531" i="1" s="1"/>
  <c r="AA531" i="1"/>
  <c r="AK531" i="1" a="1"/>
  <c r="AK531" i="1" s="1"/>
  <c r="AL531" i="1" s="1"/>
  <c r="AE533" i="1" a="1"/>
  <c r="Q532" i="1"/>
  <c r="AB532" i="1" s="1" a="1"/>
  <c r="AB532" i="1" s="1"/>
  <c r="Q533" i="1" a="1"/>
  <c r="AE532" i="1"/>
  <c r="AM531" i="1" s="1" a="1"/>
  <c r="AM531" i="1" s="1"/>
  <c r="Z532" i="1" l="1" a="1"/>
  <c r="Z532" i="1" s="1"/>
  <c r="X532" i="1" a="1"/>
  <c r="X532" i="1" s="1"/>
  <c r="Y532" i="1" s="1"/>
  <c r="AA532" i="1"/>
  <c r="AK532" i="1" a="1"/>
  <c r="AK532" i="1" s="1"/>
  <c r="AL532" i="1" s="1"/>
  <c r="AE533" i="1"/>
  <c r="AM532" i="1" s="1" a="1"/>
  <c r="AM532" i="1" s="1"/>
  <c r="AE534" i="1" a="1"/>
  <c r="Q533" i="1"/>
  <c r="AB533" i="1" s="1" a="1"/>
  <c r="AB533" i="1" s="1"/>
  <c r="Q534" i="1" a="1"/>
  <c r="AK533" i="1" l="1" a="1"/>
  <c r="AK533" i="1" s="1"/>
  <c r="AL533" i="1" s="1"/>
  <c r="X533" i="1" a="1"/>
  <c r="X533" i="1" s="1"/>
  <c r="Y533" i="1" s="1"/>
  <c r="AA533" i="1"/>
  <c r="Z533" i="1" a="1"/>
  <c r="Z533" i="1" s="1"/>
  <c r="AE535" i="1" a="1"/>
  <c r="Q535" i="1" a="1"/>
  <c r="Q534" i="1"/>
  <c r="AB534" i="1" s="1" a="1"/>
  <c r="AB534" i="1" s="1"/>
  <c r="AE534" i="1"/>
  <c r="AM533" i="1" s="1" a="1"/>
  <c r="AM533" i="1" s="1"/>
  <c r="X534" i="1" l="1" a="1"/>
  <c r="X534" i="1" s="1"/>
  <c r="Y534" i="1" s="1"/>
  <c r="Z534" i="1" a="1"/>
  <c r="Z534" i="1" s="1"/>
  <c r="AA534" i="1"/>
  <c r="AK534" i="1" a="1"/>
  <c r="AK534" i="1" s="1"/>
  <c r="AL534" i="1" s="1"/>
  <c r="AE536" i="1" a="1"/>
  <c r="Q536" i="1" a="1"/>
  <c r="Q535" i="1"/>
  <c r="AB535" i="1" s="1" a="1"/>
  <c r="AB535" i="1" s="1"/>
  <c r="AE535" i="1"/>
  <c r="AM534" i="1" s="1" a="1"/>
  <c r="AM534" i="1" s="1"/>
  <c r="Z535" i="1" l="1" a="1"/>
  <c r="Z535" i="1" s="1"/>
  <c r="AA535" i="1"/>
  <c r="X535" i="1" a="1"/>
  <c r="X535" i="1" s="1"/>
  <c r="Y535" i="1" s="1"/>
  <c r="AK535" i="1" a="1"/>
  <c r="AK535" i="1" s="1"/>
  <c r="AL535" i="1" s="1"/>
  <c r="AE537" i="1" a="1"/>
  <c r="Q537" i="1" a="1"/>
  <c r="Q536" i="1"/>
  <c r="AB536" i="1" s="1" a="1"/>
  <c r="AB536" i="1" s="1"/>
  <c r="AE536" i="1"/>
  <c r="AM535" i="1" s="1" a="1"/>
  <c r="AM535" i="1" s="1"/>
  <c r="X536" i="1" l="1" a="1"/>
  <c r="X536" i="1" s="1"/>
  <c r="Y536" i="1" s="1"/>
  <c r="AA536" i="1"/>
  <c r="AK536" i="1" a="1"/>
  <c r="AK536" i="1" s="1"/>
  <c r="AL536" i="1" s="1"/>
  <c r="Z536" i="1" a="1"/>
  <c r="Z536" i="1" s="1"/>
  <c r="AE538" i="1" a="1"/>
  <c r="Q537" i="1"/>
  <c r="AB537" i="1" s="1" a="1"/>
  <c r="AB537" i="1" s="1"/>
  <c r="Q538" i="1" a="1"/>
  <c r="AE537" i="1"/>
  <c r="AM536" i="1" s="1" a="1"/>
  <c r="AM536" i="1" s="1"/>
  <c r="Z537" i="1" l="1" a="1"/>
  <c r="Z537" i="1" s="1"/>
  <c r="X537" i="1" a="1"/>
  <c r="X537" i="1" s="1"/>
  <c r="Y537" i="1" s="1"/>
  <c r="AA537" i="1"/>
  <c r="AK537" i="1" a="1"/>
  <c r="AK537" i="1" s="1"/>
  <c r="AL537" i="1" s="1"/>
  <c r="AE538" i="1"/>
  <c r="AM537" i="1" s="1" a="1"/>
  <c r="AM537" i="1" s="1"/>
  <c r="AE539" i="1" a="1"/>
  <c r="Q538" i="1"/>
  <c r="AB538" i="1" s="1" a="1"/>
  <c r="AB538" i="1" s="1"/>
  <c r="Q539" i="1" a="1"/>
  <c r="Z538" i="1" l="1" a="1"/>
  <c r="Z538" i="1" s="1"/>
  <c r="AA538" i="1"/>
  <c r="AK538" i="1" a="1"/>
  <c r="AK538" i="1" s="1"/>
  <c r="AL538" i="1" s="1"/>
  <c r="X538" i="1" a="1"/>
  <c r="X538" i="1" s="1"/>
  <c r="Y538" i="1" s="1"/>
  <c r="AE539" i="1"/>
  <c r="AM538" i="1" s="1" a="1"/>
  <c r="AM538" i="1" s="1"/>
  <c r="AE540" i="1" a="1"/>
  <c r="Q539" i="1"/>
  <c r="AB539" i="1" s="1" a="1"/>
  <c r="AB539" i="1" s="1"/>
  <c r="Q540" i="1" a="1"/>
  <c r="AK539" i="1" l="1" a="1"/>
  <c r="AK539" i="1" s="1"/>
  <c r="AL539" i="1" s="1"/>
  <c r="X539" i="1" a="1"/>
  <c r="X539" i="1" s="1"/>
  <c r="Y539" i="1" s="1"/>
  <c r="AA539" i="1"/>
  <c r="Z539" i="1" a="1"/>
  <c r="Z539" i="1" s="1"/>
  <c r="AE540" i="1"/>
  <c r="AK540" i="1" s="1" a="1"/>
  <c r="AK540" i="1" s="1"/>
  <c r="AL540" i="1" s="1"/>
  <c r="AE541" i="1" a="1"/>
  <c r="Q540" i="1"/>
  <c r="AB540" i="1" s="1" a="1"/>
  <c r="AB540" i="1" s="1"/>
  <c r="Q541" i="1" a="1"/>
  <c r="AM539" i="1" l="1" a="1"/>
  <c r="AM539" i="1" s="1"/>
  <c r="Z540" i="1" a="1"/>
  <c r="Z540" i="1" s="1"/>
  <c r="AA540" i="1"/>
  <c r="X540" i="1" a="1"/>
  <c r="X540" i="1" s="1"/>
  <c r="Y540" i="1" s="1"/>
  <c r="AE542" i="1" a="1"/>
  <c r="Q541" i="1"/>
  <c r="X541" i="1" s="1" a="1"/>
  <c r="X541" i="1" s="1"/>
  <c r="Y541" i="1" s="1"/>
  <c r="Q542" i="1" a="1"/>
  <c r="AE541" i="1"/>
  <c r="AK541" i="1" s="1" a="1"/>
  <c r="AK541" i="1" s="1"/>
  <c r="AL541" i="1" s="1"/>
  <c r="AB541" i="1" l="1" a="1"/>
  <c r="AB541" i="1" s="1"/>
  <c r="Z541" i="1" a="1"/>
  <c r="Z541" i="1" s="1"/>
  <c r="AA541" i="1"/>
  <c r="AM540" i="1" a="1"/>
  <c r="AM540" i="1" s="1"/>
  <c r="AE543" i="1" a="1"/>
  <c r="Q542" i="1"/>
  <c r="AB542" i="1" s="1" a="1"/>
  <c r="AB542" i="1" s="1"/>
  <c r="Q543" i="1" a="1"/>
  <c r="AE542" i="1"/>
  <c r="AM541" i="1" s="1" a="1"/>
  <c r="AM541" i="1" s="1"/>
  <c r="Z542" i="1" l="1" a="1"/>
  <c r="Z542" i="1" s="1"/>
  <c r="X542" i="1" a="1"/>
  <c r="X542" i="1" s="1"/>
  <c r="Y542" i="1" s="1"/>
  <c r="AA542" i="1"/>
  <c r="AK542" i="1" a="1"/>
  <c r="AK542" i="1" s="1"/>
  <c r="AL542" i="1" s="1"/>
  <c r="AE544" i="1" a="1"/>
  <c r="Q543" i="1"/>
  <c r="AB543" i="1" s="1" a="1"/>
  <c r="AB543" i="1" s="1"/>
  <c r="Q544" i="1" a="1"/>
  <c r="AE543" i="1"/>
  <c r="AK543" i="1" s="1" a="1"/>
  <c r="AK543" i="1" s="1"/>
  <c r="AL543" i="1" s="1"/>
  <c r="X543" i="1" l="1" a="1"/>
  <c r="X543" i="1" s="1"/>
  <c r="Y543" i="1" s="1"/>
  <c r="Z543" i="1" a="1"/>
  <c r="Z543" i="1" s="1"/>
  <c r="AA543" i="1"/>
  <c r="AM542" i="1" a="1"/>
  <c r="AM542" i="1" s="1"/>
  <c r="AE545" i="1" a="1"/>
  <c r="Q544" i="1"/>
  <c r="AB544" i="1" s="1" a="1"/>
  <c r="AB544" i="1" s="1"/>
  <c r="Q545" i="1" a="1"/>
  <c r="AE544" i="1"/>
  <c r="AK544" i="1" s="1" a="1"/>
  <c r="AK544" i="1" s="1"/>
  <c r="AL544" i="1" s="1"/>
  <c r="Z544" i="1" l="1" a="1"/>
  <c r="Z544" i="1" s="1"/>
  <c r="X544" i="1" a="1"/>
  <c r="X544" i="1" s="1"/>
  <c r="Y544" i="1" s="1"/>
  <c r="AA544" i="1"/>
  <c r="AM543" i="1" a="1"/>
  <c r="AM543" i="1" s="1"/>
  <c r="AE546" i="1" a="1"/>
  <c r="Q546" i="1" a="1"/>
  <c r="Q545" i="1"/>
  <c r="AB545" i="1" s="1" a="1"/>
  <c r="AB545" i="1" s="1"/>
  <c r="AE545" i="1"/>
  <c r="AM544" i="1" s="1" a="1"/>
  <c r="AM544" i="1" s="1"/>
  <c r="X545" i="1" l="1" a="1"/>
  <c r="X545" i="1" s="1"/>
  <c r="Y545" i="1" s="1"/>
  <c r="AA545" i="1"/>
  <c r="Z545" i="1" a="1"/>
  <c r="Z545" i="1" s="1"/>
  <c r="AK545" i="1" a="1"/>
  <c r="AK545" i="1" s="1"/>
  <c r="AL545" i="1" s="1"/>
  <c r="AE547" i="1" a="1"/>
  <c r="Q546" i="1"/>
  <c r="AB546" i="1" s="1" a="1"/>
  <c r="AB546" i="1" s="1"/>
  <c r="Q547" i="1" a="1"/>
  <c r="AE546" i="1"/>
  <c r="AK546" i="1" s="1" a="1"/>
  <c r="AK546" i="1" s="1"/>
  <c r="AL546" i="1" s="1"/>
  <c r="X546" i="1" l="1" a="1"/>
  <c r="X546" i="1" s="1"/>
  <c r="Y546" i="1" s="1"/>
  <c r="Z546" i="1" a="1"/>
  <c r="Z546" i="1" s="1"/>
  <c r="AA546" i="1"/>
  <c r="AM545" i="1" a="1"/>
  <c r="AM545" i="1" s="1"/>
  <c r="AE548" i="1" a="1"/>
  <c r="Q547" i="1"/>
  <c r="AB547" i="1" s="1" a="1"/>
  <c r="AB547" i="1" s="1"/>
  <c r="Q548" i="1" a="1"/>
  <c r="AE547" i="1"/>
  <c r="AK547" i="1" s="1" a="1"/>
  <c r="AK547" i="1" s="1"/>
  <c r="AL547" i="1" s="1"/>
  <c r="Z547" i="1" l="1" a="1"/>
  <c r="Z547" i="1" s="1"/>
  <c r="X547" i="1" a="1"/>
  <c r="X547" i="1" s="1"/>
  <c r="Y547" i="1" s="1"/>
  <c r="AA547" i="1"/>
  <c r="AM546" i="1" a="1"/>
  <c r="AM546" i="1" s="1"/>
  <c r="AE549" i="1" a="1"/>
  <c r="Q548" i="1"/>
  <c r="AB548" i="1" s="1" a="1"/>
  <c r="AB548" i="1" s="1"/>
  <c r="Q549" i="1" a="1"/>
  <c r="AE548" i="1"/>
  <c r="AM547" i="1" s="1" a="1"/>
  <c r="AM547" i="1" s="1"/>
  <c r="X548" i="1" l="1" a="1"/>
  <c r="X548" i="1" s="1"/>
  <c r="Y548" i="1" s="1"/>
  <c r="Z548" i="1" a="1"/>
  <c r="Z548" i="1" s="1"/>
  <c r="AA548" i="1"/>
  <c r="AK548" i="1" a="1"/>
  <c r="AK548" i="1" s="1"/>
  <c r="AL548" i="1" s="1"/>
  <c r="AE550" i="1" a="1"/>
  <c r="Q549" i="1"/>
  <c r="AB549" i="1" s="1" a="1"/>
  <c r="AB549" i="1" s="1"/>
  <c r="Q550" i="1" a="1"/>
  <c r="AE549" i="1"/>
  <c r="AM548" i="1" s="1" a="1"/>
  <c r="AM548" i="1" s="1"/>
  <c r="X549" i="1" l="1" a="1"/>
  <c r="X549" i="1" s="1"/>
  <c r="Y549" i="1" s="1"/>
  <c r="Z549" i="1" a="1"/>
  <c r="Z549" i="1" s="1"/>
  <c r="AA549" i="1"/>
  <c r="AK549" i="1" a="1"/>
  <c r="AK549" i="1" s="1"/>
  <c r="AL549" i="1" s="1"/>
  <c r="AE551" i="1" a="1"/>
  <c r="Q550" i="1"/>
  <c r="AB550" i="1" s="1" a="1"/>
  <c r="AB550" i="1" s="1"/>
  <c r="Q551" i="1" a="1"/>
  <c r="AE550" i="1"/>
  <c r="AK550" i="1" s="1" a="1"/>
  <c r="AK550" i="1" s="1"/>
  <c r="AL550" i="1" s="1"/>
  <c r="Z550" i="1" l="1" a="1"/>
  <c r="Z550" i="1" s="1"/>
  <c r="X550" i="1" a="1"/>
  <c r="X550" i="1" s="1"/>
  <c r="Y550" i="1" s="1"/>
  <c r="AA550" i="1"/>
  <c r="AM549" i="1" a="1"/>
  <c r="AM549" i="1" s="1"/>
  <c r="AE552" i="1" a="1"/>
  <c r="Q551" i="1"/>
  <c r="AB551" i="1" s="1" a="1"/>
  <c r="AB551" i="1" s="1"/>
  <c r="Q552" i="1" a="1"/>
  <c r="AE551" i="1"/>
  <c r="AM550" i="1" s="1" a="1"/>
  <c r="AM550" i="1" s="1"/>
  <c r="X551" i="1" l="1" a="1"/>
  <c r="X551" i="1" s="1"/>
  <c r="Y551" i="1" s="1"/>
  <c r="Z551" i="1" a="1"/>
  <c r="Z551" i="1" s="1"/>
  <c r="AA551" i="1"/>
  <c r="AK551" i="1" a="1"/>
  <c r="AK551" i="1" s="1"/>
  <c r="AL551" i="1" s="1"/>
  <c r="AE553" i="1" a="1"/>
  <c r="Q553" i="1" a="1"/>
  <c r="Q552" i="1"/>
  <c r="AB552" i="1" s="1" a="1"/>
  <c r="AB552" i="1" s="1"/>
  <c r="AE552" i="1"/>
  <c r="AM551" i="1" s="1" a="1"/>
  <c r="AM551" i="1" s="1"/>
  <c r="X552" i="1" l="1" a="1"/>
  <c r="X552" i="1" s="1"/>
  <c r="Y552" i="1" s="1"/>
  <c r="Z552" i="1" a="1"/>
  <c r="Z552" i="1" s="1"/>
  <c r="AA552" i="1"/>
  <c r="AK552" i="1" a="1"/>
  <c r="AK552" i="1" s="1"/>
  <c r="AL552" i="1" s="1"/>
  <c r="AE554" i="1" a="1"/>
  <c r="Q553" i="1"/>
  <c r="AB553" i="1" s="1" a="1"/>
  <c r="AB553" i="1" s="1"/>
  <c r="Q554" i="1" a="1"/>
  <c r="AE553" i="1"/>
  <c r="AM552" i="1" s="1" a="1"/>
  <c r="AM552" i="1" s="1"/>
  <c r="Z553" i="1" l="1" a="1"/>
  <c r="Z553" i="1" s="1"/>
  <c r="X553" i="1" a="1"/>
  <c r="X553" i="1" s="1"/>
  <c r="Y553" i="1" s="1"/>
  <c r="AA553" i="1"/>
  <c r="AK553" i="1" a="1"/>
  <c r="AK553" i="1" s="1"/>
  <c r="AL553" i="1" s="1"/>
  <c r="AE555" i="1" a="1"/>
  <c r="Q554" i="1"/>
  <c r="AB554" i="1" s="1" a="1"/>
  <c r="AB554" i="1" s="1"/>
  <c r="Q555" i="1" a="1"/>
  <c r="AE554" i="1"/>
  <c r="AK554" i="1" s="1" a="1"/>
  <c r="AK554" i="1" s="1"/>
  <c r="AL554" i="1" s="1"/>
  <c r="Z554" i="1" l="1" a="1"/>
  <c r="Z554" i="1" s="1"/>
  <c r="AA554" i="1"/>
  <c r="AM553" i="1" a="1"/>
  <c r="AM553" i="1" s="1"/>
  <c r="X554" i="1" a="1"/>
  <c r="X554" i="1" s="1"/>
  <c r="Y554" i="1" s="1"/>
  <c r="AE556" i="1" a="1"/>
  <c r="Q556" i="1" a="1"/>
  <c r="Q555" i="1"/>
  <c r="Z555" i="1" s="1" a="1"/>
  <c r="Z555" i="1" s="1"/>
  <c r="AE555" i="1"/>
  <c r="AK555" i="1" s="1" a="1"/>
  <c r="AK555" i="1" s="1"/>
  <c r="AL555" i="1" s="1"/>
  <c r="AB555" i="1" l="1" a="1"/>
  <c r="AB555" i="1" s="1"/>
  <c r="X555" i="1" a="1"/>
  <c r="X555" i="1" s="1"/>
  <c r="Y555" i="1" s="1"/>
  <c r="AA555" i="1"/>
  <c r="AM554" i="1" a="1"/>
  <c r="AM554" i="1" s="1"/>
  <c r="AE557" i="1" a="1"/>
  <c r="Q557" i="1" a="1"/>
  <c r="Q556" i="1"/>
  <c r="AB556" i="1" s="1" a="1"/>
  <c r="AB556" i="1" s="1"/>
  <c r="AE556" i="1"/>
  <c r="AK556" i="1" s="1" a="1"/>
  <c r="AK556" i="1" s="1"/>
  <c r="AL556" i="1" s="1"/>
  <c r="AM555" i="1" l="1" a="1"/>
  <c r="AM555" i="1" s="1"/>
  <c r="Z556" i="1" a="1"/>
  <c r="Z556" i="1" s="1"/>
  <c r="AA556" i="1"/>
  <c r="X556" i="1" a="1"/>
  <c r="X556" i="1" s="1"/>
  <c r="Y556" i="1" s="1"/>
  <c r="AE558" i="1" a="1"/>
  <c r="Q557" i="1"/>
  <c r="AB557" i="1" s="1" a="1"/>
  <c r="AB557" i="1" s="1"/>
  <c r="Q558" i="1" a="1"/>
  <c r="AE557" i="1"/>
  <c r="AM556" i="1" s="1" a="1"/>
  <c r="AM556" i="1" s="1"/>
  <c r="X557" i="1" l="1" a="1"/>
  <c r="X557" i="1" s="1"/>
  <c r="Y557" i="1" s="1"/>
  <c r="Z557" i="1" a="1"/>
  <c r="Z557" i="1" s="1"/>
  <c r="AA557" i="1"/>
  <c r="AK557" i="1" a="1"/>
  <c r="AK557" i="1" s="1"/>
  <c r="AL557" i="1" s="1"/>
  <c r="AE559" i="1" a="1"/>
  <c r="Q558" i="1"/>
  <c r="AB558" i="1" s="1" a="1"/>
  <c r="AB558" i="1" s="1"/>
  <c r="Q559" i="1" a="1"/>
  <c r="AE558" i="1"/>
  <c r="AM557" i="1" s="1" a="1"/>
  <c r="AM557" i="1" s="1"/>
  <c r="Z558" i="1" l="1" a="1"/>
  <c r="Z558" i="1" s="1"/>
  <c r="X558" i="1" a="1"/>
  <c r="X558" i="1" s="1"/>
  <c r="Y558" i="1" s="1"/>
  <c r="AA558" i="1"/>
  <c r="AK558" i="1" a="1"/>
  <c r="AK558" i="1" s="1"/>
  <c r="AL558" i="1" s="1"/>
  <c r="AE560" i="1" a="1"/>
  <c r="Q559" i="1"/>
  <c r="X559" i="1" s="1" a="1"/>
  <c r="X559" i="1" s="1"/>
  <c r="Y559" i="1" s="1"/>
  <c r="Q560" i="1" a="1"/>
  <c r="AE559" i="1"/>
  <c r="AK559" i="1" s="1" a="1"/>
  <c r="AK559" i="1" s="1"/>
  <c r="AL559" i="1" s="1"/>
  <c r="AB559" i="1" l="1" a="1"/>
  <c r="AB559" i="1" s="1"/>
  <c r="Z559" i="1" a="1"/>
  <c r="Z559" i="1" s="1"/>
  <c r="AA559" i="1"/>
  <c r="AM558" i="1" a="1"/>
  <c r="AM558" i="1" s="1"/>
  <c r="AE561" i="1" a="1"/>
  <c r="Q561" i="1" a="1"/>
  <c r="Q560" i="1"/>
  <c r="AB560" i="1" s="1" a="1"/>
  <c r="AB560" i="1" s="1"/>
  <c r="AE560" i="1"/>
  <c r="AK560" i="1" s="1" a="1"/>
  <c r="AK560" i="1" s="1"/>
  <c r="AL560" i="1" s="1"/>
  <c r="X560" i="1" l="1" a="1"/>
  <c r="X560" i="1" s="1"/>
  <c r="Y560" i="1" s="1"/>
  <c r="Z560" i="1" a="1"/>
  <c r="Z560" i="1" s="1"/>
  <c r="AA560" i="1"/>
  <c r="AM559" i="1" a="1"/>
  <c r="AM559" i="1" s="1"/>
  <c r="AE562" i="1" a="1"/>
  <c r="Q562" i="1" a="1"/>
  <c r="Q561" i="1"/>
  <c r="AB561" i="1" s="1" a="1"/>
  <c r="AB561" i="1" s="1"/>
  <c r="AE561" i="1"/>
  <c r="AK561" i="1" s="1" a="1"/>
  <c r="AK561" i="1" s="1"/>
  <c r="AL561" i="1" s="1"/>
  <c r="Z561" i="1" l="1" a="1"/>
  <c r="Z561" i="1" s="1"/>
  <c r="X561" i="1" a="1"/>
  <c r="X561" i="1" s="1"/>
  <c r="Y561" i="1" s="1"/>
  <c r="AA561" i="1"/>
  <c r="AM560" i="1" a="1"/>
  <c r="AM560" i="1" s="1"/>
  <c r="AE563" i="1" a="1"/>
  <c r="Q562" i="1"/>
  <c r="AB562" i="1" s="1" a="1"/>
  <c r="AB562" i="1" s="1"/>
  <c r="Q563" i="1" a="1"/>
  <c r="AE562" i="1"/>
  <c r="AK562" i="1" s="1" a="1"/>
  <c r="AK562" i="1" s="1"/>
  <c r="AL562" i="1" s="1"/>
  <c r="X562" i="1" l="1" a="1"/>
  <c r="X562" i="1" s="1"/>
  <c r="Y562" i="1" s="1"/>
  <c r="Z562" i="1" a="1"/>
  <c r="Z562" i="1" s="1"/>
  <c r="AA562" i="1"/>
  <c r="AM561" i="1" a="1"/>
  <c r="AM561" i="1" s="1"/>
  <c r="AE564" i="1" a="1"/>
  <c r="Q563" i="1"/>
  <c r="AB563" i="1" s="1" a="1"/>
  <c r="AB563" i="1" s="1"/>
  <c r="Q564" i="1" a="1"/>
  <c r="AE563" i="1"/>
  <c r="AK563" i="1" s="1" a="1"/>
  <c r="AK563" i="1" s="1"/>
  <c r="AL563" i="1" s="1"/>
  <c r="Z563" i="1" l="1" a="1"/>
  <c r="Z563" i="1" s="1"/>
  <c r="X563" i="1" a="1"/>
  <c r="X563" i="1" s="1"/>
  <c r="Y563" i="1" s="1"/>
  <c r="AA563" i="1"/>
  <c r="AM562" i="1" a="1"/>
  <c r="AM562" i="1" s="1"/>
  <c r="AE565" i="1" a="1"/>
  <c r="Q565" i="1" a="1"/>
  <c r="Q564" i="1"/>
  <c r="X564" i="1" s="1" a="1"/>
  <c r="X564" i="1" s="1"/>
  <c r="Y564" i="1" s="1"/>
  <c r="AE564" i="1"/>
  <c r="AK564" i="1" s="1" a="1"/>
  <c r="AK564" i="1" s="1"/>
  <c r="AL564" i="1" s="1"/>
  <c r="AB564" i="1" l="1" a="1"/>
  <c r="AB564" i="1" s="1"/>
  <c r="Z564" i="1" a="1"/>
  <c r="Z564" i="1" s="1"/>
  <c r="AA564" i="1"/>
  <c r="AM563" i="1" a="1"/>
  <c r="AM563" i="1" s="1"/>
  <c r="AE566" i="1" a="1"/>
  <c r="Q566" i="1" a="1"/>
  <c r="Q565" i="1"/>
  <c r="AB565" i="1" s="1" a="1"/>
  <c r="AB565" i="1" s="1"/>
  <c r="AE565" i="1"/>
  <c r="AK565" i="1" s="1" a="1"/>
  <c r="AK565" i="1" s="1"/>
  <c r="AL565" i="1" s="1"/>
  <c r="X565" i="1" l="1" a="1"/>
  <c r="X565" i="1" s="1"/>
  <c r="Y565" i="1" s="1"/>
  <c r="Z565" i="1" a="1"/>
  <c r="Z565" i="1" s="1"/>
  <c r="AA565" i="1"/>
  <c r="AM564" i="1" a="1"/>
  <c r="AM564" i="1" s="1"/>
  <c r="AE567" i="1" a="1"/>
  <c r="Q567" i="1" a="1"/>
  <c r="Q566" i="1"/>
  <c r="AB566" i="1" s="1" a="1"/>
  <c r="AB566" i="1" s="1"/>
  <c r="AE566" i="1"/>
  <c r="AK566" i="1" s="1" a="1"/>
  <c r="AK566" i="1" s="1"/>
  <c r="AL566" i="1" s="1"/>
  <c r="Z566" i="1" l="1" a="1"/>
  <c r="Z566" i="1" s="1"/>
  <c r="X566" i="1" a="1"/>
  <c r="X566" i="1" s="1"/>
  <c r="Y566" i="1" s="1"/>
  <c r="AA566" i="1"/>
  <c r="AM565" i="1" a="1"/>
  <c r="AM565" i="1" s="1"/>
  <c r="AE568" i="1" a="1"/>
  <c r="Q567" i="1"/>
  <c r="X567" i="1" s="1" a="1"/>
  <c r="X567" i="1" s="1"/>
  <c r="Y567" i="1" s="1"/>
  <c r="Q568" i="1" a="1"/>
  <c r="AE567" i="1"/>
  <c r="AM566" i="1" s="1" a="1"/>
  <c r="AM566" i="1" s="1"/>
  <c r="AK567" i="1" l="1" a="1"/>
  <c r="AK567" i="1" s="1"/>
  <c r="AL567" i="1" s="1"/>
  <c r="AB567" i="1" a="1"/>
  <c r="AB567" i="1" s="1"/>
  <c r="Z567" i="1" a="1"/>
  <c r="Z567" i="1" s="1"/>
  <c r="AA567" i="1"/>
  <c r="AE569" i="1" a="1"/>
  <c r="Q568" i="1"/>
  <c r="AB568" i="1" s="1" a="1"/>
  <c r="AB568" i="1" s="1"/>
  <c r="Q569" i="1" a="1"/>
  <c r="AE568" i="1"/>
  <c r="AK568" i="1" s="1" a="1"/>
  <c r="AK568" i="1" s="1"/>
  <c r="AL568" i="1" s="1"/>
  <c r="AM567" i="1" l="1" a="1"/>
  <c r="AM567" i="1" s="1"/>
  <c r="Z568" i="1" a="1"/>
  <c r="Z568" i="1" s="1"/>
  <c r="AA568" i="1"/>
  <c r="X568" i="1" a="1"/>
  <c r="X568" i="1" s="1"/>
  <c r="Y568" i="1" s="1"/>
  <c r="AE570" i="1" a="1"/>
  <c r="Q569" i="1"/>
  <c r="AB569" i="1" s="1" a="1"/>
  <c r="AB569" i="1" s="1"/>
  <c r="Q570" i="1" a="1"/>
  <c r="AE569" i="1"/>
  <c r="AM568" i="1" s="1" a="1"/>
  <c r="AM568" i="1" s="1"/>
  <c r="Z569" i="1" l="1" a="1"/>
  <c r="Z569" i="1" s="1"/>
  <c r="X569" i="1" a="1"/>
  <c r="X569" i="1" s="1"/>
  <c r="Y569" i="1" s="1"/>
  <c r="AA569" i="1"/>
  <c r="AK569" i="1" a="1"/>
  <c r="AK569" i="1" s="1"/>
  <c r="AL569" i="1" s="1"/>
  <c r="AE571" i="1" a="1"/>
  <c r="Q570" i="1"/>
  <c r="AB570" i="1" s="1" a="1"/>
  <c r="AB570" i="1" s="1"/>
  <c r="Q571" i="1" a="1"/>
  <c r="AE570" i="1"/>
  <c r="AK570" i="1" s="1" a="1"/>
  <c r="AK570" i="1" s="1"/>
  <c r="AL570" i="1" s="1"/>
  <c r="AM569" i="1" l="1" a="1"/>
  <c r="AM569" i="1" s="1"/>
  <c r="Z570" i="1" a="1"/>
  <c r="Z570" i="1" s="1"/>
  <c r="AA570" i="1"/>
  <c r="X570" i="1" a="1"/>
  <c r="X570" i="1" s="1"/>
  <c r="Y570" i="1" s="1"/>
  <c r="AE572" i="1" a="1"/>
  <c r="Q572" i="1" a="1"/>
  <c r="Q571" i="1"/>
  <c r="AB571" i="1" s="1" a="1"/>
  <c r="AB571" i="1" s="1"/>
  <c r="AE571" i="1"/>
  <c r="AK571" i="1" s="1" a="1"/>
  <c r="AK571" i="1" s="1"/>
  <c r="AL571" i="1" s="1"/>
  <c r="X571" i="1" l="1" a="1"/>
  <c r="X571" i="1" s="1"/>
  <c r="Y571" i="1" s="1"/>
  <c r="Z571" i="1" a="1"/>
  <c r="Z571" i="1" s="1"/>
  <c r="AA571" i="1"/>
  <c r="AM570" i="1" a="1"/>
  <c r="AM570" i="1" s="1"/>
  <c r="AE573" i="1" a="1"/>
  <c r="Q572" i="1"/>
  <c r="AB572" i="1" s="1" a="1"/>
  <c r="AB572" i="1" s="1"/>
  <c r="Q573" i="1" a="1"/>
  <c r="AE572" i="1"/>
  <c r="AM571" i="1" s="1" a="1"/>
  <c r="AM571" i="1" s="1"/>
  <c r="AK572" i="1" l="1" a="1"/>
  <c r="AK572" i="1" s="1"/>
  <c r="AL572" i="1" s="1"/>
  <c r="Z572" i="1" a="1"/>
  <c r="Z572" i="1" s="1"/>
  <c r="AA572" i="1"/>
  <c r="X572" i="1" a="1"/>
  <c r="X572" i="1" s="1"/>
  <c r="Y572" i="1" s="1"/>
  <c r="AE574" i="1" a="1"/>
  <c r="Q574" i="1" a="1"/>
  <c r="Q573" i="1"/>
  <c r="X573" i="1" s="1" a="1"/>
  <c r="X573" i="1" s="1"/>
  <c r="Y573" i="1" s="1"/>
  <c r="AE573" i="1"/>
  <c r="AK573" i="1" s="1" a="1"/>
  <c r="AK573" i="1" s="1"/>
  <c r="AL573" i="1" s="1"/>
  <c r="AB573" i="1" l="1" a="1"/>
  <c r="AB573" i="1" s="1"/>
  <c r="Z573" i="1" a="1"/>
  <c r="Z573" i="1" s="1"/>
  <c r="AA573" i="1"/>
  <c r="AM572" i="1" a="1"/>
  <c r="AM572" i="1" s="1"/>
  <c r="AE575" i="1" a="1"/>
  <c r="Q574" i="1"/>
  <c r="AB574" i="1" s="1" a="1"/>
  <c r="AB574" i="1" s="1"/>
  <c r="Q575" i="1" a="1"/>
  <c r="AE574" i="1"/>
  <c r="AK574" i="1" s="1" a="1"/>
  <c r="AK574" i="1" s="1"/>
  <c r="AL574" i="1" s="1"/>
  <c r="Z574" i="1" l="1" a="1"/>
  <c r="Z574" i="1" s="1"/>
  <c r="X574" i="1" a="1"/>
  <c r="X574" i="1" s="1"/>
  <c r="Y574" i="1" s="1"/>
  <c r="AA574" i="1"/>
  <c r="AM573" i="1" a="1"/>
  <c r="AM573" i="1" s="1"/>
  <c r="AE576" i="1" a="1"/>
  <c r="Q575" i="1"/>
  <c r="AB575" i="1" s="1" a="1"/>
  <c r="AB575" i="1" s="1"/>
  <c r="Q576" i="1" a="1"/>
  <c r="AE575" i="1"/>
  <c r="AM574" i="1" s="1" a="1"/>
  <c r="AM574" i="1" s="1"/>
  <c r="X575" i="1" l="1" a="1"/>
  <c r="X575" i="1" s="1"/>
  <c r="Y575" i="1" s="1"/>
  <c r="Z575" i="1" a="1"/>
  <c r="Z575" i="1" s="1"/>
  <c r="AA575" i="1"/>
  <c r="AK575" i="1" a="1"/>
  <c r="AK575" i="1" s="1"/>
  <c r="AL575" i="1" s="1"/>
  <c r="AE577" i="1" a="1"/>
  <c r="Q576" i="1"/>
  <c r="AB576" i="1" s="1" a="1"/>
  <c r="AB576" i="1" s="1"/>
  <c r="Q577" i="1" a="1"/>
  <c r="AE576" i="1"/>
  <c r="AM575" i="1" s="1" a="1"/>
  <c r="AM575" i="1" s="1"/>
  <c r="Z576" i="1" l="1" a="1"/>
  <c r="Z576" i="1" s="1"/>
  <c r="X576" i="1" a="1"/>
  <c r="X576" i="1" s="1"/>
  <c r="Y576" i="1" s="1"/>
  <c r="AA576" i="1"/>
  <c r="AK576" i="1" a="1"/>
  <c r="AK576" i="1" s="1"/>
  <c r="AL576" i="1" s="1"/>
  <c r="AE578" i="1" a="1"/>
  <c r="Q578" i="1" a="1"/>
  <c r="Q577" i="1"/>
  <c r="Z577" i="1" s="1" a="1"/>
  <c r="Z577" i="1" s="1"/>
  <c r="AE577" i="1"/>
  <c r="AK577" i="1" s="1" a="1"/>
  <c r="AK577" i="1" s="1"/>
  <c r="AL577" i="1" s="1"/>
  <c r="AB577" i="1" l="1" a="1"/>
  <c r="AB577" i="1" s="1"/>
  <c r="X577" i="1" a="1"/>
  <c r="X577" i="1" s="1"/>
  <c r="Y577" i="1" s="1"/>
  <c r="AA577" i="1"/>
  <c r="AM576" i="1" a="1"/>
  <c r="AM576" i="1" s="1"/>
  <c r="AE579" i="1" a="1"/>
  <c r="Q578" i="1"/>
  <c r="X578" i="1" s="1" a="1"/>
  <c r="X578" i="1" s="1"/>
  <c r="Y578" i="1" s="1"/>
  <c r="Q579" i="1" a="1"/>
  <c r="AE578" i="1"/>
  <c r="AK578" i="1" s="1" a="1"/>
  <c r="AK578" i="1" s="1"/>
  <c r="AL578" i="1" s="1"/>
  <c r="AB578" i="1" l="1" a="1"/>
  <c r="AB578" i="1" s="1"/>
  <c r="Z578" i="1" a="1"/>
  <c r="Z578" i="1" s="1"/>
  <c r="AA578" i="1"/>
  <c r="AM577" i="1" a="1"/>
  <c r="AM577" i="1" s="1"/>
  <c r="AE580" i="1" a="1"/>
  <c r="Q579" i="1"/>
  <c r="AB579" i="1" s="1" a="1"/>
  <c r="AB579" i="1" s="1"/>
  <c r="Q580" i="1" a="1"/>
  <c r="AE579" i="1"/>
  <c r="AM578" i="1" s="1" a="1"/>
  <c r="AM578" i="1" s="1"/>
  <c r="Z579" i="1" l="1" a="1"/>
  <c r="Z579" i="1" s="1"/>
  <c r="X579" i="1" a="1"/>
  <c r="X579" i="1" s="1"/>
  <c r="Y579" i="1" s="1"/>
  <c r="AA579" i="1"/>
  <c r="AK579" i="1" a="1"/>
  <c r="AK579" i="1" s="1"/>
  <c r="AL579" i="1" s="1"/>
  <c r="AE581" i="1" a="1"/>
  <c r="Q580" i="1"/>
  <c r="AB580" i="1" s="1" a="1"/>
  <c r="AB580" i="1" s="1"/>
  <c r="Q581" i="1" a="1"/>
  <c r="AE580" i="1"/>
  <c r="AM579" i="1" s="1" a="1"/>
  <c r="AM579" i="1" s="1"/>
  <c r="AK580" i="1" l="1" a="1"/>
  <c r="AK580" i="1" s="1"/>
  <c r="AL580" i="1" s="1"/>
  <c r="Z580" i="1" a="1"/>
  <c r="Z580" i="1" s="1"/>
  <c r="AA580" i="1"/>
  <c r="X580" i="1" a="1"/>
  <c r="X580" i="1" s="1"/>
  <c r="Y580" i="1" s="1"/>
  <c r="AE582" i="1" a="1"/>
  <c r="Q582" i="1" a="1"/>
  <c r="Q581" i="1"/>
  <c r="AB581" i="1" s="1" a="1"/>
  <c r="AB581" i="1" s="1"/>
  <c r="AE581" i="1"/>
  <c r="AK581" i="1" s="1" a="1"/>
  <c r="AK581" i="1" s="1"/>
  <c r="AL581" i="1" s="1"/>
  <c r="Z581" i="1" l="1" a="1"/>
  <c r="Z581" i="1" s="1"/>
  <c r="X581" i="1" a="1"/>
  <c r="X581" i="1" s="1"/>
  <c r="Y581" i="1" s="1"/>
  <c r="AA581" i="1"/>
  <c r="AM580" i="1" a="1"/>
  <c r="AM580" i="1" s="1"/>
  <c r="AE583" i="1" a="1"/>
  <c r="Q583" i="1" a="1"/>
  <c r="Q582" i="1"/>
  <c r="AB582" i="1" s="1" a="1"/>
  <c r="AB582" i="1" s="1"/>
  <c r="AE582" i="1"/>
  <c r="AM581" i="1" s="1" a="1"/>
  <c r="AM581" i="1" s="1"/>
  <c r="Z582" i="1" l="1" a="1"/>
  <c r="Z582" i="1" s="1"/>
  <c r="X582" i="1" a="1"/>
  <c r="X582" i="1" s="1"/>
  <c r="Y582" i="1" s="1"/>
  <c r="AA582" i="1"/>
  <c r="AK582" i="1" a="1"/>
  <c r="AK582" i="1" s="1"/>
  <c r="AL582" i="1" s="1"/>
  <c r="AE584" i="1" a="1"/>
  <c r="Q583" i="1"/>
  <c r="AB583" i="1" s="1" a="1"/>
  <c r="AB583" i="1" s="1"/>
  <c r="Q584" i="1" a="1"/>
  <c r="AE583" i="1"/>
  <c r="AM582" i="1" s="1" a="1"/>
  <c r="AM582" i="1" s="1"/>
  <c r="AK583" i="1" l="1" a="1"/>
  <c r="AK583" i="1" s="1"/>
  <c r="AL583" i="1" s="1"/>
  <c r="Z583" i="1" a="1"/>
  <c r="Z583" i="1" s="1"/>
  <c r="AA583" i="1"/>
  <c r="X583" i="1" a="1"/>
  <c r="X583" i="1" s="1"/>
  <c r="Y583" i="1" s="1"/>
  <c r="AE585" i="1" a="1"/>
  <c r="Q584" i="1"/>
  <c r="AB584" i="1" s="1" a="1"/>
  <c r="AB584" i="1" s="1"/>
  <c r="Q585" i="1" a="1"/>
  <c r="AE584" i="1"/>
  <c r="AK584" i="1" s="1" a="1"/>
  <c r="AK584" i="1" s="1"/>
  <c r="AL584" i="1" s="1"/>
  <c r="Z584" i="1" l="1" a="1"/>
  <c r="Z584" i="1" s="1"/>
  <c r="X584" i="1" a="1"/>
  <c r="X584" i="1" s="1"/>
  <c r="Y584" i="1" s="1"/>
  <c r="AA584" i="1"/>
  <c r="AM583" i="1" a="1"/>
  <c r="AM583" i="1" s="1"/>
  <c r="AE586" i="1" a="1"/>
  <c r="Q585" i="1"/>
  <c r="AB585" i="1" s="1" a="1"/>
  <c r="AB585" i="1" s="1"/>
  <c r="Q586" i="1" a="1"/>
  <c r="AE585" i="1"/>
  <c r="AK585" i="1" s="1" a="1"/>
  <c r="AK585" i="1" s="1"/>
  <c r="AL585" i="1" s="1"/>
  <c r="Z585" i="1" l="1" a="1"/>
  <c r="Z585" i="1" s="1"/>
  <c r="X585" i="1" a="1"/>
  <c r="X585" i="1" s="1"/>
  <c r="Y585" i="1" s="1"/>
  <c r="AA585" i="1"/>
  <c r="AM584" i="1" a="1"/>
  <c r="AM584" i="1" s="1"/>
  <c r="AE587" i="1" a="1"/>
  <c r="Q586" i="1"/>
  <c r="AB586" i="1" s="1" a="1"/>
  <c r="AB586" i="1" s="1"/>
  <c r="Q587" i="1" a="1"/>
  <c r="AE586" i="1"/>
  <c r="AM585" i="1" s="1" a="1"/>
  <c r="AM585" i="1" s="1"/>
  <c r="X586" i="1" l="1" a="1"/>
  <c r="X586" i="1" s="1"/>
  <c r="Y586" i="1" s="1"/>
  <c r="Z586" i="1" a="1"/>
  <c r="Z586" i="1" s="1"/>
  <c r="AA586" i="1"/>
  <c r="AK586" i="1" a="1"/>
  <c r="AK586" i="1" s="1"/>
  <c r="AL586" i="1" s="1"/>
  <c r="AE588" i="1" a="1"/>
  <c r="Q587" i="1"/>
  <c r="AB587" i="1" s="1" a="1"/>
  <c r="AB587" i="1" s="1"/>
  <c r="Q588" i="1" a="1"/>
  <c r="AE587" i="1"/>
  <c r="AK587" i="1" s="1" a="1"/>
  <c r="AK587" i="1" s="1"/>
  <c r="AL587" i="1" s="1"/>
  <c r="Z587" i="1" l="1" a="1"/>
  <c r="Z587" i="1" s="1"/>
  <c r="X587" i="1" a="1"/>
  <c r="X587" i="1" s="1"/>
  <c r="Y587" i="1" s="1"/>
  <c r="AA587" i="1"/>
  <c r="AM586" i="1" a="1"/>
  <c r="AM586" i="1" s="1"/>
  <c r="AE589" i="1" a="1"/>
  <c r="Q588" i="1"/>
  <c r="AB588" i="1" s="1" a="1"/>
  <c r="AB588" i="1" s="1"/>
  <c r="Q589" i="1" a="1"/>
  <c r="AE588" i="1"/>
  <c r="AK588" i="1" s="1" a="1"/>
  <c r="AK588" i="1" s="1"/>
  <c r="AL588" i="1" s="1"/>
  <c r="X588" i="1" l="1" a="1"/>
  <c r="X588" i="1" s="1"/>
  <c r="Y588" i="1" s="1"/>
  <c r="Z588" i="1" a="1"/>
  <c r="Z588" i="1" s="1"/>
  <c r="AA588" i="1"/>
  <c r="AM587" i="1" a="1"/>
  <c r="AM587" i="1" s="1"/>
  <c r="AE590" i="1" a="1"/>
  <c r="Q589" i="1"/>
  <c r="AB589" i="1" s="1" a="1"/>
  <c r="AB589" i="1" s="1"/>
  <c r="Q590" i="1" a="1"/>
  <c r="AE589" i="1"/>
  <c r="AM588" i="1" s="1" a="1"/>
  <c r="AM588" i="1" s="1"/>
  <c r="AK589" i="1" l="1" a="1"/>
  <c r="AK589" i="1" s="1"/>
  <c r="AL589" i="1" s="1"/>
  <c r="X589" i="1" a="1"/>
  <c r="X589" i="1" s="1"/>
  <c r="Y589" i="1" s="1"/>
  <c r="AA589" i="1"/>
  <c r="Z589" i="1" a="1"/>
  <c r="Z589" i="1" s="1"/>
  <c r="AE591" i="1" a="1"/>
  <c r="Q590" i="1"/>
  <c r="AB590" i="1" s="1" a="1"/>
  <c r="AB590" i="1" s="1"/>
  <c r="Q591" i="1" a="1"/>
  <c r="AE590" i="1"/>
  <c r="AM589" i="1" s="1" a="1"/>
  <c r="AM589" i="1" s="1"/>
  <c r="Z590" i="1" l="1" a="1"/>
  <c r="Z590" i="1" s="1"/>
  <c r="X590" i="1" a="1"/>
  <c r="X590" i="1" s="1"/>
  <c r="Y590" i="1" s="1"/>
  <c r="AA590" i="1"/>
  <c r="AK590" i="1" a="1"/>
  <c r="AK590" i="1" s="1"/>
  <c r="AL590" i="1" s="1"/>
  <c r="AE592" i="1" a="1"/>
  <c r="Q591" i="1"/>
  <c r="AB591" i="1" s="1" a="1"/>
  <c r="AB591" i="1" s="1"/>
  <c r="Q592" i="1" a="1"/>
  <c r="AE591" i="1"/>
  <c r="AK591" i="1" s="1" a="1"/>
  <c r="AK591" i="1" s="1"/>
  <c r="AL591" i="1" s="1"/>
  <c r="X591" i="1" l="1" a="1"/>
  <c r="X591" i="1" s="1"/>
  <c r="Y591" i="1" s="1"/>
  <c r="Z591" i="1" a="1"/>
  <c r="Z591" i="1" s="1"/>
  <c r="AA591" i="1"/>
  <c r="AM590" i="1" a="1"/>
  <c r="AM590" i="1" s="1"/>
  <c r="AE593" i="1" a="1"/>
  <c r="Q592" i="1"/>
  <c r="AB592" i="1" s="1" a="1"/>
  <c r="AB592" i="1" s="1"/>
  <c r="Q593" i="1" a="1"/>
  <c r="AE592" i="1"/>
  <c r="AM591" i="1" s="1" a="1"/>
  <c r="AM591" i="1" s="1"/>
  <c r="Z592" i="1" l="1" a="1"/>
  <c r="Z592" i="1" s="1"/>
  <c r="X592" i="1" a="1"/>
  <c r="X592" i="1" s="1"/>
  <c r="Y592" i="1" s="1"/>
  <c r="AA592" i="1"/>
  <c r="AK592" i="1" a="1"/>
  <c r="AK592" i="1" s="1"/>
  <c r="AL592" i="1" s="1"/>
  <c r="AE594" i="1" a="1"/>
  <c r="Q593" i="1"/>
  <c r="AB593" i="1" s="1" a="1"/>
  <c r="AB593" i="1" s="1"/>
  <c r="Q594" i="1" a="1"/>
  <c r="AE593" i="1"/>
  <c r="AM592" i="1" s="1" a="1"/>
  <c r="AM592" i="1" s="1"/>
  <c r="Z593" i="1" l="1" a="1"/>
  <c r="Z593" i="1" s="1"/>
  <c r="X593" i="1" a="1"/>
  <c r="X593" i="1" s="1"/>
  <c r="Y593" i="1" s="1"/>
  <c r="AA593" i="1"/>
  <c r="AK593" i="1" a="1"/>
  <c r="AK593" i="1" s="1"/>
  <c r="AL593" i="1" s="1"/>
  <c r="AE595" i="1" a="1"/>
  <c r="Q595" i="1" a="1"/>
  <c r="Q594" i="1"/>
  <c r="AB594" i="1" s="1" a="1"/>
  <c r="AB594" i="1" s="1"/>
  <c r="AE594" i="1"/>
  <c r="AK594" i="1" s="1" a="1"/>
  <c r="AK594" i="1" s="1"/>
  <c r="AL594" i="1" s="1"/>
  <c r="AM593" i="1" l="1" a="1"/>
  <c r="AM593" i="1" s="1"/>
  <c r="Z594" i="1" a="1"/>
  <c r="Z594" i="1" s="1"/>
  <c r="AA594" i="1"/>
  <c r="X594" i="1" a="1"/>
  <c r="X594" i="1" s="1"/>
  <c r="Y594" i="1" s="1"/>
  <c r="AE596" i="1" a="1"/>
  <c r="Q595" i="1"/>
  <c r="AB595" i="1" s="1" a="1"/>
  <c r="AB595" i="1" s="1"/>
  <c r="Q596" i="1" a="1"/>
  <c r="AE595" i="1"/>
  <c r="AM594" i="1" s="1" a="1"/>
  <c r="AM594" i="1" s="1"/>
  <c r="X595" i="1" l="1" a="1"/>
  <c r="X595" i="1" s="1"/>
  <c r="Y595" i="1" s="1"/>
  <c r="Z595" i="1" a="1"/>
  <c r="Z595" i="1" s="1"/>
  <c r="AA595" i="1"/>
  <c r="AK595" i="1" a="1"/>
  <c r="AK595" i="1" s="1"/>
  <c r="AL595" i="1" s="1"/>
  <c r="AE597" i="1" a="1"/>
  <c r="Q596" i="1"/>
  <c r="AB596" i="1" s="1" a="1"/>
  <c r="AB596" i="1" s="1"/>
  <c r="Q597" i="1" a="1"/>
  <c r="AE596" i="1"/>
  <c r="AM595" i="1" s="1" a="1"/>
  <c r="AM595" i="1" s="1"/>
  <c r="X596" i="1" l="1" a="1"/>
  <c r="X596" i="1" s="1"/>
  <c r="Y596" i="1" s="1"/>
  <c r="Z596" i="1" a="1"/>
  <c r="Z596" i="1" s="1"/>
  <c r="AA596" i="1"/>
  <c r="AK596" i="1" a="1"/>
  <c r="AK596" i="1" s="1"/>
  <c r="AL596" i="1" s="1"/>
  <c r="AE598" i="1" a="1"/>
  <c r="Q597" i="1"/>
  <c r="AB597" i="1" s="1" a="1"/>
  <c r="AB597" i="1" s="1"/>
  <c r="Q598" i="1" a="1"/>
  <c r="AE597" i="1"/>
  <c r="AM596" i="1" s="1" a="1"/>
  <c r="AM596" i="1" s="1"/>
  <c r="Z597" i="1" l="1" a="1"/>
  <c r="Z597" i="1" s="1"/>
  <c r="X597" i="1" a="1"/>
  <c r="X597" i="1" s="1"/>
  <c r="Y597" i="1" s="1"/>
  <c r="AA597" i="1"/>
  <c r="AK597" i="1" a="1"/>
  <c r="AK597" i="1" s="1"/>
  <c r="AL597" i="1" s="1"/>
  <c r="AE599" i="1" a="1"/>
  <c r="Q599" i="1" a="1"/>
  <c r="Q598" i="1"/>
  <c r="Z598" i="1" s="1" a="1"/>
  <c r="Z598" i="1" s="1"/>
  <c r="AE598" i="1"/>
  <c r="AM597" i="1" s="1" a="1"/>
  <c r="AM597" i="1" s="1"/>
  <c r="AB598" i="1" l="1" a="1"/>
  <c r="AB598" i="1" s="1"/>
  <c r="X598" i="1" a="1"/>
  <c r="X598" i="1" s="1"/>
  <c r="Y598" i="1" s="1"/>
  <c r="AA598" i="1"/>
  <c r="AK598" i="1" a="1"/>
  <c r="AK598" i="1" s="1"/>
  <c r="AL598" i="1" s="1"/>
  <c r="AE600" i="1" a="1"/>
  <c r="Q599" i="1"/>
  <c r="AB599" i="1" s="1" a="1"/>
  <c r="AB599" i="1" s="1"/>
  <c r="Q600" i="1" a="1"/>
  <c r="AE599" i="1"/>
  <c r="AK599" i="1" s="1" a="1"/>
  <c r="AK599" i="1" s="1"/>
  <c r="AL599" i="1" s="1"/>
  <c r="X599" i="1" l="1" a="1"/>
  <c r="X599" i="1" s="1"/>
  <c r="Y599" i="1" s="1"/>
  <c r="Z599" i="1" a="1"/>
  <c r="Z599" i="1" s="1"/>
  <c r="AA599" i="1"/>
  <c r="AM598" i="1" a="1"/>
  <c r="AM598" i="1" s="1"/>
  <c r="AE601" i="1" a="1"/>
  <c r="Q601" i="1" a="1"/>
  <c r="Q600" i="1"/>
  <c r="AB600" i="1" s="1" a="1"/>
  <c r="AB600" i="1" s="1"/>
  <c r="AE600" i="1"/>
  <c r="AK600" i="1" s="1" a="1"/>
  <c r="AK600" i="1" s="1"/>
  <c r="AL600" i="1" s="1"/>
  <c r="Z600" i="1" l="1" a="1"/>
  <c r="Z600" i="1" s="1"/>
  <c r="X600" i="1" a="1"/>
  <c r="X600" i="1" s="1"/>
  <c r="Y600" i="1" s="1"/>
  <c r="AA600" i="1"/>
  <c r="AM599" i="1" a="1"/>
  <c r="AM599" i="1" s="1"/>
  <c r="AE602" i="1" a="1"/>
  <c r="Q601" i="1"/>
  <c r="AB601" i="1" s="1" a="1"/>
  <c r="AB601" i="1" s="1"/>
  <c r="Q602" i="1" a="1"/>
  <c r="AE601" i="1"/>
  <c r="AM600" i="1" s="1" a="1"/>
  <c r="AM600" i="1" s="1"/>
  <c r="Z601" i="1" l="1" a="1"/>
  <c r="Z601" i="1" s="1"/>
  <c r="X601" i="1" a="1"/>
  <c r="X601" i="1" s="1"/>
  <c r="Y601" i="1" s="1"/>
  <c r="AA601" i="1"/>
  <c r="AK601" i="1" a="1"/>
  <c r="AK601" i="1" s="1"/>
  <c r="AL601" i="1" s="1"/>
  <c r="AE603" i="1" a="1"/>
  <c r="Q603" i="1" a="1"/>
  <c r="Q602" i="1"/>
  <c r="AB602" i="1" s="1" a="1"/>
  <c r="AB602" i="1" s="1"/>
  <c r="AE602" i="1"/>
  <c r="AM601" i="1" s="1" a="1"/>
  <c r="AM601" i="1" s="1"/>
  <c r="X602" i="1" l="1" a="1"/>
  <c r="X602" i="1" s="1"/>
  <c r="Y602" i="1" s="1"/>
  <c r="Z602" i="1" a="1"/>
  <c r="Z602" i="1" s="1"/>
  <c r="AA602" i="1"/>
  <c r="AK602" i="1" a="1"/>
  <c r="AK602" i="1" s="1"/>
  <c r="AL602" i="1" s="1"/>
  <c r="AE604" i="1" a="1"/>
  <c r="Q604" i="1" a="1"/>
  <c r="Q603" i="1"/>
  <c r="AB603" i="1" s="1" a="1"/>
  <c r="AB603" i="1" s="1"/>
  <c r="AE603" i="1"/>
  <c r="AM602" i="1" s="1" a="1"/>
  <c r="AM602" i="1" s="1"/>
  <c r="Z603" i="1" l="1" a="1"/>
  <c r="Z603" i="1" s="1"/>
  <c r="X603" i="1" a="1"/>
  <c r="X603" i="1" s="1"/>
  <c r="Y603" i="1" s="1"/>
  <c r="AA603" i="1"/>
  <c r="AK603" i="1" a="1"/>
  <c r="AK603" i="1" s="1"/>
  <c r="AL603" i="1" s="1"/>
  <c r="AE605" i="1" a="1"/>
  <c r="Q604" i="1"/>
  <c r="AB604" i="1" s="1" a="1"/>
  <c r="AB604" i="1" s="1"/>
  <c r="Q605" i="1" a="1"/>
  <c r="AE604" i="1"/>
  <c r="AK604" i="1" s="1" a="1"/>
  <c r="AK604" i="1" s="1"/>
  <c r="AL604" i="1" s="1"/>
  <c r="Z604" i="1" l="1" a="1"/>
  <c r="Z604" i="1" s="1"/>
  <c r="X604" i="1" a="1"/>
  <c r="X604" i="1" s="1"/>
  <c r="Y604" i="1" s="1"/>
  <c r="AA604" i="1"/>
  <c r="AM603" i="1" a="1"/>
  <c r="AM603" i="1" s="1"/>
  <c r="AE606" i="1" a="1"/>
  <c r="Q605" i="1"/>
  <c r="AB605" i="1" s="1" a="1"/>
  <c r="AB605" i="1" s="1"/>
  <c r="Q606" i="1" a="1"/>
  <c r="AE605" i="1"/>
  <c r="AM604" i="1" s="1" a="1"/>
  <c r="AM604" i="1" s="1"/>
  <c r="Z605" i="1" l="1" a="1"/>
  <c r="Z605" i="1" s="1"/>
  <c r="X605" i="1" a="1"/>
  <c r="X605" i="1" s="1"/>
  <c r="Y605" i="1" s="1"/>
  <c r="AA605" i="1"/>
  <c r="AK605" i="1" a="1"/>
  <c r="AK605" i="1" s="1"/>
  <c r="AL605" i="1" s="1"/>
  <c r="AE607" i="1" a="1"/>
  <c r="Q607" i="1" a="1"/>
  <c r="Q606" i="1"/>
  <c r="Z606" i="1" s="1" a="1"/>
  <c r="Z606" i="1" s="1"/>
  <c r="AE606" i="1"/>
  <c r="AK606" i="1" s="1" a="1"/>
  <c r="AK606" i="1" s="1"/>
  <c r="AL606" i="1" s="1"/>
  <c r="AB606" i="1" l="1" a="1"/>
  <c r="AB606" i="1" s="1"/>
  <c r="X606" i="1" a="1"/>
  <c r="X606" i="1" s="1"/>
  <c r="Y606" i="1" s="1"/>
  <c r="AA606" i="1"/>
  <c r="AM605" i="1" a="1"/>
  <c r="AM605" i="1" s="1"/>
  <c r="AE608" i="1" a="1"/>
  <c r="Q607" i="1"/>
  <c r="AB607" i="1" s="1" a="1"/>
  <c r="AB607" i="1" s="1"/>
  <c r="Q608" i="1" a="1"/>
  <c r="AE607" i="1"/>
  <c r="AM606" i="1" s="1" a="1"/>
  <c r="AM606" i="1" s="1"/>
  <c r="X607" i="1" l="1" a="1"/>
  <c r="X607" i="1" s="1"/>
  <c r="Y607" i="1" s="1"/>
  <c r="Z607" i="1" a="1"/>
  <c r="Z607" i="1" s="1"/>
  <c r="AA607" i="1"/>
  <c r="AK607" i="1" a="1"/>
  <c r="AK607" i="1" s="1"/>
  <c r="AL607" i="1" s="1"/>
  <c r="AE609" i="1" a="1"/>
  <c r="Q609" i="1" a="1"/>
  <c r="Q608" i="1"/>
  <c r="AB608" i="1" s="1" a="1"/>
  <c r="AB608" i="1" s="1"/>
  <c r="AE608" i="1"/>
  <c r="AK608" i="1" s="1" a="1"/>
  <c r="AK608" i="1" s="1"/>
  <c r="AL608" i="1" s="1"/>
  <c r="AM607" i="1" l="1" a="1"/>
  <c r="AM607" i="1" s="1"/>
  <c r="X608" i="1" a="1"/>
  <c r="X608" i="1" s="1"/>
  <c r="Y608" i="1" s="1"/>
  <c r="AA608" i="1"/>
  <c r="Z608" i="1" a="1"/>
  <c r="Z608" i="1" s="1"/>
  <c r="AE610" i="1" a="1"/>
  <c r="Q610" i="1" a="1"/>
  <c r="Q609" i="1"/>
  <c r="AB609" i="1" s="1" a="1"/>
  <c r="AB609" i="1" s="1"/>
  <c r="AE609" i="1"/>
  <c r="AK609" i="1" s="1" a="1"/>
  <c r="AK609" i="1" s="1"/>
  <c r="AL609" i="1" s="1"/>
  <c r="AM608" i="1" l="1" a="1"/>
  <c r="AM608" i="1" s="1"/>
  <c r="X609" i="1" a="1"/>
  <c r="X609" i="1" s="1"/>
  <c r="Y609" i="1" s="1"/>
  <c r="AA609" i="1"/>
  <c r="Z609" i="1" a="1"/>
  <c r="Z609" i="1" s="1"/>
  <c r="AE611" i="1" a="1"/>
  <c r="Q610" i="1"/>
  <c r="X610" i="1" s="1" a="1"/>
  <c r="X610" i="1" s="1"/>
  <c r="Y610" i="1" s="1"/>
  <c r="Q611" i="1" a="1"/>
  <c r="AE610" i="1"/>
  <c r="AM609" i="1" s="1" a="1"/>
  <c r="AM609" i="1" s="1"/>
  <c r="AB610" i="1" l="1" a="1"/>
  <c r="AB610" i="1" s="1"/>
  <c r="Z610" i="1" a="1"/>
  <c r="Z610" i="1" s="1"/>
  <c r="AA610" i="1"/>
  <c r="AK610" i="1" a="1"/>
  <c r="AK610" i="1" s="1"/>
  <c r="AL610" i="1" s="1"/>
  <c r="AE612" i="1" a="1"/>
  <c r="Q611" i="1"/>
  <c r="AB611" i="1" s="1" a="1"/>
  <c r="AB611" i="1" s="1"/>
  <c r="Q612" i="1" a="1"/>
  <c r="AE611" i="1"/>
  <c r="AK611" i="1" s="1" a="1"/>
  <c r="AK611" i="1" s="1"/>
  <c r="AL611" i="1" s="1"/>
  <c r="AM610" i="1" l="1" a="1"/>
  <c r="AM610" i="1" s="1"/>
  <c r="X611" i="1" a="1"/>
  <c r="X611" i="1" s="1"/>
  <c r="Y611" i="1" s="1"/>
  <c r="AA611" i="1"/>
  <c r="Z611" i="1" a="1"/>
  <c r="Z611" i="1" s="1"/>
  <c r="AE613" i="1" a="1"/>
  <c r="Q612" i="1"/>
  <c r="AB612" i="1" s="1" a="1"/>
  <c r="AB612" i="1" s="1"/>
  <c r="Q613" i="1" a="1"/>
  <c r="AE612" i="1"/>
  <c r="AK612" i="1" s="1" a="1"/>
  <c r="AK612" i="1" s="1"/>
  <c r="AL612" i="1" s="1"/>
  <c r="X612" i="1" l="1" a="1"/>
  <c r="X612" i="1" s="1"/>
  <c r="Y612" i="1" s="1"/>
  <c r="Z612" i="1" a="1"/>
  <c r="Z612" i="1" s="1"/>
  <c r="AA612" i="1"/>
  <c r="AM611" i="1" a="1"/>
  <c r="AM611" i="1" s="1"/>
  <c r="AE614" i="1" a="1"/>
  <c r="Q613" i="1"/>
  <c r="AB613" i="1" s="1" a="1"/>
  <c r="AB613" i="1" s="1"/>
  <c r="Q614" i="1" a="1"/>
  <c r="AE613" i="1"/>
  <c r="AM612" i="1" s="1" a="1"/>
  <c r="AM612" i="1" s="1"/>
  <c r="Z613" i="1" l="1" a="1"/>
  <c r="Z613" i="1" s="1"/>
  <c r="X613" i="1" a="1"/>
  <c r="X613" i="1" s="1"/>
  <c r="Y613" i="1" s="1"/>
  <c r="AA613" i="1"/>
  <c r="AK613" i="1" a="1"/>
  <c r="AK613" i="1" s="1"/>
  <c r="AL613" i="1" s="1"/>
  <c r="AE615" i="1" a="1"/>
  <c r="Q614" i="1"/>
  <c r="AB614" i="1" s="1" a="1"/>
  <c r="AB614" i="1" s="1"/>
  <c r="Q615" i="1" a="1"/>
  <c r="AE614" i="1"/>
  <c r="AM613" i="1" s="1" a="1"/>
  <c r="AM613" i="1" s="1"/>
  <c r="Z614" i="1" l="1" a="1"/>
  <c r="Z614" i="1" s="1"/>
  <c r="X614" i="1" a="1"/>
  <c r="X614" i="1" s="1"/>
  <c r="Y614" i="1" s="1"/>
  <c r="AA614" i="1"/>
  <c r="AK614" i="1" a="1"/>
  <c r="AK614" i="1" s="1"/>
  <c r="AL614" i="1" s="1"/>
  <c r="AE616" i="1" a="1"/>
  <c r="Q615" i="1"/>
  <c r="AB615" i="1" s="1" a="1"/>
  <c r="AB615" i="1" s="1"/>
  <c r="Q616" i="1" a="1"/>
  <c r="AE615" i="1"/>
  <c r="AK615" i="1" s="1" a="1"/>
  <c r="AK615" i="1" s="1"/>
  <c r="AL615" i="1" s="1"/>
  <c r="X615" i="1" l="1" a="1"/>
  <c r="X615" i="1" s="1"/>
  <c r="Y615" i="1" s="1"/>
  <c r="Z615" i="1" a="1"/>
  <c r="Z615" i="1" s="1"/>
  <c r="AA615" i="1"/>
  <c r="AM614" i="1" a="1"/>
  <c r="AM614" i="1" s="1"/>
  <c r="AE617" i="1" a="1"/>
  <c r="Q617" i="1" a="1"/>
  <c r="Q616" i="1"/>
  <c r="AB616" i="1" s="1" a="1"/>
  <c r="AB616" i="1" s="1"/>
  <c r="AE616" i="1"/>
  <c r="AM615" i="1" s="1" a="1"/>
  <c r="AM615" i="1" s="1"/>
  <c r="AK616" i="1" l="1" a="1"/>
  <c r="AK616" i="1" s="1"/>
  <c r="AL616" i="1" s="1"/>
  <c r="Z616" i="1" a="1"/>
  <c r="Z616" i="1" s="1"/>
  <c r="AA616" i="1"/>
  <c r="X616" i="1" a="1"/>
  <c r="X616" i="1" s="1"/>
  <c r="Y616" i="1" s="1"/>
  <c r="AE618" i="1" a="1"/>
  <c r="Q617" i="1"/>
  <c r="AB617" i="1" s="1" a="1"/>
  <c r="AB617" i="1" s="1"/>
  <c r="Q618" i="1" a="1"/>
  <c r="AE617" i="1"/>
  <c r="AM616" i="1" s="1" a="1"/>
  <c r="AM616" i="1" s="1"/>
  <c r="Z617" i="1" l="1" a="1"/>
  <c r="Z617" i="1" s="1"/>
  <c r="X617" i="1" a="1"/>
  <c r="X617" i="1" s="1"/>
  <c r="Y617" i="1" s="1"/>
  <c r="AA617" i="1"/>
  <c r="AK617" i="1" a="1"/>
  <c r="AK617" i="1" s="1"/>
  <c r="AL617" i="1" s="1"/>
  <c r="AE619" i="1" a="1"/>
  <c r="Q618" i="1"/>
  <c r="AB618" i="1" s="1" a="1"/>
  <c r="AB618" i="1" s="1"/>
  <c r="Q619" i="1" a="1"/>
  <c r="AE618" i="1"/>
  <c r="AM617" i="1" s="1" a="1"/>
  <c r="AM617" i="1" s="1"/>
  <c r="X618" i="1" l="1" a="1"/>
  <c r="X618" i="1" s="1"/>
  <c r="Y618" i="1" s="1"/>
  <c r="Z618" i="1" a="1"/>
  <c r="Z618" i="1" s="1"/>
  <c r="AA618" i="1"/>
  <c r="AK618" i="1" a="1"/>
  <c r="AK618" i="1" s="1"/>
  <c r="AL618" i="1" s="1"/>
  <c r="AE620" i="1" a="1"/>
  <c r="Q619" i="1"/>
  <c r="AB619" i="1" s="1" a="1"/>
  <c r="AB619" i="1" s="1"/>
  <c r="Q620" i="1" a="1"/>
  <c r="AE619" i="1"/>
  <c r="AM618" i="1" s="1" a="1"/>
  <c r="AM618" i="1" s="1"/>
  <c r="Z619" i="1" l="1" a="1"/>
  <c r="Z619" i="1" s="1"/>
  <c r="X619" i="1" a="1"/>
  <c r="X619" i="1" s="1"/>
  <c r="Y619" i="1" s="1"/>
  <c r="AA619" i="1"/>
  <c r="AK619" i="1" a="1"/>
  <c r="AK619" i="1" s="1"/>
  <c r="AL619" i="1" s="1"/>
  <c r="AE621" i="1" a="1"/>
  <c r="Q620" i="1"/>
  <c r="AB620" i="1" s="1" a="1"/>
  <c r="AB620" i="1" s="1"/>
  <c r="Q621" i="1" a="1"/>
  <c r="AE620" i="1"/>
  <c r="AK620" i="1" s="1" a="1"/>
  <c r="AK620" i="1" s="1"/>
  <c r="AL620" i="1" s="1"/>
  <c r="X620" i="1" l="1" a="1"/>
  <c r="X620" i="1" s="1"/>
  <c r="Y620" i="1" s="1"/>
  <c r="Z620" i="1" a="1"/>
  <c r="Z620" i="1" s="1"/>
  <c r="AA620" i="1"/>
  <c r="AM619" i="1" a="1"/>
  <c r="AM619" i="1" s="1"/>
  <c r="AE622" i="1" a="1"/>
  <c r="Q621" i="1"/>
  <c r="AB621" i="1" s="1" a="1"/>
  <c r="AB621" i="1" s="1"/>
  <c r="Q622" i="1" a="1"/>
  <c r="AE621" i="1"/>
  <c r="AK621" i="1" s="1" a="1"/>
  <c r="AK621" i="1" s="1"/>
  <c r="AL621" i="1" s="1"/>
  <c r="AM620" i="1" l="1" a="1"/>
  <c r="AM620" i="1" s="1"/>
  <c r="Z621" i="1" a="1"/>
  <c r="Z621" i="1" s="1"/>
  <c r="AA621" i="1"/>
  <c r="X621" i="1" a="1"/>
  <c r="X621" i="1" s="1"/>
  <c r="Y621" i="1" s="1"/>
  <c r="AE623" i="1" a="1"/>
  <c r="Q622" i="1"/>
  <c r="AB622" i="1" s="1" a="1"/>
  <c r="AB622" i="1" s="1"/>
  <c r="Q623" i="1" a="1"/>
  <c r="AE622" i="1"/>
  <c r="AM621" i="1" s="1" a="1"/>
  <c r="AM621" i="1" s="1"/>
  <c r="Z622" i="1" l="1" a="1"/>
  <c r="Z622" i="1" s="1"/>
  <c r="X622" i="1" a="1"/>
  <c r="X622" i="1" s="1"/>
  <c r="Y622" i="1" s="1"/>
  <c r="AA622" i="1"/>
  <c r="AK622" i="1" a="1"/>
  <c r="AK622" i="1" s="1"/>
  <c r="AL622" i="1" s="1"/>
  <c r="AE624" i="1" a="1"/>
  <c r="Q623" i="1"/>
  <c r="X623" i="1" s="1" a="1"/>
  <c r="X623" i="1" s="1"/>
  <c r="Y623" i="1" s="1"/>
  <c r="Q624" i="1" a="1"/>
  <c r="AE623" i="1"/>
  <c r="AK623" i="1" s="1" a="1"/>
  <c r="AK623" i="1" s="1"/>
  <c r="AL623" i="1" s="1"/>
  <c r="AB623" i="1" l="1" a="1"/>
  <c r="AB623" i="1" s="1"/>
  <c r="Z623" i="1" a="1"/>
  <c r="Z623" i="1" s="1"/>
  <c r="AA623" i="1"/>
  <c r="AM622" i="1" a="1"/>
  <c r="AM622" i="1" s="1"/>
  <c r="AE625" i="1" a="1"/>
  <c r="Q625" i="1" a="1"/>
  <c r="Q624" i="1"/>
  <c r="AB624" i="1" s="1" a="1"/>
  <c r="AB624" i="1" s="1"/>
  <c r="AE624" i="1"/>
  <c r="AK624" i="1" s="1" a="1"/>
  <c r="AK624" i="1" s="1"/>
  <c r="AL624" i="1" s="1"/>
  <c r="X624" i="1" l="1" a="1"/>
  <c r="X624" i="1" s="1"/>
  <c r="Y624" i="1" s="1"/>
  <c r="Z624" i="1" a="1"/>
  <c r="Z624" i="1" s="1"/>
  <c r="AA624" i="1"/>
  <c r="AM623" i="1" a="1"/>
  <c r="AM623" i="1" s="1"/>
  <c r="AE626" i="1" a="1"/>
  <c r="Q626" i="1" a="1"/>
  <c r="Q625" i="1"/>
  <c r="Z625" i="1" s="1" a="1"/>
  <c r="Z625" i="1" s="1"/>
  <c r="AE625" i="1"/>
  <c r="AK625" i="1" s="1" a="1"/>
  <c r="AK625" i="1" s="1"/>
  <c r="AL625" i="1" s="1"/>
  <c r="AB625" i="1" l="1" a="1"/>
  <c r="AB625" i="1" s="1"/>
  <c r="X625" i="1" a="1"/>
  <c r="X625" i="1" s="1"/>
  <c r="Y625" i="1" s="1"/>
  <c r="AA625" i="1"/>
  <c r="AM624" i="1" a="1"/>
  <c r="AM624" i="1" s="1"/>
  <c r="AE627" i="1" a="1"/>
  <c r="Q626" i="1"/>
  <c r="AB626" i="1" s="1" a="1"/>
  <c r="AB626" i="1" s="1"/>
  <c r="Q627" i="1" a="1"/>
  <c r="AE626" i="1"/>
  <c r="AM625" i="1" s="1" a="1"/>
  <c r="AM625" i="1" s="1"/>
  <c r="X626" i="1" l="1" a="1"/>
  <c r="X626" i="1" s="1"/>
  <c r="Y626" i="1" s="1"/>
  <c r="Z626" i="1" a="1"/>
  <c r="Z626" i="1" s="1"/>
  <c r="AA626" i="1"/>
  <c r="AK626" i="1" a="1"/>
  <c r="AK626" i="1" s="1"/>
  <c r="AL626" i="1" s="1"/>
  <c r="AE628" i="1" a="1"/>
  <c r="Q627" i="1"/>
  <c r="AB627" i="1" s="1" a="1"/>
  <c r="AB627" i="1" s="1"/>
  <c r="Q628" i="1" a="1"/>
  <c r="AE627" i="1"/>
  <c r="AM626" i="1" s="1" a="1"/>
  <c r="AM626" i="1" s="1"/>
  <c r="Z627" i="1" l="1" a="1"/>
  <c r="Z627" i="1" s="1"/>
  <c r="X627" i="1" a="1"/>
  <c r="X627" i="1" s="1"/>
  <c r="Y627" i="1" s="1"/>
  <c r="AA627" i="1"/>
  <c r="AK627" i="1" a="1"/>
  <c r="AK627" i="1" s="1"/>
  <c r="AL627" i="1" s="1"/>
  <c r="AE629" i="1" a="1"/>
  <c r="Q628" i="1"/>
  <c r="AB628" i="1" s="1" a="1"/>
  <c r="AB628" i="1" s="1"/>
  <c r="Q629" i="1" a="1"/>
  <c r="AE628" i="1"/>
  <c r="AM627" i="1" s="1" a="1"/>
  <c r="AM627" i="1" s="1"/>
  <c r="X628" i="1" l="1" a="1"/>
  <c r="X628" i="1" s="1"/>
  <c r="Y628" i="1" s="1"/>
  <c r="Z628" i="1" a="1"/>
  <c r="Z628" i="1" s="1"/>
  <c r="AA628" i="1"/>
  <c r="AK628" i="1" a="1"/>
  <c r="AK628" i="1" s="1"/>
  <c r="AL628" i="1" s="1"/>
  <c r="AE630" i="1" a="1"/>
  <c r="Q629" i="1"/>
  <c r="AB629" i="1" s="1" a="1"/>
  <c r="AB629" i="1" s="1"/>
  <c r="Q630" i="1" a="1"/>
  <c r="AE629" i="1"/>
  <c r="AK629" i="1" s="1" a="1"/>
  <c r="AK629" i="1" s="1"/>
  <c r="AL629" i="1" s="1"/>
  <c r="X629" i="1" l="1" a="1"/>
  <c r="X629" i="1" s="1"/>
  <c r="Y629" i="1" s="1"/>
  <c r="Z629" i="1" a="1"/>
  <c r="Z629" i="1" s="1"/>
  <c r="AA629" i="1"/>
  <c r="AM628" i="1" a="1"/>
  <c r="AM628" i="1" s="1"/>
  <c r="AE631" i="1" a="1"/>
  <c r="Q631" i="1" a="1"/>
  <c r="Q630" i="1"/>
  <c r="AB630" i="1" s="1" a="1"/>
  <c r="AB630" i="1" s="1"/>
  <c r="AE630" i="1"/>
  <c r="AK630" i="1" s="1" a="1"/>
  <c r="AK630" i="1" s="1"/>
  <c r="AL630" i="1" s="1"/>
  <c r="Z630" i="1" l="1" a="1"/>
  <c r="Z630" i="1" s="1"/>
  <c r="X630" i="1" a="1"/>
  <c r="X630" i="1" s="1"/>
  <c r="Y630" i="1" s="1"/>
  <c r="AA630" i="1"/>
  <c r="AM629" i="1" a="1"/>
  <c r="AM629" i="1" s="1"/>
  <c r="AE632" i="1" a="1"/>
  <c r="Q631" i="1"/>
  <c r="X631" i="1" s="1" a="1"/>
  <c r="X631" i="1" s="1"/>
  <c r="Y631" i="1" s="1"/>
  <c r="Q632" i="1" a="1"/>
  <c r="AE631" i="1"/>
  <c r="AM630" i="1" s="1" a="1"/>
  <c r="AM630" i="1" s="1"/>
  <c r="AB631" i="1" l="1" a="1"/>
  <c r="AB631" i="1" s="1"/>
  <c r="Z631" i="1" a="1"/>
  <c r="Z631" i="1" s="1"/>
  <c r="AA631" i="1"/>
  <c r="AK631" i="1" a="1"/>
  <c r="AK631" i="1" s="1"/>
  <c r="AL631" i="1" s="1"/>
  <c r="AE633" i="1" a="1"/>
  <c r="Q632" i="1"/>
  <c r="AB632" i="1" s="1" a="1"/>
  <c r="AB632" i="1" s="1"/>
  <c r="Q633" i="1" a="1"/>
  <c r="AE632" i="1"/>
  <c r="AK632" i="1" s="1" a="1"/>
  <c r="AK632" i="1" s="1"/>
  <c r="AL632" i="1" s="1"/>
  <c r="X632" i="1" l="1" a="1"/>
  <c r="X632" i="1" s="1"/>
  <c r="Y632" i="1" s="1"/>
  <c r="Z632" i="1" a="1"/>
  <c r="Z632" i="1" s="1"/>
  <c r="AA632" i="1"/>
  <c r="AM631" i="1" a="1"/>
  <c r="AM631" i="1" s="1"/>
  <c r="AE634" i="1" a="1"/>
  <c r="Q633" i="1"/>
  <c r="AB633" i="1" s="1" a="1"/>
  <c r="AB633" i="1" s="1"/>
  <c r="Q634" i="1" a="1"/>
  <c r="AE633" i="1"/>
  <c r="AK633" i="1" s="1" a="1"/>
  <c r="AK633" i="1" s="1"/>
  <c r="AL633" i="1" s="1"/>
  <c r="Z633" i="1" l="1" a="1"/>
  <c r="Z633" i="1" s="1"/>
  <c r="X633" i="1" a="1"/>
  <c r="X633" i="1" s="1"/>
  <c r="Y633" i="1" s="1"/>
  <c r="AA633" i="1"/>
  <c r="AM632" i="1" a="1"/>
  <c r="AM632" i="1" s="1"/>
  <c r="AE635" i="1" a="1"/>
  <c r="Q634" i="1"/>
  <c r="AB634" i="1" s="1" a="1"/>
  <c r="AB634" i="1" s="1"/>
  <c r="Q635" i="1" a="1"/>
  <c r="AE634" i="1"/>
  <c r="AK634" i="1" s="1" a="1"/>
  <c r="AK634" i="1" s="1"/>
  <c r="AL634" i="1" s="1"/>
  <c r="X634" i="1" l="1" a="1"/>
  <c r="X634" i="1" s="1"/>
  <c r="Y634" i="1" s="1"/>
  <c r="Z634" i="1" a="1"/>
  <c r="Z634" i="1" s="1"/>
  <c r="AA634" i="1"/>
  <c r="AM633" i="1" a="1"/>
  <c r="AM633" i="1" s="1"/>
  <c r="AE636" i="1" a="1"/>
  <c r="Q635" i="1"/>
  <c r="AB635" i="1" s="1" a="1"/>
  <c r="AB635" i="1" s="1"/>
  <c r="Q636" i="1" a="1"/>
  <c r="AE635" i="1"/>
  <c r="AK635" i="1" s="1" a="1"/>
  <c r="AK635" i="1" s="1"/>
  <c r="AL635" i="1" s="1"/>
  <c r="Z635" i="1" l="1" a="1"/>
  <c r="Z635" i="1" s="1"/>
  <c r="X635" i="1" a="1"/>
  <c r="X635" i="1" s="1"/>
  <c r="Y635" i="1" s="1"/>
  <c r="AA635" i="1"/>
  <c r="AM634" i="1" a="1"/>
  <c r="AM634" i="1" s="1"/>
  <c r="AE637" i="1" a="1"/>
  <c r="Q637" i="1" a="1"/>
  <c r="Q636" i="1"/>
  <c r="AB636" i="1" s="1" a="1"/>
  <c r="AB636" i="1" s="1"/>
  <c r="AE636" i="1"/>
  <c r="AM635" i="1" s="1" a="1"/>
  <c r="AM635" i="1" s="1"/>
  <c r="X636" i="1" l="1" a="1"/>
  <c r="X636" i="1" s="1"/>
  <c r="Y636" i="1" s="1"/>
  <c r="Z636" i="1" a="1"/>
  <c r="Z636" i="1" s="1"/>
  <c r="AA636" i="1"/>
  <c r="AK636" i="1" a="1"/>
  <c r="AK636" i="1" s="1"/>
  <c r="AL636" i="1" s="1"/>
  <c r="AE638" i="1" a="1"/>
  <c r="Q637" i="1"/>
  <c r="AB637" i="1" s="1" a="1"/>
  <c r="AB637" i="1" s="1"/>
  <c r="Q638" i="1" a="1"/>
  <c r="AE637" i="1"/>
  <c r="AK637" i="1" s="1" a="1"/>
  <c r="AK637" i="1" s="1"/>
  <c r="AL637" i="1" s="1"/>
  <c r="X637" i="1" l="1" a="1"/>
  <c r="X637" i="1" s="1"/>
  <c r="Y637" i="1" s="1"/>
  <c r="Z637" i="1" a="1"/>
  <c r="Z637" i="1" s="1"/>
  <c r="AA637" i="1"/>
  <c r="AM636" i="1" a="1"/>
  <c r="AM636" i="1" s="1"/>
  <c r="AE639" i="1" a="1"/>
  <c r="Q638" i="1"/>
  <c r="AB638" i="1" s="1" a="1"/>
  <c r="AB638" i="1" s="1"/>
  <c r="Q639" i="1" a="1"/>
  <c r="AE638" i="1"/>
  <c r="AM637" i="1" s="1" a="1"/>
  <c r="AM637" i="1" s="1"/>
  <c r="AK638" i="1" l="1" a="1"/>
  <c r="AK638" i="1" s="1"/>
  <c r="AL638" i="1" s="1"/>
  <c r="X638" i="1" a="1"/>
  <c r="X638" i="1" s="1"/>
  <c r="Y638" i="1" s="1"/>
  <c r="AA638" i="1"/>
  <c r="Z638" i="1" a="1"/>
  <c r="Z638" i="1" s="1"/>
  <c r="AE640" i="1" a="1"/>
  <c r="Q640" i="1" a="1"/>
  <c r="Q639" i="1"/>
  <c r="AB639" i="1" s="1" a="1"/>
  <c r="AB639" i="1" s="1"/>
  <c r="AE639" i="1"/>
  <c r="AM638" i="1" s="1" a="1"/>
  <c r="AM638" i="1" s="1"/>
  <c r="AK639" i="1" l="1" a="1"/>
  <c r="AK639" i="1" s="1"/>
  <c r="AL639" i="1" s="1"/>
  <c r="Z639" i="1" a="1"/>
  <c r="Z639" i="1" s="1"/>
  <c r="AA639" i="1"/>
  <c r="X639" i="1" a="1"/>
  <c r="X639" i="1" s="1"/>
  <c r="Y639" i="1" s="1"/>
  <c r="AE641" i="1" a="1"/>
  <c r="Q640" i="1"/>
  <c r="AB640" i="1" s="1" a="1"/>
  <c r="AB640" i="1" s="1"/>
  <c r="Q641" i="1" a="1"/>
  <c r="AE640" i="1"/>
  <c r="AK640" i="1" s="1" a="1"/>
  <c r="AK640" i="1" s="1"/>
  <c r="AL640" i="1" s="1"/>
  <c r="Z640" i="1" l="1" a="1"/>
  <c r="Z640" i="1" s="1"/>
  <c r="X640" i="1" a="1"/>
  <c r="X640" i="1" s="1"/>
  <c r="Y640" i="1" s="1"/>
  <c r="AA640" i="1"/>
  <c r="AM639" i="1" a="1"/>
  <c r="AM639" i="1" s="1"/>
  <c r="AE641" i="1"/>
  <c r="AM640" i="1" s="1" a="1"/>
  <c r="AM640" i="1" s="1"/>
  <c r="AE642" i="1" a="1"/>
  <c r="Q641" i="1"/>
  <c r="AB641" i="1" s="1" a="1"/>
  <c r="AB641" i="1" s="1"/>
  <c r="Q642" i="1" a="1"/>
  <c r="AK641" i="1" l="1" a="1"/>
  <c r="AK641" i="1" s="1"/>
  <c r="AL641" i="1" s="1"/>
  <c r="X641" i="1" a="1"/>
  <c r="X641" i="1" s="1"/>
  <c r="Y641" i="1" s="1"/>
  <c r="AA641" i="1"/>
  <c r="Z641" i="1" a="1"/>
  <c r="Z641" i="1" s="1"/>
  <c r="AE643" i="1" a="1"/>
  <c r="Q642" i="1"/>
  <c r="AB642" i="1" s="1" a="1"/>
  <c r="AB642" i="1" s="1"/>
  <c r="Q643" i="1" a="1"/>
  <c r="X642" i="1" a="1"/>
  <c r="X642" i="1" s="1"/>
  <c r="Y642" i="1" s="1"/>
  <c r="AE642" i="1"/>
  <c r="AM641" i="1" s="1" a="1"/>
  <c r="AM641" i="1" s="1"/>
  <c r="Z642" i="1" l="1" a="1"/>
  <c r="Z642" i="1" s="1"/>
  <c r="AA642" i="1"/>
  <c r="AK642" i="1" a="1"/>
  <c r="AK642" i="1" s="1"/>
  <c r="AL642" i="1" s="1"/>
  <c r="AE644" i="1" a="1"/>
  <c r="Q643" i="1"/>
  <c r="AB643" i="1" s="1" a="1"/>
  <c r="AB643" i="1" s="1"/>
  <c r="Q644" i="1" a="1"/>
  <c r="AE643" i="1"/>
  <c r="AK643" i="1" s="1" a="1"/>
  <c r="AK643" i="1" s="1"/>
  <c r="AL643" i="1" s="1"/>
  <c r="Z643" i="1" l="1" a="1"/>
  <c r="Z643" i="1" s="1"/>
  <c r="X643" i="1" a="1"/>
  <c r="X643" i="1" s="1"/>
  <c r="Y643" i="1" s="1"/>
  <c r="AA643" i="1"/>
  <c r="AM642" i="1" a="1"/>
  <c r="AM642" i="1" s="1"/>
  <c r="AE645" i="1" a="1"/>
  <c r="Q645" i="1" a="1"/>
  <c r="Q644" i="1"/>
  <c r="AB644" i="1" s="1" a="1"/>
  <c r="AB644" i="1" s="1"/>
  <c r="AE644" i="1"/>
  <c r="AK644" i="1" s="1" a="1"/>
  <c r="AK644" i="1" s="1"/>
  <c r="AL644" i="1" s="1"/>
  <c r="X644" i="1" l="1" a="1"/>
  <c r="X644" i="1" s="1"/>
  <c r="Y644" i="1" s="1"/>
  <c r="Z644" i="1" a="1"/>
  <c r="Z644" i="1" s="1"/>
  <c r="AA644" i="1"/>
  <c r="AM643" i="1" a="1"/>
  <c r="AM643" i="1" s="1"/>
  <c r="AE646" i="1" a="1"/>
  <c r="Q646" i="1" a="1"/>
  <c r="Q645" i="1"/>
  <c r="AB645" i="1" s="1" a="1"/>
  <c r="AB645" i="1" s="1"/>
  <c r="AE645" i="1"/>
  <c r="AM644" i="1" s="1" a="1"/>
  <c r="AM644" i="1" s="1"/>
  <c r="Z645" i="1" l="1" a="1"/>
  <c r="Z645" i="1" s="1"/>
  <c r="X645" i="1" a="1"/>
  <c r="X645" i="1" s="1"/>
  <c r="Y645" i="1" s="1"/>
  <c r="AA645" i="1"/>
  <c r="AK645" i="1" a="1"/>
  <c r="AK645" i="1" s="1"/>
  <c r="AL645" i="1" s="1"/>
  <c r="AE647" i="1" a="1"/>
  <c r="Q646" i="1"/>
  <c r="AB646" i="1" s="1" a="1"/>
  <c r="AB646" i="1" s="1"/>
  <c r="Q647" i="1" a="1"/>
  <c r="AE646" i="1"/>
  <c r="AK646" i="1" s="1" a="1"/>
  <c r="AK646" i="1" s="1"/>
  <c r="AL646" i="1" s="1"/>
  <c r="Z646" i="1" l="1" a="1"/>
  <c r="Z646" i="1" s="1"/>
  <c r="X646" i="1" a="1"/>
  <c r="X646" i="1" s="1"/>
  <c r="Y646" i="1" s="1"/>
  <c r="AA646" i="1"/>
  <c r="AM645" i="1" a="1"/>
  <c r="AM645" i="1" s="1"/>
  <c r="AE648" i="1" a="1"/>
  <c r="Q647" i="1"/>
  <c r="AB647" i="1" s="1" a="1"/>
  <c r="AB647" i="1" s="1"/>
  <c r="Q648" i="1" a="1"/>
  <c r="AE647" i="1"/>
  <c r="AM646" i="1" s="1" a="1"/>
  <c r="AM646" i="1" s="1"/>
  <c r="X647" i="1" l="1" a="1"/>
  <c r="X647" i="1" s="1"/>
  <c r="Y647" i="1" s="1"/>
  <c r="Z647" i="1" a="1"/>
  <c r="Z647" i="1" s="1"/>
  <c r="AA647" i="1"/>
  <c r="AK647" i="1" a="1"/>
  <c r="AK647" i="1" s="1"/>
  <c r="AL647" i="1" s="1"/>
  <c r="AE649" i="1" a="1"/>
  <c r="Q648" i="1"/>
  <c r="AB648" i="1" s="1" a="1"/>
  <c r="AB648" i="1" s="1"/>
  <c r="Q649" i="1" a="1"/>
  <c r="AE648" i="1"/>
  <c r="AM647" i="1" s="1" a="1"/>
  <c r="AM647" i="1" s="1"/>
  <c r="Z648" i="1" l="1" a="1"/>
  <c r="Z648" i="1" s="1"/>
  <c r="X648" i="1" a="1"/>
  <c r="X648" i="1" s="1"/>
  <c r="Y648" i="1" s="1"/>
  <c r="AA648" i="1"/>
  <c r="AK648" i="1" a="1"/>
  <c r="AK648" i="1" s="1"/>
  <c r="AL648" i="1" s="1"/>
  <c r="AE650" i="1" a="1"/>
  <c r="Q649" i="1"/>
  <c r="AB649" i="1" s="1" a="1"/>
  <c r="AB649" i="1" s="1"/>
  <c r="Q650" i="1" a="1"/>
  <c r="AE649" i="1"/>
  <c r="AM648" i="1" s="1" a="1"/>
  <c r="AM648" i="1" s="1"/>
  <c r="Z649" i="1" l="1" a="1"/>
  <c r="Z649" i="1" s="1"/>
  <c r="X649" i="1" a="1"/>
  <c r="X649" i="1" s="1"/>
  <c r="Y649" i="1" s="1"/>
  <c r="AA649" i="1"/>
  <c r="AK649" i="1" a="1"/>
  <c r="AK649" i="1" s="1"/>
  <c r="AL649" i="1" s="1"/>
  <c r="AE651" i="1" a="1"/>
  <c r="Q650" i="1"/>
  <c r="AB650" i="1" s="1" a="1"/>
  <c r="AB650" i="1" s="1"/>
  <c r="Q651" i="1" a="1"/>
  <c r="AE650" i="1"/>
  <c r="AK650" i="1" s="1" a="1"/>
  <c r="AK650" i="1" s="1"/>
  <c r="AL650" i="1" s="1"/>
  <c r="X650" i="1" l="1" a="1"/>
  <c r="X650" i="1" s="1"/>
  <c r="Y650" i="1" s="1"/>
  <c r="Z650" i="1" a="1"/>
  <c r="Z650" i="1" s="1"/>
  <c r="AA650" i="1"/>
  <c r="AM649" i="1" a="1"/>
  <c r="AM649" i="1" s="1"/>
  <c r="AE652" i="1" a="1"/>
  <c r="Q651" i="1"/>
  <c r="AB651" i="1" s="1" a="1"/>
  <c r="AB651" i="1" s="1"/>
  <c r="Q652" i="1" a="1"/>
  <c r="AE651" i="1"/>
  <c r="AK651" i="1" s="1" a="1"/>
  <c r="AK651" i="1" s="1"/>
  <c r="AL651" i="1" s="1"/>
  <c r="Z651" i="1" l="1" a="1"/>
  <c r="Z651" i="1" s="1"/>
  <c r="X651" i="1" a="1"/>
  <c r="X651" i="1" s="1"/>
  <c r="Y651" i="1" s="1"/>
  <c r="AA651" i="1"/>
  <c r="AM650" i="1" a="1"/>
  <c r="AM650" i="1" s="1"/>
  <c r="AE653" i="1" a="1"/>
  <c r="Q652" i="1"/>
  <c r="AB652" i="1" s="1" a="1"/>
  <c r="AB652" i="1" s="1"/>
  <c r="Q653" i="1" a="1"/>
  <c r="AE652" i="1"/>
  <c r="AM651" i="1" s="1" a="1"/>
  <c r="AM651" i="1" s="1"/>
  <c r="X652" i="1" l="1" a="1"/>
  <c r="X652" i="1" s="1"/>
  <c r="Y652" i="1" s="1"/>
  <c r="Z652" i="1" a="1"/>
  <c r="Z652" i="1" s="1"/>
  <c r="AA652" i="1"/>
  <c r="AK652" i="1" a="1"/>
  <c r="AK652" i="1" s="1"/>
  <c r="AL652" i="1" s="1"/>
  <c r="AE654" i="1" a="1"/>
  <c r="Q653" i="1"/>
  <c r="AB653" i="1" s="1" a="1"/>
  <c r="AB653" i="1" s="1"/>
  <c r="Q654" i="1" a="1"/>
  <c r="Z653" i="1" a="1"/>
  <c r="Z653" i="1" s="1"/>
  <c r="AE653" i="1"/>
  <c r="AK653" i="1" s="1" a="1"/>
  <c r="AK653" i="1" s="1"/>
  <c r="AL653" i="1" s="1"/>
  <c r="X653" i="1" l="1" a="1"/>
  <c r="X653" i="1" s="1"/>
  <c r="Y653" i="1" s="1"/>
  <c r="AA653" i="1"/>
  <c r="AM652" i="1" a="1"/>
  <c r="AM652" i="1" s="1"/>
  <c r="AE655" i="1" a="1"/>
  <c r="Q654" i="1"/>
  <c r="AB654" i="1" s="1" a="1"/>
  <c r="AB654" i="1" s="1"/>
  <c r="Q655" i="1" a="1"/>
  <c r="AE654" i="1"/>
  <c r="AM653" i="1" s="1" a="1"/>
  <c r="AM653" i="1" s="1"/>
  <c r="Z654" i="1" l="1" a="1"/>
  <c r="Z654" i="1" s="1"/>
  <c r="AK654" i="1" a="1"/>
  <c r="AK654" i="1" s="1"/>
  <c r="AL654" i="1" s="1"/>
  <c r="X654" i="1" a="1"/>
  <c r="X654" i="1" s="1"/>
  <c r="Y654" i="1" s="1"/>
  <c r="AA654" i="1"/>
  <c r="AE656" i="1" a="1"/>
  <c r="Q655" i="1"/>
  <c r="AB655" i="1" s="1" a="1"/>
  <c r="AB655" i="1" s="1"/>
  <c r="Q656" i="1" a="1"/>
  <c r="AE655" i="1"/>
  <c r="AK655" i="1" s="1" a="1"/>
  <c r="AK655" i="1" s="1"/>
  <c r="AL655" i="1" s="1"/>
  <c r="X655" i="1" l="1" a="1"/>
  <c r="X655" i="1" s="1"/>
  <c r="Y655" i="1" s="1"/>
  <c r="AM654" i="1" a="1"/>
  <c r="AM654" i="1" s="1"/>
  <c r="Z655" i="1" a="1"/>
  <c r="Z655" i="1" s="1"/>
  <c r="AA655" i="1"/>
  <c r="AE657" i="1" a="1"/>
  <c r="Q656" i="1"/>
  <c r="AB656" i="1" s="1" a="1"/>
  <c r="AB656" i="1" s="1"/>
  <c r="Q657" i="1" a="1"/>
  <c r="Z656" i="1" a="1"/>
  <c r="Z656" i="1" s="1"/>
  <c r="AE656" i="1"/>
  <c r="AK656" i="1" s="1" a="1"/>
  <c r="AK656" i="1" s="1"/>
  <c r="AL656" i="1" s="1"/>
  <c r="X656" i="1" l="1" a="1"/>
  <c r="X656" i="1" s="1"/>
  <c r="Y656" i="1" s="1"/>
  <c r="AA656" i="1"/>
  <c r="AM655" i="1" a="1"/>
  <c r="AM655" i="1" s="1"/>
  <c r="AE658" i="1" a="1"/>
  <c r="Q657" i="1"/>
  <c r="AB657" i="1" s="1" a="1"/>
  <c r="AB657" i="1" s="1"/>
  <c r="Q658" i="1" a="1"/>
  <c r="AE657" i="1"/>
  <c r="AK657" i="1" s="1" a="1"/>
  <c r="AK657" i="1" s="1"/>
  <c r="AL657" i="1" s="1"/>
  <c r="Z657" i="1" l="1" a="1"/>
  <c r="Z657" i="1" s="1"/>
  <c r="X657" i="1" a="1"/>
  <c r="X657" i="1" s="1"/>
  <c r="Y657" i="1" s="1"/>
  <c r="AA657" i="1"/>
  <c r="AM656" i="1" a="1"/>
  <c r="AM656" i="1" s="1"/>
  <c r="AE659" i="1" a="1"/>
  <c r="Q659" i="1" a="1"/>
  <c r="Q658" i="1"/>
  <c r="X658" i="1" s="1" a="1"/>
  <c r="X658" i="1" s="1"/>
  <c r="Y658" i="1" s="1"/>
  <c r="AE658" i="1"/>
  <c r="AK658" i="1" s="1" a="1"/>
  <c r="AK658" i="1" s="1"/>
  <c r="AL658" i="1" s="1"/>
  <c r="AB658" i="1" l="1" a="1"/>
  <c r="AB658" i="1" s="1"/>
  <c r="Z658" i="1" a="1"/>
  <c r="Z658" i="1" s="1"/>
  <c r="AA658" i="1"/>
  <c r="AM657" i="1" a="1"/>
  <c r="AM657" i="1" s="1"/>
  <c r="AE660" i="1" a="1"/>
  <c r="Q659" i="1"/>
  <c r="AB659" i="1" s="1" a="1"/>
  <c r="AB659" i="1" s="1"/>
  <c r="Q660" i="1" a="1"/>
  <c r="AE659" i="1"/>
  <c r="AK659" i="1" s="1" a="1"/>
  <c r="AK659" i="1" s="1"/>
  <c r="AL659" i="1" s="1"/>
  <c r="AM658" i="1" l="1" a="1"/>
  <c r="AM658" i="1" s="1"/>
  <c r="X659" i="1" a="1"/>
  <c r="X659" i="1" s="1"/>
  <c r="Y659" i="1" s="1"/>
  <c r="AA659" i="1"/>
  <c r="Z659" i="1" a="1"/>
  <c r="Z659" i="1" s="1"/>
  <c r="AE661" i="1" a="1"/>
  <c r="Q660" i="1"/>
  <c r="AB660" i="1" s="1" a="1"/>
  <c r="AB660" i="1" s="1"/>
  <c r="Q661" i="1" a="1"/>
  <c r="AE660" i="1"/>
  <c r="AM659" i="1" s="1" a="1"/>
  <c r="AM659" i="1" s="1"/>
  <c r="X660" i="1" l="1" a="1"/>
  <c r="X660" i="1" s="1"/>
  <c r="Y660" i="1" s="1"/>
  <c r="Z660" i="1" a="1"/>
  <c r="Z660" i="1" s="1"/>
  <c r="AA660" i="1"/>
  <c r="AK660" i="1" a="1"/>
  <c r="AK660" i="1" s="1"/>
  <c r="AL660" i="1" s="1"/>
  <c r="AE662" i="1" a="1"/>
  <c r="Q661" i="1"/>
  <c r="AB661" i="1" s="1" a="1"/>
  <c r="AB661" i="1" s="1"/>
  <c r="Q662" i="1" a="1"/>
  <c r="Z661" i="1" a="1"/>
  <c r="Z661" i="1" s="1"/>
  <c r="AE661" i="1"/>
  <c r="AM660" i="1" s="1" a="1"/>
  <c r="AM660" i="1" s="1"/>
  <c r="X661" i="1" l="1" a="1"/>
  <c r="X661" i="1" s="1"/>
  <c r="Y661" i="1" s="1"/>
  <c r="AA661" i="1"/>
  <c r="AK661" i="1" a="1"/>
  <c r="AK661" i="1" s="1"/>
  <c r="AL661" i="1" s="1"/>
  <c r="AE663" i="1" a="1"/>
  <c r="Q662" i="1"/>
  <c r="AB662" i="1" s="1" a="1"/>
  <c r="AB662" i="1" s="1"/>
  <c r="Q663" i="1" a="1"/>
  <c r="AE662" i="1"/>
  <c r="AK662" i="1" s="1" a="1"/>
  <c r="AK662" i="1" s="1"/>
  <c r="AL662" i="1" s="1"/>
  <c r="AM661" i="1" l="1" a="1"/>
  <c r="AM661" i="1" s="1"/>
  <c r="X662" i="1" a="1"/>
  <c r="X662" i="1" s="1"/>
  <c r="Y662" i="1" s="1"/>
  <c r="AA662" i="1"/>
  <c r="Z662" i="1" a="1"/>
  <c r="Z662" i="1" s="1"/>
  <c r="AE664" i="1" a="1"/>
  <c r="Q663" i="1"/>
  <c r="AB663" i="1" s="1" a="1"/>
  <c r="AB663" i="1" s="1"/>
  <c r="Q664" i="1" a="1"/>
  <c r="AE663" i="1"/>
  <c r="AM662" i="1" s="1" a="1"/>
  <c r="AM662" i="1" s="1"/>
  <c r="X663" i="1" l="1" a="1"/>
  <c r="X663" i="1" s="1"/>
  <c r="Y663" i="1" s="1"/>
  <c r="Z663" i="1" a="1"/>
  <c r="Z663" i="1" s="1"/>
  <c r="AA663" i="1"/>
  <c r="AK663" i="1" a="1"/>
  <c r="AK663" i="1" s="1"/>
  <c r="AL663" i="1" s="1"/>
  <c r="AE665" i="1" a="1"/>
  <c r="Q665" i="1" a="1"/>
  <c r="Q664" i="1"/>
  <c r="Z664" i="1" s="1" a="1"/>
  <c r="Z664" i="1" s="1"/>
  <c r="AE664" i="1"/>
  <c r="AK664" i="1" s="1" a="1"/>
  <c r="AK664" i="1" s="1"/>
  <c r="AL664" i="1" s="1"/>
  <c r="AB664" i="1" l="1" a="1"/>
  <c r="AB664" i="1" s="1"/>
  <c r="X664" i="1" a="1"/>
  <c r="X664" i="1" s="1"/>
  <c r="Y664" i="1" s="1"/>
  <c r="AA664" i="1"/>
  <c r="AM663" i="1" a="1"/>
  <c r="AM663" i="1" s="1"/>
  <c r="AE666" i="1" a="1"/>
  <c r="Q665" i="1"/>
  <c r="Z665" i="1" s="1" a="1"/>
  <c r="Z665" i="1" s="1"/>
  <c r="Q666" i="1" a="1"/>
  <c r="AE665" i="1"/>
  <c r="AK665" i="1" s="1" a="1"/>
  <c r="AK665" i="1" s="1"/>
  <c r="AL665" i="1" s="1"/>
  <c r="AB665" i="1" l="1" a="1"/>
  <c r="AB665" i="1" s="1"/>
  <c r="X665" i="1" a="1"/>
  <c r="X665" i="1" s="1"/>
  <c r="Y665" i="1" s="1"/>
  <c r="AA665" i="1"/>
  <c r="AM664" i="1" a="1"/>
  <c r="AM664" i="1" s="1"/>
  <c r="AE667" i="1" a="1"/>
  <c r="Q667" i="1" a="1"/>
  <c r="Q666" i="1"/>
  <c r="AB666" i="1" s="1" a="1"/>
  <c r="AB666" i="1" s="1"/>
  <c r="AE666" i="1"/>
  <c r="AK666" i="1" s="1" a="1"/>
  <c r="AK666" i="1" s="1"/>
  <c r="AL666" i="1" s="1"/>
  <c r="X666" i="1" l="1" a="1"/>
  <c r="X666" i="1" s="1"/>
  <c r="Y666" i="1" s="1"/>
  <c r="Z666" i="1" a="1"/>
  <c r="Z666" i="1" s="1"/>
  <c r="AA666" i="1"/>
  <c r="AM665" i="1" a="1"/>
  <c r="AM665" i="1" s="1"/>
  <c r="AE668" i="1" a="1"/>
  <c r="Q667" i="1"/>
  <c r="AB667" i="1" s="1" a="1"/>
  <c r="AB667" i="1" s="1"/>
  <c r="Q668" i="1" a="1"/>
  <c r="AE667" i="1"/>
  <c r="AK667" i="1" s="1" a="1"/>
  <c r="AK667" i="1" s="1"/>
  <c r="AL667" i="1" s="1"/>
  <c r="Z667" i="1" l="1" a="1"/>
  <c r="Z667" i="1" s="1"/>
  <c r="X667" i="1" a="1"/>
  <c r="X667" i="1" s="1"/>
  <c r="Y667" i="1" s="1"/>
  <c r="AA667" i="1"/>
  <c r="AM666" i="1" a="1"/>
  <c r="AM666" i="1" s="1"/>
  <c r="AE669" i="1" a="1"/>
  <c r="Q668" i="1"/>
  <c r="AB668" i="1" s="1" a="1"/>
  <c r="AB668" i="1" s="1"/>
  <c r="Q669" i="1" a="1"/>
  <c r="AE668" i="1"/>
  <c r="AK668" i="1" s="1" a="1"/>
  <c r="AK668" i="1" s="1"/>
  <c r="AL668" i="1" s="1"/>
  <c r="X668" i="1" l="1" a="1"/>
  <c r="X668" i="1" s="1"/>
  <c r="Y668" i="1" s="1"/>
  <c r="Z668" i="1" a="1"/>
  <c r="Z668" i="1" s="1"/>
  <c r="AA668" i="1"/>
  <c r="AM667" i="1" a="1"/>
  <c r="AM667" i="1" s="1"/>
  <c r="AE670" i="1" a="1"/>
  <c r="Q670" i="1" a="1"/>
  <c r="Q669" i="1"/>
  <c r="Z669" i="1" s="1" a="1"/>
  <c r="Z669" i="1" s="1"/>
  <c r="AE669" i="1"/>
  <c r="AM668" i="1" s="1" a="1"/>
  <c r="AM668" i="1" s="1"/>
  <c r="AB669" i="1" l="1" a="1"/>
  <c r="AB669" i="1" s="1"/>
  <c r="X669" i="1" a="1"/>
  <c r="X669" i="1" s="1"/>
  <c r="Y669" i="1" s="1"/>
  <c r="AA669" i="1"/>
  <c r="AK669" i="1" a="1"/>
  <c r="AK669" i="1" s="1"/>
  <c r="AL669" i="1" s="1"/>
  <c r="AE671" i="1" a="1"/>
  <c r="Q671" i="1" a="1"/>
  <c r="Q670" i="1"/>
  <c r="Z670" i="1" s="1" a="1"/>
  <c r="Z670" i="1" s="1"/>
  <c r="AE670" i="1"/>
  <c r="AM669" i="1" s="1" a="1"/>
  <c r="AM669" i="1" s="1"/>
  <c r="AB670" i="1" l="1" a="1"/>
  <c r="AB670" i="1" s="1"/>
  <c r="X670" i="1" a="1"/>
  <c r="X670" i="1" s="1"/>
  <c r="Y670" i="1" s="1"/>
  <c r="AA670" i="1"/>
  <c r="AK670" i="1" a="1"/>
  <c r="AK670" i="1" s="1"/>
  <c r="AL670" i="1" s="1"/>
  <c r="AE672" i="1" a="1"/>
  <c r="Q671" i="1"/>
  <c r="AB671" i="1" s="1" a="1"/>
  <c r="AB671" i="1" s="1"/>
  <c r="Q672" i="1" a="1"/>
  <c r="AE671" i="1"/>
  <c r="AM670" i="1" s="1" a="1"/>
  <c r="AM670" i="1" s="1"/>
  <c r="AK671" i="1" l="1" a="1"/>
  <c r="AK671" i="1" s="1"/>
  <c r="AL671" i="1" s="1"/>
  <c r="Z671" i="1" a="1"/>
  <c r="Z671" i="1" s="1"/>
  <c r="AA671" i="1"/>
  <c r="X671" i="1" a="1"/>
  <c r="X671" i="1" s="1"/>
  <c r="Y671" i="1" s="1"/>
  <c r="AE673" i="1" a="1"/>
  <c r="Q673" i="1" a="1"/>
  <c r="Q672" i="1"/>
  <c r="Z672" i="1" s="1" a="1"/>
  <c r="Z672" i="1" s="1"/>
  <c r="AE672" i="1"/>
  <c r="AM671" i="1" s="1" a="1"/>
  <c r="AM671" i="1" s="1"/>
  <c r="AB672" i="1" l="1" a="1"/>
  <c r="AB672" i="1" s="1"/>
  <c r="X672" i="1" a="1"/>
  <c r="X672" i="1" s="1"/>
  <c r="Y672" i="1" s="1"/>
  <c r="AA672" i="1"/>
  <c r="AK672" i="1" a="1"/>
  <c r="AK672" i="1" s="1"/>
  <c r="AL672" i="1" s="1"/>
  <c r="AE674" i="1" a="1"/>
  <c r="Q674" i="1" a="1"/>
  <c r="Q673" i="1"/>
  <c r="Z673" i="1" s="1" a="1"/>
  <c r="Z673" i="1" s="1"/>
  <c r="AE673" i="1"/>
  <c r="AK673" i="1" s="1" a="1"/>
  <c r="AK673" i="1" s="1"/>
  <c r="AL673" i="1" s="1"/>
  <c r="AB673" i="1" l="1" a="1"/>
  <c r="AB673" i="1" s="1"/>
  <c r="X673" i="1" a="1"/>
  <c r="X673" i="1" s="1"/>
  <c r="Y673" i="1" s="1"/>
  <c r="AA673" i="1"/>
  <c r="AM672" i="1" a="1"/>
  <c r="AM672" i="1" s="1"/>
  <c r="AE675" i="1" a="1"/>
  <c r="Q674" i="1"/>
  <c r="AB674" i="1" s="1" a="1"/>
  <c r="AB674" i="1" s="1"/>
  <c r="Q675" i="1" a="1"/>
  <c r="AE674" i="1"/>
  <c r="AK674" i="1" s="1" a="1"/>
  <c r="AK674" i="1" s="1"/>
  <c r="AL674" i="1" s="1"/>
  <c r="X674" i="1" l="1" a="1"/>
  <c r="X674" i="1" s="1"/>
  <c r="Y674" i="1" s="1"/>
  <c r="Z674" i="1" a="1"/>
  <c r="Z674" i="1" s="1"/>
  <c r="AA674" i="1"/>
  <c r="AM673" i="1" a="1"/>
  <c r="AM673" i="1" s="1"/>
  <c r="AE676" i="1" a="1"/>
  <c r="Q675" i="1"/>
  <c r="AB675" i="1" s="1" a="1"/>
  <c r="AB675" i="1" s="1"/>
  <c r="Q676" i="1" a="1"/>
  <c r="AE675" i="1"/>
  <c r="AM674" i="1" s="1" a="1"/>
  <c r="AM674" i="1" s="1"/>
  <c r="AK675" i="1" l="1" a="1"/>
  <c r="AK675" i="1" s="1"/>
  <c r="AL675" i="1" s="1"/>
  <c r="X675" i="1" a="1"/>
  <c r="X675" i="1" s="1"/>
  <c r="Y675" i="1" s="1"/>
  <c r="AA675" i="1"/>
  <c r="Z675" i="1" a="1"/>
  <c r="Z675" i="1" s="1"/>
  <c r="AE677" i="1" a="1"/>
  <c r="Q676" i="1"/>
  <c r="AB676" i="1" s="1" a="1"/>
  <c r="AB676" i="1" s="1"/>
  <c r="Q677" i="1" a="1"/>
  <c r="AE676" i="1"/>
  <c r="AM675" i="1" s="1" a="1"/>
  <c r="AM675" i="1" s="1"/>
  <c r="X676" i="1" l="1" a="1"/>
  <c r="X676" i="1" s="1"/>
  <c r="Y676" i="1" s="1"/>
  <c r="Z676" i="1" a="1"/>
  <c r="Z676" i="1" s="1"/>
  <c r="AA676" i="1"/>
  <c r="AK676" i="1" a="1"/>
  <c r="AK676" i="1" s="1"/>
  <c r="AL676" i="1" s="1"/>
  <c r="AE678" i="1" a="1"/>
  <c r="Q677" i="1"/>
  <c r="AB677" i="1" s="1" a="1"/>
  <c r="AB677" i="1" s="1"/>
  <c r="Q678" i="1" a="1"/>
  <c r="Z677" i="1" a="1"/>
  <c r="Z677" i="1" s="1"/>
  <c r="AE677" i="1"/>
  <c r="AM676" i="1" s="1" a="1"/>
  <c r="AM676" i="1" s="1"/>
  <c r="X677" i="1" l="1" a="1"/>
  <c r="X677" i="1" s="1"/>
  <c r="Y677" i="1" s="1"/>
  <c r="AA677" i="1"/>
  <c r="AK677" i="1" a="1"/>
  <c r="AK677" i="1" s="1"/>
  <c r="AL677" i="1" s="1"/>
  <c r="AE679" i="1" a="1"/>
  <c r="Q678" i="1"/>
  <c r="AB678" i="1" s="1" a="1"/>
  <c r="AB678" i="1" s="1"/>
  <c r="Q679" i="1" a="1"/>
  <c r="AE678" i="1"/>
  <c r="AM677" i="1" s="1" a="1"/>
  <c r="AM677" i="1" s="1"/>
  <c r="Z678" i="1" l="1" a="1"/>
  <c r="Z678" i="1" s="1"/>
  <c r="X678" i="1" a="1"/>
  <c r="X678" i="1" s="1"/>
  <c r="Y678" i="1" s="1"/>
  <c r="AA678" i="1"/>
  <c r="AK678" i="1" a="1"/>
  <c r="AK678" i="1" s="1"/>
  <c r="AL678" i="1" s="1"/>
  <c r="AE680" i="1" a="1"/>
  <c r="Q679" i="1"/>
  <c r="AB679" i="1" s="1" a="1"/>
  <c r="AB679" i="1" s="1"/>
  <c r="Q680" i="1" a="1"/>
  <c r="AE679" i="1"/>
  <c r="AM678" i="1" s="1" a="1"/>
  <c r="AM678" i="1" s="1"/>
  <c r="X679" i="1" l="1" a="1"/>
  <c r="X679" i="1" s="1"/>
  <c r="Y679" i="1" s="1"/>
  <c r="Z679" i="1" a="1"/>
  <c r="Z679" i="1" s="1"/>
  <c r="AA679" i="1"/>
  <c r="AK679" i="1" a="1"/>
  <c r="AK679" i="1" s="1"/>
  <c r="AL679" i="1" s="1"/>
  <c r="AE681" i="1" a="1"/>
  <c r="Q681" i="1" a="1"/>
  <c r="Q680" i="1"/>
  <c r="AB680" i="1" s="1" a="1"/>
  <c r="AB680" i="1" s="1"/>
  <c r="AE680" i="1"/>
  <c r="AK680" i="1" s="1" a="1"/>
  <c r="AK680" i="1" s="1"/>
  <c r="AL680" i="1" s="1"/>
  <c r="X680" i="1" l="1" a="1"/>
  <c r="X680" i="1" s="1"/>
  <c r="Y680" i="1" s="1"/>
  <c r="Z680" i="1" a="1"/>
  <c r="Z680" i="1" s="1"/>
  <c r="AA680" i="1"/>
  <c r="AM679" i="1" a="1"/>
  <c r="AM679" i="1" s="1"/>
  <c r="AE682" i="1" a="1"/>
  <c r="Q682" i="1" a="1"/>
  <c r="Q681" i="1"/>
  <c r="AB681" i="1" s="1" a="1"/>
  <c r="AB681" i="1" s="1"/>
  <c r="AE681" i="1"/>
  <c r="AM680" i="1" s="1" a="1"/>
  <c r="AM680" i="1" s="1"/>
  <c r="Z681" i="1" l="1" a="1"/>
  <c r="Z681" i="1" s="1"/>
  <c r="X681" i="1" a="1"/>
  <c r="X681" i="1" s="1"/>
  <c r="Y681" i="1" s="1"/>
  <c r="AA681" i="1"/>
  <c r="AK681" i="1" a="1"/>
  <c r="AK681" i="1" s="1"/>
  <c r="AL681" i="1" s="1"/>
  <c r="AE683" i="1" a="1"/>
  <c r="Q682" i="1"/>
  <c r="AB682" i="1" s="1" a="1"/>
  <c r="AB682" i="1" s="1"/>
  <c r="Q683" i="1" a="1"/>
  <c r="AE682" i="1"/>
  <c r="AK682" i="1" s="1" a="1"/>
  <c r="AK682" i="1" s="1"/>
  <c r="AL682" i="1" s="1"/>
  <c r="X682" i="1" l="1" a="1"/>
  <c r="X682" i="1" s="1"/>
  <c r="Y682" i="1" s="1"/>
  <c r="Z682" i="1" a="1"/>
  <c r="Z682" i="1" s="1"/>
  <c r="AA682" i="1"/>
  <c r="AM681" i="1" a="1"/>
  <c r="AM681" i="1" s="1"/>
  <c r="AE684" i="1" a="1"/>
  <c r="Q684" i="1" a="1"/>
  <c r="Q683" i="1"/>
  <c r="AB683" i="1" s="1" a="1"/>
  <c r="AB683" i="1" s="1"/>
  <c r="AE683" i="1"/>
  <c r="AK683" i="1" s="1" a="1"/>
  <c r="AK683" i="1" s="1"/>
  <c r="AL683" i="1" s="1"/>
  <c r="AM682" i="1" l="1" a="1"/>
  <c r="AM682" i="1" s="1"/>
  <c r="X683" i="1" a="1"/>
  <c r="X683" i="1" s="1"/>
  <c r="Y683" i="1" s="1"/>
  <c r="AA683" i="1"/>
  <c r="Z683" i="1" a="1"/>
  <c r="Z683" i="1" s="1"/>
  <c r="AE685" i="1" a="1"/>
  <c r="Q684" i="1"/>
  <c r="AB684" i="1" s="1" a="1"/>
  <c r="AB684" i="1" s="1"/>
  <c r="Q685" i="1" a="1"/>
  <c r="AE684" i="1"/>
  <c r="AK684" i="1" s="1" a="1"/>
  <c r="AK684" i="1" s="1"/>
  <c r="AL684" i="1" s="1"/>
  <c r="X684" i="1" l="1" a="1"/>
  <c r="X684" i="1" s="1"/>
  <c r="Y684" i="1" s="1"/>
  <c r="Z684" i="1" a="1"/>
  <c r="Z684" i="1" s="1"/>
  <c r="AA684" i="1"/>
  <c r="AM683" i="1" a="1"/>
  <c r="AM683" i="1" s="1"/>
  <c r="AE686" i="1" a="1"/>
  <c r="Q685" i="1"/>
  <c r="AB685" i="1" s="1" a="1"/>
  <c r="AB685" i="1" s="1"/>
  <c r="Q686" i="1" a="1"/>
  <c r="AE685" i="1"/>
  <c r="AK685" i="1" s="1" a="1"/>
  <c r="AK685" i="1" s="1"/>
  <c r="AL685" i="1" s="1"/>
  <c r="X685" i="1" l="1" a="1"/>
  <c r="X685" i="1" s="1"/>
  <c r="Y685" i="1" s="1"/>
  <c r="Z685" i="1" a="1"/>
  <c r="Z685" i="1" s="1"/>
  <c r="AA685" i="1"/>
  <c r="AM684" i="1" a="1"/>
  <c r="AM684" i="1" s="1"/>
  <c r="AE687" i="1" a="1"/>
  <c r="Q686" i="1"/>
  <c r="AB686" i="1" s="1" a="1"/>
  <c r="AB686" i="1" s="1"/>
  <c r="Q687" i="1" a="1"/>
  <c r="AE686" i="1"/>
  <c r="AK686" i="1" s="1" a="1"/>
  <c r="AK686" i="1" s="1"/>
  <c r="AL686" i="1" s="1"/>
  <c r="AM685" i="1" l="1" a="1"/>
  <c r="AM685" i="1" s="1"/>
  <c r="X686" i="1" a="1"/>
  <c r="X686" i="1" s="1"/>
  <c r="Y686" i="1" s="1"/>
  <c r="AA686" i="1"/>
  <c r="Z686" i="1" a="1"/>
  <c r="Z686" i="1" s="1"/>
  <c r="AE688" i="1" a="1"/>
  <c r="Q687" i="1"/>
  <c r="AB687" i="1" s="1" a="1"/>
  <c r="AB687" i="1" s="1"/>
  <c r="Q688" i="1" a="1"/>
  <c r="AE687" i="1"/>
  <c r="AK687" i="1" s="1" a="1"/>
  <c r="AK687" i="1" s="1"/>
  <c r="AL687" i="1" s="1"/>
  <c r="X687" i="1" l="1" a="1"/>
  <c r="X687" i="1" s="1"/>
  <c r="Y687" i="1" s="1"/>
  <c r="Z687" i="1" a="1"/>
  <c r="Z687" i="1" s="1"/>
  <c r="AA687" i="1"/>
  <c r="AM686" i="1" a="1"/>
  <c r="AM686" i="1" s="1"/>
  <c r="AE689" i="1" a="1"/>
  <c r="Q689" i="1" a="1"/>
  <c r="Q688" i="1"/>
  <c r="AB688" i="1" s="1" a="1"/>
  <c r="AB688" i="1" s="1"/>
  <c r="AE688" i="1"/>
  <c r="AM687" i="1" s="1" a="1"/>
  <c r="AM687" i="1" s="1"/>
  <c r="X688" i="1" l="1" a="1"/>
  <c r="X688" i="1" s="1"/>
  <c r="Y688" i="1" s="1"/>
  <c r="Z688" i="1" a="1"/>
  <c r="Z688" i="1" s="1"/>
  <c r="AA688" i="1"/>
  <c r="AK688" i="1" a="1"/>
  <c r="AK688" i="1" s="1"/>
  <c r="AL688" i="1" s="1"/>
  <c r="AE690" i="1" a="1"/>
  <c r="Q690" i="1" a="1"/>
  <c r="Q689" i="1"/>
  <c r="Z689" i="1" s="1" a="1"/>
  <c r="Z689" i="1" s="1"/>
  <c r="AE689" i="1"/>
  <c r="AM688" i="1" s="1" a="1"/>
  <c r="AM688" i="1" s="1"/>
  <c r="AB689" i="1" l="1" a="1"/>
  <c r="AB689" i="1" s="1"/>
  <c r="X689" i="1" a="1"/>
  <c r="X689" i="1" s="1"/>
  <c r="Y689" i="1" s="1"/>
  <c r="AA689" i="1"/>
  <c r="AK689" i="1" a="1"/>
  <c r="AK689" i="1" s="1"/>
  <c r="AL689" i="1" s="1"/>
  <c r="AE691" i="1" a="1"/>
  <c r="Q690" i="1"/>
  <c r="AB690" i="1" s="1" a="1"/>
  <c r="AB690" i="1" s="1"/>
  <c r="Q691" i="1" a="1"/>
  <c r="AE690" i="1"/>
  <c r="AM689" i="1" s="1" a="1"/>
  <c r="AM689" i="1" s="1"/>
  <c r="X690" i="1" l="1" a="1"/>
  <c r="X690" i="1" s="1"/>
  <c r="Y690" i="1" s="1"/>
  <c r="Z690" i="1" a="1"/>
  <c r="Z690" i="1" s="1"/>
  <c r="AA690" i="1"/>
  <c r="AK690" i="1" a="1"/>
  <c r="AK690" i="1" s="1"/>
  <c r="AL690" i="1" s="1"/>
  <c r="AE692" i="1" a="1"/>
  <c r="Q691" i="1"/>
  <c r="AB691" i="1" s="1" a="1"/>
  <c r="AB691" i="1" s="1"/>
  <c r="Q692" i="1" a="1"/>
  <c r="AE691" i="1"/>
  <c r="AK691" i="1" s="1" a="1"/>
  <c r="AK691" i="1" s="1"/>
  <c r="AL691" i="1" s="1"/>
  <c r="Z691" i="1" l="1" a="1"/>
  <c r="Z691" i="1" s="1"/>
  <c r="X691" i="1" a="1"/>
  <c r="X691" i="1" s="1"/>
  <c r="Y691" i="1" s="1"/>
  <c r="AA691" i="1"/>
  <c r="AM690" i="1" a="1"/>
  <c r="AM690" i="1" s="1"/>
  <c r="AE693" i="1" a="1"/>
  <c r="Q692" i="1"/>
  <c r="AB692" i="1" s="1" a="1"/>
  <c r="AB692" i="1" s="1"/>
  <c r="Q693" i="1" a="1"/>
  <c r="AE692" i="1"/>
  <c r="AK692" i="1" s="1" a="1"/>
  <c r="AK692" i="1" s="1"/>
  <c r="AL692" i="1" s="1"/>
  <c r="AM691" i="1" l="1" a="1"/>
  <c r="AM691" i="1" s="1"/>
  <c r="Z692" i="1" a="1"/>
  <c r="Z692" i="1" s="1"/>
  <c r="AA692" i="1"/>
  <c r="X692" i="1" a="1"/>
  <c r="X692" i="1" s="1"/>
  <c r="Y692" i="1" s="1"/>
  <c r="AE694" i="1" a="1"/>
  <c r="Q694" i="1" a="1"/>
  <c r="Q693" i="1"/>
  <c r="AB693" i="1" s="1" a="1"/>
  <c r="AB693" i="1" s="1"/>
  <c r="AE693" i="1"/>
  <c r="AK693" i="1" s="1" a="1"/>
  <c r="AK693" i="1" s="1"/>
  <c r="AL693" i="1" s="1"/>
  <c r="X693" i="1" l="1" a="1"/>
  <c r="X693" i="1" s="1"/>
  <c r="Y693" i="1" s="1"/>
  <c r="Z693" i="1" a="1"/>
  <c r="Z693" i="1" s="1"/>
  <c r="AA693" i="1"/>
  <c r="AM692" i="1" a="1"/>
  <c r="AM692" i="1" s="1"/>
  <c r="AE695" i="1" a="1"/>
  <c r="Q694" i="1"/>
  <c r="AB694" i="1" s="1" a="1"/>
  <c r="AB694" i="1" s="1"/>
  <c r="Q695" i="1" a="1"/>
  <c r="AE694" i="1"/>
  <c r="AK694" i="1" s="1" a="1"/>
  <c r="AK694" i="1" s="1"/>
  <c r="AL694" i="1" s="1"/>
  <c r="Z694" i="1" l="1" a="1"/>
  <c r="Z694" i="1" s="1"/>
  <c r="X694" i="1" a="1"/>
  <c r="X694" i="1" s="1"/>
  <c r="Y694" i="1" s="1"/>
  <c r="AA694" i="1"/>
  <c r="AM693" i="1" a="1"/>
  <c r="AM693" i="1" s="1"/>
  <c r="AE696" i="1" a="1"/>
  <c r="Q695" i="1"/>
  <c r="AB695" i="1" s="1" a="1"/>
  <c r="AB695" i="1" s="1"/>
  <c r="Q696" i="1" a="1"/>
  <c r="AE695" i="1"/>
  <c r="AK695" i="1" s="1" a="1"/>
  <c r="AK695" i="1" s="1"/>
  <c r="AL695" i="1" s="1"/>
  <c r="X695" i="1" l="1" a="1"/>
  <c r="X695" i="1" s="1"/>
  <c r="Y695" i="1" s="1"/>
  <c r="Z695" i="1" a="1"/>
  <c r="Z695" i="1" s="1"/>
  <c r="AA695" i="1"/>
  <c r="AM694" i="1" a="1"/>
  <c r="AM694" i="1" s="1"/>
  <c r="AE697" i="1" a="1"/>
  <c r="Q696" i="1"/>
  <c r="AB696" i="1" s="1" a="1"/>
  <c r="AB696" i="1" s="1"/>
  <c r="Q697" i="1" a="1"/>
  <c r="AE696" i="1"/>
  <c r="AK696" i="1" s="1" a="1"/>
  <c r="AK696" i="1" s="1"/>
  <c r="AL696" i="1" s="1"/>
  <c r="X696" i="1" l="1" a="1"/>
  <c r="X696" i="1" s="1"/>
  <c r="Y696" i="1" s="1"/>
  <c r="Z696" i="1" a="1"/>
  <c r="Z696" i="1" s="1"/>
  <c r="AA696" i="1"/>
  <c r="AM695" i="1" a="1"/>
  <c r="AM695" i="1" s="1"/>
  <c r="AE698" i="1" a="1"/>
  <c r="Q697" i="1"/>
  <c r="AB697" i="1" s="1" a="1"/>
  <c r="AB697" i="1" s="1"/>
  <c r="Q698" i="1" a="1"/>
  <c r="AE697" i="1"/>
  <c r="AK697" i="1" s="1" a="1"/>
  <c r="AK697" i="1" s="1"/>
  <c r="AL697" i="1" s="1"/>
  <c r="Z697" i="1" l="1" a="1"/>
  <c r="Z697" i="1" s="1"/>
  <c r="X697" i="1" a="1"/>
  <c r="X697" i="1" s="1"/>
  <c r="Y697" i="1" s="1"/>
  <c r="AA697" i="1"/>
  <c r="AM696" i="1" a="1"/>
  <c r="AM696" i="1" s="1"/>
  <c r="AE699" i="1" a="1"/>
  <c r="Q698" i="1"/>
  <c r="AB698" i="1" s="1" a="1"/>
  <c r="AB698" i="1" s="1"/>
  <c r="Q699" i="1" a="1"/>
  <c r="X698" i="1" a="1"/>
  <c r="X698" i="1" s="1"/>
  <c r="Y698" i="1" s="1"/>
  <c r="AE698" i="1"/>
  <c r="AK698" i="1" s="1" a="1"/>
  <c r="AK698" i="1" s="1"/>
  <c r="AL698" i="1" s="1"/>
  <c r="Z698" i="1" l="1" a="1"/>
  <c r="Z698" i="1" s="1"/>
  <c r="AA698" i="1"/>
  <c r="AM697" i="1" a="1"/>
  <c r="AM697" i="1" s="1"/>
  <c r="AE700" i="1" a="1"/>
  <c r="Q699" i="1"/>
  <c r="AB699" i="1" s="1" a="1"/>
  <c r="AB699" i="1" s="1"/>
  <c r="Q700" i="1" a="1"/>
  <c r="AE699" i="1"/>
  <c r="AK699" i="1" s="1" a="1"/>
  <c r="AK699" i="1" s="1"/>
  <c r="AL699" i="1" s="1"/>
  <c r="AM698" i="1" l="1" a="1"/>
  <c r="AM698" i="1" s="1"/>
  <c r="X699" i="1" a="1"/>
  <c r="X699" i="1" s="1"/>
  <c r="Y699" i="1" s="1"/>
  <c r="AA699" i="1"/>
  <c r="Z699" i="1" a="1"/>
  <c r="Z699" i="1" s="1"/>
  <c r="AE701" i="1" a="1"/>
  <c r="Q701" i="1" a="1"/>
  <c r="Q700" i="1"/>
  <c r="AB700" i="1" s="1" a="1"/>
  <c r="AB700" i="1" s="1"/>
  <c r="AE700" i="1"/>
  <c r="AK700" i="1" s="1" a="1"/>
  <c r="AK700" i="1" s="1"/>
  <c r="AL700" i="1" s="1"/>
  <c r="X700" i="1" l="1" a="1"/>
  <c r="X700" i="1" s="1"/>
  <c r="Y700" i="1" s="1"/>
  <c r="Z700" i="1" a="1"/>
  <c r="Z700" i="1" s="1"/>
  <c r="AA700" i="1"/>
  <c r="AM699" i="1" a="1"/>
  <c r="AM699" i="1" s="1"/>
  <c r="AE702" i="1" a="1"/>
  <c r="Q702" i="1" a="1"/>
  <c r="Q701" i="1"/>
  <c r="AB701" i="1" s="1" a="1"/>
  <c r="AB701" i="1" s="1"/>
  <c r="AE701" i="1"/>
  <c r="AK701" i="1" s="1" a="1"/>
  <c r="AK701" i="1" s="1"/>
  <c r="AL701" i="1" s="1"/>
  <c r="AM700" i="1" l="1" a="1"/>
  <c r="AM700" i="1" s="1"/>
  <c r="Z701" i="1" a="1"/>
  <c r="Z701" i="1" s="1"/>
  <c r="AA701" i="1"/>
  <c r="X701" i="1" a="1"/>
  <c r="X701" i="1" s="1"/>
  <c r="Y701" i="1" s="1"/>
  <c r="AE703" i="1" a="1"/>
  <c r="Q702" i="1"/>
  <c r="AB702" i="1" s="1" a="1"/>
  <c r="AB702" i="1" s="1"/>
  <c r="Q703" i="1" a="1"/>
  <c r="AE702" i="1"/>
  <c r="AM701" i="1" s="1" a="1"/>
  <c r="AM701" i="1" s="1"/>
  <c r="Z702" i="1" l="1" a="1"/>
  <c r="Z702" i="1" s="1"/>
  <c r="X702" i="1" a="1"/>
  <c r="X702" i="1" s="1"/>
  <c r="Y702" i="1" s="1"/>
  <c r="AA702" i="1"/>
  <c r="AK702" i="1" a="1"/>
  <c r="AK702" i="1" s="1"/>
  <c r="AL702" i="1" s="1"/>
  <c r="AE704" i="1" a="1"/>
  <c r="Q703" i="1"/>
  <c r="AB703" i="1" s="1" a="1"/>
  <c r="AB703" i="1" s="1"/>
  <c r="Q704" i="1" a="1"/>
  <c r="AE703" i="1"/>
  <c r="AK703" i="1" s="1" a="1"/>
  <c r="AK703" i="1" s="1"/>
  <c r="AL703" i="1" s="1"/>
  <c r="X703" i="1" l="1" a="1"/>
  <c r="X703" i="1" s="1"/>
  <c r="Y703" i="1" s="1"/>
  <c r="Z703" i="1" a="1"/>
  <c r="Z703" i="1" s="1"/>
  <c r="AA703" i="1"/>
  <c r="AM702" i="1" a="1"/>
  <c r="AM702" i="1" s="1"/>
  <c r="AE705" i="1" a="1"/>
  <c r="Q704" i="1"/>
  <c r="AB704" i="1" s="1" a="1"/>
  <c r="AB704" i="1" s="1"/>
  <c r="Q705" i="1" a="1"/>
  <c r="AE704" i="1"/>
  <c r="AM703" i="1" s="1" a="1"/>
  <c r="AM703" i="1" s="1"/>
  <c r="Z704" i="1" l="1" a="1"/>
  <c r="Z704" i="1" s="1"/>
  <c r="X704" i="1" a="1"/>
  <c r="X704" i="1" s="1"/>
  <c r="Y704" i="1" s="1"/>
  <c r="AA704" i="1"/>
  <c r="AK704" i="1" a="1"/>
  <c r="AK704" i="1" s="1"/>
  <c r="AL704" i="1" s="1"/>
  <c r="AE706" i="1" a="1"/>
  <c r="Q705" i="1"/>
  <c r="AB705" i="1" s="1" a="1"/>
  <c r="AB705" i="1" s="1"/>
  <c r="Q706" i="1" a="1"/>
  <c r="AE705" i="1"/>
  <c r="AM704" i="1" s="1" a="1"/>
  <c r="AM704" i="1" s="1"/>
  <c r="Z705" i="1" l="1" a="1"/>
  <c r="Z705" i="1" s="1"/>
  <c r="X705" i="1" a="1"/>
  <c r="X705" i="1" s="1"/>
  <c r="Y705" i="1" s="1"/>
  <c r="AA705" i="1"/>
  <c r="AK705" i="1" a="1"/>
  <c r="AK705" i="1" s="1"/>
  <c r="AL705" i="1" s="1"/>
  <c r="AE707" i="1" a="1"/>
  <c r="Q706" i="1"/>
  <c r="AB706" i="1" s="1" a="1"/>
  <c r="AB706" i="1" s="1"/>
  <c r="Q707" i="1" a="1"/>
  <c r="AE706" i="1"/>
  <c r="AK706" i="1" s="1" a="1"/>
  <c r="AK706" i="1" s="1"/>
  <c r="AL706" i="1" s="1"/>
  <c r="X706" i="1" l="1" a="1"/>
  <c r="X706" i="1" s="1"/>
  <c r="Y706" i="1" s="1"/>
  <c r="Z706" i="1" a="1"/>
  <c r="Z706" i="1" s="1"/>
  <c r="AA706" i="1"/>
  <c r="AM705" i="1" a="1"/>
  <c r="AM705" i="1" s="1"/>
  <c r="AE708" i="1" a="1"/>
  <c r="Q707" i="1"/>
  <c r="AB707" i="1" s="1" a="1"/>
  <c r="AB707" i="1" s="1"/>
  <c r="Q708" i="1" a="1"/>
  <c r="AE707" i="1"/>
  <c r="AM706" i="1" s="1" a="1"/>
  <c r="AM706" i="1" s="1"/>
  <c r="Z707" i="1" l="1" a="1"/>
  <c r="Z707" i="1" s="1"/>
  <c r="X707" i="1" a="1"/>
  <c r="X707" i="1" s="1"/>
  <c r="Y707" i="1" s="1"/>
  <c r="AA707" i="1"/>
  <c r="AK707" i="1" a="1"/>
  <c r="AK707" i="1" s="1"/>
  <c r="AL707" i="1" s="1"/>
  <c r="AE709" i="1" a="1"/>
  <c r="Q709" i="1" a="1"/>
  <c r="Q708" i="1"/>
  <c r="X708" i="1" s="1" a="1"/>
  <c r="X708" i="1" s="1"/>
  <c r="Y708" i="1" s="1"/>
  <c r="AE708" i="1"/>
  <c r="AK708" i="1" s="1" a="1"/>
  <c r="AK708" i="1" s="1"/>
  <c r="AL708" i="1" s="1"/>
  <c r="AB708" i="1" l="1" a="1"/>
  <c r="AB708" i="1" s="1"/>
  <c r="Z708" i="1" a="1"/>
  <c r="Z708" i="1" s="1"/>
  <c r="AA708" i="1"/>
  <c r="AM707" i="1" a="1"/>
  <c r="AM707" i="1" s="1"/>
  <c r="AE710" i="1" a="1"/>
  <c r="Q710" i="1" a="1"/>
  <c r="Q709" i="1"/>
  <c r="AB709" i="1" s="1" a="1"/>
  <c r="AB709" i="1" s="1"/>
  <c r="AE709" i="1"/>
  <c r="AM708" i="1" s="1" a="1"/>
  <c r="AM708" i="1" s="1"/>
  <c r="X709" i="1" l="1" a="1"/>
  <c r="X709" i="1" s="1"/>
  <c r="Y709" i="1" s="1"/>
  <c r="AA709" i="1"/>
  <c r="Z709" i="1" a="1"/>
  <c r="Z709" i="1" s="1"/>
  <c r="AK709" i="1" a="1"/>
  <c r="AK709" i="1" s="1"/>
  <c r="AL709" i="1" s="1"/>
  <c r="AE711" i="1" a="1"/>
  <c r="Q710" i="1"/>
  <c r="AB710" i="1" s="1" a="1"/>
  <c r="AB710" i="1" s="1"/>
  <c r="Q711" i="1" a="1"/>
  <c r="AE710" i="1"/>
  <c r="AK710" i="1" s="1" a="1"/>
  <c r="AK710" i="1" s="1"/>
  <c r="AL710" i="1" s="1"/>
  <c r="Z710" i="1" l="1" a="1"/>
  <c r="Z710" i="1" s="1"/>
  <c r="X710" i="1" a="1"/>
  <c r="X710" i="1" s="1"/>
  <c r="Y710" i="1" s="1"/>
  <c r="AA710" i="1"/>
  <c r="AM709" i="1" a="1"/>
  <c r="AM709" i="1" s="1"/>
  <c r="AE712" i="1" a="1"/>
  <c r="Q711" i="1"/>
  <c r="AB711" i="1" s="1" a="1"/>
  <c r="AB711" i="1" s="1"/>
  <c r="Q712" i="1" a="1"/>
  <c r="AE711" i="1"/>
  <c r="AM710" i="1" s="1" a="1"/>
  <c r="AM710" i="1" s="1"/>
  <c r="X711" i="1" l="1" a="1"/>
  <c r="X711" i="1" s="1"/>
  <c r="Y711" i="1" s="1"/>
  <c r="Z711" i="1" a="1"/>
  <c r="Z711" i="1" s="1"/>
  <c r="AA711" i="1"/>
  <c r="AK711" i="1" a="1"/>
  <c r="AK711" i="1" s="1"/>
  <c r="AL711" i="1" s="1"/>
  <c r="AE713" i="1" a="1"/>
  <c r="Q712" i="1"/>
  <c r="AB712" i="1" s="1" a="1"/>
  <c r="AB712" i="1" s="1"/>
  <c r="Q713" i="1" a="1"/>
  <c r="AE712" i="1"/>
  <c r="AM711" i="1" s="1" a="1"/>
  <c r="AM711" i="1" s="1"/>
  <c r="Z712" i="1" l="1" a="1"/>
  <c r="Z712" i="1" s="1"/>
  <c r="X712" i="1" a="1"/>
  <c r="X712" i="1" s="1"/>
  <c r="Y712" i="1" s="1"/>
  <c r="AA712" i="1"/>
  <c r="AK712" i="1" a="1"/>
  <c r="AK712" i="1" s="1"/>
  <c r="AL712" i="1" s="1"/>
  <c r="AE714" i="1" a="1"/>
  <c r="Q713" i="1"/>
  <c r="AB713" i="1" s="1" a="1"/>
  <c r="AB713" i="1" s="1"/>
  <c r="Q714" i="1" a="1"/>
  <c r="AE713" i="1"/>
  <c r="AM712" i="1" s="1" a="1"/>
  <c r="AM712" i="1" s="1"/>
  <c r="Z713" i="1" l="1" a="1"/>
  <c r="Z713" i="1" s="1"/>
  <c r="X713" i="1" a="1"/>
  <c r="X713" i="1" s="1"/>
  <c r="Y713" i="1" s="1"/>
  <c r="AA713" i="1"/>
  <c r="AK713" i="1" a="1"/>
  <c r="AK713" i="1" s="1"/>
  <c r="AL713" i="1" s="1"/>
  <c r="AE715" i="1" a="1"/>
  <c r="Q714" i="1"/>
  <c r="AB714" i="1" s="1" a="1"/>
  <c r="AB714" i="1" s="1"/>
  <c r="Q715" i="1" a="1"/>
  <c r="AE714" i="1"/>
  <c r="AM713" i="1" s="1" a="1"/>
  <c r="AM713" i="1" s="1"/>
  <c r="X714" i="1" l="1" a="1"/>
  <c r="X714" i="1" s="1"/>
  <c r="Y714" i="1" s="1"/>
  <c r="Z714" i="1" a="1"/>
  <c r="Z714" i="1" s="1"/>
  <c r="AA714" i="1"/>
  <c r="AK714" i="1" a="1"/>
  <c r="AK714" i="1" s="1"/>
  <c r="AL714" i="1" s="1"/>
  <c r="AE716" i="1" a="1"/>
  <c r="Q715" i="1"/>
  <c r="AB715" i="1" s="1" a="1"/>
  <c r="AB715" i="1" s="1"/>
  <c r="Q716" i="1" a="1"/>
  <c r="AE715" i="1"/>
  <c r="AM714" i="1" s="1" a="1"/>
  <c r="AM714" i="1" s="1"/>
  <c r="Z715" i="1" l="1" a="1"/>
  <c r="Z715" i="1" s="1"/>
  <c r="X715" i="1" a="1"/>
  <c r="X715" i="1" s="1"/>
  <c r="Y715" i="1" s="1"/>
  <c r="AA715" i="1"/>
  <c r="AK715" i="1" a="1"/>
  <c r="AK715" i="1" s="1"/>
  <c r="AL715" i="1" s="1"/>
  <c r="AE717" i="1" a="1"/>
  <c r="Q717" i="1" a="1"/>
  <c r="Q716" i="1"/>
  <c r="X716" i="1" s="1" a="1"/>
  <c r="X716" i="1" s="1"/>
  <c r="Y716" i="1" s="1"/>
  <c r="AE716" i="1"/>
  <c r="AM715" i="1" s="1" a="1"/>
  <c r="AM715" i="1" s="1"/>
  <c r="AB716" i="1" l="1" a="1"/>
  <c r="AB716" i="1" s="1"/>
  <c r="Z716" i="1" a="1"/>
  <c r="Z716" i="1" s="1"/>
  <c r="AA716" i="1"/>
  <c r="AK716" i="1" a="1"/>
  <c r="AK716" i="1" s="1"/>
  <c r="AL716" i="1" s="1"/>
  <c r="AE718" i="1" a="1"/>
  <c r="Q717" i="1"/>
  <c r="AB717" i="1" s="1" a="1"/>
  <c r="AB717" i="1" s="1"/>
  <c r="Q718" i="1" a="1"/>
  <c r="AE717" i="1"/>
  <c r="AK717" i="1" s="1" a="1"/>
  <c r="AK717" i="1" s="1"/>
  <c r="AL717" i="1" s="1"/>
  <c r="Z717" i="1" l="1" a="1"/>
  <c r="Z717" i="1" s="1"/>
  <c r="X717" i="1" a="1"/>
  <c r="X717" i="1" s="1"/>
  <c r="Y717" i="1" s="1"/>
  <c r="AA717" i="1"/>
  <c r="AM716" i="1" a="1"/>
  <c r="AM716" i="1" s="1"/>
  <c r="AE719" i="1" a="1"/>
  <c r="Q718" i="1"/>
  <c r="AB718" i="1" s="1" a="1"/>
  <c r="AB718" i="1" s="1"/>
  <c r="Q719" i="1" a="1"/>
  <c r="AE718" i="1"/>
  <c r="AK718" i="1" s="1" a="1"/>
  <c r="AK718" i="1" s="1"/>
  <c r="AL718" i="1" s="1"/>
  <c r="Z718" i="1" l="1" a="1"/>
  <c r="Z718" i="1" s="1"/>
  <c r="X718" i="1" a="1"/>
  <c r="X718" i="1" s="1"/>
  <c r="Y718" i="1" s="1"/>
  <c r="AA718" i="1"/>
  <c r="AM717" i="1" a="1"/>
  <c r="AM717" i="1" s="1"/>
  <c r="AE720" i="1" a="1"/>
  <c r="Q720" i="1" a="1"/>
  <c r="Q719" i="1"/>
  <c r="AB719" i="1" s="1" a="1"/>
  <c r="AB719" i="1" s="1"/>
  <c r="AE719" i="1"/>
  <c r="AK719" i="1" s="1" a="1"/>
  <c r="AK719" i="1" s="1"/>
  <c r="AL719" i="1" s="1"/>
  <c r="Z719" i="1" l="1" a="1"/>
  <c r="Z719" i="1" s="1"/>
  <c r="AA719" i="1"/>
  <c r="X719" i="1" a="1"/>
  <c r="X719" i="1" s="1"/>
  <c r="Y719" i="1" s="1"/>
  <c r="AM718" i="1" a="1"/>
  <c r="AM718" i="1" s="1"/>
  <c r="AE721" i="1" a="1"/>
  <c r="Q720" i="1"/>
  <c r="AB720" i="1" s="1" a="1"/>
  <c r="AB720" i="1" s="1"/>
  <c r="Q721" i="1" a="1"/>
  <c r="AE720" i="1"/>
  <c r="AM719" i="1" s="1" a="1"/>
  <c r="AM719" i="1" s="1"/>
  <c r="Z720" i="1" l="1" a="1"/>
  <c r="Z720" i="1" s="1"/>
  <c r="X720" i="1" a="1"/>
  <c r="X720" i="1" s="1"/>
  <c r="Y720" i="1" s="1"/>
  <c r="AA720" i="1"/>
  <c r="AK720" i="1" a="1"/>
  <c r="AK720" i="1" s="1"/>
  <c r="AL720" i="1" s="1"/>
  <c r="AE722" i="1" a="1"/>
  <c r="Q722" i="1" a="1"/>
  <c r="Q721" i="1"/>
  <c r="AB721" i="1" s="1" a="1"/>
  <c r="AB721" i="1" s="1"/>
  <c r="AE721" i="1"/>
  <c r="AM720" i="1" s="1" a="1"/>
  <c r="AM720" i="1" s="1"/>
  <c r="AK721" i="1" l="1" a="1"/>
  <c r="AK721" i="1" s="1"/>
  <c r="AL721" i="1" s="1"/>
  <c r="X721" i="1" a="1"/>
  <c r="X721" i="1" s="1"/>
  <c r="Y721" i="1" s="1"/>
  <c r="AA721" i="1"/>
  <c r="Z721" i="1" a="1"/>
  <c r="Z721" i="1" s="1"/>
  <c r="AE723" i="1" a="1"/>
  <c r="Q723" i="1" a="1"/>
  <c r="Q722" i="1"/>
  <c r="AB722" i="1" s="1" a="1"/>
  <c r="AB722" i="1" s="1"/>
  <c r="AE722" i="1"/>
  <c r="AK722" i="1" s="1" a="1"/>
  <c r="AK722" i="1" s="1"/>
  <c r="AL722" i="1" s="1"/>
  <c r="X722" i="1" l="1" a="1"/>
  <c r="X722" i="1" s="1"/>
  <c r="Y722" i="1" s="1"/>
  <c r="Z722" i="1" a="1"/>
  <c r="Z722" i="1" s="1"/>
  <c r="AA722" i="1"/>
  <c r="AM721" i="1" a="1"/>
  <c r="AM721" i="1" s="1"/>
  <c r="AE724" i="1" a="1"/>
  <c r="Q723" i="1"/>
  <c r="AB723" i="1" s="1" a="1"/>
  <c r="AB723" i="1" s="1"/>
  <c r="Q724" i="1" a="1"/>
  <c r="AE723" i="1"/>
  <c r="AM722" i="1" s="1" a="1"/>
  <c r="AM722" i="1" s="1"/>
  <c r="Z723" i="1" l="1" a="1"/>
  <c r="Z723" i="1" s="1"/>
  <c r="X723" i="1" a="1"/>
  <c r="X723" i="1" s="1"/>
  <c r="Y723" i="1" s="1"/>
  <c r="AA723" i="1"/>
  <c r="AK723" i="1" a="1"/>
  <c r="AK723" i="1" s="1"/>
  <c r="AL723" i="1" s="1"/>
  <c r="AE725" i="1" a="1"/>
  <c r="Q725" i="1" a="1"/>
  <c r="Q724" i="1"/>
  <c r="AB724" i="1" s="1" a="1"/>
  <c r="AB724" i="1" s="1"/>
  <c r="AE724" i="1"/>
  <c r="AM723" i="1" s="1" a="1"/>
  <c r="AM723" i="1" s="1"/>
  <c r="Z724" i="1" l="1" a="1"/>
  <c r="Z724" i="1" s="1"/>
  <c r="AA724" i="1"/>
  <c r="X724" i="1" a="1"/>
  <c r="X724" i="1" s="1"/>
  <c r="Y724" i="1" s="1"/>
  <c r="AK724" i="1" a="1"/>
  <c r="AK724" i="1" s="1"/>
  <c r="AL724" i="1" s="1"/>
  <c r="AE726" i="1" a="1"/>
  <c r="Q725" i="1"/>
  <c r="AB725" i="1" s="1" a="1"/>
  <c r="AB725" i="1" s="1"/>
  <c r="Q726" i="1" a="1"/>
  <c r="AE725" i="1"/>
  <c r="AM724" i="1" s="1" a="1"/>
  <c r="AM724" i="1" s="1"/>
  <c r="X725" i="1" l="1" a="1"/>
  <c r="X725" i="1" s="1"/>
  <c r="Y725" i="1" s="1"/>
  <c r="AA725" i="1"/>
  <c r="AK725" i="1" a="1"/>
  <c r="AK725" i="1" s="1"/>
  <c r="AL725" i="1" s="1"/>
  <c r="Z725" i="1" a="1"/>
  <c r="Z725" i="1" s="1"/>
  <c r="AE727" i="1" a="1"/>
  <c r="Q726" i="1"/>
  <c r="AB726" i="1" s="1" a="1"/>
  <c r="AB726" i="1" s="1"/>
  <c r="Q727" i="1" a="1"/>
  <c r="AE726" i="1"/>
  <c r="AK726" i="1" s="1" a="1"/>
  <c r="AK726" i="1" s="1"/>
  <c r="AL726" i="1" s="1"/>
  <c r="Z726" i="1" l="1" a="1"/>
  <c r="Z726" i="1" s="1"/>
  <c r="X726" i="1" a="1"/>
  <c r="X726" i="1" s="1"/>
  <c r="Y726" i="1" s="1"/>
  <c r="AA726" i="1"/>
  <c r="AM725" i="1" a="1"/>
  <c r="AM725" i="1" s="1"/>
  <c r="AE728" i="1" a="1"/>
  <c r="Q727" i="1"/>
  <c r="AB727" i="1" s="1" a="1"/>
  <c r="AB727" i="1" s="1"/>
  <c r="Q728" i="1" a="1"/>
  <c r="AE727" i="1"/>
  <c r="AK727" i="1" s="1" a="1"/>
  <c r="AK727" i="1" s="1"/>
  <c r="AL727" i="1" s="1"/>
  <c r="X727" i="1" l="1" a="1"/>
  <c r="X727" i="1" s="1"/>
  <c r="Y727" i="1" s="1"/>
  <c r="Z727" i="1" a="1"/>
  <c r="Z727" i="1" s="1"/>
  <c r="AA727" i="1"/>
  <c r="AM726" i="1" a="1"/>
  <c r="AM726" i="1" s="1"/>
  <c r="AE729" i="1" a="1"/>
  <c r="Q728" i="1"/>
  <c r="AB728" i="1" s="1" a="1"/>
  <c r="AB728" i="1" s="1"/>
  <c r="Q729" i="1" a="1"/>
  <c r="AE728" i="1"/>
  <c r="AM727" i="1" s="1" a="1"/>
  <c r="AM727" i="1" s="1"/>
  <c r="Z728" i="1" l="1" a="1"/>
  <c r="Z728" i="1" s="1"/>
  <c r="X728" i="1" a="1"/>
  <c r="X728" i="1" s="1"/>
  <c r="Y728" i="1" s="1"/>
  <c r="AA728" i="1"/>
  <c r="AK728" i="1" a="1"/>
  <c r="AK728" i="1" s="1"/>
  <c r="AL728" i="1" s="1"/>
  <c r="AE730" i="1" a="1"/>
  <c r="Q730" i="1" a="1"/>
  <c r="Q729" i="1"/>
  <c r="Z729" i="1" s="1" a="1"/>
  <c r="Z729" i="1" s="1"/>
  <c r="AE729" i="1"/>
  <c r="AM728" i="1" s="1" a="1"/>
  <c r="AM728" i="1" s="1"/>
  <c r="AB729" i="1" l="1" a="1"/>
  <c r="AB729" i="1" s="1"/>
  <c r="X729" i="1" a="1"/>
  <c r="X729" i="1" s="1"/>
  <c r="Y729" i="1" s="1"/>
  <c r="AA729" i="1"/>
  <c r="AK729" i="1" a="1"/>
  <c r="AK729" i="1" s="1"/>
  <c r="AL729" i="1" s="1"/>
  <c r="AE731" i="1" a="1"/>
  <c r="Q731" i="1" a="1"/>
  <c r="Q730" i="1"/>
  <c r="X730" i="1" s="1" a="1"/>
  <c r="X730" i="1" s="1"/>
  <c r="Y730" i="1" s="1"/>
  <c r="AE730" i="1"/>
  <c r="AM729" i="1" s="1" a="1"/>
  <c r="AM729" i="1" s="1"/>
  <c r="AB730" i="1" l="1" a="1"/>
  <c r="AB730" i="1" s="1"/>
  <c r="Z730" i="1" a="1"/>
  <c r="Z730" i="1" s="1"/>
  <c r="AA730" i="1"/>
  <c r="AK730" i="1" a="1"/>
  <c r="AK730" i="1" s="1"/>
  <c r="AL730" i="1" s="1"/>
  <c r="AE732" i="1" a="1"/>
  <c r="Q731" i="1"/>
  <c r="AB731" i="1" s="1" a="1"/>
  <c r="AB731" i="1" s="1"/>
  <c r="Q732" i="1" a="1"/>
  <c r="AE731" i="1"/>
  <c r="AM730" i="1" s="1" a="1"/>
  <c r="AM730" i="1" s="1"/>
  <c r="Z731" i="1" l="1" a="1"/>
  <c r="Z731" i="1" s="1"/>
  <c r="X731" i="1" a="1"/>
  <c r="X731" i="1" s="1"/>
  <c r="Y731" i="1" s="1"/>
  <c r="AA731" i="1"/>
  <c r="AK731" i="1" a="1"/>
  <c r="AK731" i="1" s="1"/>
  <c r="AL731" i="1" s="1"/>
  <c r="AE733" i="1" a="1"/>
  <c r="Q732" i="1"/>
  <c r="X732" i="1" s="1" a="1"/>
  <c r="X732" i="1" s="1"/>
  <c r="Y732" i="1" s="1"/>
  <c r="Q733" i="1" a="1"/>
  <c r="AE732" i="1"/>
  <c r="AM731" i="1" s="1" a="1"/>
  <c r="AM731" i="1" s="1"/>
  <c r="AB732" i="1" l="1" a="1"/>
  <c r="AB732" i="1" s="1"/>
  <c r="Z732" i="1" a="1"/>
  <c r="Z732" i="1" s="1"/>
  <c r="AA732" i="1"/>
  <c r="AK732" i="1" a="1"/>
  <c r="AK732" i="1" s="1"/>
  <c r="AL732" i="1" s="1"/>
  <c r="AE734" i="1" a="1"/>
  <c r="Q733" i="1"/>
  <c r="AB733" i="1" s="1" a="1"/>
  <c r="AB733" i="1" s="1"/>
  <c r="Q734" i="1" a="1"/>
  <c r="AE733" i="1"/>
  <c r="AK733" i="1" s="1" a="1"/>
  <c r="AK733" i="1" s="1"/>
  <c r="AL733" i="1" s="1"/>
  <c r="Z733" i="1" l="1" a="1"/>
  <c r="Z733" i="1" s="1"/>
  <c r="X733" i="1" a="1"/>
  <c r="X733" i="1" s="1"/>
  <c r="Y733" i="1" s="1"/>
  <c r="AA733" i="1"/>
  <c r="AM732" i="1" a="1"/>
  <c r="AM732" i="1" s="1"/>
  <c r="AE735" i="1" a="1"/>
  <c r="Q734" i="1"/>
  <c r="AB734" i="1" s="1" a="1"/>
  <c r="AB734" i="1" s="1"/>
  <c r="Q735" i="1" a="1"/>
  <c r="AE734" i="1"/>
  <c r="AK734" i="1" s="1" a="1"/>
  <c r="AK734" i="1" s="1"/>
  <c r="AL734" i="1" s="1"/>
  <c r="Z734" i="1" l="1" a="1"/>
  <c r="Z734" i="1" s="1"/>
  <c r="X734" i="1" a="1"/>
  <c r="X734" i="1" s="1"/>
  <c r="Y734" i="1" s="1"/>
  <c r="AA734" i="1"/>
  <c r="AM733" i="1" a="1"/>
  <c r="AM733" i="1" s="1"/>
  <c r="AE736" i="1" a="1"/>
  <c r="Q735" i="1"/>
  <c r="AB735" i="1" s="1" a="1"/>
  <c r="AB735" i="1" s="1"/>
  <c r="Q736" i="1" a="1"/>
  <c r="AE735" i="1"/>
  <c r="AK735" i="1" s="1" a="1"/>
  <c r="AK735" i="1" s="1"/>
  <c r="AL735" i="1" s="1"/>
  <c r="X735" i="1" l="1" a="1"/>
  <c r="X735" i="1" s="1"/>
  <c r="Y735" i="1" s="1"/>
  <c r="Z735" i="1" a="1"/>
  <c r="Z735" i="1" s="1"/>
  <c r="AA735" i="1"/>
  <c r="AM734" i="1" a="1"/>
  <c r="AM734" i="1" s="1"/>
  <c r="AE737" i="1" a="1"/>
  <c r="Q737" i="1" a="1"/>
  <c r="Q736" i="1"/>
  <c r="AB736" i="1" s="1" a="1"/>
  <c r="AB736" i="1" s="1"/>
  <c r="AE736" i="1"/>
  <c r="AM735" i="1" s="1" a="1"/>
  <c r="AM735" i="1" s="1"/>
  <c r="X736" i="1" l="1" a="1"/>
  <c r="X736" i="1" s="1"/>
  <c r="Y736" i="1" s="1"/>
  <c r="Z736" i="1" a="1"/>
  <c r="Z736" i="1" s="1"/>
  <c r="AA736" i="1"/>
  <c r="AK736" i="1" a="1"/>
  <c r="AK736" i="1" s="1"/>
  <c r="AL736" i="1" s="1"/>
  <c r="AE738" i="1" a="1"/>
  <c r="Q738" i="1" a="1"/>
  <c r="Q737" i="1"/>
  <c r="AB737" i="1" s="1" a="1"/>
  <c r="AB737" i="1" s="1"/>
  <c r="AE737" i="1"/>
  <c r="AM736" i="1" s="1" a="1"/>
  <c r="AM736" i="1" s="1"/>
  <c r="AK737" i="1" l="1" a="1"/>
  <c r="AK737" i="1" s="1"/>
  <c r="AL737" i="1" s="1"/>
  <c r="X737" i="1" a="1"/>
  <c r="X737" i="1" s="1"/>
  <c r="Y737" i="1" s="1"/>
  <c r="AA737" i="1"/>
  <c r="Z737" i="1" a="1"/>
  <c r="Z737" i="1" s="1"/>
  <c r="AE739" i="1" a="1"/>
  <c r="Q738" i="1"/>
  <c r="AB738" i="1" s="1" a="1"/>
  <c r="AB738" i="1" s="1"/>
  <c r="Q739" i="1" a="1"/>
  <c r="X738" i="1" a="1"/>
  <c r="X738" i="1" s="1"/>
  <c r="Y738" i="1" s="1"/>
  <c r="AE738" i="1"/>
  <c r="AK738" i="1" s="1" a="1"/>
  <c r="AK738" i="1" s="1"/>
  <c r="AL738" i="1" s="1"/>
  <c r="Z738" i="1" l="1" a="1"/>
  <c r="Z738" i="1" s="1"/>
  <c r="AA738" i="1"/>
  <c r="AM737" i="1" a="1"/>
  <c r="AM737" i="1" s="1"/>
  <c r="AE740" i="1" a="1"/>
  <c r="Q739" i="1"/>
  <c r="Z739" i="1" s="1" a="1"/>
  <c r="Z739" i="1" s="1"/>
  <c r="Q740" i="1" a="1"/>
  <c r="AE739" i="1"/>
  <c r="AK739" i="1" s="1" a="1"/>
  <c r="AK739" i="1" s="1"/>
  <c r="AL739" i="1" s="1"/>
  <c r="AB739" i="1" l="1" a="1"/>
  <c r="AB739" i="1" s="1"/>
  <c r="X739" i="1" a="1"/>
  <c r="X739" i="1" s="1"/>
  <c r="Y739" i="1" s="1"/>
  <c r="AA739" i="1"/>
  <c r="AM738" i="1" a="1"/>
  <c r="AM738" i="1" s="1"/>
  <c r="AE741" i="1" a="1"/>
  <c r="Q740" i="1"/>
  <c r="AB740" i="1" s="1" a="1"/>
  <c r="AB740" i="1" s="1"/>
  <c r="Q741" i="1" a="1"/>
  <c r="AE740" i="1"/>
  <c r="AK740" i="1" s="1" a="1"/>
  <c r="AK740" i="1" s="1"/>
  <c r="AL740" i="1" s="1"/>
  <c r="X740" i="1" l="1" a="1"/>
  <c r="X740" i="1" s="1"/>
  <c r="Y740" i="1" s="1"/>
  <c r="Z740" i="1" a="1"/>
  <c r="Z740" i="1" s="1"/>
  <c r="AA740" i="1"/>
  <c r="AM739" i="1" a="1"/>
  <c r="AM739" i="1" s="1"/>
  <c r="AE742" i="1" a="1"/>
  <c r="Q741" i="1"/>
  <c r="AB741" i="1" s="1" a="1"/>
  <c r="AB741" i="1" s="1"/>
  <c r="Q742" i="1" a="1"/>
  <c r="AE741" i="1"/>
  <c r="AM740" i="1" s="1" a="1"/>
  <c r="AM740" i="1" s="1"/>
  <c r="AK741" i="1" l="1" a="1"/>
  <c r="AK741" i="1" s="1"/>
  <c r="AL741" i="1" s="1"/>
  <c r="X741" i="1" a="1"/>
  <c r="X741" i="1" s="1"/>
  <c r="Y741" i="1" s="1"/>
  <c r="AA741" i="1"/>
  <c r="Z741" i="1" a="1"/>
  <c r="Z741" i="1" s="1"/>
  <c r="AE743" i="1" a="1"/>
  <c r="Q743" i="1" a="1"/>
  <c r="Q742" i="1"/>
  <c r="AB742" i="1" s="1" a="1"/>
  <c r="AB742" i="1" s="1"/>
  <c r="Z742" i="1" a="1"/>
  <c r="Z742" i="1" s="1"/>
  <c r="AE742" i="1"/>
  <c r="AK742" i="1" s="1" a="1"/>
  <c r="AK742" i="1" s="1"/>
  <c r="AL742" i="1" s="1"/>
  <c r="X742" i="1" l="1" a="1"/>
  <c r="X742" i="1" s="1"/>
  <c r="Y742" i="1" s="1"/>
  <c r="AA742" i="1"/>
  <c r="AM741" i="1" a="1"/>
  <c r="AM741" i="1" s="1"/>
  <c r="AE744" i="1" a="1"/>
  <c r="Q743" i="1"/>
  <c r="AB743" i="1" s="1" a="1"/>
  <c r="AB743" i="1" s="1"/>
  <c r="Q744" i="1" a="1"/>
  <c r="AE743" i="1"/>
  <c r="AK743" i="1" s="1" a="1"/>
  <c r="AK743" i="1" s="1"/>
  <c r="AL743" i="1" s="1"/>
  <c r="AM742" i="1" l="1" a="1"/>
  <c r="AM742" i="1" s="1"/>
  <c r="Z743" i="1" a="1"/>
  <c r="Z743" i="1" s="1"/>
  <c r="AA743" i="1"/>
  <c r="X743" i="1" a="1"/>
  <c r="X743" i="1" s="1"/>
  <c r="Y743" i="1" s="1"/>
  <c r="AE745" i="1" a="1"/>
  <c r="Q745" i="1" a="1"/>
  <c r="Q744" i="1"/>
  <c r="AB744" i="1" s="1" a="1"/>
  <c r="AB744" i="1" s="1"/>
  <c r="AE744" i="1"/>
  <c r="AM743" i="1" s="1" a="1"/>
  <c r="AM743" i="1" s="1"/>
  <c r="X744" i="1" l="1" a="1"/>
  <c r="X744" i="1" s="1"/>
  <c r="Y744" i="1" s="1"/>
  <c r="Z744" i="1" a="1"/>
  <c r="Z744" i="1" s="1"/>
  <c r="AA744" i="1"/>
  <c r="AK744" i="1" a="1"/>
  <c r="AK744" i="1" s="1"/>
  <c r="AL744" i="1" s="1"/>
  <c r="AE746" i="1" a="1"/>
  <c r="Q745" i="1"/>
  <c r="AB745" i="1" s="1" a="1"/>
  <c r="AB745" i="1" s="1"/>
  <c r="Q746" i="1" a="1"/>
  <c r="AE745" i="1"/>
  <c r="AM744" i="1" s="1" a="1"/>
  <c r="AM744" i="1" s="1"/>
  <c r="Z745" i="1" l="1" a="1"/>
  <c r="Z745" i="1" s="1"/>
  <c r="X745" i="1" a="1"/>
  <c r="X745" i="1" s="1"/>
  <c r="Y745" i="1" s="1"/>
  <c r="AA745" i="1"/>
  <c r="AK745" i="1" a="1"/>
  <c r="AK745" i="1" s="1"/>
  <c r="AL745" i="1" s="1"/>
  <c r="AE747" i="1" a="1"/>
  <c r="Q747" i="1" a="1"/>
  <c r="Q746" i="1"/>
  <c r="X746" i="1" s="1" a="1"/>
  <c r="X746" i="1" s="1"/>
  <c r="Y746" i="1" s="1"/>
  <c r="AE746" i="1"/>
  <c r="AM745" i="1" s="1" a="1"/>
  <c r="AM745" i="1" s="1"/>
  <c r="AB746" i="1" l="1" a="1"/>
  <c r="AB746" i="1" s="1"/>
  <c r="Z746" i="1" a="1"/>
  <c r="Z746" i="1" s="1"/>
  <c r="AA746" i="1"/>
  <c r="AK746" i="1" a="1"/>
  <c r="AK746" i="1" s="1"/>
  <c r="AL746" i="1" s="1"/>
  <c r="AE748" i="1" a="1"/>
  <c r="Q747" i="1"/>
  <c r="AB747" i="1" s="1" a="1"/>
  <c r="AB747" i="1" s="1"/>
  <c r="Q748" i="1" a="1"/>
  <c r="AE747" i="1"/>
  <c r="AM746" i="1" s="1" a="1"/>
  <c r="AM746" i="1" s="1"/>
  <c r="Z747" i="1" l="1" a="1"/>
  <c r="Z747" i="1" s="1"/>
  <c r="X747" i="1" a="1"/>
  <c r="X747" i="1" s="1"/>
  <c r="Y747" i="1" s="1"/>
  <c r="AA747" i="1"/>
  <c r="AK747" i="1" a="1"/>
  <c r="AK747" i="1" s="1"/>
  <c r="AL747" i="1" s="1"/>
  <c r="AE749" i="1" a="1"/>
  <c r="Q749" i="1" a="1"/>
  <c r="Q748" i="1"/>
  <c r="AB748" i="1" s="1" a="1"/>
  <c r="AB748" i="1" s="1"/>
  <c r="AE748" i="1"/>
  <c r="AM747" i="1" s="1" a="1"/>
  <c r="AM747" i="1" s="1"/>
  <c r="X748" i="1" l="1" a="1"/>
  <c r="X748" i="1" s="1"/>
  <c r="Y748" i="1" s="1"/>
  <c r="Z748" i="1" a="1"/>
  <c r="Z748" i="1" s="1"/>
  <c r="AA748" i="1"/>
  <c r="AK748" i="1" a="1"/>
  <c r="AK748" i="1" s="1"/>
  <c r="AL748" i="1" s="1"/>
  <c r="AE750" i="1" a="1"/>
  <c r="Q750" i="1" a="1"/>
  <c r="Q749" i="1"/>
  <c r="AB749" i="1" s="1" a="1"/>
  <c r="AB749" i="1" s="1"/>
  <c r="AE749" i="1"/>
  <c r="AK749" i="1" s="1" a="1"/>
  <c r="AK749" i="1" s="1"/>
  <c r="AL749" i="1" s="1"/>
  <c r="X749" i="1" l="1" a="1"/>
  <c r="X749" i="1" s="1"/>
  <c r="Y749" i="1" s="1"/>
  <c r="Z749" i="1" a="1"/>
  <c r="Z749" i="1" s="1"/>
  <c r="AA749" i="1"/>
  <c r="AM748" i="1" a="1"/>
  <c r="AM748" i="1" s="1"/>
  <c r="AE751" i="1" a="1"/>
  <c r="Q750" i="1"/>
  <c r="AB750" i="1" s="1" a="1"/>
  <c r="AB750" i="1" s="1"/>
  <c r="Q751" i="1" a="1"/>
  <c r="AE750" i="1"/>
  <c r="AK750" i="1" s="1" a="1"/>
  <c r="AK750" i="1" s="1"/>
  <c r="AL750" i="1" s="1"/>
  <c r="Z750" i="1" l="1" a="1"/>
  <c r="Z750" i="1" s="1"/>
  <c r="X750" i="1" a="1"/>
  <c r="X750" i="1" s="1"/>
  <c r="Y750" i="1" s="1"/>
  <c r="AA750" i="1"/>
  <c r="AM749" i="1" a="1"/>
  <c r="AM749" i="1" s="1"/>
  <c r="AE752" i="1" a="1"/>
  <c r="Q751" i="1"/>
  <c r="AB751" i="1" s="1" a="1"/>
  <c r="AB751" i="1" s="1"/>
  <c r="Q752" i="1" a="1"/>
  <c r="AE751" i="1"/>
  <c r="AM750" i="1" s="1" a="1"/>
  <c r="AM750" i="1" s="1"/>
  <c r="X751" i="1" l="1" a="1"/>
  <c r="X751" i="1" s="1"/>
  <c r="Y751" i="1" s="1"/>
  <c r="Z751" i="1" a="1"/>
  <c r="Z751" i="1" s="1"/>
  <c r="AA751" i="1"/>
  <c r="AK751" i="1" a="1"/>
  <c r="AK751" i="1" s="1"/>
  <c r="AL751" i="1" s="1"/>
  <c r="AE753" i="1" a="1"/>
  <c r="Q752" i="1"/>
  <c r="AB752" i="1" s="1" a="1"/>
  <c r="AB752" i="1" s="1"/>
  <c r="Q753" i="1" a="1"/>
  <c r="AE752" i="1"/>
  <c r="AM751" i="1" s="1" a="1"/>
  <c r="AM751" i="1" s="1"/>
  <c r="X752" i="1" l="1" a="1"/>
  <c r="X752" i="1" s="1"/>
  <c r="Y752" i="1" s="1"/>
  <c r="Z752" i="1" a="1"/>
  <c r="Z752" i="1" s="1"/>
  <c r="AA752" i="1"/>
  <c r="AK752" i="1" a="1"/>
  <c r="AK752" i="1" s="1"/>
  <c r="AL752" i="1" s="1"/>
  <c r="AE754" i="1" a="1"/>
  <c r="Q753" i="1"/>
  <c r="AB753" i="1" s="1" a="1"/>
  <c r="AB753" i="1" s="1"/>
  <c r="Q754" i="1" a="1"/>
  <c r="AE753" i="1"/>
  <c r="AM752" i="1" s="1" a="1"/>
  <c r="AM752" i="1" s="1"/>
  <c r="Z753" i="1" l="1" a="1"/>
  <c r="Z753" i="1" s="1"/>
  <c r="X753" i="1" a="1"/>
  <c r="X753" i="1" s="1"/>
  <c r="Y753" i="1" s="1"/>
  <c r="AA753" i="1"/>
  <c r="AK753" i="1" a="1"/>
  <c r="AK753" i="1" s="1"/>
  <c r="AL753" i="1" s="1"/>
  <c r="AE755" i="1" a="1"/>
  <c r="Q754" i="1"/>
  <c r="AB754" i="1" s="1" a="1"/>
  <c r="AB754" i="1" s="1"/>
  <c r="Q755" i="1" a="1"/>
  <c r="AE754" i="1"/>
  <c r="AK754" i="1" s="1" a="1"/>
  <c r="AK754" i="1" s="1"/>
  <c r="AL754" i="1" s="1"/>
  <c r="X754" i="1" l="1" a="1"/>
  <c r="X754" i="1" s="1"/>
  <c r="Y754" i="1" s="1"/>
  <c r="Z754" i="1" a="1"/>
  <c r="Z754" i="1" s="1"/>
  <c r="AA754" i="1"/>
  <c r="AM753" i="1" a="1"/>
  <c r="AM753" i="1" s="1"/>
  <c r="AE756" i="1" a="1"/>
  <c r="Q755" i="1"/>
  <c r="AB755" i="1" s="1" a="1"/>
  <c r="AB755" i="1" s="1"/>
  <c r="Q756" i="1" a="1"/>
  <c r="AE755" i="1"/>
  <c r="AM754" i="1" s="1" a="1"/>
  <c r="AM754" i="1" s="1"/>
  <c r="Z755" i="1" l="1" a="1"/>
  <c r="Z755" i="1" s="1"/>
  <c r="X755" i="1" a="1"/>
  <c r="X755" i="1" s="1"/>
  <c r="Y755" i="1" s="1"/>
  <c r="AA755" i="1"/>
  <c r="AK755" i="1" a="1"/>
  <c r="AK755" i="1" s="1"/>
  <c r="AL755" i="1" s="1"/>
  <c r="AE757" i="1" a="1"/>
  <c r="Q756" i="1"/>
  <c r="AB756" i="1" s="1" a="1"/>
  <c r="AB756" i="1" s="1"/>
  <c r="Q757" i="1" a="1"/>
  <c r="AE756" i="1"/>
  <c r="AM755" i="1" s="1" a="1"/>
  <c r="AM755" i="1" s="1"/>
  <c r="X756" i="1" l="1" a="1"/>
  <c r="X756" i="1" s="1"/>
  <c r="Y756" i="1" s="1"/>
  <c r="Z756" i="1" a="1"/>
  <c r="Z756" i="1" s="1"/>
  <c r="AA756" i="1"/>
  <c r="AK756" i="1" a="1"/>
  <c r="AK756" i="1" s="1"/>
  <c r="AL756" i="1" s="1"/>
  <c r="AE758" i="1" a="1"/>
  <c r="Q757" i="1"/>
  <c r="AB757" i="1" s="1" a="1"/>
  <c r="AB757" i="1" s="1"/>
  <c r="Q758" i="1" a="1"/>
  <c r="AE757" i="1"/>
  <c r="AM756" i="1" s="1" a="1"/>
  <c r="AM756" i="1" s="1"/>
  <c r="X757" i="1" l="1" a="1"/>
  <c r="X757" i="1" s="1"/>
  <c r="Y757" i="1" s="1"/>
  <c r="Z757" i="1" a="1"/>
  <c r="Z757" i="1" s="1"/>
  <c r="AA757" i="1"/>
  <c r="AK757" i="1" a="1"/>
  <c r="AK757" i="1" s="1"/>
  <c r="AL757" i="1" s="1"/>
  <c r="AE759" i="1" a="1"/>
  <c r="Q758" i="1"/>
  <c r="AB758" i="1" s="1" a="1"/>
  <c r="AB758" i="1" s="1"/>
  <c r="Q759" i="1" a="1"/>
  <c r="AE758" i="1"/>
  <c r="AK758" i="1" s="1" a="1"/>
  <c r="AK758" i="1" s="1"/>
  <c r="AL758" i="1" s="1"/>
  <c r="Z758" i="1" l="1" a="1"/>
  <c r="Z758" i="1" s="1"/>
  <c r="AM757" i="1" a="1"/>
  <c r="AM757" i="1" s="1"/>
  <c r="X758" i="1" a="1"/>
  <c r="X758" i="1" s="1"/>
  <c r="Y758" i="1" s="1"/>
  <c r="AA758" i="1"/>
  <c r="AE760" i="1" a="1"/>
  <c r="Q759" i="1"/>
  <c r="AB759" i="1" s="1" a="1"/>
  <c r="AB759" i="1" s="1"/>
  <c r="Q760" i="1" a="1"/>
  <c r="AE759" i="1"/>
  <c r="AM758" i="1" s="1" a="1"/>
  <c r="AM758" i="1" s="1"/>
  <c r="X759" i="1" l="1" a="1"/>
  <c r="X759" i="1" s="1"/>
  <c r="Y759" i="1" s="1"/>
  <c r="Z759" i="1" a="1"/>
  <c r="Z759" i="1" s="1"/>
  <c r="AA759" i="1"/>
  <c r="AK759" i="1" a="1"/>
  <c r="AK759" i="1" s="1"/>
  <c r="AL759" i="1" s="1"/>
  <c r="AE761" i="1" a="1"/>
  <c r="Q760" i="1"/>
  <c r="AB760" i="1" s="1" a="1"/>
  <c r="AB760" i="1" s="1"/>
  <c r="Q761" i="1" a="1"/>
  <c r="AE760" i="1"/>
  <c r="AK760" i="1" s="1" a="1"/>
  <c r="AK760" i="1" s="1"/>
  <c r="AL760" i="1" s="1"/>
  <c r="X760" i="1" l="1" a="1"/>
  <c r="X760" i="1" s="1"/>
  <c r="Y760" i="1" s="1"/>
  <c r="Z760" i="1" a="1"/>
  <c r="Z760" i="1" s="1"/>
  <c r="AA760" i="1"/>
  <c r="AM759" i="1" a="1"/>
  <c r="AM759" i="1" s="1"/>
  <c r="AE762" i="1" a="1"/>
  <c r="Q761" i="1"/>
  <c r="AB761" i="1" s="1" a="1"/>
  <c r="AB761" i="1" s="1"/>
  <c r="Q762" i="1" a="1"/>
  <c r="AE761" i="1"/>
  <c r="AK761" i="1" s="1" a="1"/>
  <c r="AK761" i="1" s="1"/>
  <c r="AL761" i="1" s="1"/>
  <c r="Z761" i="1" l="1" a="1"/>
  <c r="Z761" i="1" s="1"/>
  <c r="X761" i="1" a="1"/>
  <c r="X761" i="1" s="1"/>
  <c r="Y761" i="1" s="1"/>
  <c r="AA761" i="1"/>
  <c r="AM760" i="1" a="1"/>
  <c r="AM760" i="1" s="1"/>
  <c r="AE763" i="1" a="1"/>
  <c r="Q762" i="1"/>
  <c r="AB762" i="1" s="1" a="1"/>
  <c r="AB762" i="1" s="1"/>
  <c r="Q763" i="1" a="1"/>
  <c r="AE762" i="1"/>
  <c r="AK762" i="1" s="1" a="1"/>
  <c r="AK762" i="1" s="1"/>
  <c r="AL762" i="1" s="1"/>
  <c r="AM761" i="1" l="1" a="1"/>
  <c r="AM761" i="1" s="1"/>
  <c r="Z762" i="1" a="1"/>
  <c r="Z762" i="1" s="1"/>
  <c r="AA762" i="1"/>
  <c r="X762" i="1" a="1"/>
  <c r="X762" i="1" s="1"/>
  <c r="Y762" i="1" s="1"/>
  <c r="AE764" i="1" a="1"/>
  <c r="Q763" i="1"/>
  <c r="AB763" i="1" s="1" a="1"/>
  <c r="AB763" i="1" s="1"/>
  <c r="Q764" i="1" a="1"/>
  <c r="AE763" i="1"/>
  <c r="AK763" i="1" s="1" a="1"/>
  <c r="AK763" i="1" s="1"/>
  <c r="AL763" i="1" s="1"/>
  <c r="Z763" i="1" l="1" a="1"/>
  <c r="Z763" i="1" s="1"/>
  <c r="X763" i="1" a="1"/>
  <c r="X763" i="1" s="1"/>
  <c r="Y763" i="1" s="1"/>
  <c r="AA763" i="1"/>
  <c r="AM762" i="1" a="1"/>
  <c r="AM762" i="1" s="1"/>
  <c r="AE765" i="1" a="1"/>
  <c r="Q765" i="1" a="1"/>
  <c r="Q764" i="1"/>
  <c r="AB764" i="1" s="1" a="1"/>
  <c r="AB764" i="1" s="1"/>
  <c r="AE764" i="1"/>
  <c r="AM763" i="1" s="1" a="1"/>
  <c r="AM763" i="1" s="1"/>
  <c r="X764" i="1" l="1" a="1"/>
  <c r="X764" i="1" s="1"/>
  <c r="Y764" i="1" s="1"/>
  <c r="Z764" i="1" a="1"/>
  <c r="Z764" i="1" s="1"/>
  <c r="AA764" i="1"/>
  <c r="AK764" i="1" a="1"/>
  <c r="AK764" i="1" s="1"/>
  <c r="AL764" i="1" s="1"/>
  <c r="AE766" i="1" a="1"/>
  <c r="Q765" i="1"/>
  <c r="AB765" i="1" s="1" a="1"/>
  <c r="AB765" i="1" s="1"/>
  <c r="Q766" i="1" a="1"/>
  <c r="AE765" i="1"/>
  <c r="AM764" i="1" s="1" a="1"/>
  <c r="AM764" i="1" s="1"/>
  <c r="X765" i="1" l="1" a="1"/>
  <c r="X765" i="1" s="1"/>
  <c r="Y765" i="1" s="1"/>
  <c r="Z765" i="1" a="1"/>
  <c r="Z765" i="1" s="1"/>
  <c r="AA765" i="1"/>
  <c r="AK765" i="1" a="1"/>
  <c r="AK765" i="1" s="1"/>
  <c r="AL765" i="1" s="1"/>
  <c r="AE767" i="1" a="1"/>
  <c r="Q766" i="1"/>
  <c r="AB766" i="1" s="1" a="1"/>
  <c r="AB766" i="1" s="1"/>
  <c r="Q767" i="1" a="1"/>
  <c r="AE766" i="1"/>
  <c r="AM765" i="1" s="1" a="1"/>
  <c r="AM765" i="1" s="1"/>
  <c r="Z766" i="1" l="1" a="1"/>
  <c r="Z766" i="1" s="1"/>
  <c r="X766" i="1" a="1"/>
  <c r="X766" i="1" s="1"/>
  <c r="Y766" i="1" s="1"/>
  <c r="AA766" i="1"/>
  <c r="AK766" i="1" a="1"/>
  <c r="AK766" i="1" s="1"/>
  <c r="AL766" i="1" s="1"/>
  <c r="AE768" i="1" a="1"/>
  <c r="Q767" i="1"/>
  <c r="X767" i="1" s="1" a="1"/>
  <c r="X767" i="1" s="1"/>
  <c r="Y767" i="1" s="1"/>
  <c r="Q768" i="1" a="1"/>
  <c r="AE767" i="1"/>
  <c r="AM766" i="1" s="1" a="1"/>
  <c r="AM766" i="1" s="1"/>
  <c r="AB767" i="1" l="1" a="1"/>
  <c r="AB767" i="1" s="1"/>
  <c r="Z767" i="1" a="1"/>
  <c r="Z767" i="1" s="1"/>
  <c r="AA767" i="1"/>
  <c r="AK767" i="1" a="1"/>
  <c r="AK767" i="1" s="1"/>
  <c r="AL767" i="1" s="1"/>
  <c r="AE769" i="1" a="1"/>
  <c r="Q769" i="1" a="1"/>
  <c r="Q768" i="1"/>
  <c r="AB768" i="1" s="1" a="1"/>
  <c r="AB768" i="1" s="1"/>
  <c r="AE768" i="1"/>
  <c r="AK768" i="1" s="1" a="1"/>
  <c r="AK768" i="1" s="1"/>
  <c r="AL768" i="1" s="1"/>
  <c r="Z768" i="1" l="1" a="1"/>
  <c r="Z768" i="1" s="1"/>
  <c r="X768" i="1" a="1"/>
  <c r="X768" i="1" s="1"/>
  <c r="Y768" i="1" s="1"/>
  <c r="AA768" i="1"/>
  <c r="AM767" i="1" a="1"/>
  <c r="AM767" i="1" s="1"/>
  <c r="AE770" i="1" a="1"/>
  <c r="Q769" i="1"/>
  <c r="AB769" i="1" s="1" a="1"/>
  <c r="AB769" i="1" s="1"/>
  <c r="Q770" i="1" a="1"/>
  <c r="AE769" i="1"/>
  <c r="AK769" i="1" s="1" a="1"/>
  <c r="AK769" i="1" s="1"/>
  <c r="AL769" i="1" s="1"/>
  <c r="Z769" i="1" l="1" a="1"/>
  <c r="Z769" i="1" s="1"/>
  <c r="X769" i="1" a="1"/>
  <c r="X769" i="1" s="1"/>
  <c r="Y769" i="1" s="1"/>
  <c r="AA769" i="1"/>
  <c r="AM768" i="1" a="1"/>
  <c r="AM768" i="1" s="1"/>
  <c r="AE771" i="1" a="1"/>
  <c r="Q770" i="1"/>
  <c r="AB770" i="1" s="1" a="1"/>
  <c r="AB770" i="1" s="1"/>
  <c r="Q771" i="1" a="1"/>
  <c r="AE770" i="1"/>
  <c r="AK770" i="1" s="1" a="1"/>
  <c r="AK770" i="1" s="1"/>
  <c r="AL770" i="1" s="1"/>
  <c r="X770" i="1" l="1" a="1"/>
  <c r="X770" i="1" s="1"/>
  <c r="Y770" i="1" s="1"/>
  <c r="Z770" i="1" a="1"/>
  <c r="Z770" i="1" s="1"/>
  <c r="AA770" i="1"/>
  <c r="AM769" i="1" a="1"/>
  <c r="AM769" i="1" s="1"/>
  <c r="AE772" i="1" a="1"/>
  <c r="Q771" i="1"/>
  <c r="AB771" i="1" s="1" a="1"/>
  <c r="AB771" i="1" s="1"/>
  <c r="Q772" i="1" a="1"/>
  <c r="AE771" i="1"/>
  <c r="AK771" i="1" s="1" a="1"/>
  <c r="AK771" i="1" s="1"/>
  <c r="AL771" i="1" s="1"/>
  <c r="Z771" i="1" l="1" a="1"/>
  <c r="Z771" i="1" s="1"/>
  <c r="X771" i="1" a="1"/>
  <c r="X771" i="1" s="1"/>
  <c r="Y771" i="1" s="1"/>
  <c r="AA771" i="1"/>
  <c r="AM770" i="1" a="1"/>
  <c r="AM770" i="1" s="1"/>
  <c r="AE773" i="1" a="1"/>
  <c r="Q772" i="1"/>
  <c r="AB772" i="1" s="1" a="1"/>
  <c r="AB772" i="1" s="1"/>
  <c r="Q773" i="1" a="1"/>
  <c r="AE772" i="1"/>
  <c r="AK772" i="1" s="1" a="1"/>
  <c r="AK772" i="1" s="1"/>
  <c r="AL772" i="1" s="1"/>
  <c r="X772" i="1" l="1" a="1"/>
  <c r="X772" i="1" s="1"/>
  <c r="Y772" i="1" s="1"/>
  <c r="Z772" i="1" a="1"/>
  <c r="Z772" i="1" s="1"/>
  <c r="AA772" i="1"/>
  <c r="AM771" i="1" a="1"/>
  <c r="AM771" i="1" s="1"/>
  <c r="AE774" i="1" a="1"/>
  <c r="Q774" i="1" a="1"/>
  <c r="Q773" i="1"/>
  <c r="AB773" i="1" s="1" a="1"/>
  <c r="AB773" i="1" s="1"/>
  <c r="AE773" i="1"/>
  <c r="AK773" i="1" s="1" a="1"/>
  <c r="AK773" i="1" s="1"/>
  <c r="AL773" i="1" s="1"/>
  <c r="X773" i="1" l="1" a="1"/>
  <c r="X773" i="1" s="1"/>
  <c r="Y773" i="1" s="1"/>
  <c r="AA773" i="1"/>
  <c r="AM772" i="1" a="1"/>
  <c r="AM772" i="1" s="1"/>
  <c r="Z773" i="1" a="1"/>
  <c r="Z773" i="1" s="1"/>
  <c r="AE775" i="1" a="1"/>
  <c r="Q774" i="1"/>
  <c r="AB774" i="1" s="1" a="1"/>
  <c r="AB774" i="1" s="1"/>
  <c r="Q775" i="1" a="1"/>
  <c r="AE774" i="1"/>
  <c r="AK774" i="1" s="1" a="1"/>
  <c r="AK774" i="1" s="1"/>
  <c r="AL774" i="1" s="1"/>
  <c r="Z774" i="1" l="1" a="1"/>
  <c r="Z774" i="1" s="1"/>
  <c r="X774" i="1" a="1"/>
  <c r="X774" i="1" s="1"/>
  <c r="Y774" i="1" s="1"/>
  <c r="AA774" i="1"/>
  <c r="AM773" i="1" a="1"/>
  <c r="AM773" i="1" s="1"/>
  <c r="AE776" i="1" a="1"/>
  <c r="Q775" i="1"/>
  <c r="AB775" i="1" s="1" a="1"/>
  <c r="AB775" i="1" s="1"/>
  <c r="Q776" i="1" a="1"/>
  <c r="AE775" i="1"/>
  <c r="AK775" i="1" s="1" a="1"/>
  <c r="AK775" i="1" s="1"/>
  <c r="AL775" i="1" s="1"/>
  <c r="X775" i="1" l="1" a="1"/>
  <c r="X775" i="1" s="1"/>
  <c r="Y775" i="1" s="1"/>
  <c r="Z775" i="1" a="1"/>
  <c r="Z775" i="1" s="1"/>
  <c r="AA775" i="1"/>
  <c r="AM774" i="1" a="1"/>
  <c r="AM774" i="1" s="1"/>
  <c r="AE777" i="1" a="1"/>
  <c r="Q776" i="1"/>
  <c r="AB776" i="1" s="1" a="1"/>
  <c r="AB776" i="1" s="1"/>
  <c r="Q777" i="1" a="1"/>
  <c r="AE776" i="1"/>
  <c r="AM775" i="1" s="1" a="1"/>
  <c r="AM775" i="1" s="1"/>
  <c r="Z776" i="1" l="1" a="1"/>
  <c r="Z776" i="1" s="1"/>
  <c r="X776" i="1" a="1"/>
  <c r="X776" i="1" s="1"/>
  <c r="Y776" i="1" s="1"/>
  <c r="AA776" i="1"/>
  <c r="AK776" i="1" a="1"/>
  <c r="AK776" i="1" s="1"/>
  <c r="AL776" i="1" s="1"/>
  <c r="AE778" i="1" a="1"/>
  <c r="Q777" i="1"/>
  <c r="AB777" i="1" s="1" a="1"/>
  <c r="AB777" i="1" s="1"/>
  <c r="Q778" i="1" a="1"/>
  <c r="AE777" i="1"/>
  <c r="AM776" i="1" s="1" a="1"/>
  <c r="AM776" i="1" s="1"/>
  <c r="Z777" i="1" l="1" a="1"/>
  <c r="Z777" i="1" s="1"/>
  <c r="X777" i="1" a="1"/>
  <c r="X777" i="1" s="1"/>
  <c r="Y777" i="1" s="1"/>
  <c r="AA777" i="1"/>
  <c r="AK777" i="1" a="1"/>
  <c r="AK777" i="1" s="1"/>
  <c r="AL777" i="1" s="1"/>
  <c r="AE779" i="1" a="1"/>
  <c r="Q778" i="1"/>
  <c r="AB778" i="1" s="1" a="1"/>
  <c r="AB778" i="1" s="1"/>
  <c r="Q779" i="1" a="1"/>
  <c r="AE778" i="1"/>
  <c r="AM777" i="1" s="1" a="1"/>
  <c r="AM777" i="1" s="1"/>
  <c r="X778" i="1" l="1" a="1"/>
  <c r="X778" i="1" s="1"/>
  <c r="Y778" i="1" s="1"/>
  <c r="Z778" i="1" a="1"/>
  <c r="Z778" i="1" s="1"/>
  <c r="AA778" i="1"/>
  <c r="AK778" i="1" a="1"/>
  <c r="AK778" i="1" s="1"/>
  <c r="AL778" i="1" s="1"/>
  <c r="AE780" i="1" a="1"/>
  <c r="Q779" i="1"/>
  <c r="AB779" i="1" s="1" a="1"/>
  <c r="AB779" i="1" s="1"/>
  <c r="Q780" i="1" a="1"/>
  <c r="AE779" i="1"/>
  <c r="AM778" i="1" s="1" a="1"/>
  <c r="AM778" i="1" s="1"/>
  <c r="Z779" i="1" l="1" a="1"/>
  <c r="Z779" i="1" s="1"/>
  <c r="X779" i="1" a="1"/>
  <c r="X779" i="1" s="1"/>
  <c r="Y779" i="1" s="1"/>
  <c r="AA779" i="1"/>
  <c r="AK779" i="1" a="1"/>
  <c r="AK779" i="1" s="1"/>
  <c r="AL779" i="1" s="1"/>
  <c r="AE781" i="1" a="1"/>
  <c r="Q781" i="1" a="1"/>
  <c r="Q780" i="1"/>
  <c r="AB780" i="1" s="1" a="1"/>
  <c r="AB780" i="1" s="1"/>
  <c r="AE780" i="1"/>
  <c r="AM779" i="1" s="1" a="1"/>
  <c r="AM779" i="1" s="1"/>
  <c r="Z780" i="1" l="1" a="1"/>
  <c r="Z780" i="1" s="1"/>
  <c r="AA780" i="1"/>
  <c r="X780" i="1" a="1"/>
  <c r="X780" i="1" s="1"/>
  <c r="Y780" i="1" s="1"/>
  <c r="AK780" i="1" a="1"/>
  <c r="AK780" i="1" s="1"/>
  <c r="AL780" i="1" s="1"/>
  <c r="AE782" i="1" a="1"/>
  <c r="Q781" i="1"/>
  <c r="AB781" i="1" s="1" a="1"/>
  <c r="AB781" i="1" s="1"/>
  <c r="Q782" i="1" a="1"/>
  <c r="AE781" i="1"/>
  <c r="AK781" i="1" s="1" a="1"/>
  <c r="AK781" i="1" s="1"/>
  <c r="AL781" i="1" s="1"/>
  <c r="Z781" i="1" l="1" a="1"/>
  <c r="Z781" i="1" s="1"/>
  <c r="X781" i="1" a="1"/>
  <c r="X781" i="1" s="1"/>
  <c r="Y781" i="1" s="1"/>
  <c r="AA781" i="1"/>
  <c r="AM780" i="1" a="1"/>
  <c r="AM780" i="1" s="1"/>
  <c r="AE783" i="1" a="1"/>
  <c r="Q782" i="1"/>
  <c r="AB782" i="1" s="1" a="1"/>
  <c r="AB782" i="1" s="1"/>
  <c r="Q783" i="1" a="1"/>
  <c r="AE782" i="1"/>
  <c r="AK782" i="1" s="1" a="1"/>
  <c r="AK782" i="1" s="1"/>
  <c r="AL782" i="1" s="1"/>
  <c r="Z782" i="1" l="1" a="1"/>
  <c r="Z782" i="1" s="1"/>
  <c r="X782" i="1" a="1"/>
  <c r="X782" i="1" s="1"/>
  <c r="Y782" i="1" s="1"/>
  <c r="AA782" i="1"/>
  <c r="AM781" i="1" a="1"/>
  <c r="AM781" i="1" s="1"/>
  <c r="AE784" i="1" a="1"/>
  <c r="Q783" i="1"/>
  <c r="AB783" i="1" s="1" a="1"/>
  <c r="AB783" i="1" s="1"/>
  <c r="Q784" i="1" a="1"/>
  <c r="AE783" i="1"/>
  <c r="AK783" i="1" s="1" a="1"/>
  <c r="AK783" i="1" s="1"/>
  <c r="AL783" i="1" s="1"/>
  <c r="X783" i="1" l="1" a="1"/>
  <c r="X783" i="1" s="1"/>
  <c r="Y783" i="1" s="1"/>
  <c r="Z783" i="1" a="1"/>
  <c r="Z783" i="1" s="1"/>
  <c r="AA783" i="1"/>
  <c r="AM782" i="1" a="1"/>
  <c r="AM782" i="1" s="1"/>
  <c r="AE785" i="1" a="1"/>
  <c r="Q784" i="1"/>
  <c r="AB784" i="1" s="1" a="1"/>
  <c r="AB784" i="1" s="1"/>
  <c r="Q785" i="1" a="1"/>
  <c r="AE784" i="1"/>
  <c r="AM783" i="1" s="1" a="1"/>
  <c r="AM783" i="1" s="1"/>
  <c r="Z784" i="1" l="1" a="1"/>
  <c r="Z784" i="1" s="1"/>
  <c r="X784" i="1" a="1"/>
  <c r="X784" i="1" s="1"/>
  <c r="Y784" i="1" s="1"/>
  <c r="AA784" i="1"/>
  <c r="AK784" i="1" a="1"/>
  <c r="AK784" i="1" s="1"/>
  <c r="AL784" i="1" s="1"/>
  <c r="AE786" i="1" a="1"/>
  <c r="Q785" i="1"/>
  <c r="AB785" i="1" s="1" a="1"/>
  <c r="AB785" i="1" s="1"/>
  <c r="Q786" i="1" a="1"/>
  <c r="AE785" i="1"/>
  <c r="AM784" i="1" s="1" a="1"/>
  <c r="AM784" i="1" s="1"/>
  <c r="Z785" i="1" l="1" a="1"/>
  <c r="Z785" i="1" s="1"/>
  <c r="X785" i="1" a="1"/>
  <c r="X785" i="1" s="1"/>
  <c r="Y785" i="1" s="1"/>
  <c r="AA785" i="1"/>
  <c r="AK785" i="1" a="1"/>
  <c r="AK785" i="1" s="1"/>
  <c r="AL785" i="1" s="1"/>
  <c r="AE787" i="1" a="1"/>
  <c r="Q787" i="1" a="1"/>
  <c r="Q786" i="1"/>
  <c r="AB786" i="1" s="1" a="1"/>
  <c r="AB786" i="1" s="1"/>
  <c r="AE786" i="1"/>
  <c r="AM785" i="1" s="1" a="1"/>
  <c r="AM785" i="1" s="1"/>
  <c r="Z786" i="1" l="1" a="1"/>
  <c r="Z786" i="1" s="1"/>
  <c r="AA786" i="1"/>
  <c r="X786" i="1" a="1"/>
  <c r="X786" i="1" s="1"/>
  <c r="Y786" i="1" s="1"/>
  <c r="AK786" i="1" a="1"/>
  <c r="AK786" i="1" s="1"/>
  <c r="AL786" i="1" s="1"/>
  <c r="AE788" i="1" a="1"/>
  <c r="Q787" i="1"/>
  <c r="AB787" i="1" s="1" a="1"/>
  <c r="AB787" i="1" s="1"/>
  <c r="Q788" i="1" a="1"/>
  <c r="AE787" i="1"/>
  <c r="AK787" i="1" s="1" a="1"/>
  <c r="AK787" i="1" s="1"/>
  <c r="AL787" i="1" s="1"/>
  <c r="Z787" i="1" l="1" a="1"/>
  <c r="Z787" i="1" s="1"/>
  <c r="X787" i="1" a="1"/>
  <c r="X787" i="1" s="1"/>
  <c r="Y787" i="1" s="1"/>
  <c r="AA787" i="1"/>
  <c r="AM786" i="1" a="1"/>
  <c r="AM786" i="1" s="1"/>
  <c r="AE789" i="1" a="1"/>
  <c r="Q788" i="1"/>
  <c r="AB788" i="1" s="1" a="1"/>
  <c r="AB788" i="1" s="1"/>
  <c r="Q789" i="1" a="1"/>
  <c r="AE788" i="1"/>
  <c r="AM787" i="1" s="1" a="1"/>
  <c r="AM787" i="1" s="1"/>
  <c r="X788" i="1" l="1" a="1"/>
  <c r="X788" i="1" s="1"/>
  <c r="Y788" i="1" s="1"/>
  <c r="Z788" i="1" a="1"/>
  <c r="Z788" i="1" s="1"/>
  <c r="AA788" i="1"/>
  <c r="AK788" i="1" a="1"/>
  <c r="AK788" i="1" s="1"/>
  <c r="AL788" i="1" s="1"/>
  <c r="AE790" i="1" a="1"/>
  <c r="Q789" i="1"/>
  <c r="AB789" i="1" s="1" a="1"/>
  <c r="AB789" i="1" s="1"/>
  <c r="Q790" i="1" a="1"/>
  <c r="AE789" i="1"/>
  <c r="AK789" i="1" s="1" a="1"/>
  <c r="AK789" i="1" s="1"/>
  <c r="AL789" i="1" s="1"/>
  <c r="Z789" i="1" l="1" a="1"/>
  <c r="Z789" i="1" s="1"/>
  <c r="X789" i="1" a="1"/>
  <c r="X789" i="1" s="1"/>
  <c r="Y789" i="1" s="1"/>
  <c r="AA789" i="1"/>
  <c r="AM788" i="1" a="1"/>
  <c r="AM788" i="1" s="1"/>
  <c r="AE791" i="1" a="1"/>
  <c r="Q790" i="1"/>
  <c r="AB790" i="1" s="1" a="1"/>
  <c r="AB790" i="1" s="1"/>
  <c r="Q791" i="1" a="1"/>
  <c r="AE790" i="1"/>
  <c r="AK790" i="1" s="1" a="1"/>
  <c r="AK790" i="1" s="1"/>
  <c r="AL790" i="1" s="1"/>
  <c r="Z790" i="1" l="1" a="1"/>
  <c r="Z790" i="1" s="1"/>
  <c r="X790" i="1" a="1"/>
  <c r="X790" i="1" s="1"/>
  <c r="Y790" i="1" s="1"/>
  <c r="AA790" i="1"/>
  <c r="AM789" i="1" a="1"/>
  <c r="AM789" i="1" s="1"/>
  <c r="AE792" i="1" a="1"/>
  <c r="Q792" i="1" a="1"/>
  <c r="Q791" i="1"/>
  <c r="AB791" i="1" s="1" a="1"/>
  <c r="AB791" i="1" s="1"/>
  <c r="AE791" i="1"/>
  <c r="AK791" i="1" s="1" a="1"/>
  <c r="AK791" i="1" s="1"/>
  <c r="AL791" i="1" s="1"/>
  <c r="X791" i="1" l="1" a="1"/>
  <c r="X791" i="1" s="1"/>
  <c r="Y791" i="1" s="1"/>
  <c r="Z791" i="1" a="1"/>
  <c r="Z791" i="1" s="1"/>
  <c r="AA791" i="1"/>
  <c r="AM790" i="1" a="1"/>
  <c r="AM790" i="1" s="1"/>
  <c r="AE793" i="1" a="1"/>
  <c r="Q792" i="1"/>
  <c r="AB792" i="1" s="1" a="1"/>
  <c r="AB792" i="1" s="1"/>
  <c r="Q793" i="1" a="1"/>
  <c r="AE792" i="1"/>
  <c r="AM791" i="1" s="1" a="1"/>
  <c r="AM791" i="1" s="1"/>
  <c r="Z792" i="1" l="1" a="1"/>
  <c r="Z792" i="1" s="1"/>
  <c r="X792" i="1" a="1"/>
  <c r="X792" i="1" s="1"/>
  <c r="Y792" i="1" s="1"/>
  <c r="AA792" i="1"/>
  <c r="AK792" i="1" a="1"/>
  <c r="AK792" i="1" s="1"/>
  <c r="AL792" i="1" s="1"/>
  <c r="AE794" i="1" a="1"/>
  <c r="Q793" i="1"/>
  <c r="AB793" i="1" s="1" a="1"/>
  <c r="AB793" i="1" s="1"/>
  <c r="Q794" i="1" a="1"/>
  <c r="AE793" i="1"/>
  <c r="AK793" i="1" s="1" a="1"/>
  <c r="AK793" i="1" s="1"/>
  <c r="AL793" i="1" s="1"/>
  <c r="Z793" i="1" l="1" a="1"/>
  <c r="Z793" i="1" s="1"/>
  <c r="X793" i="1" a="1"/>
  <c r="X793" i="1" s="1"/>
  <c r="Y793" i="1" s="1"/>
  <c r="AA793" i="1"/>
  <c r="AM792" i="1" a="1"/>
  <c r="AM792" i="1" s="1"/>
  <c r="AE795" i="1" a="1"/>
  <c r="Q795" i="1" a="1"/>
  <c r="Q794" i="1"/>
  <c r="AB794" i="1" s="1" a="1"/>
  <c r="AB794" i="1" s="1"/>
  <c r="AE794" i="1"/>
  <c r="AM793" i="1" s="1" a="1"/>
  <c r="AM793" i="1" s="1"/>
  <c r="X794" i="1" l="1" a="1"/>
  <c r="X794" i="1" s="1"/>
  <c r="Y794" i="1" s="1"/>
  <c r="Z794" i="1" a="1"/>
  <c r="Z794" i="1" s="1"/>
  <c r="AA794" i="1"/>
  <c r="AK794" i="1" a="1"/>
  <c r="AK794" i="1" s="1"/>
  <c r="AL794" i="1" s="1"/>
  <c r="AE796" i="1" a="1"/>
  <c r="Q795" i="1"/>
  <c r="AB795" i="1" s="1" a="1"/>
  <c r="AB795" i="1" s="1"/>
  <c r="Q796" i="1" a="1"/>
  <c r="AE795" i="1"/>
  <c r="AM794" i="1" s="1" a="1"/>
  <c r="AM794" i="1" s="1"/>
  <c r="Z795" i="1" l="1" a="1"/>
  <c r="Z795" i="1" s="1"/>
  <c r="X795" i="1" a="1"/>
  <c r="X795" i="1" s="1"/>
  <c r="Y795" i="1" s="1"/>
  <c r="AA795" i="1"/>
  <c r="AK795" i="1" a="1"/>
  <c r="AK795" i="1" s="1"/>
  <c r="AL795" i="1" s="1"/>
  <c r="AE797" i="1" a="1"/>
  <c r="Q796" i="1"/>
  <c r="AB796" i="1" s="1" a="1"/>
  <c r="AB796" i="1" s="1"/>
  <c r="Q797" i="1" a="1"/>
  <c r="AE796" i="1"/>
  <c r="AM795" i="1" s="1" a="1"/>
  <c r="AM795" i="1" s="1"/>
  <c r="X796" i="1" l="1" a="1"/>
  <c r="X796" i="1" s="1"/>
  <c r="Y796" i="1" s="1"/>
  <c r="Z796" i="1" a="1"/>
  <c r="Z796" i="1" s="1"/>
  <c r="AA796" i="1"/>
  <c r="AK796" i="1" a="1"/>
  <c r="AK796" i="1" s="1"/>
  <c r="AL796" i="1" s="1"/>
  <c r="AE798" i="1" a="1"/>
  <c r="Q797" i="1"/>
  <c r="AB797" i="1" s="1" a="1"/>
  <c r="AB797" i="1" s="1"/>
  <c r="Q798" i="1" a="1"/>
  <c r="AE797" i="1"/>
  <c r="AK797" i="1" s="1" a="1"/>
  <c r="AK797" i="1" s="1"/>
  <c r="AL797" i="1" s="1"/>
  <c r="Z797" i="1" l="1" a="1"/>
  <c r="Z797" i="1" s="1"/>
  <c r="X797" i="1" a="1"/>
  <c r="X797" i="1" s="1"/>
  <c r="Y797" i="1" s="1"/>
  <c r="AA797" i="1"/>
  <c r="AM796" i="1" a="1"/>
  <c r="AM796" i="1" s="1"/>
  <c r="AE799" i="1" a="1"/>
  <c r="Q798" i="1"/>
  <c r="AB798" i="1" s="1" a="1"/>
  <c r="AB798" i="1" s="1"/>
  <c r="Q799" i="1" a="1"/>
  <c r="AE798" i="1"/>
  <c r="AK798" i="1" s="1" a="1"/>
  <c r="AK798" i="1" s="1"/>
  <c r="AL798" i="1" s="1"/>
  <c r="Z798" i="1" l="1" a="1"/>
  <c r="Z798" i="1" s="1"/>
  <c r="X798" i="1" a="1"/>
  <c r="X798" i="1" s="1"/>
  <c r="Y798" i="1" s="1"/>
  <c r="AA798" i="1"/>
  <c r="AM797" i="1" a="1"/>
  <c r="AM797" i="1" s="1"/>
  <c r="AE800" i="1" a="1"/>
  <c r="Q799" i="1"/>
  <c r="AB799" i="1" s="1" a="1"/>
  <c r="AB799" i="1" s="1"/>
  <c r="Q800" i="1" a="1"/>
  <c r="AE799" i="1"/>
  <c r="AK799" i="1" s="1" a="1"/>
  <c r="AK799" i="1" s="1"/>
  <c r="AL799" i="1" s="1"/>
  <c r="X799" i="1" l="1" a="1"/>
  <c r="X799" i="1" s="1"/>
  <c r="Y799" i="1" s="1"/>
  <c r="Z799" i="1" a="1"/>
  <c r="Z799" i="1" s="1"/>
  <c r="AA799" i="1"/>
  <c r="AM798" i="1" a="1"/>
  <c r="AM798" i="1" s="1"/>
  <c r="AE801" i="1" a="1"/>
  <c r="Q800" i="1"/>
  <c r="AB800" i="1" s="1" a="1"/>
  <c r="AB800" i="1" s="1"/>
  <c r="Q801" i="1" a="1"/>
  <c r="AE800" i="1"/>
  <c r="AM799" i="1" s="1" a="1"/>
  <c r="AM799" i="1" s="1"/>
  <c r="X800" i="1" l="1" a="1"/>
  <c r="X800" i="1" s="1"/>
  <c r="Y800" i="1" s="1"/>
  <c r="Z800" i="1" a="1"/>
  <c r="Z800" i="1" s="1"/>
  <c r="AA800" i="1"/>
  <c r="AK800" i="1" a="1"/>
  <c r="AK800" i="1" s="1"/>
  <c r="AL800" i="1" s="1"/>
  <c r="AE802" i="1" a="1"/>
  <c r="Q801" i="1"/>
  <c r="Z801" i="1" s="1" a="1"/>
  <c r="Z801" i="1" s="1"/>
  <c r="Q802" i="1" a="1"/>
  <c r="AE801" i="1"/>
  <c r="AK801" i="1" s="1" a="1"/>
  <c r="AK801" i="1" s="1"/>
  <c r="AL801" i="1" s="1"/>
  <c r="AB801" i="1" l="1" a="1"/>
  <c r="AB801" i="1" s="1"/>
  <c r="X801" i="1" a="1"/>
  <c r="X801" i="1" s="1"/>
  <c r="Y801" i="1" s="1"/>
  <c r="AA801" i="1"/>
  <c r="AM800" i="1" a="1"/>
  <c r="AM800" i="1" s="1"/>
  <c r="AE803" i="1" a="1"/>
  <c r="Q802" i="1"/>
  <c r="AB802" i="1" s="1" a="1"/>
  <c r="AB802" i="1" s="1"/>
  <c r="Q803" i="1" a="1"/>
  <c r="AE802" i="1"/>
  <c r="AM801" i="1" s="1" a="1"/>
  <c r="AM801" i="1" s="1"/>
  <c r="X802" i="1" l="1" a="1"/>
  <c r="X802" i="1" s="1"/>
  <c r="Y802" i="1" s="1"/>
  <c r="Z802" i="1" a="1"/>
  <c r="Z802" i="1" s="1"/>
  <c r="AA802" i="1"/>
  <c r="AK802" i="1" a="1"/>
  <c r="AK802" i="1" s="1"/>
  <c r="AL802" i="1" s="1"/>
  <c r="AE804" i="1" a="1"/>
  <c r="Q803" i="1"/>
  <c r="AB803" i="1" s="1" a="1"/>
  <c r="AB803" i="1" s="1"/>
  <c r="Q804" i="1" a="1"/>
  <c r="AE803" i="1"/>
  <c r="AK803" i="1" s="1" a="1"/>
  <c r="AK803" i="1" s="1"/>
  <c r="AL803" i="1" s="1"/>
  <c r="Z803" i="1" l="1" a="1"/>
  <c r="Z803" i="1" s="1"/>
  <c r="X803" i="1" a="1"/>
  <c r="X803" i="1" s="1"/>
  <c r="Y803" i="1" s="1"/>
  <c r="AA803" i="1"/>
  <c r="AM802" i="1" a="1"/>
  <c r="AM802" i="1" s="1"/>
  <c r="AE805" i="1" a="1"/>
  <c r="Q804" i="1"/>
  <c r="AB804" i="1" s="1" a="1"/>
  <c r="AB804" i="1" s="1"/>
  <c r="Q805" i="1" a="1"/>
  <c r="AE804" i="1"/>
  <c r="AK804" i="1" s="1" a="1"/>
  <c r="AK804" i="1" s="1"/>
  <c r="AL804" i="1" s="1"/>
  <c r="X804" i="1" l="1" a="1"/>
  <c r="X804" i="1" s="1"/>
  <c r="Y804" i="1" s="1"/>
  <c r="Z804" i="1" a="1"/>
  <c r="Z804" i="1" s="1"/>
  <c r="AA804" i="1"/>
  <c r="AM803" i="1" a="1"/>
  <c r="AM803" i="1" s="1"/>
  <c r="AE806" i="1" a="1"/>
  <c r="Q805" i="1"/>
  <c r="AB805" i="1" s="1" a="1"/>
  <c r="AB805" i="1" s="1"/>
  <c r="Q806" i="1" a="1"/>
  <c r="AE805" i="1"/>
  <c r="AK805" i="1" s="1" a="1"/>
  <c r="AK805" i="1" s="1"/>
  <c r="AL805" i="1" s="1"/>
  <c r="X805" i="1" l="1" a="1"/>
  <c r="X805" i="1" s="1"/>
  <c r="Y805" i="1" s="1"/>
  <c r="Z805" i="1" a="1"/>
  <c r="Z805" i="1" s="1"/>
  <c r="AA805" i="1"/>
  <c r="AM804" i="1" a="1"/>
  <c r="AM804" i="1" s="1"/>
  <c r="AE807" i="1" a="1"/>
  <c r="Q806" i="1"/>
  <c r="AB806" i="1" s="1" a="1"/>
  <c r="AB806" i="1" s="1"/>
  <c r="Q807" i="1" a="1"/>
  <c r="AE806" i="1"/>
  <c r="AM805" i="1" s="1" a="1"/>
  <c r="AM805" i="1" s="1"/>
  <c r="Z806" i="1" l="1" a="1"/>
  <c r="Z806" i="1" s="1"/>
  <c r="X806" i="1" a="1"/>
  <c r="X806" i="1" s="1"/>
  <c r="Y806" i="1" s="1"/>
  <c r="AA806" i="1"/>
  <c r="AK806" i="1" a="1"/>
  <c r="AK806" i="1" s="1"/>
  <c r="AL806" i="1" s="1"/>
  <c r="AE808" i="1" a="1"/>
  <c r="Q808" i="1" a="1"/>
  <c r="Q807" i="1"/>
  <c r="AB807" i="1" s="1" a="1"/>
  <c r="AB807" i="1" s="1"/>
  <c r="AE807" i="1"/>
  <c r="AK807" i="1" s="1" a="1"/>
  <c r="AK807" i="1" s="1"/>
  <c r="AL807" i="1" s="1"/>
  <c r="X807" i="1" l="1" a="1"/>
  <c r="X807" i="1" s="1"/>
  <c r="Y807" i="1" s="1"/>
  <c r="Z807" i="1" a="1"/>
  <c r="Z807" i="1" s="1"/>
  <c r="AA807" i="1"/>
  <c r="AM806" i="1" a="1"/>
  <c r="AM806" i="1" s="1"/>
  <c r="AE809" i="1" a="1"/>
  <c r="Q809" i="1" a="1"/>
  <c r="Q808" i="1"/>
  <c r="AB808" i="1" s="1" a="1"/>
  <c r="AB808" i="1" s="1"/>
  <c r="AE808" i="1"/>
  <c r="AM807" i="1" s="1" a="1"/>
  <c r="AM807" i="1" s="1"/>
  <c r="X808" i="1" l="1" a="1"/>
  <c r="X808" i="1" s="1"/>
  <c r="Y808" i="1" s="1"/>
  <c r="Z808" i="1" a="1"/>
  <c r="Z808" i="1" s="1"/>
  <c r="AA808" i="1"/>
  <c r="AK808" i="1" a="1"/>
  <c r="AK808" i="1" s="1"/>
  <c r="AL808" i="1" s="1"/>
  <c r="AE810" i="1" a="1"/>
  <c r="Q809" i="1"/>
  <c r="AB809" i="1" s="1" a="1"/>
  <c r="AB809" i="1" s="1"/>
  <c r="Q810" i="1" a="1"/>
  <c r="AE809" i="1"/>
  <c r="AK809" i="1" s="1" a="1"/>
  <c r="AK809" i="1" s="1"/>
  <c r="AL809" i="1" s="1"/>
  <c r="Z809" i="1" l="1" a="1"/>
  <c r="Z809" i="1" s="1"/>
  <c r="X809" i="1" a="1"/>
  <c r="X809" i="1" s="1"/>
  <c r="Y809" i="1" s="1"/>
  <c r="AA809" i="1"/>
  <c r="AM808" i="1" a="1"/>
  <c r="AM808" i="1" s="1"/>
  <c r="AE811" i="1" a="1"/>
  <c r="Q810" i="1"/>
  <c r="AB810" i="1" s="1" a="1"/>
  <c r="AB810" i="1" s="1"/>
  <c r="Q811" i="1" a="1"/>
  <c r="AE810" i="1"/>
  <c r="AM809" i="1" s="1" a="1"/>
  <c r="AM809" i="1" s="1"/>
  <c r="X810" i="1" l="1" a="1"/>
  <c r="X810" i="1" s="1"/>
  <c r="Y810" i="1" s="1"/>
  <c r="Z810" i="1" a="1"/>
  <c r="Z810" i="1" s="1"/>
  <c r="AA810" i="1"/>
  <c r="AK810" i="1" a="1"/>
  <c r="AK810" i="1" s="1"/>
  <c r="AL810" i="1" s="1"/>
  <c r="AE812" i="1" a="1"/>
  <c r="Q811" i="1"/>
  <c r="AB811" i="1" s="1" a="1"/>
  <c r="AB811" i="1" s="1"/>
  <c r="Q812" i="1" a="1"/>
  <c r="AE811" i="1"/>
  <c r="AM810" i="1" s="1" a="1"/>
  <c r="AM810" i="1" s="1"/>
  <c r="Z811" i="1" l="1" a="1"/>
  <c r="Z811" i="1" s="1"/>
  <c r="X811" i="1" a="1"/>
  <c r="X811" i="1" s="1"/>
  <c r="Y811" i="1" s="1"/>
  <c r="AA811" i="1"/>
  <c r="AK811" i="1" a="1"/>
  <c r="AK811" i="1" s="1"/>
  <c r="AL811" i="1" s="1"/>
  <c r="AE813" i="1" a="1"/>
  <c r="Q812" i="1"/>
  <c r="AB812" i="1" s="1" a="1"/>
  <c r="AB812" i="1" s="1"/>
  <c r="Q813" i="1" a="1"/>
  <c r="AE812" i="1"/>
  <c r="AK812" i="1" s="1" a="1"/>
  <c r="AK812" i="1" s="1"/>
  <c r="AL812" i="1" s="1"/>
  <c r="X812" i="1" l="1" a="1"/>
  <c r="X812" i="1" s="1"/>
  <c r="Y812" i="1" s="1"/>
  <c r="Z812" i="1" a="1"/>
  <c r="Z812" i="1" s="1"/>
  <c r="AA812" i="1"/>
  <c r="AM811" i="1" a="1"/>
  <c r="AM811" i="1" s="1"/>
  <c r="AE814" i="1" a="1"/>
  <c r="Q814" i="1" a="1"/>
  <c r="Q813" i="1"/>
  <c r="AB813" i="1" s="1" a="1"/>
  <c r="AB813" i="1" s="1"/>
  <c r="AE813" i="1"/>
  <c r="AM812" i="1" s="1" a="1"/>
  <c r="AM812" i="1" s="1"/>
  <c r="X813" i="1" l="1" a="1"/>
  <c r="X813" i="1" s="1"/>
  <c r="Y813" i="1" s="1"/>
  <c r="Z813" i="1" a="1"/>
  <c r="Z813" i="1" s="1"/>
  <c r="AA813" i="1"/>
  <c r="AK813" i="1" a="1"/>
  <c r="AK813" i="1" s="1"/>
  <c r="AL813" i="1" s="1"/>
  <c r="AE815" i="1" a="1"/>
  <c r="Q814" i="1"/>
  <c r="AB814" i="1" s="1" a="1"/>
  <c r="AB814" i="1" s="1"/>
  <c r="Q815" i="1" a="1"/>
  <c r="AE814" i="1"/>
  <c r="AM813" i="1" s="1" a="1"/>
  <c r="AM813" i="1" s="1"/>
  <c r="Z814" i="1" l="1" a="1"/>
  <c r="Z814" i="1" s="1"/>
  <c r="X814" i="1" a="1"/>
  <c r="X814" i="1" s="1"/>
  <c r="Y814" i="1" s="1"/>
  <c r="AA814" i="1"/>
  <c r="AK814" i="1" a="1"/>
  <c r="AK814" i="1" s="1"/>
  <c r="AL814" i="1" s="1"/>
  <c r="AE816" i="1" a="1"/>
  <c r="Q815" i="1"/>
  <c r="AB815" i="1" s="1" a="1"/>
  <c r="AB815" i="1" s="1"/>
  <c r="Q816" i="1" a="1"/>
  <c r="AE815" i="1"/>
  <c r="AK815" i="1" s="1" a="1"/>
  <c r="AK815" i="1" s="1"/>
  <c r="AL815" i="1" s="1"/>
  <c r="AM814" i="1" l="1" a="1"/>
  <c r="AM814" i="1" s="1"/>
  <c r="Z815" i="1" a="1"/>
  <c r="Z815" i="1" s="1"/>
  <c r="AA815" i="1"/>
  <c r="X815" i="1" a="1"/>
  <c r="X815" i="1" s="1"/>
  <c r="Y815" i="1" s="1"/>
  <c r="AE817" i="1" a="1"/>
  <c r="Q817" i="1" a="1"/>
  <c r="Q816" i="1"/>
  <c r="AB816" i="1" s="1" a="1"/>
  <c r="AB816" i="1" s="1"/>
  <c r="AE816" i="1"/>
  <c r="AM815" i="1" s="1" a="1"/>
  <c r="AM815" i="1" s="1"/>
  <c r="X816" i="1" l="1" a="1"/>
  <c r="X816" i="1" s="1"/>
  <c r="Y816" i="1" s="1"/>
  <c r="Z816" i="1" a="1"/>
  <c r="Z816" i="1" s="1"/>
  <c r="AA816" i="1"/>
  <c r="AK816" i="1" a="1"/>
  <c r="AK816" i="1" s="1"/>
  <c r="AL816" i="1" s="1"/>
  <c r="AE818" i="1" a="1"/>
  <c r="Q817" i="1"/>
  <c r="AB817" i="1" s="1" a="1"/>
  <c r="AB817" i="1" s="1"/>
  <c r="Q818" i="1" a="1"/>
  <c r="Z817" i="1" a="1"/>
  <c r="Z817" i="1" s="1"/>
  <c r="AE817" i="1"/>
  <c r="AM816" i="1" s="1" a="1"/>
  <c r="AM816" i="1" s="1"/>
  <c r="X817" i="1" l="1" a="1"/>
  <c r="X817" i="1" s="1"/>
  <c r="Y817" i="1" s="1"/>
  <c r="AA817" i="1"/>
  <c r="AK817" i="1" a="1"/>
  <c r="AK817" i="1" s="1"/>
  <c r="AL817" i="1" s="1"/>
  <c r="AE819" i="1" a="1"/>
  <c r="Q818" i="1"/>
  <c r="AB818" i="1" s="1" a="1"/>
  <c r="AB818" i="1" s="1"/>
  <c r="Q819" i="1" a="1"/>
  <c r="X818" i="1" a="1"/>
  <c r="X818" i="1" s="1"/>
  <c r="Y818" i="1" s="1"/>
  <c r="AE818" i="1"/>
  <c r="AK818" i="1" s="1" a="1"/>
  <c r="AK818" i="1" s="1"/>
  <c r="AL818" i="1" s="1"/>
  <c r="Z818" i="1" l="1" a="1"/>
  <c r="Z818" i="1" s="1"/>
  <c r="AA818" i="1"/>
  <c r="AM817" i="1" a="1"/>
  <c r="AM817" i="1" s="1"/>
  <c r="AE820" i="1" a="1"/>
  <c r="Q820" i="1" a="1"/>
  <c r="Q819" i="1"/>
  <c r="AB819" i="1" s="1" a="1"/>
  <c r="AB819" i="1" s="1"/>
  <c r="AE819" i="1"/>
  <c r="AM818" i="1" s="1" a="1"/>
  <c r="AM818" i="1" s="1"/>
  <c r="Z819" i="1" l="1" a="1"/>
  <c r="Z819" i="1" s="1"/>
  <c r="X819" i="1" a="1"/>
  <c r="X819" i="1" s="1"/>
  <c r="Y819" i="1" s="1"/>
  <c r="AA819" i="1"/>
  <c r="AK819" i="1" a="1"/>
  <c r="AK819" i="1" s="1"/>
  <c r="AL819" i="1" s="1"/>
  <c r="AE821" i="1" a="1"/>
  <c r="Q820" i="1"/>
  <c r="AB820" i="1" s="1" a="1"/>
  <c r="AB820" i="1" s="1"/>
  <c r="Q821" i="1" a="1"/>
  <c r="AE820" i="1"/>
  <c r="AM819" i="1" s="1" a="1"/>
  <c r="AM819" i="1" s="1"/>
  <c r="X820" i="1" l="1" a="1"/>
  <c r="X820" i="1" s="1"/>
  <c r="Y820" i="1" s="1"/>
  <c r="Z820" i="1" a="1"/>
  <c r="Z820" i="1" s="1"/>
  <c r="AA820" i="1"/>
  <c r="AK820" i="1" a="1"/>
  <c r="AK820" i="1" s="1"/>
  <c r="AL820" i="1" s="1"/>
  <c r="AE822" i="1" a="1"/>
  <c r="Q822" i="1" a="1"/>
  <c r="Q821" i="1"/>
  <c r="AB821" i="1" s="1" a="1"/>
  <c r="AB821" i="1" s="1"/>
  <c r="AE821" i="1"/>
  <c r="AK821" i="1" s="1" a="1"/>
  <c r="AK821" i="1" s="1"/>
  <c r="AL821" i="1" s="1"/>
  <c r="X821" i="1" l="1" a="1"/>
  <c r="X821" i="1" s="1"/>
  <c r="Y821" i="1" s="1"/>
  <c r="Z821" i="1" a="1"/>
  <c r="Z821" i="1" s="1"/>
  <c r="AA821" i="1"/>
  <c r="AM820" i="1" a="1"/>
  <c r="AM820" i="1" s="1"/>
  <c r="AE823" i="1" a="1"/>
  <c r="Q823" i="1" a="1"/>
  <c r="Q822" i="1"/>
  <c r="AB822" i="1" s="1" a="1"/>
  <c r="AB822" i="1" s="1"/>
  <c r="AE822" i="1"/>
  <c r="AM821" i="1" s="1" a="1"/>
  <c r="AM821" i="1" s="1"/>
  <c r="Z822" i="1" l="1" a="1"/>
  <c r="Z822" i="1" s="1"/>
  <c r="X822" i="1" a="1"/>
  <c r="X822" i="1" s="1"/>
  <c r="Y822" i="1" s="1"/>
  <c r="AA822" i="1"/>
  <c r="AK822" i="1" a="1"/>
  <c r="AK822" i="1" s="1"/>
  <c r="AL822" i="1" s="1"/>
  <c r="AE824" i="1" a="1"/>
  <c r="Q823" i="1"/>
  <c r="X823" i="1" s="1" a="1"/>
  <c r="X823" i="1" s="1"/>
  <c r="Y823" i="1" s="1"/>
  <c r="Q824" i="1" a="1"/>
  <c r="AE823" i="1"/>
  <c r="AM822" i="1" s="1" a="1"/>
  <c r="AM822" i="1" s="1"/>
  <c r="AB823" i="1" l="1" a="1"/>
  <c r="AB823" i="1" s="1"/>
  <c r="Z823" i="1" a="1"/>
  <c r="Z823" i="1" s="1"/>
  <c r="AA823" i="1"/>
  <c r="AK823" i="1" a="1"/>
  <c r="AK823" i="1" s="1"/>
  <c r="AL823" i="1" s="1"/>
  <c r="AE825" i="1" a="1"/>
  <c r="Q824" i="1"/>
  <c r="AB824" i="1" s="1" a="1"/>
  <c r="AB824" i="1" s="1"/>
  <c r="Q825" i="1" a="1"/>
  <c r="AE824" i="1"/>
  <c r="AM823" i="1" s="1" a="1"/>
  <c r="AM823" i="1" s="1"/>
  <c r="X824" i="1" l="1" a="1"/>
  <c r="X824" i="1" s="1"/>
  <c r="Y824" i="1" s="1"/>
  <c r="Z824" i="1" a="1"/>
  <c r="Z824" i="1" s="1"/>
  <c r="AA824" i="1"/>
  <c r="AK824" i="1" a="1"/>
  <c r="AK824" i="1" s="1"/>
  <c r="AL824" i="1" s="1"/>
  <c r="AE826" i="1" a="1"/>
  <c r="Q825" i="1"/>
  <c r="AB825" i="1" s="1" a="1"/>
  <c r="AB825" i="1" s="1"/>
  <c r="Q826" i="1" a="1"/>
  <c r="AE825" i="1"/>
  <c r="AM824" i="1" s="1" a="1"/>
  <c r="AM824" i="1" s="1"/>
  <c r="Z825" i="1" l="1" a="1"/>
  <c r="Z825" i="1" s="1"/>
  <c r="X825" i="1" a="1"/>
  <c r="X825" i="1" s="1"/>
  <c r="Y825" i="1" s="1"/>
  <c r="AA825" i="1"/>
  <c r="AK825" i="1" a="1"/>
  <c r="AK825" i="1" s="1"/>
  <c r="AL825" i="1" s="1"/>
  <c r="AE827" i="1" a="1"/>
  <c r="Q826" i="1"/>
  <c r="AB826" i="1" s="1" a="1"/>
  <c r="AB826" i="1" s="1"/>
  <c r="Q827" i="1" a="1"/>
  <c r="AE826" i="1"/>
  <c r="AM825" i="1" s="1" a="1"/>
  <c r="AM825" i="1" s="1"/>
  <c r="X826" i="1" l="1" a="1"/>
  <c r="X826" i="1" s="1"/>
  <c r="Y826" i="1" s="1"/>
  <c r="Z826" i="1" a="1"/>
  <c r="Z826" i="1" s="1"/>
  <c r="AA826" i="1"/>
  <c r="AK826" i="1" a="1"/>
  <c r="AK826" i="1" s="1"/>
  <c r="AL826" i="1" s="1"/>
  <c r="AE828" i="1" a="1"/>
  <c r="Q827" i="1"/>
  <c r="AB827" i="1" s="1" a="1"/>
  <c r="AB827" i="1" s="1"/>
  <c r="Q828" i="1" a="1"/>
  <c r="AE827" i="1"/>
  <c r="AM826" i="1" s="1" a="1"/>
  <c r="AM826" i="1" s="1"/>
  <c r="Z827" i="1" l="1" a="1"/>
  <c r="Z827" i="1" s="1"/>
  <c r="X827" i="1" a="1"/>
  <c r="X827" i="1" s="1"/>
  <c r="Y827" i="1" s="1"/>
  <c r="AA827" i="1"/>
  <c r="AK827" i="1" a="1"/>
  <c r="AK827" i="1" s="1"/>
  <c r="AL827" i="1" s="1"/>
  <c r="AE829" i="1" a="1"/>
  <c r="Q829" i="1" a="1"/>
  <c r="Q828" i="1"/>
  <c r="X828" i="1" s="1" a="1"/>
  <c r="X828" i="1" s="1"/>
  <c r="Y828" i="1" s="1"/>
  <c r="AE828" i="1"/>
  <c r="AK828" i="1" s="1" a="1"/>
  <c r="AK828" i="1" s="1"/>
  <c r="AL828" i="1" s="1"/>
  <c r="AB828" i="1" l="1" a="1"/>
  <c r="AB828" i="1" s="1"/>
  <c r="Z828" i="1" a="1"/>
  <c r="Z828" i="1" s="1"/>
  <c r="AA828" i="1"/>
  <c r="AM827" i="1" a="1"/>
  <c r="AM827" i="1" s="1"/>
  <c r="AE830" i="1" a="1"/>
  <c r="Q829" i="1"/>
  <c r="AB829" i="1" s="1" a="1"/>
  <c r="AB829" i="1" s="1"/>
  <c r="Q830" i="1" a="1"/>
  <c r="AE829" i="1"/>
  <c r="AK829" i="1" s="1" a="1"/>
  <c r="AK829" i="1" s="1"/>
  <c r="AL829" i="1" s="1"/>
  <c r="X829" i="1" l="1" a="1"/>
  <c r="X829" i="1" s="1"/>
  <c r="Y829" i="1" s="1"/>
  <c r="Z829" i="1" a="1"/>
  <c r="Z829" i="1" s="1"/>
  <c r="AA829" i="1"/>
  <c r="AM828" i="1" a="1"/>
  <c r="AM828" i="1" s="1"/>
  <c r="AE831" i="1" a="1"/>
  <c r="Q830" i="1"/>
  <c r="AB830" i="1" s="1" a="1"/>
  <c r="AB830" i="1" s="1"/>
  <c r="Q831" i="1" a="1"/>
  <c r="AE830" i="1"/>
  <c r="AM829" i="1" s="1" a="1"/>
  <c r="AM829" i="1" s="1"/>
  <c r="Z830" i="1" l="1" a="1"/>
  <c r="Z830" i="1" s="1"/>
  <c r="X830" i="1" a="1"/>
  <c r="X830" i="1" s="1"/>
  <c r="Y830" i="1" s="1"/>
  <c r="AA830" i="1"/>
  <c r="AK830" i="1" a="1"/>
  <c r="AK830" i="1" s="1"/>
  <c r="AL830" i="1" s="1"/>
  <c r="AE832" i="1" a="1"/>
  <c r="Q831" i="1"/>
  <c r="X831" i="1" s="1" a="1"/>
  <c r="X831" i="1" s="1"/>
  <c r="Y831" i="1" s="1"/>
  <c r="Q832" i="1" a="1"/>
  <c r="AE831" i="1"/>
  <c r="AM830" i="1" s="1" a="1"/>
  <c r="AM830" i="1" s="1"/>
  <c r="AB831" i="1" l="1" a="1"/>
  <c r="AB831" i="1" s="1"/>
  <c r="Z831" i="1" a="1"/>
  <c r="Z831" i="1" s="1"/>
  <c r="AA831" i="1"/>
  <c r="AK831" i="1" a="1"/>
  <c r="AK831" i="1" s="1"/>
  <c r="AL831" i="1" s="1"/>
  <c r="AE833" i="1" a="1"/>
  <c r="Q832" i="1"/>
  <c r="AB832" i="1" s="1" a="1"/>
  <c r="AB832" i="1" s="1"/>
  <c r="Q833" i="1" a="1"/>
  <c r="AE832" i="1"/>
  <c r="AM831" i="1" s="1" a="1"/>
  <c r="AM831" i="1" s="1"/>
  <c r="Z832" i="1" l="1" a="1"/>
  <c r="Z832" i="1" s="1"/>
  <c r="X832" i="1" a="1"/>
  <c r="X832" i="1" s="1"/>
  <c r="Y832" i="1" s="1"/>
  <c r="AA832" i="1"/>
  <c r="AK832" i="1" a="1"/>
  <c r="AK832" i="1" s="1"/>
  <c r="AL832" i="1" s="1"/>
  <c r="AE834" i="1" a="1"/>
  <c r="Q833" i="1"/>
  <c r="AB833" i="1" s="1" a="1"/>
  <c r="AB833" i="1" s="1"/>
  <c r="Q834" i="1" a="1"/>
  <c r="AE833" i="1"/>
  <c r="AK833" i="1" s="1" a="1"/>
  <c r="AK833" i="1" s="1"/>
  <c r="AL833" i="1" s="1"/>
  <c r="AM832" i="1" l="1" a="1"/>
  <c r="AM832" i="1" s="1"/>
  <c r="X833" i="1" a="1"/>
  <c r="X833" i="1" s="1"/>
  <c r="Y833" i="1" s="1"/>
  <c r="AA833" i="1"/>
  <c r="Z833" i="1" a="1"/>
  <c r="Z833" i="1" s="1"/>
  <c r="AE835" i="1" a="1"/>
  <c r="Q834" i="1"/>
  <c r="AB834" i="1" s="1" a="1"/>
  <c r="AB834" i="1" s="1"/>
  <c r="Q835" i="1" a="1"/>
  <c r="AE834" i="1"/>
  <c r="AM833" i="1" s="1" a="1"/>
  <c r="AM833" i="1" s="1"/>
  <c r="X834" i="1" l="1" a="1"/>
  <c r="X834" i="1" s="1"/>
  <c r="Y834" i="1" s="1"/>
  <c r="Z834" i="1" a="1"/>
  <c r="Z834" i="1" s="1"/>
  <c r="AA834" i="1"/>
  <c r="AK834" i="1" a="1"/>
  <c r="AK834" i="1" s="1"/>
  <c r="AL834" i="1" s="1"/>
  <c r="AE836" i="1" a="1"/>
  <c r="Q835" i="1"/>
  <c r="AB835" i="1" s="1" a="1"/>
  <c r="AB835" i="1" s="1"/>
  <c r="Q836" i="1" a="1"/>
  <c r="Z835" i="1" a="1"/>
  <c r="Z835" i="1" s="1"/>
  <c r="AE835" i="1"/>
  <c r="AM834" i="1" s="1" a="1"/>
  <c r="AM834" i="1" s="1"/>
  <c r="X835" i="1" l="1" a="1"/>
  <c r="X835" i="1" s="1"/>
  <c r="Y835" i="1" s="1"/>
  <c r="AA835" i="1"/>
  <c r="AK835" i="1" a="1"/>
  <c r="AK835" i="1" s="1"/>
  <c r="AL835" i="1" s="1"/>
  <c r="AE837" i="1" a="1"/>
  <c r="Q836" i="1"/>
  <c r="X836" i="1" s="1" a="1"/>
  <c r="X836" i="1" s="1"/>
  <c r="Y836" i="1" s="1"/>
  <c r="Q837" i="1" a="1"/>
  <c r="AE836" i="1"/>
  <c r="AK836" i="1" s="1" a="1"/>
  <c r="AK836" i="1" s="1"/>
  <c r="AL836" i="1" s="1"/>
  <c r="AB836" i="1" l="1" a="1"/>
  <c r="AB836" i="1" s="1"/>
  <c r="Z836" i="1" a="1"/>
  <c r="Z836" i="1" s="1"/>
  <c r="AA836" i="1"/>
  <c r="AM835" i="1" a="1"/>
  <c r="AM835" i="1" s="1"/>
  <c r="AE838" i="1" a="1"/>
  <c r="Q837" i="1"/>
  <c r="AB837" i="1" s="1" a="1"/>
  <c r="AB837" i="1" s="1"/>
  <c r="Q838" i="1" a="1"/>
  <c r="AE837" i="1"/>
  <c r="AK837" i="1" s="1" a="1"/>
  <c r="AK837" i="1" s="1"/>
  <c r="AL837" i="1" s="1"/>
  <c r="AM836" i="1" l="1" a="1"/>
  <c r="AM836" i="1" s="1"/>
  <c r="X837" i="1" a="1"/>
  <c r="X837" i="1" s="1"/>
  <c r="Y837" i="1" s="1"/>
  <c r="AA837" i="1"/>
  <c r="Z837" i="1" a="1"/>
  <c r="Z837" i="1" s="1"/>
  <c r="AE839" i="1" a="1"/>
  <c r="Q838" i="1"/>
  <c r="AB838" i="1" s="1" a="1"/>
  <c r="AB838" i="1" s="1"/>
  <c r="Q839" i="1" a="1"/>
  <c r="AE838" i="1"/>
  <c r="AM837" i="1" s="1" a="1"/>
  <c r="AM837" i="1" s="1"/>
  <c r="Z838" i="1" l="1" a="1"/>
  <c r="Z838" i="1" s="1"/>
  <c r="X838" i="1" a="1"/>
  <c r="X838" i="1" s="1"/>
  <c r="Y838" i="1" s="1"/>
  <c r="AA838" i="1"/>
  <c r="AK838" i="1" a="1"/>
  <c r="AK838" i="1" s="1"/>
  <c r="AL838" i="1" s="1"/>
  <c r="AE840" i="1" a="1"/>
  <c r="Q839" i="1"/>
  <c r="AB839" i="1" s="1" a="1"/>
  <c r="AB839" i="1" s="1"/>
  <c r="Q840" i="1" a="1"/>
  <c r="AE839" i="1"/>
  <c r="AM838" i="1" s="1" a="1"/>
  <c r="AM838" i="1" s="1"/>
  <c r="X839" i="1" l="1" a="1"/>
  <c r="X839" i="1" s="1"/>
  <c r="Y839" i="1" s="1"/>
  <c r="Z839" i="1" a="1"/>
  <c r="Z839" i="1" s="1"/>
  <c r="AA839" i="1"/>
  <c r="AK839" i="1" a="1"/>
  <c r="AK839" i="1" s="1"/>
  <c r="AL839" i="1" s="1"/>
  <c r="AE841" i="1" a="1"/>
  <c r="Q840" i="1"/>
  <c r="AB840" i="1" s="1" a="1"/>
  <c r="AB840" i="1" s="1"/>
  <c r="Q841" i="1" a="1"/>
  <c r="Z840" i="1" a="1"/>
  <c r="Z840" i="1" s="1"/>
  <c r="AE840" i="1"/>
  <c r="AM839" i="1" s="1" a="1"/>
  <c r="AM839" i="1" s="1"/>
  <c r="X840" i="1" l="1" a="1"/>
  <c r="X840" i="1" s="1"/>
  <c r="Y840" i="1" s="1"/>
  <c r="AA840" i="1"/>
  <c r="AK840" i="1" a="1"/>
  <c r="AK840" i="1" s="1"/>
  <c r="AL840" i="1" s="1"/>
  <c r="AE842" i="1" a="1"/>
  <c r="Q841" i="1"/>
  <c r="AB841" i="1" s="1" a="1"/>
  <c r="AB841" i="1" s="1"/>
  <c r="Q842" i="1" a="1"/>
  <c r="AE841" i="1"/>
  <c r="AM840" i="1" s="1" a="1"/>
  <c r="AM840" i="1" s="1"/>
  <c r="Z841" i="1" l="1" a="1"/>
  <c r="Z841" i="1" s="1"/>
  <c r="X841" i="1" a="1"/>
  <c r="X841" i="1" s="1"/>
  <c r="Y841" i="1" s="1"/>
  <c r="AA841" i="1"/>
  <c r="AK841" i="1" a="1"/>
  <c r="AK841" i="1" s="1"/>
  <c r="AL841" i="1" s="1"/>
  <c r="AE843" i="1" a="1"/>
  <c r="Q842" i="1"/>
  <c r="AB842" i="1" s="1" a="1"/>
  <c r="AB842" i="1" s="1"/>
  <c r="Q843" i="1" a="1"/>
  <c r="AE842" i="1"/>
  <c r="AK842" i="1" s="1" a="1"/>
  <c r="AK842" i="1" s="1"/>
  <c r="AL842" i="1" s="1"/>
  <c r="AM841" i="1" l="1" a="1"/>
  <c r="AM841" i="1" s="1"/>
  <c r="Z842" i="1" a="1"/>
  <c r="Z842" i="1" s="1"/>
  <c r="AA842" i="1"/>
  <c r="X842" i="1" a="1"/>
  <c r="X842" i="1" s="1"/>
  <c r="Y842" i="1" s="1"/>
  <c r="AE844" i="1" a="1"/>
  <c r="Q843" i="1"/>
  <c r="AB843" i="1" s="1" a="1"/>
  <c r="AB843" i="1" s="1"/>
  <c r="Q844" i="1" a="1"/>
  <c r="AE843" i="1"/>
  <c r="AM842" i="1" s="1" a="1"/>
  <c r="AM842" i="1" s="1"/>
  <c r="Z843" i="1" l="1" a="1"/>
  <c r="Z843" i="1" s="1"/>
  <c r="X843" i="1" a="1"/>
  <c r="X843" i="1" s="1"/>
  <c r="Y843" i="1" s="1"/>
  <c r="AA843" i="1"/>
  <c r="AK843" i="1" a="1"/>
  <c r="AK843" i="1" s="1"/>
  <c r="AL843" i="1" s="1"/>
  <c r="AE845" i="1" a="1"/>
  <c r="Q845" i="1" a="1"/>
  <c r="Q844" i="1"/>
  <c r="AB844" i="1" s="1" a="1"/>
  <c r="AB844" i="1" s="1"/>
  <c r="AE844" i="1"/>
  <c r="AM843" i="1" s="1" a="1"/>
  <c r="AM843" i="1" s="1"/>
  <c r="AK844" i="1" l="1" a="1"/>
  <c r="AK844" i="1" s="1"/>
  <c r="AL844" i="1" s="1"/>
  <c r="Z844" i="1" a="1"/>
  <c r="Z844" i="1" s="1"/>
  <c r="AA844" i="1"/>
  <c r="X844" i="1" a="1"/>
  <c r="X844" i="1" s="1"/>
  <c r="Y844" i="1" s="1"/>
  <c r="AE846" i="1" a="1"/>
  <c r="Q845" i="1"/>
  <c r="AB845" i="1" s="1" a="1"/>
  <c r="AB845" i="1" s="1"/>
  <c r="Q846" i="1" a="1"/>
  <c r="AE845" i="1"/>
  <c r="AK845" i="1" s="1" a="1"/>
  <c r="AK845" i="1" s="1"/>
  <c r="AL845" i="1" s="1"/>
  <c r="Z845" i="1" l="1" a="1"/>
  <c r="Z845" i="1" s="1"/>
  <c r="X845" i="1" a="1"/>
  <c r="X845" i="1" s="1"/>
  <c r="Y845" i="1" s="1"/>
  <c r="AA845" i="1"/>
  <c r="AM844" i="1" a="1"/>
  <c r="AM844" i="1" s="1"/>
  <c r="AE847" i="1" a="1"/>
  <c r="Q846" i="1"/>
  <c r="AB846" i="1" s="1" a="1"/>
  <c r="AB846" i="1" s="1"/>
  <c r="Q847" i="1" a="1"/>
  <c r="AE846" i="1"/>
  <c r="AM845" i="1" s="1" a="1"/>
  <c r="AM845" i="1" s="1"/>
  <c r="Z846" i="1" l="1" a="1"/>
  <c r="Z846" i="1" s="1"/>
  <c r="X846" i="1" a="1"/>
  <c r="X846" i="1" s="1"/>
  <c r="Y846" i="1" s="1"/>
  <c r="AA846" i="1"/>
  <c r="AK846" i="1" a="1"/>
  <c r="AK846" i="1" s="1"/>
  <c r="AL846" i="1" s="1"/>
  <c r="AE848" i="1" a="1"/>
  <c r="Q847" i="1"/>
  <c r="AB847" i="1" s="1" a="1"/>
  <c r="AB847" i="1" s="1"/>
  <c r="Q848" i="1" a="1"/>
  <c r="AE847" i="1"/>
  <c r="AK847" i="1" s="1" a="1"/>
  <c r="AK847" i="1" s="1"/>
  <c r="AL847" i="1" s="1"/>
  <c r="AM846" i="1" l="1" a="1"/>
  <c r="AM846" i="1" s="1"/>
  <c r="Z847" i="1" a="1"/>
  <c r="Z847" i="1" s="1"/>
  <c r="AA847" i="1"/>
  <c r="X847" i="1" a="1"/>
  <c r="X847" i="1" s="1"/>
  <c r="Y847" i="1" s="1"/>
  <c r="AE849" i="1" a="1"/>
  <c r="Q848" i="1"/>
  <c r="AB848" i="1" s="1" a="1"/>
  <c r="AB848" i="1" s="1"/>
  <c r="Q849" i="1" a="1"/>
  <c r="AE848" i="1"/>
  <c r="AM847" i="1" s="1" a="1"/>
  <c r="AM847" i="1" s="1"/>
  <c r="Z848" i="1" l="1" a="1"/>
  <c r="Z848" i="1" s="1"/>
  <c r="X848" i="1" a="1"/>
  <c r="X848" i="1" s="1"/>
  <c r="Y848" i="1" s="1"/>
  <c r="AA848" i="1"/>
  <c r="AK848" i="1" a="1"/>
  <c r="AK848" i="1" s="1"/>
  <c r="AL848" i="1" s="1"/>
  <c r="AE850" i="1" a="1"/>
  <c r="Q850" i="1" a="1"/>
  <c r="Q849" i="1"/>
  <c r="Z849" i="1" s="1" a="1"/>
  <c r="Z849" i="1" s="1"/>
  <c r="AE849" i="1"/>
  <c r="AM848" i="1" s="1" a="1"/>
  <c r="AM848" i="1" s="1"/>
  <c r="AB849" i="1" l="1" a="1"/>
  <c r="AB849" i="1" s="1"/>
  <c r="X849" i="1" a="1"/>
  <c r="X849" i="1" s="1"/>
  <c r="Y849" i="1" s="1"/>
  <c r="AA849" i="1"/>
  <c r="AK849" i="1" a="1"/>
  <c r="AK849" i="1" s="1"/>
  <c r="AL849" i="1" s="1"/>
  <c r="AE851" i="1" a="1"/>
  <c r="Q850" i="1"/>
  <c r="AB850" i="1" s="1" a="1"/>
  <c r="AB850" i="1" s="1"/>
  <c r="Q851" i="1" a="1"/>
  <c r="AE850" i="1"/>
  <c r="AM849" i="1" s="1" a="1"/>
  <c r="AM849" i="1" s="1"/>
  <c r="AK850" i="1" l="1" a="1"/>
  <c r="AK850" i="1" s="1"/>
  <c r="AL850" i="1" s="1"/>
  <c r="Z850" i="1" a="1"/>
  <c r="Z850" i="1" s="1"/>
  <c r="AA850" i="1"/>
  <c r="X850" i="1" a="1"/>
  <c r="X850" i="1" s="1"/>
  <c r="Y850" i="1" s="1"/>
  <c r="AE852" i="1" a="1"/>
  <c r="Q852" i="1" a="1"/>
  <c r="Q851" i="1"/>
  <c r="AB851" i="1" s="1" a="1"/>
  <c r="AB851" i="1" s="1"/>
  <c r="AE851" i="1"/>
  <c r="AK851" i="1" s="1" a="1"/>
  <c r="AK851" i="1" s="1"/>
  <c r="AL851" i="1" s="1"/>
  <c r="Z851" i="1" l="1" a="1"/>
  <c r="Z851" i="1" s="1"/>
  <c r="X851" i="1" a="1"/>
  <c r="X851" i="1" s="1"/>
  <c r="Y851" i="1" s="1"/>
  <c r="AA851" i="1"/>
  <c r="AM850" i="1" a="1"/>
  <c r="AM850" i="1" s="1"/>
  <c r="AE853" i="1" a="1"/>
  <c r="Q852" i="1"/>
  <c r="AB852" i="1" s="1" a="1"/>
  <c r="AB852" i="1" s="1"/>
  <c r="Q853" i="1" a="1"/>
  <c r="AE852" i="1"/>
  <c r="AK852" i="1" s="1" a="1"/>
  <c r="AK852" i="1" s="1"/>
  <c r="AL852" i="1" s="1"/>
  <c r="X852" i="1" l="1" a="1"/>
  <c r="X852" i="1" s="1"/>
  <c r="Y852" i="1" s="1"/>
  <c r="Z852" i="1" a="1"/>
  <c r="Z852" i="1" s="1"/>
  <c r="AA852" i="1"/>
  <c r="AM851" i="1" a="1"/>
  <c r="AM851" i="1" s="1"/>
  <c r="AE854" i="1" a="1"/>
  <c r="Q853" i="1"/>
  <c r="AB853" i="1" s="1" a="1"/>
  <c r="AB853" i="1" s="1"/>
  <c r="Q854" i="1" a="1"/>
  <c r="AE853" i="1"/>
  <c r="AM852" i="1" s="1" a="1"/>
  <c r="AM852" i="1" s="1"/>
  <c r="Z853" i="1" l="1" a="1"/>
  <c r="Z853" i="1" s="1"/>
  <c r="X853" i="1" a="1"/>
  <c r="X853" i="1" s="1"/>
  <c r="Y853" i="1" s="1"/>
  <c r="AA853" i="1"/>
  <c r="AK853" i="1" a="1"/>
  <c r="AK853" i="1" s="1"/>
  <c r="AL853" i="1" s="1"/>
  <c r="AE855" i="1" a="1"/>
  <c r="Q854" i="1"/>
  <c r="AB854" i="1" s="1" a="1"/>
  <c r="AB854" i="1" s="1"/>
  <c r="Q855" i="1" a="1"/>
  <c r="AE854" i="1"/>
  <c r="AM853" i="1" s="1" a="1"/>
  <c r="AM853" i="1" s="1"/>
  <c r="Z854" i="1" l="1" a="1"/>
  <c r="Z854" i="1" s="1"/>
  <c r="X854" i="1" a="1"/>
  <c r="X854" i="1" s="1"/>
  <c r="Y854" i="1" s="1"/>
  <c r="AA854" i="1"/>
  <c r="AK854" i="1" a="1"/>
  <c r="AK854" i="1" s="1"/>
  <c r="AL854" i="1" s="1"/>
  <c r="AE856" i="1" a="1"/>
  <c r="Q855" i="1"/>
  <c r="AB855" i="1" s="1" a="1"/>
  <c r="AB855" i="1" s="1"/>
  <c r="Q856" i="1" a="1"/>
  <c r="X855" i="1" a="1"/>
  <c r="X855" i="1" s="1"/>
  <c r="Y855" i="1" s="1"/>
  <c r="AE855" i="1"/>
  <c r="AM854" i="1" s="1" a="1"/>
  <c r="AM854" i="1" s="1"/>
  <c r="Z855" i="1" l="1" a="1"/>
  <c r="Z855" i="1" s="1"/>
  <c r="AA855" i="1"/>
  <c r="AK855" i="1" a="1"/>
  <c r="AK855" i="1" s="1"/>
  <c r="AL855" i="1" s="1"/>
  <c r="AE857" i="1" a="1"/>
  <c r="Q856" i="1"/>
  <c r="AB856" i="1" s="1" a="1"/>
  <c r="AB856" i="1" s="1"/>
  <c r="Q857" i="1" a="1"/>
  <c r="AE856" i="1"/>
  <c r="AK856" i="1" s="1" a="1"/>
  <c r="AK856" i="1" s="1"/>
  <c r="AL856" i="1" s="1"/>
  <c r="Z856" i="1" l="1" a="1"/>
  <c r="Z856" i="1" s="1"/>
  <c r="X856" i="1" a="1"/>
  <c r="X856" i="1" s="1"/>
  <c r="Y856" i="1" s="1"/>
  <c r="AA856" i="1"/>
  <c r="AM855" i="1" a="1"/>
  <c r="AM855" i="1" s="1"/>
  <c r="AE858" i="1" a="1"/>
  <c r="Q858" i="1" a="1"/>
  <c r="Q857" i="1"/>
  <c r="AB857" i="1" s="1" a="1"/>
  <c r="AB857" i="1" s="1"/>
  <c r="AE857" i="1"/>
  <c r="AK857" i="1" s="1" a="1"/>
  <c r="AK857" i="1" s="1"/>
  <c r="AL857" i="1" s="1"/>
  <c r="Z857" i="1" l="1" a="1"/>
  <c r="Z857" i="1" s="1"/>
  <c r="X857" i="1" a="1"/>
  <c r="X857" i="1" s="1"/>
  <c r="Y857" i="1" s="1"/>
  <c r="AA857" i="1"/>
  <c r="AM856" i="1" a="1"/>
  <c r="AM856" i="1" s="1"/>
  <c r="AE859" i="1" a="1"/>
  <c r="Q859" i="1" a="1"/>
  <c r="Q858" i="1"/>
  <c r="AB858" i="1" s="1" a="1"/>
  <c r="AB858" i="1" s="1"/>
  <c r="AE858" i="1"/>
  <c r="AK858" i="1" s="1" a="1"/>
  <c r="AK858" i="1" s="1"/>
  <c r="AL858" i="1" s="1"/>
  <c r="X858" i="1" l="1" a="1"/>
  <c r="X858" i="1" s="1"/>
  <c r="Y858" i="1" s="1"/>
  <c r="Z858" i="1" a="1"/>
  <c r="Z858" i="1" s="1"/>
  <c r="AA858" i="1"/>
  <c r="AM857" i="1" a="1"/>
  <c r="AM857" i="1" s="1"/>
  <c r="AE860" i="1" a="1"/>
  <c r="Q859" i="1"/>
  <c r="AB859" i="1" s="1" a="1"/>
  <c r="AB859" i="1" s="1"/>
  <c r="Q860" i="1" a="1"/>
  <c r="AE859" i="1"/>
  <c r="AM858" i="1" s="1" a="1"/>
  <c r="AM858" i="1" s="1"/>
  <c r="Z859" i="1" l="1" a="1"/>
  <c r="Z859" i="1" s="1"/>
  <c r="X859" i="1" a="1"/>
  <c r="X859" i="1" s="1"/>
  <c r="Y859" i="1" s="1"/>
  <c r="AA859" i="1"/>
  <c r="AK859" i="1" a="1"/>
  <c r="AK859" i="1" s="1"/>
  <c r="AL859" i="1" s="1"/>
  <c r="AE861" i="1" a="1"/>
  <c r="Q860" i="1"/>
  <c r="AB860" i="1" s="1" a="1"/>
  <c r="AB860" i="1" s="1"/>
  <c r="Q861" i="1" a="1"/>
  <c r="AE860" i="1"/>
  <c r="AM859" i="1" s="1" a="1"/>
  <c r="AM859" i="1" s="1"/>
  <c r="X860" i="1" l="1" a="1"/>
  <c r="X860" i="1" s="1"/>
  <c r="Y860" i="1" s="1"/>
  <c r="Z860" i="1" a="1"/>
  <c r="Z860" i="1" s="1"/>
  <c r="AA860" i="1"/>
  <c r="AK860" i="1" a="1"/>
  <c r="AK860" i="1" s="1"/>
  <c r="AL860" i="1" s="1"/>
  <c r="AE862" i="1" a="1"/>
  <c r="Q861" i="1"/>
  <c r="AB861" i="1" s="1" a="1"/>
  <c r="AB861" i="1" s="1"/>
  <c r="Q862" i="1" a="1"/>
  <c r="AE861" i="1"/>
  <c r="AM860" i="1" s="1" a="1"/>
  <c r="AM860" i="1" s="1"/>
  <c r="Z861" i="1" l="1" a="1"/>
  <c r="Z861" i="1" s="1"/>
  <c r="X861" i="1" a="1"/>
  <c r="X861" i="1" s="1"/>
  <c r="Y861" i="1" s="1"/>
  <c r="AA861" i="1"/>
  <c r="AK861" i="1" a="1"/>
  <c r="AK861" i="1" s="1"/>
  <c r="AL861" i="1" s="1"/>
  <c r="AE863" i="1" a="1"/>
  <c r="Q862" i="1"/>
  <c r="AB862" i="1" s="1" a="1"/>
  <c r="AB862" i="1" s="1"/>
  <c r="Q863" i="1" a="1"/>
  <c r="AE862" i="1"/>
  <c r="AM861" i="1" s="1" a="1"/>
  <c r="AM861" i="1" s="1"/>
  <c r="Z862" i="1" l="1" a="1"/>
  <c r="Z862" i="1" s="1"/>
  <c r="X862" i="1" a="1"/>
  <c r="X862" i="1" s="1"/>
  <c r="Y862" i="1" s="1"/>
  <c r="AA862" i="1"/>
  <c r="AK862" i="1" a="1"/>
  <c r="AK862" i="1" s="1"/>
  <c r="AL862" i="1" s="1"/>
  <c r="AE864" i="1" a="1"/>
  <c r="Q863" i="1"/>
  <c r="AB863" i="1" s="1" a="1"/>
  <c r="AB863" i="1" s="1"/>
  <c r="Q864" i="1" a="1"/>
  <c r="X863" i="1" a="1"/>
  <c r="X863" i="1" s="1"/>
  <c r="Y863" i="1" s="1"/>
  <c r="AE863" i="1"/>
  <c r="AM862" i="1" s="1" a="1"/>
  <c r="AM862" i="1" s="1"/>
  <c r="Z863" i="1" l="1" a="1"/>
  <c r="Z863" i="1" s="1"/>
  <c r="AA863" i="1"/>
  <c r="AK863" i="1" a="1"/>
  <c r="AK863" i="1" s="1"/>
  <c r="AL863" i="1" s="1"/>
  <c r="AE865" i="1" a="1"/>
  <c r="Q864" i="1"/>
  <c r="AB864" i="1" s="1" a="1"/>
  <c r="AB864" i="1" s="1"/>
  <c r="Q865" i="1" a="1"/>
  <c r="AE864" i="1"/>
  <c r="AK864" i="1" s="1" a="1"/>
  <c r="AK864" i="1" s="1"/>
  <c r="AL864" i="1" s="1"/>
  <c r="Z864" i="1" l="1" a="1"/>
  <c r="Z864" i="1" s="1"/>
  <c r="X864" i="1" a="1"/>
  <c r="X864" i="1" s="1"/>
  <c r="Y864" i="1" s="1"/>
  <c r="AA864" i="1"/>
  <c r="AM863" i="1" a="1"/>
  <c r="AM863" i="1" s="1"/>
  <c r="AE866" i="1" a="1"/>
  <c r="Q866" i="1" a="1"/>
  <c r="Q865" i="1"/>
  <c r="AB865" i="1" s="1" a="1"/>
  <c r="AB865" i="1" s="1"/>
  <c r="AE865" i="1"/>
  <c r="AK865" i="1" s="1" a="1"/>
  <c r="AK865" i="1" s="1"/>
  <c r="AL865" i="1" s="1"/>
  <c r="Z865" i="1" l="1" a="1"/>
  <c r="Z865" i="1" s="1"/>
  <c r="X865" i="1" a="1"/>
  <c r="X865" i="1" s="1"/>
  <c r="Y865" i="1" s="1"/>
  <c r="AA865" i="1"/>
  <c r="AM864" i="1" a="1"/>
  <c r="AM864" i="1" s="1"/>
  <c r="AE867" i="1" a="1"/>
  <c r="Q867" i="1" a="1"/>
  <c r="Q866" i="1"/>
  <c r="AB866" i="1" s="1" a="1"/>
  <c r="AB866" i="1" s="1"/>
  <c r="AE866" i="1"/>
  <c r="AK866" i="1" s="1" a="1"/>
  <c r="AK866" i="1" s="1"/>
  <c r="AL866" i="1" s="1"/>
  <c r="X866" i="1" l="1" a="1"/>
  <c r="X866" i="1" s="1"/>
  <c r="Y866" i="1" s="1"/>
  <c r="Z866" i="1" a="1"/>
  <c r="Z866" i="1" s="1"/>
  <c r="AA866" i="1"/>
  <c r="AM865" i="1" a="1"/>
  <c r="AM865" i="1" s="1"/>
  <c r="AE868" i="1" a="1"/>
  <c r="Q868" i="1" a="1"/>
  <c r="Q867" i="1"/>
  <c r="AB867" i="1" s="1" a="1"/>
  <c r="AB867" i="1" s="1"/>
  <c r="Z867" i="1" a="1"/>
  <c r="Z867" i="1" s="1"/>
  <c r="AE867" i="1"/>
  <c r="AK867" i="1" s="1" a="1"/>
  <c r="AK867" i="1" s="1"/>
  <c r="AL867" i="1" s="1"/>
  <c r="X867" i="1" l="1" a="1"/>
  <c r="X867" i="1" s="1"/>
  <c r="Y867" i="1" s="1"/>
  <c r="AA867" i="1"/>
  <c r="AM866" i="1" a="1"/>
  <c r="AM866" i="1" s="1"/>
  <c r="AE869" i="1" a="1"/>
  <c r="Q868" i="1"/>
  <c r="AB868" i="1" s="1" a="1"/>
  <c r="AB868" i="1" s="1"/>
  <c r="Q869" i="1" a="1"/>
  <c r="AE868" i="1"/>
  <c r="AK868" i="1" s="1" a="1"/>
  <c r="AK868" i="1" s="1"/>
  <c r="AL868" i="1" s="1"/>
  <c r="AM867" i="1" l="1" a="1"/>
  <c r="AM867" i="1" s="1"/>
  <c r="Z868" i="1" a="1"/>
  <c r="Z868" i="1" s="1"/>
  <c r="AA868" i="1"/>
  <c r="X868" i="1" a="1"/>
  <c r="X868" i="1" s="1"/>
  <c r="Y868" i="1" s="1"/>
  <c r="AE870" i="1" a="1"/>
  <c r="Q870" i="1" a="1"/>
  <c r="Q869" i="1"/>
  <c r="AB869" i="1" s="1" a="1"/>
  <c r="AB869" i="1" s="1"/>
  <c r="AE869" i="1"/>
  <c r="AM868" i="1" s="1" a="1"/>
  <c r="AM868" i="1" s="1"/>
  <c r="Z869" i="1" l="1" a="1"/>
  <c r="Z869" i="1" s="1"/>
  <c r="X869" i="1" a="1"/>
  <c r="X869" i="1" s="1"/>
  <c r="Y869" i="1" s="1"/>
  <c r="AA869" i="1"/>
  <c r="AK869" i="1" a="1"/>
  <c r="AK869" i="1" s="1"/>
  <c r="AL869" i="1" s="1"/>
  <c r="AE871" i="1" a="1"/>
  <c r="Q870" i="1"/>
  <c r="AB870" i="1" s="1" a="1"/>
  <c r="AB870" i="1" s="1"/>
  <c r="Q871" i="1" a="1"/>
  <c r="AE870" i="1"/>
  <c r="AM869" i="1" s="1" a="1"/>
  <c r="AM869" i="1" s="1"/>
  <c r="Z870" i="1" l="1" a="1"/>
  <c r="Z870" i="1" s="1"/>
  <c r="X870" i="1" a="1"/>
  <c r="X870" i="1" s="1"/>
  <c r="Y870" i="1" s="1"/>
  <c r="AA870" i="1"/>
  <c r="AK870" i="1" a="1"/>
  <c r="AK870" i="1" s="1"/>
  <c r="AL870" i="1" s="1"/>
  <c r="AE872" i="1" a="1"/>
  <c r="Q871" i="1"/>
  <c r="AB871" i="1" s="1" a="1"/>
  <c r="AB871" i="1" s="1"/>
  <c r="Q872" i="1" a="1"/>
  <c r="AE871" i="1"/>
  <c r="AK871" i="1" s="1" a="1"/>
  <c r="AK871" i="1" s="1"/>
  <c r="AL871" i="1" s="1"/>
  <c r="X871" i="1" l="1" a="1"/>
  <c r="X871" i="1" s="1"/>
  <c r="Y871" i="1" s="1"/>
  <c r="Z871" i="1" a="1"/>
  <c r="Z871" i="1" s="1"/>
  <c r="AA871" i="1"/>
  <c r="AM870" i="1" a="1"/>
  <c r="AM870" i="1" s="1"/>
  <c r="AE873" i="1" a="1"/>
  <c r="Q873" i="1" a="1"/>
  <c r="Q872" i="1"/>
  <c r="X872" i="1" s="1" a="1"/>
  <c r="X872" i="1" s="1"/>
  <c r="Y872" i="1" s="1"/>
  <c r="AE872" i="1"/>
  <c r="AK872" i="1" s="1" a="1"/>
  <c r="AK872" i="1" s="1"/>
  <c r="AL872" i="1" s="1"/>
  <c r="AB872" i="1" l="1" a="1"/>
  <c r="AB872" i="1" s="1"/>
  <c r="Z872" i="1" a="1"/>
  <c r="Z872" i="1" s="1"/>
  <c r="AA872" i="1"/>
  <c r="AM871" i="1" a="1"/>
  <c r="AM871" i="1" s="1"/>
  <c r="AE874" i="1" a="1"/>
  <c r="Q873" i="1"/>
  <c r="AB873" i="1" s="1" a="1"/>
  <c r="AB873" i="1" s="1"/>
  <c r="Q874" i="1" a="1"/>
  <c r="AE873" i="1"/>
  <c r="AK873" i="1" s="1" a="1"/>
  <c r="AK873" i="1" s="1"/>
  <c r="AL873" i="1" s="1"/>
  <c r="Z873" i="1" l="1" a="1"/>
  <c r="Z873" i="1" s="1"/>
  <c r="X873" i="1" a="1"/>
  <c r="X873" i="1" s="1"/>
  <c r="Y873" i="1" s="1"/>
  <c r="AA873" i="1"/>
  <c r="AM872" i="1" a="1"/>
  <c r="AM872" i="1" s="1"/>
  <c r="AE875" i="1" a="1"/>
  <c r="Q874" i="1"/>
  <c r="AB874" i="1" s="1" a="1"/>
  <c r="AB874" i="1" s="1"/>
  <c r="Q875" i="1" a="1"/>
  <c r="AE874" i="1"/>
  <c r="AK874" i="1" s="1" a="1"/>
  <c r="AK874" i="1" s="1"/>
  <c r="AL874" i="1" s="1"/>
  <c r="X874" i="1" l="1" a="1"/>
  <c r="X874" i="1" s="1"/>
  <c r="Y874" i="1" s="1"/>
  <c r="Z874" i="1" a="1"/>
  <c r="Z874" i="1" s="1"/>
  <c r="AA874" i="1"/>
  <c r="AM873" i="1" a="1"/>
  <c r="AM873" i="1" s="1"/>
  <c r="AE876" i="1" a="1"/>
  <c r="Q875" i="1"/>
  <c r="AB875" i="1" s="1" a="1"/>
  <c r="AB875" i="1" s="1"/>
  <c r="Q876" i="1" a="1"/>
  <c r="AE875" i="1"/>
  <c r="AK875" i="1" s="1" a="1"/>
  <c r="AK875" i="1" s="1"/>
  <c r="AL875" i="1" s="1"/>
  <c r="Z875" i="1" l="1" a="1"/>
  <c r="Z875" i="1" s="1"/>
  <c r="X875" i="1" a="1"/>
  <c r="X875" i="1" s="1"/>
  <c r="Y875" i="1" s="1"/>
  <c r="AA875" i="1"/>
  <c r="AM874" i="1" a="1"/>
  <c r="AM874" i="1" s="1"/>
  <c r="AE877" i="1" a="1"/>
  <c r="Q876" i="1"/>
  <c r="AB876" i="1" s="1" a="1"/>
  <c r="AB876" i="1" s="1"/>
  <c r="Q877" i="1" a="1"/>
  <c r="AE876" i="1"/>
  <c r="AK876" i="1" s="1" a="1"/>
  <c r="AK876" i="1" s="1"/>
  <c r="AL876" i="1" s="1"/>
  <c r="X876" i="1" l="1" a="1"/>
  <c r="X876" i="1" s="1"/>
  <c r="Y876" i="1" s="1"/>
  <c r="Z876" i="1" a="1"/>
  <c r="Z876" i="1" s="1"/>
  <c r="AA876" i="1"/>
  <c r="AM875" i="1" a="1"/>
  <c r="AM875" i="1" s="1"/>
  <c r="AE878" i="1" a="1"/>
  <c r="Q877" i="1"/>
  <c r="AB877" i="1" s="1" a="1"/>
  <c r="AB877" i="1" s="1"/>
  <c r="Q878" i="1" a="1"/>
  <c r="AE877" i="1"/>
  <c r="AM876" i="1" s="1" a="1"/>
  <c r="AM876" i="1" s="1"/>
  <c r="X877" i="1" l="1" a="1"/>
  <c r="X877" i="1" s="1"/>
  <c r="Y877" i="1" s="1"/>
  <c r="Z877" i="1" a="1"/>
  <c r="Z877" i="1" s="1"/>
  <c r="AA877" i="1"/>
  <c r="AK877" i="1" a="1"/>
  <c r="AK877" i="1" s="1"/>
  <c r="AL877" i="1" s="1"/>
  <c r="AE879" i="1" a="1"/>
  <c r="Q878" i="1"/>
  <c r="AB878" i="1" s="1" a="1"/>
  <c r="AB878" i="1" s="1"/>
  <c r="Q879" i="1" a="1"/>
  <c r="AE878" i="1"/>
  <c r="AK878" i="1" s="1" a="1"/>
  <c r="AK878" i="1" s="1"/>
  <c r="AL878" i="1" s="1"/>
  <c r="Z878" i="1" l="1" a="1"/>
  <c r="Z878" i="1" s="1"/>
  <c r="X878" i="1" a="1"/>
  <c r="X878" i="1" s="1"/>
  <c r="Y878" i="1" s="1"/>
  <c r="AA878" i="1"/>
  <c r="AM877" i="1" a="1"/>
  <c r="AM877" i="1" s="1"/>
  <c r="AE880" i="1" a="1"/>
  <c r="Q879" i="1"/>
  <c r="AB879" i="1" s="1" a="1"/>
  <c r="AB879" i="1" s="1"/>
  <c r="Q880" i="1" a="1"/>
  <c r="AE879" i="1"/>
  <c r="AK879" i="1" s="1" a="1"/>
  <c r="AK879" i="1" s="1"/>
  <c r="AL879" i="1" s="1"/>
  <c r="X879" i="1" l="1" a="1"/>
  <c r="X879" i="1" s="1"/>
  <c r="Y879" i="1" s="1"/>
  <c r="Z879" i="1" a="1"/>
  <c r="Z879" i="1" s="1"/>
  <c r="AA879" i="1"/>
  <c r="AM878" i="1" a="1"/>
  <c r="AM878" i="1" s="1"/>
  <c r="AE881" i="1" a="1"/>
  <c r="Q881" i="1" a="1"/>
  <c r="Q880" i="1"/>
  <c r="AB880" i="1" s="1" a="1"/>
  <c r="AB880" i="1" s="1"/>
  <c r="AE880" i="1"/>
  <c r="AM879" i="1" s="1" a="1"/>
  <c r="AM879" i="1" s="1"/>
  <c r="AK880" i="1" l="1" a="1"/>
  <c r="AK880" i="1" s="1"/>
  <c r="AL880" i="1" s="1"/>
  <c r="Z880" i="1" a="1"/>
  <c r="Z880" i="1" s="1"/>
  <c r="AA880" i="1"/>
  <c r="X880" i="1" a="1"/>
  <c r="X880" i="1" s="1"/>
  <c r="Y880" i="1" s="1"/>
  <c r="AE882" i="1" a="1"/>
  <c r="Q882" i="1" a="1"/>
  <c r="Q881" i="1"/>
  <c r="Z881" i="1" s="1" a="1"/>
  <c r="Z881" i="1" s="1"/>
  <c r="AE881" i="1"/>
  <c r="AM880" i="1" s="1" a="1"/>
  <c r="AM880" i="1" s="1"/>
  <c r="AB881" i="1" l="1" a="1"/>
  <c r="AB881" i="1" s="1"/>
  <c r="X881" i="1" a="1"/>
  <c r="X881" i="1" s="1"/>
  <c r="Y881" i="1" s="1"/>
  <c r="AA881" i="1"/>
  <c r="AK881" i="1" a="1"/>
  <c r="AK881" i="1" s="1"/>
  <c r="AL881" i="1" s="1"/>
  <c r="AE883" i="1" a="1"/>
  <c r="Q883" i="1" a="1"/>
  <c r="Q882" i="1"/>
  <c r="AB882" i="1" s="1" a="1"/>
  <c r="AB882" i="1" s="1"/>
  <c r="AE882" i="1"/>
  <c r="AK882" i="1" s="1" a="1"/>
  <c r="AK882" i="1" s="1"/>
  <c r="AL882" i="1" s="1"/>
  <c r="AM881" i="1" l="1" a="1"/>
  <c r="AM881" i="1" s="1"/>
  <c r="Z882" i="1" a="1"/>
  <c r="Z882" i="1" s="1"/>
  <c r="AA882" i="1"/>
  <c r="X882" i="1" a="1"/>
  <c r="X882" i="1" s="1"/>
  <c r="Y882" i="1" s="1"/>
  <c r="AE884" i="1" a="1"/>
  <c r="Q883" i="1"/>
  <c r="AB883" i="1" s="1" a="1"/>
  <c r="AB883" i="1" s="1"/>
  <c r="Q884" i="1" a="1"/>
  <c r="AE883" i="1"/>
  <c r="AM882" i="1" s="1" a="1"/>
  <c r="AM882" i="1" s="1"/>
  <c r="Z883" i="1" l="1" a="1"/>
  <c r="Z883" i="1" s="1"/>
  <c r="X883" i="1" a="1"/>
  <c r="X883" i="1" s="1"/>
  <c r="Y883" i="1" s="1"/>
  <c r="AA883" i="1"/>
  <c r="AK883" i="1" a="1"/>
  <c r="AK883" i="1" s="1"/>
  <c r="AL883" i="1" s="1"/>
  <c r="AE885" i="1" a="1"/>
  <c r="Q884" i="1"/>
  <c r="AB884" i="1" s="1" a="1"/>
  <c r="AB884" i="1" s="1"/>
  <c r="Q885" i="1" a="1"/>
  <c r="AE884" i="1"/>
  <c r="AM883" i="1" s="1" a="1"/>
  <c r="AM883" i="1" s="1"/>
  <c r="X884" i="1" l="1" a="1"/>
  <c r="X884" i="1" s="1"/>
  <c r="Y884" i="1" s="1"/>
  <c r="Z884" i="1" a="1"/>
  <c r="Z884" i="1" s="1"/>
  <c r="AA884" i="1"/>
  <c r="AK884" i="1" a="1"/>
  <c r="AK884" i="1" s="1"/>
  <c r="AL884" i="1" s="1"/>
  <c r="AE886" i="1" a="1"/>
  <c r="Q885" i="1"/>
  <c r="AB885" i="1" s="1" a="1"/>
  <c r="AB885" i="1" s="1"/>
  <c r="Q886" i="1" a="1"/>
  <c r="AE885" i="1"/>
  <c r="AK885" i="1" s="1" a="1"/>
  <c r="AK885" i="1" s="1"/>
  <c r="AL885" i="1" s="1"/>
  <c r="Z885" i="1" l="1" a="1"/>
  <c r="Z885" i="1" s="1"/>
  <c r="AA885" i="1"/>
  <c r="X885" i="1" a="1"/>
  <c r="X885" i="1" s="1"/>
  <c r="Y885" i="1" s="1"/>
  <c r="AM884" i="1" a="1"/>
  <c r="AM884" i="1" s="1"/>
  <c r="AE887" i="1" a="1"/>
  <c r="Q887" i="1" a="1"/>
  <c r="Q886" i="1"/>
  <c r="AB886" i="1" s="1" a="1"/>
  <c r="AB886" i="1" s="1"/>
  <c r="AE886" i="1"/>
  <c r="AK886" i="1" s="1" a="1"/>
  <c r="AK886" i="1" s="1"/>
  <c r="AL886" i="1" s="1"/>
  <c r="Z886" i="1" l="1" a="1"/>
  <c r="Z886" i="1" s="1"/>
  <c r="X886" i="1" a="1"/>
  <c r="X886" i="1" s="1"/>
  <c r="Y886" i="1" s="1"/>
  <c r="AA886" i="1"/>
  <c r="AM885" i="1" a="1"/>
  <c r="AM885" i="1" s="1"/>
  <c r="AE888" i="1" a="1"/>
  <c r="Q887" i="1"/>
  <c r="X887" i="1" s="1" a="1"/>
  <c r="X887" i="1" s="1"/>
  <c r="Y887" i="1" s="1"/>
  <c r="Q888" i="1" a="1"/>
  <c r="AE887" i="1"/>
  <c r="AM886" i="1" s="1" a="1"/>
  <c r="AM886" i="1" s="1"/>
  <c r="AB887" i="1" l="1" a="1"/>
  <c r="AB887" i="1" s="1"/>
  <c r="Z887" i="1" a="1"/>
  <c r="Z887" i="1" s="1"/>
  <c r="AA887" i="1"/>
  <c r="AK887" i="1" a="1"/>
  <c r="AK887" i="1" s="1"/>
  <c r="AL887" i="1" s="1"/>
  <c r="AE889" i="1" a="1"/>
  <c r="Q888" i="1"/>
  <c r="AB888" i="1" s="1" a="1"/>
  <c r="AB888" i="1" s="1"/>
  <c r="Q889" i="1" a="1"/>
  <c r="AE888" i="1"/>
  <c r="AM887" i="1" s="1" a="1"/>
  <c r="AM887" i="1" s="1"/>
  <c r="X888" i="1" l="1" a="1"/>
  <c r="X888" i="1" s="1"/>
  <c r="Y888" i="1" s="1"/>
  <c r="Z888" i="1" a="1"/>
  <c r="Z888" i="1" s="1"/>
  <c r="AA888" i="1"/>
  <c r="AK888" i="1" a="1"/>
  <c r="AK888" i="1" s="1"/>
  <c r="AL888" i="1" s="1"/>
  <c r="AE890" i="1" a="1"/>
  <c r="Q889" i="1"/>
  <c r="AB889" i="1" s="1" a="1"/>
  <c r="AB889" i="1" s="1"/>
  <c r="Q890" i="1" a="1"/>
  <c r="AE889" i="1"/>
  <c r="AM888" i="1" s="1" a="1"/>
  <c r="AM888" i="1" s="1"/>
  <c r="Z889" i="1" l="1" a="1"/>
  <c r="Z889" i="1" s="1"/>
  <c r="X889" i="1" a="1"/>
  <c r="X889" i="1" s="1"/>
  <c r="Y889" i="1" s="1"/>
  <c r="AA889" i="1"/>
  <c r="AK889" i="1" a="1"/>
  <c r="AK889" i="1" s="1"/>
  <c r="AL889" i="1" s="1"/>
  <c r="AE891" i="1" a="1"/>
  <c r="Q891" i="1" a="1"/>
  <c r="Q890" i="1"/>
  <c r="AB890" i="1" s="1" a="1"/>
  <c r="AB890" i="1" s="1"/>
  <c r="AE890" i="1"/>
  <c r="AM889" i="1" s="1" a="1"/>
  <c r="AM889" i="1" s="1"/>
  <c r="X890" i="1" l="1" a="1"/>
  <c r="X890" i="1" s="1"/>
  <c r="Y890" i="1" s="1"/>
  <c r="Z890" i="1" a="1"/>
  <c r="Z890" i="1" s="1"/>
  <c r="AA890" i="1"/>
  <c r="AK890" i="1" a="1"/>
  <c r="AK890" i="1" s="1"/>
  <c r="AL890" i="1" s="1"/>
  <c r="AE892" i="1" a="1"/>
  <c r="Q891" i="1"/>
  <c r="AB891" i="1" s="1" a="1"/>
  <c r="AB891" i="1" s="1"/>
  <c r="Q892" i="1" a="1"/>
  <c r="AE891" i="1"/>
  <c r="AM890" i="1" s="1" a="1"/>
  <c r="AM890" i="1" s="1"/>
  <c r="Z891" i="1" l="1" a="1"/>
  <c r="Z891" i="1" s="1"/>
  <c r="X891" i="1" a="1"/>
  <c r="X891" i="1" s="1"/>
  <c r="Y891" i="1" s="1"/>
  <c r="AA891" i="1"/>
  <c r="AK891" i="1" a="1"/>
  <c r="AK891" i="1" s="1"/>
  <c r="AL891" i="1" s="1"/>
  <c r="AE893" i="1" a="1"/>
  <c r="Q892" i="1"/>
  <c r="AB892" i="1" s="1" a="1"/>
  <c r="AB892" i="1" s="1"/>
  <c r="Q893" i="1" a="1"/>
  <c r="AE892" i="1"/>
  <c r="AK892" i="1" s="1" a="1"/>
  <c r="AK892" i="1" s="1"/>
  <c r="AL892" i="1" s="1"/>
  <c r="X892" i="1" l="1" a="1"/>
  <c r="X892" i="1" s="1"/>
  <c r="Y892" i="1" s="1"/>
  <c r="Z892" i="1" a="1"/>
  <c r="Z892" i="1" s="1"/>
  <c r="AA892" i="1"/>
  <c r="AM891" i="1" a="1"/>
  <c r="AM891" i="1" s="1"/>
  <c r="AE894" i="1" a="1"/>
  <c r="Q894" i="1" a="1"/>
  <c r="Q893" i="1"/>
  <c r="AB893" i="1" s="1" a="1"/>
  <c r="AB893" i="1" s="1"/>
  <c r="AE893" i="1"/>
  <c r="AK893" i="1" s="1" a="1"/>
  <c r="AK893" i="1" s="1"/>
  <c r="AL893" i="1" s="1"/>
  <c r="X893" i="1" l="1" a="1"/>
  <c r="X893" i="1" s="1"/>
  <c r="Y893" i="1" s="1"/>
  <c r="Z893" i="1" a="1"/>
  <c r="Z893" i="1" s="1"/>
  <c r="AA893" i="1"/>
  <c r="AM892" i="1" a="1"/>
  <c r="AM892" i="1" s="1"/>
  <c r="AE895" i="1" a="1"/>
  <c r="Q894" i="1"/>
  <c r="AB894" i="1" s="1" a="1"/>
  <c r="AB894" i="1" s="1"/>
  <c r="Q895" i="1" a="1"/>
  <c r="AE894" i="1"/>
  <c r="AK894" i="1" s="1" a="1"/>
  <c r="AK894" i="1" s="1"/>
  <c r="AL894" i="1" s="1"/>
  <c r="Z894" i="1" l="1" a="1"/>
  <c r="Z894" i="1" s="1"/>
  <c r="X894" i="1" a="1"/>
  <c r="X894" i="1" s="1"/>
  <c r="Y894" i="1" s="1"/>
  <c r="AA894" i="1"/>
  <c r="AM893" i="1" a="1"/>
  <c r="AM893" i="1" s="1"/>
  <c r="AE896" i="1" a="1"/>
  <c r="Q896" i="1" a="1"/>
  <c r="Q895" i="1"/>
  <c r="X895" i="1" s="1" a="1"/>
  <c r="X895" i="1" s="1"/>
  <c r="Y895" i="1" s="1"/>
  <c r="AE895" i="1"/>
  <c r="AM894" i="1" s="1" a="1"/>
  <c r="AM894" i="1" s="1"/>
  <c r="AB895" i="1" l="1" a="1"/>
  <c r="AB895" i="1" s="1"/>
  <c r="Z895" i="1" a="1"/>
  <c r="Z895" i="1" s="1"/>
  <c r="AA895" i="1"/>
  <c r="AK895" i="1" a="1"/>
  <c r="AK895" i="1" s="1"/>
  <c r="AL895" i="1" s="1"/>
  <c r="AE897" i="1" a="1"/>
  <c r="Q896" i="1"/>
  <c r="AB896" i="1" s="1" a="1"/>
  <c r="AB896" i="1" s="1"/>
  <c r="Q897" i="1" a="1"/>
  <c r="AE896" i="1"/>
  <c r="AM895" i="1" s="1" a="1"/>
  <c r="AM895" i="1" s="1"/>
  <c r="Z896" i="1" l="1" a="1"/>
  <c r="Z896" i="1" s="1"/>
  <c r="X896" i="1" a="1"/>
  <c r="X896" i="1" s="1"/>
  <c r="Y896" i="1" s="1"/>
  <c r="AA896" i="1"/>
  <c r="AK896" i="1" a="1"/>
  <c r="AK896" i="1" s="1"/>
  <c r="AL896" i="1" s="1"/>
  <c r="AE898" i="1" a="1"/>
  <c r="Q897" i="1"/>
  <c r="AB897" i="1" s="1" a="1"/>
  <c r="AB897" i="1" s="1"/>
  <c r="Q898" i="1" a="1"/>
  <c r="AE897" i="1"/>
  <c r="AM896" i="1" s="1" a="1"/>
  <c r="AM896" i="1" s="1"/>
  <c r="X897" i="1" l="1" a="1"/>
  <c r="X897" i="1" s="1"/>
  <c r="Y897" i="1" s="1"/>
  <c r="AA897" i="1"/>
  <c r="Z897" i="1" a="1"/>
  <c r="Z897" i="1" s="1"/>
  <c r="AK897" i="1" a="1"/>
  <c r="AK897" i="1" s="1"/>
  <c r="AL897" i="1" s="1"/>
  <c r="AE899" i="1" a="1"/>
  <c r="Q898" i="1"/>
  <c r="AB898" i="1" s="1" a="1"/>
  <c r="AB898" i="1" s="1"/>
  <c r="Q899" i="1" a="1"/>
  <c r="AE898" i="1"/>
  <c r="AM897" i="1" s="1" a="1"/>
  <c r="AM897" i="1" s="1"/>
  <c r="X898" i="1" l="1" a="1"/>
  <c r="X898" i="1" s="1"/>
  <c r="Y898" i="1" s="1"/>
  <c r="Z898" i="1" a="1"/>
  <c r="Z898" i="1" s="1"/>
  <c r="AA898" i="1"/>
  <c r="AK898" i="1" a="1"/>
  <c r="AK898" i="1" s="1"/>
  <c r="AL898" i="1" s="1"/>
  <c r="AE900" i="1" a="1"/>
  <c r="Q899" i="1"/>
  <c r="AB899" i="1" s="1" a="1"/>
  <c r="AB899" i="1" s="1"/>
  <c r="Q900" i="1" a="1"/>
  <c r="AE899" i="1"/>
  <c r="AM898" i="1" s="1" a="1"/>
  <c r="AM898" i="1" s="1"/>
  <c r="Z899" i="1" l="1" a="1"/>
  <c r="Z899" i="1" s="1"/>
  <c r="X899" i="1" a="1"/>
  <c r="X899" i="1" s="1"/>
  <c r="Y899" i="1" s="1"/>
  <c r="AA899" i="1"/>
  <c r="AK899" i="1" a="1"/>
  <c r="AK899" i="1" s="1"/>
  <c r="AL899" i="1" s="1"/>
  <c r="AE901" i="1" a="1"/>
  <c r="Q900" i="1"/>
  <c r="AB900" i="1" s="1" a="1"/>
  <c r="AB900" i="1" s="1"/>
  <c r="Q901" i="1" a="1"/>
  <c r="AE900" i="1"/>
  <c r="AK900" i="1" s="1" a="1"/>
  <c r="AK900" i="1" s="1"/>
  <c r="AL900" i="1" s="1"/>
  <c r="X900" i="1" l="1" a="1"/>
  <c r="X900" i="1" s="1"/>
  <c r="Y900" i="1" s="1"/>
  <c r="Z900" i="1" a="1"/>
  <c r="Z900" i="1" s="1"/>
  <c r="AA900" i="1"/>
  <c r="AM899" i="1" a="1"/>
  <c r="AM899" i="1" s="1"/>
  <c r="AE902" i="1" a="1"/>
  <c r="Q902" i="1" a="1"/>
  <c r="Q901" i="1"/>
  <c r="AB901" i="1" s="1" a="1"/>
  <c r="AB901" i="1" s="1"/>
  <c r="AE901" i="1"/>
  <c r="AK901" i="1" s="1" a="1"/>
  <c r="AK901" i="1" s="1"/>
  <c r="AL901" i="1" s="1"/>
  <c r="Z901" i="1" l="1" a="1"/>
  <c r="Z901" i="1" s="1"/>
  <c r="X901" i="1" a="1"/>
  <c r="X901" i="1" s="1"/>
  <c r="Y901" i="1" s="1"/>
  <c r="AA901" i="1"/>
  <c r="AM900" i="1" a="1"/>
  <c r="AM900" i="1" s="1"/>
  <c r="AE903" i="1" a="1"/>
  <c r="Q902" i="1"/>
  <c r="AB902" i="1" s="1" a="1"/>
  <c r="AB902" i="1" s="1"/>
  <c r="Q903" i="1" a="1"/>
  <c r="AE902" i="1"/>
  <c r="AK902" i="1" s="1" a="1"/>
  <c r="AK902" i="1" s="1"/>
  <c r="AL902" i="1" s="1"/>
  <c r="Z902" i="1" l="1" a="1"/>
  <c r="Z902" i="1" s="1"/>
  <c r="X902" i="1" a="1"/>
  <c r="X902" i="1" s="1"/>
  <c r="Y902" i="1" s="1"/>
  <c r="AA902" i="1"/>
  <c r="AM901" i="1" a="1"/>
  <c r="AM901" i="1" s="1"/>
  <c r="AE904" i="1" a="1"/>
  <c r="Q903" i="1"/>
  <c r="AB903" i="1" s="1" a="1"/>
  <c r="AB903" i="1" s="1"/>
  <c r="Q904" i="1" a="1"/>
  <c r="AE903" i="1"/>
  <c r="AM902" i="1" s="1" a="1"/>
  <c r="AM902" i="1" s="1"/>
  <c r="X903" i="1" l="1" a="1"/>
  <c r="X903" i="1" s="1"/>
  <c r="Y903" i="1" s="1"/>
  <c r="Z903" i="1" a="1"/>
  <c r="Z903" i="1" s="1"/>
  <c r="AA903" i="1"/>
  <c r="AK903" i="1" a="1"/>
  <c r="AK903" i="1" s="1"/>
  <c r="AL903" i="1" s="1"/>
  <c r="AE905" i="1" a="1"/>
  <c r="Q904" i="1"/>
  <c r="AB904" i="1" s="1" a="1"/>
  <c r="AB904" i="1" s="1"/>
  <c r="Q905" i="1" a="1"/>
  <c r="AE904" i="1"/>
  <c r="AM903" i="1" s="1" a="1"/>
  <c r="AM903" i="1" s="1"/>
  <c r="Z904" i="1" l="1" a="1"/>
  <c r="Z904" i="1" s="1"/>
  <c r="X904" i="1" a="1"/>
  <c r="X904" i="1" s="1"/>
  <c r="Y904" i="1" s="1"/>
  <c r="AA904" i="1"/>
  <c r="AK904" i="1" a="1"/>
  <c r="AK904" i="1" s="1"/>
  <c r="AL904" i="1" s="1"/>
  <c r="AE906" i="1" a="1"/>
  <c r="Q905" i="1"/>
  <c r="AB905" i="1" s="1" a="1"/>
  <c r="AB905" i="1" s="1"/>
  <c r="Q906" i="1" a="1"/>
  <c r="AE905" i="1"/>
  <c r="AM904" i="1" s="1" a="1"/>
  <c r="AM904" i="1" s="1"/>
  <c r="Z905" i="1" l="1" a="1"/>
  <c r="Z905" i="1" s="1"/>
  <c r="X905" i="1" a="1"/>
  <c r="X905" i="1" s="1"/>
  <c r="Y905" i="1" s="1"/>
  <c r="AA905" i="1"/>
  <c r="AK905" i="1" a="1"/>
  <c r="AK905" i="1" s="1"/>
  <c r="AL905" i="1" s="1"/>
  <c r="AE907" i="1" a="1"/>
  <c r="Q907" i="1" a="1"/>
  <c r="Q906" i="1"/>
  <c r="X906" i="1" s="1" a="1"/>
  <c r="X906" i="1" s="1"/>
  <c r="Y906" i="1" s="1"/>
  <c r="AE906" i="1"/>
  <c r="AM905" i="1" s="1" a="1"/>
  <c r="AM905" i="1" s="1"/>
  <c r="AB906" i="1" l="1" a="1"/>
  <c r="AB906" i="1" s="1"/>
  <c r="Z906" i="1" a="1"/>
  <c r="Z906" i="1" s="1"/>
  <c r="AA906" i="1"/>
  <c r="AK906" i="1" a="1"/>
  <c r="AK906" i="1" s="1"/>
  <c r="AL906" i="1" s="1"/>
  <c r="AE908" i="1" a="1"/>
  <c r="Q907" i="1"/>
  <c r="AB907" i="1" s="1" a="1"/>
  <c r="AB907" i="1" s="1"/>
  <c r="Q908" i="1" a="1"/>
  <c r="AE907" i="1"/>
  <c r="AM906" i="1" s="1" a="1"/>
  <c r="AM906" i="1" s="1"/>
  <c r="Z907" i="1" l="1" a="1"/>
  <c r="Z907" i="1" s="1"/>
  <c r="X907" i="1" a="1"/>
  <c r="X907" i="1" s="1"/>
  <c r="Y907" i="1" s="1"/>
  <c r="AA907" i="1"/>
  <c r="AK907" i="1" a="1"/>
  <c r="AK907" i="1" s="1"/>
  <c r="AL907" i="1" s="1"/>
  <c r="AE909" i="1" a="1"/>
  <c r="Q908" i="1"/>
  <c r="AB908" i="1" s="1" a="1"/>
  <c r="AB908" i="1" s="1"/>
  <c r="Q909" i="1" a="1"/>
  <c r="AE908" i="1"/>
  <c r="AK908" i="1" s="1" a="1"/>
  <c r="AK908" i="1" s="1"/>
  <c r="AL908" i="1" s="1"/>
  <c r="X908" i="1" l="1" a="1"/>
  <c r="X908" i="1" s="1"/>
  <c r="Y908" i="1" s="1"/>
  <c r="Z908" i="1" a="1"/>
  <c r="Z908" i="1" s="1"/>
  <c r="AA908" i="1"/>
  <c r="AM907" i="1" a="1"/>
  <c r="AM907" i="1" s="1"/>
  <c r="AE910" i="1" a="1"/>
  <c r="Q909" i="1"/>
  <c r="AB909" i="1" s="1" a="1"/>
  <c r="AB909" i="1" s="1"/>
  <c r="Q910" i="1" a="1"/>
  <c r="AE909" i="1"/>
  <c r="AK909" i="1" s="1" a="1"/>
  <c r="AK909" i="1" s="1"/>
  <c r="AL909" i="1" s="1"/>
  <c r="Z909" i="1" l="1" a="1"/>
  <c r="Z909" i="1" s="1"/>
  <c r="X909" i="1" a="1"/>
  <c r="X909" i="1" s="1"/>
  <c r="Y909" i="1" s="1"/>
  <c r="AA909" i="1"/>
  <c r="AM908" i="1" a="1"/>
  <c r="AM908" i="1" s="1"/>
  <c r="AE911" i="1" a="1"/>
  <c r="Q910" i="1"/>
  <c r="AB910" i="1" s="1" a="1"/>
  <c r="AB910" i="1" s="1"/>
  <c r="Q911" i="1" a="1"/>
  <c r="AE910" i="1"/>
  <c r="AK910" i="1" s="1" a="1"/>
  <c r="AK910" i="1" s="1"/>
  <c r="AL910" i="1" s="1"/>
  <c r="Z910" i="1" l="1" a="1"/>
  <c r="Z910" i="1" s="1"/>
  <c r="X910" i="1" a="1"/>
  <c r="X910" i="1" s="1"/>
  <c r="Y910" i="1" s="1"/>
  <c r="AA910" i="1"/>
  <c r="AM909" i="1" a="1"/>
  <c r="AM909" i="1" s="1"/>
  <c r="AE912" i="1" a="1"/>
  <c r="Q911" i="1"/>
  <c r="AB911" i="1" s="1" a="1"/>
  <c r="AB911" i="1" s="1"/>
  <c r="Q912" i="1" a="1"/>
  <c r="AE911" i="1"/>
  <c r="AM910" i="1" s="1" a="1"/>
  <c r="AM910" i="1" s="1"/>
  <c r="X911" i="1" l="1" a="1"/>
  <c r="X911" i="1" s="1"/>
  <c r="Y911" i="1" s="1"/>
  <c r="Z911" i="1" a="1"/>
  <c r="Z911" i="1" s="1"/>
  <c r="AA911" i="1"/>
  <c r="AK911" i="1" a="1"/>
  <c r="AK911" i="1" s="1"/>
  <c r="AL911" i="1" s="1"/>
  <c r="AE913" i="1" a="1"/>
  <c r="Q912" i="1"/>
  <c r="AB912" i="1" s="1" a="1"/>
  <c r="AB912" i="1" s="1"/>
  <c r="Q913" i="1" a="1"/>
  <c r="AE912" i="1"/>
  <c r="AM911" i="1" s="1" a="1"/>
  <c r="AM911" i="1" s="1"/>
  <c r="Z912" i="1" l="1" a="1"/>
  <c r="Z912" i="1" s="1"/>
  <c r="X912" i="1" a="1"/>
  <c r="X912" i="1" s="1"/>
  <c r="Y912" i="1" s="1"/>
  <c r="AA912" i="1"/>
  <c r="AK912" i="1" a="1"/>
  <c r="AK912" i="1" s="1"/>
  <c r="AL912" i="1" s="1"/>
  <c r="AE914" i="1" a="1"/>
  <c r="Q913" i="1"/>
  <c r="AB913" i="1" s="1" a="1"/>
  <c r="AB913" i="1" s="1"/>
  <c r="Q914" i="1" a="1"/>
  <c r="AE913" i="1"/>
  <c r="AM912" i="1" s="1" a="1"/>
  <c r="AM912" i="1" s="1"/>
  <c r="Z913" i="1" l="1" a="1"/>
  <c r="Z913" i="1" s="1"/>
  <c r="X913" i="1" a="1"/>
  <c r="X913" i="1" s="1"/>
  <c r="Y913" i="1" s="1"/>
  <c r="AA913" i="1"/>
  <c r="AK913" i="1" a="1"/>
  <c r="AK913" i="1" s="1"/>
  <c r="AL913" i="1" s="1"/>
  <c r="AE915" i="1" a="1"/>
  <c r="Q914" i="1"/>
  <c r="AB914" i="1" s="1" a="1"/>
  <c r="AB914" i="1" s="1"/>
  <c r="Q915" i="1" a="1"/>
  <c r="AE914" i="1"/>
  <c r="AM913" i="1" s="1" a="1"/>
  <c r="AM913" i="1" s="1"/>
  <c r="X914" i="1" l="1" a="1"/>
  <c r="X914" i="1" s="1"/>
  <c r="Y914" i="1" s="1"/>
  <c r="Z914" i="1" a="1"/>
  <c r="Z914" i="1" s="1"/>
  <c r="AA914" i="1"/>
  <c r="AK914" i="1" a="1"/>
  <c r="AK914" i="1" s="1"/>
  <c r="AL914" i="1" s="1"/>
  <c r="AE916" i="1" a="1"/>
  <c r="Q915" i="1"/>
  <c r="AB915" i="1" s="1" a="1"/>
  <c r="AB915" i="1" s="1"/>
  <c r="Q916" i="1" a="1"/>
  <c r="AE915" i="1"/>
  <c r="AK915" i="1" s="1" a="1"/>
  <c r="AK915" i="1" s="1"/>
  <c r="AL915" i="1" s="1"/>
  <c r="Z915" i="1" l="1" a="1"/>
  <c r="Z915" i="1" s="1"/>
  <c r="X915" i="1" a="1"/>
  <c r="X915" i="1" s="1"/>
  <c r="Y915" i="1" s="1"/>
  <c r="AA915" i="1"/>
  <c r="AM914" i="1" a="1"/>
  <c r="AM914" i="1" s="1"/>
  <c r="AE917" i="1" a="1"/>
  <c r="Q916" i="1"/>
  <c r="AB916" i="1" s="1" a="1"/>
  <c r="AB916" i="1" s="1"/>
  <c r="Q917" i="1" a="1"/>
  <c r="AE916" i="1"/>
  <c r="AK916" i="1" s="1" a="1"/>
  <c r="AK916" i="1" s="1"/>
  <c r="AL916" i="1" s="1"/>
  <c r="X916" i="1" l="1" a="1"/>
  <c r="X916" i="1" s="1"/>
  <c r="Y916" i="1" s="1"/>
  <c r="Z916" i="1" a="1"/>
  <c r="Z916" i="1" s="1"/>
  <c r="AA916" i="1"/>
  <c r="AM915" i="1" a="1"/>
  <c r="AM915" i="1" s="1"/>
  <c r="AE918" i="1" a="1"/>
  <c r="Q917" i="1"/>
  <c r="AB917" i="1" s="1" a="1"/>
  <c r="AB917" i="1" s="1"/>
  <c r="Q918" i="1" a="1"/>
  <c r="AE917" i="1"/>
  <c r="AM916" i="1" s="1" a="1"/>
  <c r="AM916" i="1" s="1"/>
  <c r="AK917" i="1" l="1" a="1"/>
  <c r="AK917" i="1" s="1"/>
  <c r="AL917" i="1" s="1"/>
  <c r="X917" i="1" a="1"/>
  <c r="X917" i="1" s="1"/>
  <c r="Y917" i="1" s="1"/>
  <c r="AA917" i="1"/>
  <c r="Z917" i="1" a="1"/>
  <c r="Z917" i="1" s="1"/>
  <c r="AE919" i="1" a="1"/>
  <c r="Q918" i="1"/>
  <c r="AB918" i="1" s="1" a="1"/>
  <c r="AB918" i="1" s="1"/>
  <c r="Q919" i="1" a="1"/>
  <c r="AE918" i="1"/>
  <c r="AK918" i="1" s="1" a="1"/>
  <c r="AK918" i="1" s="1"/>
  <c r="AL918" i="1" s="1"/>
  <c r="Z918" i="1" l="1" a="1"/>
  <c r="Z918" i="1" s="1"/>
  <c r="X918" i="1" a="1"/>
  <c r="X918" i="1" s="1"/>
  <c r="Y918" i="1" s="1"/>
  <c r="AA918" i="1"/>
  <c r="AM917" i="1" a="1"/>
  <c r="AM917" i="1" s="1"/>
  <c r="AE920" i="1" a="1"/>
  <c r="Q919" i="1"/>
  <c r="AB919" i="1" s="1" a="1"/>
  <c r="AB919" i="1" s="1"/>
  <c r="Q920" i="1" a="1"/>
  <c r="X919" i="1" a="1"/>
  <c r="X919" i="1" s="1"/>
  <c r="Y919" i="1" s="1"/>
  <c r="AE919" i="1"/>
  <c r="AM918" i="1" s="1" a="1"/>
  <c r="AM918" i="1" s="1"/>
  <c r="Z919" i="1" l="1" a="1"/>
  <c r="Z919" i="1" s="1"/>
  <c r="AA919" i="1"/>
  <c r="AK919" i="1" a="1"/>
  <c r="AK919" i="1" s="1"/>
  <c r="AL919" i="1" s="1"/>
  <c r="AE921" i="1" a="1"/>
  <c r="Q920" i="1"/>
  <c r="AB920" i="1" s="1" a="1"/>
  <c r="AB920" i="1" s="1"/>
  <c r="Q921" i="1" a="1"/>
  <c r="AE920" i="1"/>
  <c r="AK920" i="1" s="1" a="1"/>
  <c r="AK920" i="1" s="1"/>
  <c r="AL920" i="1" s="1"/>
  <c r="Z920" i="1" l="1" a="1"/>
  <c r="Z920" i="1" s="1"/>
  <c r="X920" i="1" a="1"/>
  <c r="X920" i="1" s="1"/>
  <c r="Y920" i="1" s="1"/>
  <c r="AA920" i="1"/>
  <c r="AM919" i="1" a="1"/>
  <c r="AM919" i="1" s="1"/>
  <c r="AE922" i="1" a="1"/>
  <c r="Q921" i="1"/>
  <c r="AB921" i="1" s="1" a="1"/>
  <c r="AB921" i="1" s="1"/>
  <c r="Q922" i="1" a="1"/>
  <c r="Z921" i="1" a="1"/>
  <c r="Z921" i="1" s="1"/>
  <c r="AE921" i="1"/>
  <c r="AM920" i="1" s="1" a="1"/>
  <c r="AM920" i="1" s="1"/>
  <c r="X921" i="1" l="1" a="1"/>
  <c r="X921" i="1" s="1"/>
  <c r="Y921" i="1" s="1"/>
  <c r="AA921" i="1"/>
  <c r="AK921" i="1" a="1"/>
  <c r="AK921" i="1" s="1"/>
  <c r="AL921" i="1" s="1"/>
  <c r="AE923" i="1" a="1"/>
  <c r="Q922" i="1"/>
  <c r="AB922" i="1" s="1" a="1"/>
  <c r="AB922" i="1" s="1"/>
  <c r="Q923" i="1" a="1"/>
  <c r="AE922" i="1"/>
  <c r="AM921" i="1" s="1" a="1"/>
  <c r="AM921" i="1" s="1"/>
  <c r="X922" i="1" l="1" a="1"/>
  <c r="X922" i="1" s="1"/>
  <c r="Y922" i="1" s="1"/>
  <c r="Z922" i="1" a="1"/>
  <c r="Z922" i="1" s="1"/>
  <c r="AA922" i="1"/>
  <c r="AK922" i="1" a="1"/>
  <c r="AK922" i="1" s="1"/>
  <c r="AL922" i="1" s="1"/>
  <c r="AE924" i="1" a="1"/>
  <c r="Q923" i="1"/>
  <c r="AB923" i="1" s="1" a="1"/>
  <c r="AB923" i="1" s="1"/>
  <c r="Q924" i="1" a="1"/>
  <c r="AE923" i="1"/>
  <c r="AK923" i="1" s="1" a="1"/>
  <c r="AK923" i="1" s="1"/>
  <c r="AL923" i="1" s="1"/>
  <c r="Z923" i="1" l="1" a="1"/>
  <c r="Z923" i="1" s="1"/>
  <c r="X923" i="1" a="1"/>
  <c r="X923" i="1" s="1"/>
  <c r="Y923" i="1" s="1"/>
  <c r="AA923" i="1"/>
  <c r="AM922" i="1" a="1"/>
  <c r="AM922" i="1" s="1"/>
  <c r="AE925" i="1" a="1"/>
  <c r="Q924" i="1"/>
  <c r="AB924" i="1" s="1" a="1"/>
  <c r="AB924" i="1" s="1"/>
  <c r="Q925" i="1" a="1"/>
  <c r="AE924" i="1"/>
  <c r="AM923" i="1" s="1" a="1"/>
  <c r="AM923" i="1" s="1"/>
  <c r="X924" i="1" l="1" a="1"/>
  <c r="X924" i="1" s="1"/>
  <c r="Y924" i="1" s="1"/>
  <c r="Z924" i="1" a="1"/>
  <c r="Z924" i="1" s="1"/>
  <c r="AA924" i="1"/>
  <c r="AK924" i="1" a="1"/>
  <c r="AK924" i="1" s="1"/>
  <c r="AL924" i="1" s="1"/>
  <c r="AE926" i="1" a="1"/>
  <c r="Q925" i="1"/>
  <c r="AB925" i="1" s="1" a="1"/>
  <c r="AB925" i="1" s="1"/>
  <c r="Q926" i="1" a="1"/>
  <c r="Z925" i="1" a="1"/>
  <c r="Z925" i="1" s="1"/>
  <c r="AE925" i="1"/>
  <c r="AM924" i="1" s="1" a="1"/>
  <c r="AM924" i="1" s="1"/>
  <c r="X925" i="1" l="1" a="1"/>
  <c r="X925" i="1" s="1"/>
  <c r="Y925" i="1" s="1"/>
  <c r="AA925" i="1"/>
  <c r="AK925" i="1" a="1"/>
  <c r="AK925" i="1" s="1"/>
  <c r="AL925" i="1" s="1"/>
  <c r="AE927" i="1" a="1"/>
  <c r="Q926" i="1"/>
  <c r="AB926" i="1" s="1" a="1"/>
  <c r="AB926" i="1" s="1"/>
  <c r="Q927" i="1" a="1"/>
  <c r="AE926" i="1"/>
  <c r="AM925" i="1" s="1" a="1"/>
  <c r="AM925" i="1" s="1"/>
  <c r="Z926" i="1" l="1" a="1"/>
  <c r="Z926" i="1" s="1"/>
  <c r="X926" i="1" a="1"/>
  <c r="X926" i="1" s="1"/>
  <c r="Y926" i="1" s="1"/>
  <c r="AA926" i="1"/>
  <c r="AK926" i="1" a="1"/>
  <c r="AK926" i="1" s="1"/>
  <c r="AL926" i="1" s="1"/>
  <c r="AE928" i="1" a="1"/>
  <c r="Q927" i="1"/>
  <c r="AB927" i="1" s="1" a="1"/>
  <c r="AB927" i="1" s="1"/>
  <c r="Q928" i="1" a="1"/>
  <c r="AE927" i="1"/>
  <c r="AM926" i="1" s="1" a="1"/>
  <c r="AM926" i="1" s="1"/>
  <c r="X927" i="1" l="1" a="1"/>
  <c r="X927" i="1" s="1"/>
  <c r="Y927" i="1" s="1"/>
  <c r="Z927" i="1" a="1"/>
  <c r="Z927" i="1" s="1"/>
  <c r="AA927" i="1"/>
  <c r="AK927" i="1" a="1"/>
  <c r="AK927" i="1" s="1"/>
  <c r="AL927" i="1" s="1"/>
  <c r="AE929" i="1" a="1"/>
  <c r="Q928" i="1"/>
  <c r="AB928" i="1" s="1" a="1"/>
  <c r="AB928" i="1" s="1"/>
  <c r="Q929" i="1" a="1"/>
  <c r="AE928" i="1"/>
  <c r="AK928" i="1" s="1" a="1"/>
  <c r="AK928" i="1" s="1"/>
  <c r="AL928" i="1" s="1"/>
  <c r="X928" i="1" l="1" a="1"/>
  <c r="X928" i="1" s="1"/>
  <c r="Y928" i="1" s="1"/>
  <c r="Z928" i="1" a="1"/>
  <c r="Z928" i="1" s="1"/>
  <c r="AA928" i="1"/>
  <c r="AM927" i="1" a="1"/>
  <c r="AM927" i="1" s="1"/>
  <c r="AE930" i="1" a="1"/>
  <c r="Q929" i="1"/>
  <c r="AB929" i="1" s="1" a="1"/>
  <c r="AB929" i="1" s="1"/>
  <c r="Q930" i="1" a="1"/>
  <c r="AE929" i="1"/>
  <c r="AM928" i="1" s="1" a="1"/>
  <c r="AM928" i="1" s="1"/>
  <c r="AK929" i="1" l="1" a="1"/>
  <c r="AK929" i="1" s="1"/>
  <c r="AL929" i="1" s="1"/>
  <c r="X929" i="1" a="1"/>
  <c r="X929" i="1" s="1"/>
  <c r="Y929" i="1" s="1"/>
  <c r="AA929" i="1"/>
  <c r="Z929" i="1" a="1"/>
  <c r="Z929" i="1" s="1"/>
  <c r="AE931" i="1" a="1"/>
  <c r="Q930" i="1"/>
  <c r="AB930" i="1" s="1" a="1"/>
  <c r="AB930" i="1" s="1"/>
  <c r="Q931" i="1" a="1"/>
  <c r="AE930" i="1"/>
  <c r="AM929" i="1" s="1" a="1"/>
  <c r="AM929" i="1" s="1"/>
  <c r="X930" i="1" l="1" a="1"/>
  <c r="X930" i="1" s="1"/>
  <c r="Y930" i="1" s="1"/>
  <c r="Z930" i="1" a="1"/>
  <c r="Z930" i="1" s="1"/>
  <c r="AA930" i="1"/>
  <c r="AK930" i="1" a="1"/>
  <c r="AK930" i="1" s="1"/>
  <c r="AL930" i="1" s="1"/>
  <c r="AE932" i="1" a="1"/>
  <c r="Q931" i="1"/>
  <c r="AB931" i="1" s="1" a="1"/>
  <c r="AB931" i="1" s="1"/>
  <c r="Q932" i="1" a="1"/>
  <c r="AE931" i="1"/>
  <c r="AK931" i="1" s="1" a="1"/>
  <c r="AK931" i="1" s="1"/>
  <c r="AL931" i="1" s="1"/>
  <c r="Z931" i="1" l="1" a="1"/>
  <c r="Z931" i="1" s="1"/>
  <c r="X931" i="1" a="1"/>
  <c r="X931" i="1" s="1"/>
  <c r="Y931" i="1" s="1"/>
  <c r="AA931" i="1"/>
  <c r="AM930" i="1" a="1"/>
  <c r="AM930" i="1" s="1"/>
  <c r="AE933" i="1" a="1"/>
  <c r="Q932" i="1"/>
  <c r="AB932" i="1" s="1" a="1"/>
  <c r="AB932" i="1" s="1"/>
  <c r="Q933" i="1" a="1"/>
  <c r="AE932" i="1"/>
  <c r="AK932" i="1" s="1" a="1"/>
  <c r="AK932" i="1" s="1"/>
  <c r="AL932" i="1" s="1"/>
  <c r="X932" i="1" l="1" a="1"/>
  <c r="X932" i="1" s="1"/>
  <c r="Y932" i="1" s="1"/>
  <c r="Z932" i="1" a="1"/>
  <c r="Z932" i="1" s="1"/>
  <c r="AA932" i="1"/>
  <c r="AM931" i="1" a="1"/>
  <c r="AM931" i="1" s="1"/>
  <c r="AE934" i="1" a="1"/>
  <c r="Q933" i="1"/>
  <c r="AB933" i="1" s="1" a="1"/>
  <c r="AB933" i="1" s="1"/>
  <c r="Q934" i="1" a="1"/>
  <c r="AE933" i="1"/>
  <c r="AK933" i="1" s="1" a="1"/>
  <c r="AK933" i="1" s="1"/>
  <c r="AL933" i="1" s="1"/>
  <c r="X933" i="1" l="1" a="1"/>
  <c r="X933" i="1" s="1"/>
  <c r="Y933" i="1" s="1"/>
  <c r="Z933" i="1" a="1"/>
  <c r="Z933" i="1" s="1"/>
  <c r="AA933" i="1"/>
  <c r="AM932" i="1" a="1"/>
  <c r="AM932" i="1" s="1"/>
  <c r="AE935" i="1" a="1"/>
  <c r="Q935" i="1" a="1"/>
  <c r="Q934" i="1"/>
  <c r="Z934" i="1" s="1" a="1"/>
  <c r="Z934" i="1" s="1"/>
  <c r="AE934" i="1"/>
  <c r="AM933" i="1" s="1" a="1"/>
  <c r="AM933" i="1" s="1"/>
  <c r="AB934" i="1" l="1" a="1"/>
  <c r="AB934" i="1" s="1"/>
  <c r="X934" i="1" a="1"/>
  <c r="X934" i="1" s="1"/>
  <c r="Y934" i="1" s="1"/>
  <c r="AA934" i="1"/>
  <c r="AK934" i="1" a="1"/>
  <c r="AK934" i="1" s="1"/>
  <c r="AL934" i="1" s="1"/>
  <c r="AE936" i="1" a="1"/>
  <c r="Q935" i="1"/>
  <c r="AB935" i="1" s="1" a="1"/>
  <c r="AB935" i="1" s="1"/>
  <c r="Q936" i="1" a="1"/>
  <c r="AE935" i="1"/>
  <c r="AM934" i="1" s="1" a="1"/>
  <c r="AM934" i="1" s="1"/>
  <c r="X935" i="1" l="1" a="1"/>
  <c r="X935" i="1" s="1"/>
  <c r="Y935" i="1" s="1"/>
  <c r="Z935" i="1" a="1"/>
  <c r="Z935" i="1" s="1"/>
  <c r="AA935" i="1"/>
  <c r="AK935" i="1" a="1"/>
  <c r="AK935" i="1" s="1"/>
  <c r="AL935" i="1" s="1"/>
  <c r="AE937" i="1" a="1"/>
  <c r="Q937" i="1" a="1"/>
  <c r="Q936" i="1"/>
  <c r="AB936" i="1" s="1" a="1"/>
  <c r="AB936" i="1" s="1"/>
  <c r="AE936" i="1"/>
  <c r="AK936" i="1" s="1" a="1"/>
  <c r="AK936" i="1" s="1"/>
  <c r="AL936" i="1" s="1"/>
  <c r="AM935" i="1" l="1" a="1"/>
  <c r="AM935" i="1" s="1"/>
  <c r="Z936" i="1" a="1"/>
  <c r="Z936" i="1" s="1"/>
  <c r="AA936" i="1"/>
  <c r="X936" i="1" a="1"/>
  <c r="X936" i="1" s="1"/>
  <c r="Y936" i="1" s="1"/>
  <c r="AE938" i="1" a="1"/>
  <c r="Q937" i="1"/>
  <c r="Z937" i="1" s="1" a="1"/>
  <c r="Z937" i="1" s="1"/>
  <c r="Q938" i="1" a="1"/>
  <c r="AE937" i="1"/>
  <c r="AM936" i="1" s="1" a="1"/>
  <c r="AM936" i="1" s="1"/>
  <c r="AB937" i="1" l="1" a="1"/>
  <c r="AB937" i="1" s="1"/>
  <c r="X937" i="1" a="1"/>
  <c r="X937" i="1" s="1"/>
  <c r="Y937" i="1" s="1"/>
  <c r="AA937" i="1"/>
  <c r="AK937" i="1" a="1"/>
  <c r="AK937" i="1" s="1"/>
  <c r="AL937" i="1" s="1"/>
  <c r="AE939" i="1" a="1"/>
  <c r="Q938" i="1"/>
  <c r="AB938" i="1" s="1" a="1"/>
  <c r="AB938" i="1" s="1"/>
  <c r="Q939" i="1" a="1"/>
  <c r="AE938" i="1"/>
  <c r="AK938" i="1" s="1" a="1"/>
  <c r="AK938" i="1" s="1"/>
  <c r="AL938" i="1" s="1"/>
  <c r="X938" i="1" l="1" a="1"/>
  <c r="X938" i="1" s="1"/>
  <c r="Y938" i="1" s="1"/>
  <c r="Z938" i="1" a="1"/>
  <c r="Z938" i="1" s="1"/>
  <c r="AA938" i="1"/>
  <c r="AM937" i="1" a="1"/>
  <c r="AM937" i="1" s="1"/>
  <c r="AE940" i="1" a="1"/>
  <c r="Q939" i="1"/>
  <c r="AB939" i="1" s="1" a="1"/>
  <c r="AB939" i="1" s="1"/>
  <c r="Q940" i="1" a="1"/>
  <c r="AE939" i="1"/>
  <c r="AK939" i="1" s="1" a="1"/>
  <c r="AK939" i="1" s="1"/>
  <c r="AL939" i="1" s="1"/>
  <c r="Z939" i="1" l="1" a="1"/>
  <c r="Z939" i="1" s="1"/>
  <c r="X939" i="1" a="1"/>
  <c r="X939" i="1" s="1"/>
  <c r="Y939" i="1" s="1"/>
  <c r="AA939" i="1"/>
  <c r="AM938" i="1" a="1"/>
  <c r="AM938" i="1" s="1"/>
  <c r="AE941" i="1" a="1"/>
  <c r="Q941" i="1" a="1"/>
  <c r="Q940" i="1"/>
  <c r="AB940" i="1" s="1" a="1"/>
  <c r="AB940" i="1" s="1"/>
  <c r="AE940" i="1"/>
  <c r="AM939" i="1" s="1" a="1"/>
  <c r="AM939" i="1" s="1"/>
  <c r="AK940" i="1" l="1" a="1"/>
  <c r="AK940" i="1" s="1"/>
  <c r="AL940" i="1" s="1"/>
  <c r="Z940" i="1" a="1"/>
  <c r="Z940" i="1" s="1"/>
  <c r="AA940" i="1"/>
  <c r="X940" i="1" a="1"/>
  <c r="X940" i="1" s="1"/>
  <c r="Y940" i="1" s="1"/>
  <c r="AE941" i="1"/>
  <c r="AK941" i="1" s="1" a="1"/>
  <c r="AK941" i="1" s="1"/>
  <c r="AL941" i="1" s="1"/>
  <c r="AE942" i="1" a="1"/>
  <c r="Q942" i="1" a="1"/>
  <c r="Q941" i="1"/>
  <c r="AB941" i="1" s="1" a="1"/>
  <c r="AB941" i="1" s="1"/>
  <c r="AM940" i="1" l="1" a="1"/>
  <c r="AM940" i="1" s="1"/>
  <c r="Z941" i="1" a="1"/>
  <c r="Z941" i="1" s="1"/>
  <c r="AA941" i="1"/>
  <c r="X941" i="1" a="1"/>
  <c r="X941" i="1" s="1"/>
  <c r="Y941" i="1" s="1"/>
  <c r="AE942" i="1"/>
  <c r="AM941" i="1" s="1" a="1"/>
  <c r="AM941" i="1" s="1"/>
  <c r="AE943" i="1" a="1"/>
  <c r="Q943" i="1" a="1"/>
  <c r="Q942" i="1"/>
  <c r="AB942" i="1" s="1" a="1"/>
  <c r="AB942" i="1" s="1"/>
  <c r="AK942" i="1" l="1" a="1"/>
  <c r="AK942" i="1" s="1"/>
  <c r="AL942" i="1" s="1"/>
  <c r="X942" i="1" a="1"/>
  <c r="X942" i="1" s="1"/>
  <c r="Y942" i="1" s="1"/>
  <c r="AA942" i="1"/>
  <c r="Z942" i="1" a="1"/>
  <c r="Z942" i="1" s="1"/>
  <c r="AE944" i="1" a="1"/>
  <c r="Q943" i="1"/>
  <c r="AB943" i="1" s="1" a="1"/>
  <c r="AB943" i="1" s="1"/>
  <c r="Q944" i="1" a="1"/>
  <c r="AE943" i="1"/>
  <c r="AM942" i="1" s="1" a="1"/>
  <c r="AM942" i="1" s="1"/>
  <c r="X943" i="1" l="1" a="1"/>
  <c r="X943" i="1" s="1"/>
  <c r="Y943" i="1" s="1"/>
  <c r="Z943" i="1" a="1"/>
  <c r="Z943" i="1" s="1"/>
  <c r="AA943" i="1"/>
  <c r="AK943" i="1" a="1"/>
  <c r="AK943" i="1" s="1"/>
  <c r="AL943" i="1" s="1"/>
  <c r="AE945" i="1" a="1"/>
  <c r="Q944" i="1"/>
  <c r="AB944" i="1" s="1" a="1"/>
  <c r="AB944" i="1" s="1"/>
  <c r="Q945" i="1" a="1"/>
  <c r="AE944" i="1"/>
  <c r="AM943" i="1" s="1" a="1"/>
  <c r="AM943" i="1" s="1"/>
  <c r="X944" i="1" l="1" a="1"/>
  <c r="X944" i="1" s="1"/>
  <c r="Y944" i="1" s="1"/>
  <c r="Z944" i="1" a="1"/>
  <c r="Z944" i="1" s="1"/>
  <c r="AA944" i="1"/>
  <c r="AK944" i="1" a="1"/>
  <c r="AK944" i="1" s="1"/>
  <c r="AL944" i="1" s="1"/>
  <c r="AE946" i="1" a="1"/>
  <c r="Q945" i="1"/>
  <c r="AB945" i="1" s="1" a="1"/>
  <c r="AB945" i="1" s="1"/>
  <c r="Q946" i="1" a="1"/>
  <c r="AE945" i="1"/>
  <c r="AM944" i="1" s="1" a="1"/>
  <c r="AM944" i="1" s="1"/>
  <c r="Z945" i="1" l="1" a="1"/>
  <c r="Z945" i="1" s="1"/>
  <c r="X945" i="1" a="1"/>
  <c r="X945" i="1" s="1"/>
  <c r="Y945" i="1" s="1"/>
  <c r="AA945" i="1"/>
  <c r="AK945" i="1" a="1"/>
  <c r="AK945" i="1" s="1"/>
  <c r="AL945" i="1" s="1"/>
  <c r="AE947" i="1" a="1"/>
  <c r="Q946" i="1"/>
  <c r="AB946" i="1" s="1" a="1"/>
  <c r="AB946" i="1" s="1"/>
  <c r="Q947" i="1" a="1"/>
  <c r="AE946" i="1"/>
  <c r="AM945" i="1" s="1" a="1"/>
  <c r="AM945" i="1" s="1"/>
  <c r="X946" i="1" l="1" a="1"/>
  <c r="X946" i="1" s="1"/>
  <c r="Y946" i="1" s="1"/>
  <c r="Z946" i="1" a="1"/>
  <c r="Z946" i="1" s="1"/>
  <c r="AA946" i="1"/>
  <c r="AK946" i="1" a="1"/>
  <c r="AK946" i="1" s="1"/>
  <c r="AL946" i="1" s="1"/>
  <c r="AE948" i="1" a="1"/>
  <c r="Q948" i="1" a="1"/>
  <c r="Q947" i="1"/>
  <c r="AB947" i="1" s="1" a="1"/>
  <c r="AB947" i="1" s="1"/>
  <c r="AE947" i="1"/>
  <c r="AK947" i="1" s="1" a="1"/>
  <c r="AK947" i="1" s="1"/>
  <c r="AL947" i="1" s="1"/>
  <c r="AM946" i="1" l="1" a="1"/>
  <c r="AM946" i="1" s="1"/>
  <c r="X947" i="1" a="1"/>
  <c r="X947" i="1" s="1"/>
  <c r="Y947" i="1" s="1"/>
  <c r="AA947" i="1"/>
  <c r="Z947" i="1" a="1"/>
  <c r="Z947" i="1" s="1"/>
  <c r="AE949" i="1" a="1"/>
  <c r="Q948" i="1"/>
  <c r="AB948" i="1" s="1" a="1"/>
  <c r="AB948" i="1" s="1"/>
  <c r="Q949" i="1" a="1"/>
  <c r="AE948" i="1"/>
  <c r="AK948" i="1" s="1" a="1"/>
  <c r="AK948" i="1" s="1"/>
  <c r="AL948" i="1" s="1"/>
  <c r="X948" i="1" l="1" a="1"/>
  <c r="X948" i="1" s="1"/>
  <c r="Y948" i="1" s="1"/>
  <c r="Z948" i="1" a="1"/>
  <c r="Z948" i="1" s="1"/>
  <c r="AA948" i="1"/>
  <c r="AM947" i="1" a="1"/>
  <c r="AM947" i="1" s="1"/>
  <c r="AE950" i="1" a="1"/>
  <c r="Q950" i="1" a="1"/>
  <c r="Q949" i="1"/>
  <c r="AB949" i="1" s="1" a="1"/>
  <c r="AB949" i="1" s="1"/>
  <c r="AE949" i="1"/>
  <c r="AK949" i="1" s="1" a="1"/>
  <c r="AK949" i="1" s="1"/>
  <c r="AL949" i="1" s="1"/>
  <c r="Z949" i="1" l="1" a="1"/>
  <c r="Z949" i="1" s="1"/>
  <c r="X949" i="1" a="1"/>
  <c r="X949" i="1" s="1"/>
  <c r="Y949" i="1" s="1"/>
  <c r="AA949" i="1"/>
  <c r="AM948" i="1" a="1"/>
  <c r="AM948" i="1" s="1"/>
  <c r="AE951" i="1" a="1"/>
  <c r="Q950" i="1"/>
  <c r="AB950" i="1" s="1" a="1"/>
  <c r="AB950" i="1" s="1"/>
  <c r="Q951" i="1" a="1"/>
  <c r="AE950" i="1"/>
  <c r="AM949" i="1" s="1" a="1"/>
  <c r="AM949" i="1" s="1"/>
  <c r="Z950" i="1" l="1" a="1"/>
  <c r="Z950" i="1" s="1"/>
  <c r="X950" i="1" a="1"/>
  <c r="X950" i="1" s="1"/>
  <c r="Y950" i="1" s="1"/>
  <c r="AA950" i="1"/>
  <c r="AK950" i="1" a="1"/>
  <c r="AK950" i="1" s="1"/>
  <c r="AL950" i="1" s="1"/>
  <c r="AE952" i="1" a="1"/>
  <c r="Q951" i="1"/>
  <c r="AB951" i="1" s="1" a="1"/>
  <c r="AB951" i="1" s="1"/>
  <c r="Q952" i="1" a="1"/>
  <c r="AE951" i="1"/>
  <c r="AM950" i="1" s="1" a="1"/>
  <c r="AM950" i="1" s="1"/>
  <c r="X951" i="1" l="1" a="1"/>
  <c r="X951" i="1" s="1"/>
  <c r="Y951" i="1" s="1"/>
  <c r="Z951" i="1" a="1"/>
  <c r="Z951" i="1" s="1"/>
  <c r="AA951" i="1"/>
  <c r="AK951" i="1" a="1"/>
  <c r="AK951" i="1" s="1"/>
  <c r="AL951" i="1" s="1"/>
  <c r="AE953" i="1" a="1"/>
  <c r="Q953" i="1" a="1"/>
  <c r="Q952" i="1"/>
  <c r="AB952" i="1" s="1" a="1"/>
  <c r="AB952" i="1" s="1"/>
  <c r="AE952" i="1"/>
  <c r="AM951" i="1" s="1" a="1"/>
  <c r="AM951" i="1" s="1"/>
  <c r="X952" i="1" l="1" a="1"/>
  <c r="X952" i="1" s="1"/>
  <c r="Y952" i="1" s="1"/>
  <c r="Z952" i="1" a="1"/>
  <c r="Z952" i="1" s="1"/>
  <c r="AA952" i="1"/>
  <c r="AK952" i="1" a="1"/>
  <c r="AK952" i="1" s="1"/>
  <c r="AL952" i="1" s="1"/>
  <c r="AE954" i="1" a="1"/>
  <c r="Q953" i="1"/>
  <c r="AB953" i="1" s="1" a="1"/>
  <c r="AB953" i="1" s="1"/>
  <c r="Q954" i="1" a="1"/>
  <c r="AE953" i="1"/>
  <c r="AM952" i="1" s="1" a="1"/>
  <c r="AM952" i="1" s="1"/>
  <c r="Z953" i="1" l="1" a="1"/>
  <c r="Z953" i="1" s="1"/>
  <c r="X953" i="1" a="1"/>
  <c r="X953" i="1" s="1"/>
  <c r="Y953" i="1" s="1"/>
  <c r="AA953" i="1"/>
  <c r="AK953" i="1" a="1"/>
  <c r="AK953" i="1" s="1"/>
  <c r="AL953" i="1" s="1"/>
  <c r="AE955" i="1" a="1"/>
  <c r="Q954" i="1"/>
  <c r="AB954" i="1" s="1" a="1"/>
  <c r="AB954" i="1" s="1"/>
  <c r="Q955" i="1" a="1"/>
  <c r="AE954" i="1"/>
  <c r="AK954" i="1" s="1" a="1"/>
  <c r="AK954" i="1" s="1"/>
  <c r="AL954" i="1" s="1"/>
  <c r="AM953" i="1" l="1" a="1"/>
  <c r="AM953" i="1" s="1"/>
  <c r="Z954" i="1" a="1"/>
  <c r="Z954" i="1" s="1"/>
  <c r="AA954" i="1"/>
  <c r="X954" i="1" a="1"/>
  <c r="X954" i="1" s="1"/>
  <c r="Y954" i="1" s="1"/>
  <c r="AE956" i="1" a="1"/>
  <c r="Q955" i="1"/>
  <c r="AB955" i="1" s="1" a="1"/>
  <c r="AB955" i="1" s="1"/>
  <c r="Q956" i="1" a="1"/>
  <c r="Z955" i="1" a="1"/>
  <c r="Z955" i="1" s="1"/>
  <c r="AE955" i="1"/>
  <c r="AK955" i="1" s="1" a="1"/>
  <c r="AK955" i="1" s="1"/>
  <c r="AL955" i="1" s="1"/>
  <c r="X955" i="1" l="1" a="1"/>
  <c r="X955" i="1" s="1"/>
  <c r="Y955" i="1" s="1"/>
  <c r="AA955" i="1"/>
  <c r="AM954" i="1" a="1"/>
  <c r="AM954" i="1" s="1"/>
  <c r="AE957" i="1" a="1"/>
  <c r="Q956" i="1"/>
  <c r="AB956" i="1" s="1" a="1"/>
  <c r="AB956" i="1" s="1"/>
  <c r="Q957" i="1" a="1"/>
  <c r="AE956" i="1"/>
  <c r="AK956" i="1" s="1" a="1"/>
  <c r="AK956" i="1" s="1"/>
  <c r="AL956" i="1" s="1"/>
  <c r="X956" i="1" l="1" a="1"/>
  <c r="X956" i="1" s="1"/>
  <c r="Y956" i="1" s="1"/>
  <c r="Z956" i="1" a="1"/>
  <c r="Z956" i="1" s="1"/>
  <c r="AA956" i="1"/>
  <c r="AM955" i="1" a="1"/>
  <c r="AM955" i="1" s="1"/>
  <c r="AE958" i="1" a="1"/>
  <c r="Q957" i="1"/>
  <c r="AB957" i="1" s="1" a="1"/>
  <c r="AB957" i="1" s="1"/>
  <c r="Q958" i="1" a="1"/>
  <c r="AE957" i="1"/>
  <c r="AK957" i="1" s="1" a="1"/>
  <c r="AK957" i="1" s="1"/>
  <c r="AL957" i="1" s="1"/>
  <c r="X957" i="1" l="1" a="1"/>
  <c r="X957" i="1" s="1"/>
  <c r="Y957" i="1" s="1"/>
  <c r="Z957" i="1" a="1"/>
  <c r="Z957" i="1" s="1"/>
  <c r="AA957" i="1"/>
  <c r="AM956" i="1" a="1"/>
  <c r="AM956" i="1" s="1"/>
  <c r="AE959" i="1" a="1"/>
  <c r="Q959" i="1" a="1"/>
  <c r="Q958" i="1"/>
  <c r="AB958" i="1" s="1" a="1"/>
  <c r="AB958" i="1" s="1"/>
  <c r="AE958" i="1"/>
  <c r="AM957" i="1" s="1" a="1"/>
  <c r="AM957" i="1" s="1"/>
  <c r="Z958" i="1" l="1" a="1"/>
  <c r="Z958" i="1" s="1"/>
  <c r="X958" i="1" a="1"/>
  <c r="X958" i="1" s="1"/>
  <c r="Y958" i="1" s="1"/>
  <c r="AA958" i="1"/>
  <c r="AK958" i="1" a="1"/>
  <c r="AK958" i="1" s="1"/>
  <c r="AL958" i="1" s="1"/>
  <c r="AE960" i="1" a="1"/>
  <c r="Q959" i="1"/>
  <c r="X959" i="1" s="1" a="1"/>
  <c r="X959" i="1" s="1"/>
  <c r="Y959" i="1" s="1"/>
  <c r="Q960" i="1" a="1"/>
  <c r="AE959" i="1"/>
  <c r="AK959" i="1" s="1" a="1"/>
  <c r="AK959" i="1" s="1"/>
  <c r="AL959" i="1" s="1"/>
  <c r="AB959" i="1" l="1" a="1"/>
  <c r="AB959" i="1" s="1"/>
  <c r="Z959" i="1" a="1"/>
  <c r="Z959" i="1" s="1"/>
  <c r="AA959" i="1"/>
  <c r="AM958" i="1" a="1"/>
  <c r="AM958" i="1" s="1"/>
  <c r="AE961" i="1" a="1"/>
  <c r="Q960" i="1"/>
  <c r="AB960" i="1" s="1" a="1"/>
  <c r="AB960" i="1" s="1"/>
  <c r="Q961" i="1" a="1"/>
  <c r="AE960" i="1"/>
  <c r="AM959" i="1" s="1" a="1"/>
  <c r="AM959" i="1" s="1"/>
  <c r="Z960" i="1" l="1" a="1"/>
  <c r="Z960" i="1" s="1"/>
  <c r="X960" i="1" a="1"/>
  <c r="X960" i="1" s="1"/>
  <c r="Y960" i="1" s="1"/>
  <c r="AA960" i="1"/>
  <c r="AK960" i="1" a="1"/>
  <c r="AK960" i="1" s="1"/>
  <c r="AL960" i="1" s="1"/>
  <c r="AE962" i="1" a="1"/>
  <c r="Q962" i="1" a="1"/>
  <c r="Q961" i="1"/>
  <c r="AB961" i="1" s="1" a="1"/>
  <c r="AB961" i="1" s="1"/>
  <c r="AE961" i="1"/>
  <c r="AM960" i="1" s="1" a="1"/>
  <c r="AM960" i="1" s="1"/>
  <c r="Z961" i="1" l="1" a="1"/>
  <c r="Z961" i="1" s="1"/>
  <c r="X961" i="1" a="1"/>
  <c r="X961" i="1" s="1"/>
  <c r="Y961" i="1" s="1"/>
  <c r="AA961" i="1"/>
  <c r="AK961" i="1" a="1"/>
  <c r="AK961" i="1" s="1"/>
  <c r="AL961" i="1" s="1"/>
  <c r="AE963" i="1" a="1"/>
  <c r="Q962" i="1"/>
  <c r="AB962" i="1" s="1" a="1"/>
  <c r="AB962" i="1" s="1"/>
  <c r="Q963" i="1" a="1"/>
  <c r="AE962" i="1"/>
  <c r="AK962" i="1" s="1" a="1"/>
  <c r="AK962" i="1" s="1"/>
  <c r="AL962" i="1" s="1"/>
  <c r="X962" i="1" l="1" a="1"/>
  <c r="X962" i="1" s="1"/>
  <c r="Y962" i="1" s="1"/>
  <c r="Z962" i="1" a="1"/>
  <c r="Z962" i="1" s="1"/>
  <c r="AA962" i="1"/>
  <c r="AM961" i="1" a="1"/>
  <c r="AM961" i="1" s="1"/>
  <c r="AE964" i="1" a="1"/>
  <c r="Q964" i="1" a="1"/>
  <c r="Q963" i="1"/>
  <c r="AB963" i="1" s="1" a="1"/>
  <c r="AB963" i="1" s="1"/>
  <c r="AE963" i="1"/>
  <c r="AK963" i="1" s="1" a="1"/>
  <c r="AK963" i="1" s="1"/>
  <c r="AL963" i="1" s="1"/>
  <c r="X963" i="1" l="1" a="1"/>
  <c r="X963" i="1" s="1"/>
  <c r="Y963" i="1" s="1"/>
  <c r="AA963" i="1"/>
  <c r="AM962" i="1" a="1"/>
  <c r="AM962" i="1" s="1"/>
  <c r="Z963" i="1" a="1"/>
  <c r="Z963" i="1" s="1"/>
  <c r="AE965" i="1" a="1"/>
  <c r="Q964" i="1"/>
  <c r="AB964" i="1" s="1" a="1"/>
  <c r="AB964" i="1" s="1"/>
  <c r="Q965" i="1" a="1"/>
  <c r="AE964" i="1"/>
  <c r="AK964" i="1" s="1" a="1"/>
  <c r="AK964" i="1" s="1"/>
  <c r="AL964" i="1" s="1"/>
  <c r="X964" i="1" l="1" a="1"/>
  <c r="X964" i="1" s="1"/>
  <c r="Y964" i="1" s="1"/>
  <c r="Z964" i="1" a="1"/>
  <c r="Z964" i="1" s="1"/>
  <c r="AA964" i="1"/>
  <c r="AM963" i="1" a="1"/>
  <c r="AM963" i="1" s="1"/>
  <c r="AE966" i="1" a="1"/>
  <c r="Q965" i="1"/>
  <c r="Z965" i="1" s="1" a="1"/>
  <c r="Z965" i="1" s="1"/>
  <c r="Q966" i="1" a="1"/>
  <c r="AE965" i="1"/>
  <c r="AK965" i="1" s="1" a="1"/>
  <c r="AK965" i="1" s="1"/>
  <c r="AL965" i="1" s="1"/>
  <c r="AB965" i="1" l="1" a="1"/>
  <c r="AB965" i="1" s="1"/>
  <c r="X965" i="1" a="1"/>
  <c r="X965" i="1" s="1"/>
  <c r="Y965" i="1" s="1"/>
  <c r="AA965" i="1"/>
  <c r="AM964" i="1" a="1"/>
  <c r="AM964" i="1" s="1"/>
  <c r="AE967" i="1" a="1"/>
  <c r="Q966" i="1"/>
  <c r="AB966" i="1" s="1" a="1"/>
  <c r="AB966" i="1" s="1"/>
  <c r="Q967" i="1" a="1"/>
  <c r="AE966" i="1"/>
  <c r="AM965" i="1" s="1" a="1"/>
  <c r="AM965" i="1" s="1"/>
  <c r="Z966" i="1" l="1" a="1"/>
  <c r="Z966" i="1" s="1"/>
  <c r="X966" i="1" a="1"/>
  <c r="X966" i="1" s="1"/>
  <c r="Y966" i="1" s="1"/>
  <c r="AA966" i="1"/>
  <c r="AK966" i="1" a="1"/>
  <c r="AK966" i="1" s="1"/>
  <c r="AL966" i="1" s="1"/>
  <c r="AE968" i="1" a="1"/>
  <c r="Q967" i="1"/>
  <c r="AB967" i="1" s="1" a="1"/>
  <c r="AB967" i="1" s="1"/>
  <c r="Q968" i="1" a="1"/>
  <c r="AE967" i="1"/>
  <c r="AM966" i="1" s="1" a="1"/>
  <c r="AM966" i="1" s="1"/>
  <c r="X967" i="1" l="1" a="1"/>
  <c r="X967" i="1" s="1"/>
  <c r="Y967" i="1" s="1"/>
  <c r="Z967" i="1" a="1"/>
  <c r="Z967" i="1" s="1"/>
  <c r="AA967" i="1"/>
  <c r="AK967" i="1" a="1"/>
  <c r="AK967" i="1" s="1"/>
  <c r="AL967" i="1" s="1"/>
  <c r="AE969" i="1" a="1"/>
  <c r="Q969" i="1" a="1"/>
  <c r="Q968" i="1"/>
  <c r="AB968" i="1" s="1" a="1"/>
  <c r="AB968" i="1" s="1"/>
  <c r="AE968" i="1"/>
  <c r="AM967" i="1" s="1" a="1"/>
  <c r="AM967" i="1" s="1"/>
  <c r="Z968" i="1" l="1" a="1"/>
  <c r="Z968" i="1" s="1"/>
  <c r="X968" i="1" a="1"/>
  <c r="X968" i="1" s="1"/>
  <c r="Y968" i="1" s="1"/>
  <c r="AA968" i="1"/>
  <c r="AK968" i="1" a="1"/>
  <c r="AK968" i="1" s="1"/>
  <c r="AL968" i="1" s="1"/>
  <c r="AE970" i="1" a="1"/>
  <c r="Q970" i="1" a="1"/>
  <c r="Q969" i="1"/>
  <c r="Z969" i="1" s="1" a="1"/>
  <c r="Z969" i="1" s="1"/>
  <c r="AE969" i="1"/>
  <c r="AM968" i="1" s="1" a="1"/>
  <c r="AM968" i="1" s="1"/>
  <c r="AB969" i="1" l="1" a="1"/>
  <c r="AB969" i="1" s="1"/>
  <c r="AK969" i="1" a="1"/>
  <c r="AK969" i="1" s="1"/>
  <c r="AL969" i="1" s="1"/>
  <c r="X969" i="1" a="1"/>
  <c r="X969" i="1" s="1"/>
  <c r="Y969" i="1" s="1"/>
  <c r="AA969" i="1"/>
  <c r="AE971" i="1" a="1"/>
  <c r="Q970" i="1"/>
  <c r="AB970" i="1" s="1" a="1"/>
  <c r="AB970" i="1" s="1"/>
  <c r="Q971" i="1" a="1"/>
  <c r="AE970" i="1"/>
  <c r="AM969" i="1" s="1" a="1"/>
  <c r="AM969" i="1" s="1"/>
  <c r="X970" i="1" l="1" a="1"/>
  <c r="X970" i="1" s="1"/>
  <c r="Y970" i="1" s="1"/>
  <c r="Z970" i="1" a="1"/>
  <c r="Z970" i="1" s="1"/>
  <c r="AA970" i="1"/>
  <c r="AK970" i="1" a="1"/>
  <c r="AK970" i="1" s="1"/>
  <c r="AL970" i="1" s="1"/>
  <c r="AE972" i="1" a="1"/>
  <c r="Q971" i="1"/>
  <c r="AB971" i="1" s="1" a="1"/>
  <c r="AB971" i="1" s="1"/>
  <c r="Q972" i="1" a="1"/>
  <c r="AE971" i="1"/>
  <c r="AK971" i="1" s="1" a="1"/>
  <c r="AK971" i="1" s="1"/>
  <c r="AL971" i="1" s="1"/>
  <c r="Z971" i="1" l="1" a="1"/>
  <c r="Z971" i="1" s="1"/>
  <c r="X971" i="1" a="1"/>
  <c r="X971" i="1" s="1"/>
  <c r="Y971" i="1" s="1"/>
  <c r="AA971" i="1"/>
  <c r="AM970" i="1" a="1"/>
  <c r="AM970" i="1" s="1"/>
  <c r="AE973" i="1" a="1"/>
  <c r="Q972" i="1"/>
  <c r="AB972" i="1" s="1" a="1"/>
  <c r="AB972" i="1" s="1"/>
  <c r="Q973" i="1" a="1"/>
  <c r="AE972" i="1"/>
  <c r="AM971" i="1" s="1" a="1"/>
  <c r="AM971" i="1" s="1"/>
  <c r="X972" i="1" l="1" a="1"/>
  <c r="X972" i="1" s="1"/>
  <c r="Y972" i="1" s="1"/>
  <c r="Z972" i="1" a="1"/>
  <c r="Z972" i="1" s="1"/>
  <c r="AA972" i="1"/>
  <c r="AK972" i="1" a="1"/>
  <c r="AK972" i="1" s="1"/>
  <c r="AL972" i="1" s="1"/>
  <c r="AE974" i="1" a="1"/>
  <c r="Q973" i="1"/>
  <c r="AB973" i="1" s="1" a="1"/>
  <c r="AB973" i="1" s="1"/>
  <c r="Q974" i="1" a="1"/>
  <c r="AE973" i="1"/>
  <c r="AM972" i="1" s="1" a="1"/>
  <c r="AM972" i="1" s="1"/>
  <c r="Z973" i="1" l="1" a="1"/>
  <c r="Z973" i="1" s="1"/>
  <c r="X973" i="1" a="1"/>
  <c r="X973" i="1" s="1"/>
  <c r="Y973" i="1" s="1"/>
  <c r="AA973" i="1"/>
  <c r="AK973" i="1" a="1"/>
  <c r="AK973" i="1" s="1"/>
  <c r="AL973" i="1" s="1"/>
  <c r="AE975" i="1" a="1"/>
  <c r="Q975" i="1" a="1"/>
  <c r="Q974" i="1"/>
  <c r="AB974" i="1" s="1" a="1"/>
  <c r="AB974" i="1" s="1"/>
  <c r="AE974" i="1"/>
  <c r="AM973" i="1" s="1" a="1"/>
  <c r="AM973" i="1" s="1"/>
  <c r="Z974" i="1" l="1" a="1"/>
  <c r="Z974" i="1" s="1"/>
  <c r="X974" i="1" a="1"/>
  <c r="X974" i="1" s="1"/>
  <c r="Y974" i="1" s="1"/>
  <c r="AA974" i="1"/>
  <c r="AK974" i="1" a="1"/>
  <c r="AK974" i="1" s="1"/>
  <c r="AL974" i="1" s="1"/>
  <c r="AE976" i="1" a="1"/>
  <c r="Q976" i="1" a="1"/>
  <c r="Q975" i="1"/>
  <c r="AB975" i="1" s="1" a="1"/>
  <c r="AB975" i="1" s="1"/>
  <c r="AE975" i="1"/>
  <c r="AM974" i="1" s="1" a="1"/>
  <c r="AM974" i="1" s="1"/>
  <c r="X975" i="1" l="1" a="1"/>
  <c r="X975" i="1" s="1"/>
  <c r="Y975" i="1" s="1"/>
  <c r="Z975" i="1" a="1"/>
  <c r="Z975" i="1" s="1"/>
  <c r="AA975" i="1"/>
  <c r="AK975" i="1" a="1"/>
  <c r="AK975" i="1" s="1"/>
  <c r="AL975" i="1" s="1"/>
  <c r="AE977" i="1" a="1"/>
  <c r="Q976" i="1"/>
  <c r="AB976" i="1" s="1" a="1"/>
  <c r="AB976" i="1" s="1"/>
  <c r="Q977" i="1" a="1"/>
  <c r="AE976" i="1"/>
  <c r="AM975" i="1" s="1" a="1"/>
  <c r="AM975" i="1" s="1"/>
  <c r="Z976" i="1" l="1" a="1"/>
  <c r="Z976" i="1" s="1"/>
  <c r="X976" i="1" a="1"/>
  <c r="X976" i="1" s="1"/>
  <c r="Y976" i="1" s="1"/>
  <c r="AA976" i="1"/>
  <c r="AK976" i="1" a="1"/>
  <c r="AK976" i="1" s="1"/>
  <c r="AL976" i="1" s="1"/>
  <c r="AE978" i="1" a="1"/>
  <c r="Q977" i="1"/>
  <c r="AB977" i="1" s="1" a="1"/>
  <c r="AB977" i="1" s="1"/>
  <c r="Q978" i="1" a="1"/>
  <c r="AE977" i="1"/>
  <c r="AM976" i="1" s="1" a="1"/>
  <c r="AM976" i="1" s="1"/>
  <c r="Z977" i="1" l="1" a="1"/>
  <c r="Z977" i="1" s="1"/>
  <c r="X977" i="1" a="1"/>
  <c r="X977" i="1" s="1"/>
  <c r="Y977" i="1" s="1"/>
  <c r="AA977" i="1"/>
  <c r="AK977" i="1" a="1"/>
  <c r="AK977" i="1" s="1"/>
  <c r="AL977" i="1" s="1"/>
  <c r="AE979" i="1" a="1"/>
  <c r="Q978" i="1"/>
  <c r="AB978" i="1" s="1" a="1"/>
  <c r="AB978" i="1" s="1"/>
  <c r="Q979" i="1" a="1"/>
  <c r="AE978" i="1"/>
  <c r="AM977" i="1" s="1" a="1"/>
  <c r="AM977" i="1" s="1"/>
  <c r="X978" i="1" l="1" a="1"/>
  <c r="X978" i="1" s="1"/>
  <c r="Y978" i="1" s="1"/>
  <c r="Z978" i="1" a="1"/>
  <c r="Z978" i="1" s="1"/>
  <c r="AA978" i="1"/>
  <c r="AK978" i="1" a="1"/>
  <c r="AK978" i="1" s="1"/>
  <c r="AL978" i="1" s="1"/>
  <c r="AE980" i="1" a="1"/>
  <c r="Q980" i="1" a="1"/>
  <c r="Q979" i="1"/>
  <c r="AB979" i="1" s="1" a="1"/>
  <c r="AB979" i="1" s="1"/>
  <c r="AE979" i="1"/>
  <c r="AK979" i="1" s="1" a="1"/>
  <c r="AK979" i="1" s="1"/>
  <c r="AL979" i="1" s="1"/>
  <c r="Z979" i="1" l="1" a="1"/>
  <c r="Z979" i="1" s="1"/>
  <c r="X979" i="1" a="1"/>
  <c r="X979" i="1" s="1"/>
  <c r="Y979" i="1" s="1"/>
  <c r="AA979" i="1"/>
  <c r="AM978" i="1" a="1"/>
  <c r="AM978" i="1" s="1"/>
  <c r="AE981" i="1" a="1"/>
  <c r="Q980" i="1"/>
  <c r="AB980" i="1" s="1" a="1"/>
  <c r="AB980" i="1" s="1"/>
  <c r="Q981" i="1" a="1"/>
  <c r="AE980" i="1"/>
  <c r="AK980" i="1" s="1" a="1"/>
  <c r="AK980" i="1" s="1"/>
  <c r="AL980" i="1" s="1"/>
  <c r="Z980" i="1" l="1" a="1"/>
  <c r="Z980" i="1" s="1"/>
  <c r="X980" i="1" a="1"/>
  <c r="X980" i="1" s="1"/>
  <c r="Y980" i="1" s="1"/>
  <c r="AA980" i="1"/>
  <c r="AM979" i="1" a="1"/>
  <c r="AM979" i="1" s="1"/>
  <c r="AE982" i="1" a="1"/>
  <c r="Q981" i="1"/>
  <c r="AB981" i="1" s="1" a="1"/>
  <c r="AB981" i="1" s="1"/>
  <c r="Q982" i="1" a="1"/>
  <c r="AE981" i="1"/>
  <c r="AK981" i="1" s="1" a="1"/>
  <c r="AK981" i="1" s="1"/>
  <c r="AL981" i="1" s="1"/>
  <c r="X981" i="1" l="1" a="1"/>
  <c r="X981" i="1" s="1"/>
  <c r="Y981" i="1" s="1"/>
  <c r="Z981" i="1" a="1"/>
  <c r="Z981" i="1" s="1"/>
  <c r="AA981" i="1"/>
  <c r="AM980" i="1" a="1"/>
  <c r="AM980" i="1" s="1"/>
  <c r="AE983" i="1" a="1"/>
  <c r="Q982" i="1"/>
  <c r="AB982" i="1" s="1" a="1"/>
  <c r="AB982" i="1" s="1"/>
  <c r="Q983" i="1" a="1"/>
  <c r="AE982" i="1"/>
  <c r="AK982" i="1" s="1" a="1"/>
  <c r="AK982" i="1" s="1"/>
  <c r="AL982" i="1" s="1"/>
  <c r="Z982" i="1" l="1" a="1"/>
  <c r="Z982" i="1" s="1"/>
  <c r="X982" i="1" a="1"/>
  <c r="X982" i="1" s="1"/>
  <c r="Y982" i="1" s="1"/>
  <c r="AA982" i="1"/>
  <c r="AM981" i="1" a="1"/>
  <c r="AM981" i="1" s="1"/>
  <c r="AE984" i="1" a="1"/>
  <c r="Q983" i="1"/>
  <c r="AB983" i="1" s="1" a="1"/>
  <c r="AB983" i="1" s="1"/>
  <c r="Q984" i="1" a="1"/>
  <c r="AE983" i="1"/>
  <c r="AK983" i="1" s="1" a="1"/>
  <c r="AK983" i="1" s="1"/>
  <c r="AL983" i="1" s="1"/>
  <c r="X983" i="1" l="1" a="1"/>
  <c r="X983" i="1" s="1"/>
  <c r="Y983" i="1" s="1"/>
  <c r="Z983" i="1" a="1"/>
  <c r="Z983" i="1" s="1"/>
  <c r="AA983" i="1"/>
  <c r="AM982" i="1" a="1"/>
  <c r="AM982" i="1" s="1"/>
  <c r="AE985" i="1" a="1"/>
  <c r="Q985" i="1" a="1"/>
  <c r="Q984" i="1"/>
  <c r="AB984" i="1" s="1" a="1"/>
  <c r="AB984" i="1" s="1"/>
  <c r="AE984" i="1"/>
  <c r="AK984" i="1" s="1" a="1"/>
  <c r="AK984" i="1" s="1"/>
  <c r="AL984" i="1" s="1"/>
  <c r="Z984" i="1" l="1" a="1"/>
  <c r="Z984" i="1" s="1"/>
  <c r="X984" i="1" a="1"/>
  <c r="X984" i="1" s="1"/>
  <c r="Y984" i="1" s="1"/>
  <c r="AA984" i="1"/>
  <c r="AM983" i="1" a="1"/>
  <c r="AM983" i="1" s="1"/>
  <c r="AE986" i="1" a="1"/>
  <c r="Q985" i="1"/>
  <c r="AB985" i="1" s="1" a="1"/>
  <c r="AB985" i="1" s="1"/>
  <c r="Q986" i="1" a="1"/>
  <c r="AE985" i="1"/>
  <c r="AK985" i="1" s="1" a="1"/>
  <c r="AK985" i="1" s="1"/>
  <c r="AL985" i="1" s="1"/>
  <c r="Z985" i="1" l="1" a="1"/>
  <c r="Z985" i="1" s="1"/>
  <c r="X985" i="1" a="1"/>
  <c r="X985" i="1" s="1"/>
  <c r="Y985" i="1" s="1"/>
  <c r="AA985" i="1"/>
  <c r="AM984" i="1" a="1"/>
  <c r="AM984" i="1" s="1"/>
  <c r="AE987" i="1" a="1"/>
  <c r="Q986" i="1"/>
  <c r="AB986" i="1" s="1" a="1"/>
  <c r="AB986" i="1" s="1"/>
  <c r="Q987" i="1" a="1"/>
  <c r="AE986" i="1"/>
  <c r="AK986" i="1" s="1" a="1"/>
  <c r="AK986" i="1" s="1"/>
  <c r="AL986" i="1" s="1"/>
  <c r="X986" i="1" l="1" a="1"/>
  <c r="X986" i="1" s="1"/>
  <c r="Y986" i="1" s="1"/>
  <c r="Z986" i="1" a="1"/>
  <c r="Z986" i="1" s="1"/>
  <c r="AA986" i="1"/>
  <c r="AM985" i="1" a="1"/>
  <c r="AM985" i="1" s="1"/>
  <c r="AE988" i="1" a="1"/>
  <c r="Q987" i="1"/>
  <c r="AB987" i="1" s="1" a="1"/>
  <c r="AB987" i="1" s="1"/>
  <c r="Q988" i="1" a="1"/>
  <c r="AE987" i="1"/>
  <c r="AM986" i="1" s="1" a="1"/>
  <c r="AM986" i="1" s="1"/>
  <c r="Z987" i="1" l="1" a="1"/>
  <c r="Z987" i="1" s="1"/>
  <c r="X987" i="1" a="1"/>
  <c r="X987" i="1" s="1"/>
  <c r="Y987" i="1" s="1"/>
  <c r="AA987" i="1"/>
  <c r="AK987" i="1" a="1"/>
  <c r="AK987" i="1" s="1"/>
  <c r="AL987" i="1" s="1"/>
  <c r="AE989" i="1" a="1"/>
  <c r="Q988" i="1"/>
  <c r="AB988" i="1" s="1" a="1"/>
  <c r="AB988" i="1" s="1"/>
  <c r="Q989" i="1" a="1"/>
  <c r="AE988" i="1"/>
  <c r="AM987" i="1" s="1" a="1"/>
  <c r="AM987" i="1" s="1"/>
  <c r="Z988" i="1" l="1" a="1"/>
  <c r="Z988" i="1" s="1"/>
  <c r="X988" i="1" a="1"/>
  <c r="X988" i="1" s="1"/>
  <c r="Y988" i="1" s="1"/>
  <c r="AA988" i="1"/>
  <c r="AK988" i="1" a="1"/>
  <c r="AK988" i="1" s="1"/>
  <c r="AL988" i="1" s="1"/>
  <c r="AE990" i="1" a="1"/>
  <c r="Q989" i="1"/>
  <c r="AB989" i="1" s="1" a="1"/>
  <c r="AB989" i="1" s="1"/>
  <c r="Q990" i="1" a="1"/>
  <c r="AE989" i="1"/>
  <c r="AK989" i="1" s="1" a="1"/>
  <c r="AK989" i="1" s="1"/>
  <c r="AL989" i="1" s="1"/>
  <c r="X989" i="1" l="1" a="1"/>
  <c r="X989" i="1" s="1"/>
  <c r="Y989" i="1" s="1"/>
  <c r="Z989" i="1" a="1"/>
  <c r="Z989" i="1" s="1"/>
  <c r="AA989" i="1"/>
  <c r="AM988" i="1" a="1"/>
  <c r="AM988" i="1" s="1"/>
  <c r="AE991" i="1" a="1"/>
  <c r="Q991" i="1" a="1"/>
  <c r="Q990" i="1"/>
  <c r="Z990" i="1" s="1" a="1"/>
  <c r="Z990" i="1" s="1"/>
  <c r="AE990" i="1"/>
  <c r="AK990" i="1" s="1" a="1"/>
  <c r="AK990" i="1" s="1"/>
  <c r="AL990" i="1" s="1"/>
  <c r="AB990" i="1" l="1" a="1"/>
  <c r="AB990" i="1" s="1"/>
  <c r="X990" i="1" a="1"/>
  <c r="X990" i="1" s="1"/>
  <c r="Y990" i="1" s="1"/>
  <c r="AA990" i="1"/>
  <c r="AM989" i="1" a="1"/>
  <c r="AM989" i="1" s="1"/>
  <c r="AE992" i="1" a="1"/>
  <c r="Q991" i="1"/>
  <c r="AB991" i="1" s="1" a="1"/>
  <c r="AB991" i="1" s="1"/>
  <c r="Q992" i="1" a="1"/>
  <c r="AE991" i="1"/>
  <c r="AK991" i="1" s="1" a="1"/>
  <c r="AK991" i="1" s="1"/>
  <c r="AL991" i="1" s="1"/>
  <c r="X991" i="1" l="1" a="1"/>
  <c r="X991" i="1" s="1"/>
  <c r="Y991" i="1" s="1"/>
  <c r="Z991" i="1" a="1"/>
  <c r="Z991" i="1" s="1"/>
  <c r="AA991" i="1"/>
  <c r="AM990" i="1" a="1"/>
  <c r="AM990" i="1" s="1"/>
  <c r="AE993" i="1" a="1"/>
  <c r="Q993" i="1" a="1"/>
  <c r="Q992" i="1"/>
  <c r="AB992" i="1" s="1" a="1"/>
  <c r="AB992" i="1" s="1"/>
  <c r="AE992" i="1"/>
  <c r="AK992" i="1" s="1" a="1"/>
  <c r="AK992" i="1" s="1"/>
  <c r="AL992" i="1" s="1"/>
  <c r="X992" i="1" l="1" a="1"/>
  <c r="X992" i="1" s="1"/>
  <c r="Y992" i="1" s="1"/>
  <c r="Z992" i="1" a="1"/>
  <c r="Z992" i="1" s="1"/>
  <c r="AA992" i="1"/>
  <c r="AM991" i="1" a="1"/>
  <c r="AM991" i="1" s="1"/>
  <c r="AE994" i="1" a="1"/>
  <c r="Q994" i="1" a="1"/>
  <c r="Q993" i="1"/>
  <c r="Z993" i="1" s="1" a="1"/>
  <c r="Z993" i="1" s="1"/>
  <c r="AE993" i="1"/>
  <c r="AK993" i="1" s="1" a="1"/>
  <c r="AK993" i="1" s="1"/>
  <c r="AL993" i="1" s="1"/>
  <c r="AB993" i="1" l="1" a="1"/>
  <c r="AB993" i="1" s="1"/>
  <c r="X993" i="1" a="1"/>
  <c r="X993" i="1" s="1"/>
  <c r="Y993" i="1" s="1"/>
  <c r="AA993" i="1"/>
  <c r="AM992" i="1" a="1"/>
  <c r="AM992" i="1" s="1"/>
  <c r="AE995" i="1" a="1"/>
  <c r="Q995" i="1" a="1"/>
  <c r="Q994" i="1"/>
  <c r="AB994" i="1" s="1" a="1"/>
  <c r="AB994" i="1" s="1"/>
  <c r="AE994" i="1"/>
  <c r="AK994" i="1" s="1" a="1"/>
  <c r="AK994" i="1" s="1"/>
  <c r="AL994" i="1" s="1"/>
  <c r="X994" i="1" l="1" a="1"/>
  <c r="X994" i="1" s="1"/>
  <c r="Y994" i="1" s="1"/>
  <c r="Z994" i="1" a="1"/>
  <c r="Z994" i="1" s="1"/>
  <c r="AA994" i="1"/>
  <c r="AM993" i="1" a="1"/>
  <c r="AM993" i="1" s="1"/>
  <c r="AE996" i="1" a="1"/>
  <c r="Q996" i="1" a="1"/>
  <c r="Q995" i="1"/>
  <c r="AB995" i="1" s="1" a="1"/>
  <c r="AB995" i="1" s="1"/>
  <c r="AE995" i="1"/>
  <c r="AK995" i="1" s="1" a="1"/>
  <c r="AK995" i="1" s="1"/>
  <c r="AL995" i="1" s="1"/>
  <c r="Z995" i="1" l="1" a="1"/>
  <c r="Z995" i="1" s="1"/>
  <c r="X995" i="1" a="1"/>
  <c r="X995" i="1" s="1"/>
  <c r="Y995" i="1" s="1"/>
  <c r="AA995" i="1"/>
  <c r="AM994" i="1" a="1"/>
  <c r="AM994" i="1" s="1"/>
  <c r="AE997" i="1" a="1"/>
  <c r="Q996" i="1"/>
  <c r="AB996" i="1" s="1" a="1"/>
  <c r="AB996" i="1" s="1"/>
  <c r="Q997" i="1" a="1"/>
  <c r="AE996" i="1"/>
  <c r="AK996" i="1" s="1" a="1"/>
  <c r="AK996" i="1" s="1"/>
  <c r="AL996" i="1" s="1"/>
  <c r="Z996" i="1" l="1" a="1"/>
  <c r="Z996" i="1" s="1"/>
  <c r="X996" i="1" a="1"/>
  <c r="X996" i="1" s="1"/>
  <c r="Y996" i="1" s="1"/>
  <c r="AA996" i="1"/>
  <c r="AM995" i="1" a="1"/>
  <c r="AM995" i="1" s="1"/>
  <c r="AE998" i="1" a="1"/>
  <c r="Q997" i="1"/>
  <c r="AB997" i="1" s="1" a="1"/>
  <c r="AB997" i="1" s="1"/>
  <c r="Q998" i="1" a="1"/>
  <c r="AE997" i="1"/>
  <c r="AM996" i="1" s="1" a="1"/>
  <c r="AM996" i="1" s="1"/>
  <c r="X997" i="1" l="1" a="1"/>
  <c r="X997" i="1" s="1"/>
  <c r="Y997" i="1" s="1"/>
  <c r="Z997" i="1" a="1"/>
  <c r="Z997" i="1" s="1"/>
  <c r="AA997" i="1"/>
  <c r="AK997" i="1" a="1"/>
  <c r="AK997" i="1" s="1"/>
  <c r="AL997" i="1" s="1"/>
  <c r="AE999" i="1" a="1"/>
  <c r="Q998" i="1"/>
  <c r="AB998" i="1" s="1" a="1"/>
  <c r="AB998" i="1" s="1"/>
  <c r="Q999" i="1" a="1"/>
  <c r="AE998" i="1"/>
  <c r="AK998" i="1" s="1" a="1"/>
  <c r="AK998" i="1" s="1"/>
  <c r="AL998" i="1" s="1"/>
  <c r="Z998" i="1" l="1" a="1"/>
  <c r="Z998" i="1" s="1"/>
  <c r="X998" i="1" a="1"/>
  <c r="X998" i="1" s="1"/>
  <c r="Y998" i="1" s="1"/>
  <c r="AA998" i="1"/>
  <c r="AM997" i="1" a="1"/>
  <c r="AM997" i="1" s="1"/>
  <c r="AE1000" i="1" a="1"/>
  <c r="Q1000" i="1" a="1"/>
  <c r="Q999" i="1"/>
  <c r="AB999" i="1" s="1" a="1"/>
  <c r="AB999" i="1" s="1"/>
  <c r="AE999" i="1"/>
  <c r="AM998" i="1" s="1" a="1"/>
  <c r="AM998" i="1" s="1"/>
  <c r="X999" i="1" l="1" a="1"/>
  <c r="X999" i="1" s="1"/>
  <c r="Y999" i="1" s="1"/>
  <c r="Z999" i="1" a="1"/>
  <c r="Z999" i="1" s="1"/>
  <c r="AA999" i="1"/>
  <c r="AK999" i="1" a="1"/>
  <c r="AK999" i="1" s="1"/>
  <c r="AL999" i="1" s="1"/>
  <c r="AE1001" i="1" a="1"/>
  <c r="Q1000" i="1"/>
  <c r="AB1000" i="1" s="1" a="1"/>
  <c r="AB1000" i="1" s="1"/>
  <c r="Q1001" i="1" a="1"/>
  <c r="AE1000" i="1"/>
  <c r="AK1000" i="1" s="1" a="1"/>
  <c r="AK1000" i="1" s="1"/>
  <c r="AL1000" i="1" s="1"/>
  <c r="AM999" i="1" l="1" a="1"/>
  <c r="AM999" i="1" s="1"/>
  <c r="Z1000" i="1" a="1"/>
  <c r="Z1000" i="1" s="1"/>
  <c r="AA1000" i="1"/>
  <c r="X1000" i="1" a="1"/>
  <c r="X1000" i="1" s="1"/>
  <c r="Y1000" i="1" s="1"/>
  <c r="AE1002" i="1" a="1"/>
  <c r="Q1001" i="1"/>
  <c r="AB1001" i="1" s="1" a="1"/>
  <c r="AB1001" i="1" s="1"/>
  <c r="Q1002" i="1" a="1"/>
  <c r="AE1001" i="1"/>
  <c r="AK1001" i="1" s="1" a="1"/>
  <c r="AK1001" i="1" s="1"/>
  <c r="AL1001" i="1" s="1"/>
  <c r="AM1000" i="1" l="1" a="1"/>
  <c r="AM1000" i="1" s="1"/>
  <c r="X1001" i="1" a="1"/>
  <c r="X1001" i="1" s="1"/>
  <c r="Y1001" i="1" s="1"/>
  <c r="AA1001" i="1"/>
  <c r="Z1001" i="1" a="1"/>
  <c r="Z1001" i="1" s="1"/>
  <c r="AE1003" i="1" a="1"/>
  <c r="Q1003" i="1" a="1"/>
  <c r="Q1002" i="1"/>
  <c r="AB1002" i="1" s="1" a="1"/>
  <c r="AB1002" i="1" s="1"/>
  <c r="AE1002" i="1"/>
  <c r="AK1002" i="1" s="1" a="1"/>
  <c r="AK1002" i="1" s="1"/>
  <c r="AL1002" i="1" s="1"/>
  <c r="X1002" i="1" l="1" a="1"/>
  <c r="X1002" i="1" s="1"/>
  <c r="Y1002" i="1" s="1"/>
  <c r="Z1002" i="1" a="1"/>
  <c r="Z1002" i="1" s="1"/>
  <c r="AA1002" i="1"/>
  <c r="AM1001" i="1" a="1"/>
  <c r="AM1001" i="1" s="1"/>
  <c r="AE1004" i="1" a="1"/>
  <c r="Q1003" i="1"/>
  <c r="AB1003" i="1" s="1" a="1"/>
  <c r="AB1003" i="1" s="1"/>
  <c r="Q1004" i="1" a="1"/>
  <c r="AE1003" i="1"/>
  <c r="AK1003" i="1" s="1" a="1"/>
  <c r="AK1003" i="1" s="1"/>
  <c r="AL1003" i="1" s="1"/>
  <c r="AM1002" i="1" l="1" a="1"/>
  <c r="AM1002" i="1" s="1"/>
  <c r="X1003" i="1" a="1"/>
  <c r="X1003" i="1" s="1"/>
  <c r="Y1003" i="1" s="1"/>
  <c r="AA1003" i="1"/>
  <c r="Z1003" i="1" a="1"/>
  <c r="Z1003" i="1" s="1"/>
  <c r="AE1005" i="1" a="1"/>
  <c r="Q1004" i="1"/>
  <c r="AB1004" i="1" s="1" a="1"/>
  <c r="AB1004" i="1" s="1"/>
  <c r="Q1005" i="1" a="1"/>
  <c r="AE1004" i="1"/>
  <c r="AK1004" i="1" s="1" a="1"/>
  <c r="AK1004" i="1" s="1"/>
  <c r="AL1004" i="1" s="1"/>
  <c r="Z1004" i="1" l="1" a="1"/>
  <c r="Z1004" i="1" s="1"/>
  <c r="X1004" i="1" a="1"/>
  <c r="X1004" i="1" s="1"/>
  <c r="Y1004" i="1" s="1"/>
  <c r="AA1004" i="1"/>
  <c r="AM1003" i="1" a="1"/>
  <c r="AM1003" i="1" s="1"/>
  <c r="AE1006" i="1" a="1"/>
  <c r="Q1005" i="1"/>
  <c r="AB1005" i="1" s="1" a="1"/>
  <c r="AB1005" i="1" s="1"/>
  <c r="Q1006" i="1" a="1"/>
  <c r="AE1005" i="1"/>
  <c r="AK1005" i="1" s="1" a="1"/>
  <c r="AK1005" i="1" s="1"/>
  <c r="AL1005" i="1" s="1"/>
  <c r="X1005" i="1" l="1" a="1"/>
  <c r="X1005" i="1" s="1"/>
  <c r="Y1005" i="1" s="1"/>
  <c r="Z1005" i="1" a="1"/>
  <c r="Z1005" i="1" s="1"/>
  <c r="AA1005" i="1"/>
  <c r="AM1004" i="1" a="1"/>
  <c r="AM1004" i="1" s="1"/>
  <c r="AE1007" i="1" a="1"/>
  <c r="Q1007" i="1" a="1"/>
  <c r="Q1006" i="1"/>
  <c r="AB1006" i="1" s="1" a="1"/>
  <c r="AB1006" i="1" s="1"/>
  <c r="AE1006" i="1"/>
  <c r="AM1005" i="1" s="1" a="1"/>
  <c r="AM1005" i="1" s="1"/>
  <c r="Z1006" i="1" l="1" a="1"/>
  <c r="Z1006" i="1" s="1"/>
  <c r="X1006" i="1" a="1"/>
  <c r="X1006" i="1" s="1"/>
  <c r="Y1006" i="1" s="1"/>
  <c r="AA1006" i="1"/>
  <c r="AK1006" i="1" a="1"/>
  <c r="AK1006" i="1" s="1"/>
  <c r="AL1006" i="1" s="1"/>
  <c r="AE1008" i="1" a="1"/>
  <c r="Q1007" i="1"/>
  <c r="AB1007" i="1" s="1" a="1"/>
  <c r="AB1007" i="1" s="1"/>
  <c r="Q1008" i="1" a="1"/>
  <c r="AE1007" i="1"/>
  <c r="AM1006" i="1" s="1" a="1"/>
  <c r="AM1006" i="1" s="1"/>
  <c r="X1007" i="1" l="1" a="1"/>
  <c r="X1007" i="1" s="1"/>
  <c r="Y1007" i="1" s="1"/>
  <c r="Z1007" i="1" a="1"/>
  <c r="Z1007" i="1" s="1"/>
  <c r="AA1007" i="1"/>
  <c r="AK1007" i="1" a="1"/>
  <c r="AK1007" i="1" s="1"/>
  <c r="AL1007" i="1" s="1"/>
  <c r="AE1009" i="1" a="1"/>
  <c r="Q1008" i="1"/>
  <c r="AB1008" i="1" s="1" a="1"/>
  <c r="AB1008" i="1" s="1"/>
  <c r="Q1009" i="1" a="1"/>
  <c r="AE1008" i="1"/>
  <c r="AM1007" i="1" s="1" a="1"/>
  <c r="AM1007" i="1" s="1"/>
  <c r="X1008" i="1" l="1" a="1"/>
  <c r="X1008" i="1" s="1"/>
  <c r="Y1008" i="1" s="1"/>
  <c r="Z1008" i="1" a="1"/>
  <c r="Z1008" i="1" s="1"/>
  <c r="AA1008" i="1"/>
  <c r="AK1008" i="1" a="1"/>
  <c r="AK1008" i="1" s="1"/>
  <c r="AL1008" i="1" s="1"/>
  <c r="AE1010" i="1" a="1"/>
  <c r="Q1009" i="1"/>
  <c r="AB1009" i="1" s="1" a="1"/>
  <c r="AB1009" i="1" s="1"/>
  <c r="Q1010" i="1" a="1"/>
  <c r="AE1009" i="1"/>
  <c r="AM1008" i="1" s="1" a="1"/>
  <c r="AM1008" i="1" s="1"/>
  <c r="Z1009" i="1" l="1" a="1"/>
  <c r="Z1009" i="1" s="1"/>
  <c r="X1009" i="1" a="1"/>
  <c r="X1009" i="1" s="1"/>
  <c r="Y1009" i="1" s="1"/>
  <c r="AA1009" i="1"/>
  <c r="AK1009" i="1" a="1"/>
  <c r="AK1009" i="1" s="1"/>
  <c r="AL1009" i="1" s="1"/>
  <c r="AE1011" i="1" a="1"/>
  <c r="Q1010" i="1"/>
  <c r="AB1010" i="1" s="1" a="1"/>
  <c r="AB1010" i="1" s="1"/>
  <c r="Q1011" i="1" a="1"/>
  <c r="AE1010" i="1"/>
  <c r="AM1009" i="1" s="1" a="1"/>
  <c r="AM1009" i="1" s="1"/>
  <c r="X1010" i="1" l="1" a="1"/>
  <c r="X1010" i="1" s="1"/>
  <c r="Y1010" i="1" s="1"/>
  <c r="Z1010" i="1" a="1"/>
  <c r="Z1010" i="1" s="1"/>
  <c r="AA1010" i="1"/>
  <c r="AK1010" i="1" a="1"/>
  <c r="AK1010" i="1" s="1"/>
  <c r="AL1010" i="1" s="1"/>
  <c r="AE1012" i="1" a="1"/>
  <c r="Q1012" i="1" a="1"/>
  <c r="Q1011" i="1"/>
  <c r="AB1011" i="1" s="1" a="1"/>
  <c r="AB1011" i="1" s="1"/>
  <c r="AE1011" i="1"/>
  <c r="AM1010" i="1" s="1" a="1"/>
  <c r="AM1010" i="1" s="1"/>
  <c r="AK1011" i="1" l="1" a="1"/>
  <c r="AK1011" i="1" s="1"/>
  <c r="AL1011" i="1" s="1"/>
  <c r="X1011" i="1" a="1"/>
  <c r="X1011" i="1" s="1"/>
  <c r="Y1011" i="1" s="1"/>
  <c r="AA1011" i="1"/>
  <c r="Z1011" i="1" a="1"/>
  <c r="Z1011" i="1" s="1"/>
  <c r="AE1013" i="1" a="1"/>
  <c r="Q1012" i="1"/>
  <c r="AB1012" i="1" s="1" a="1"/>
  <c r="AB1012" i="1" s="1"/>
  <c r="Q1013" i="1" a="1"/>
  <c r="AE1012" i="1"/>
  <c r="AK1012" i="1" s="1" a="1"/>
  <c r="AK1012" i="1" s="1"/>
  <c r="AL1012" i="1" s="1"/>
  <c r="Z1012" i="1" l="1" a="1"/>
  <c r="Z1012" i="1" s="1"/>
  <c r="X1012" i="1" a="1"/>
  <c r="X1012" i="1" s="1"/>
  <c r="Y1012" i="1" s="1"/>
  <c r="AA1012" i="1"/>
  <c r="AM1011" i="1" a="1"/>
  <c r="AM1011" i="1" s="1"/>
  <c r="AE1014" i="1" a="1"/>
  <c r="Q1014" i="1" a="1"/>
  <c r="Q1013" i="1"/>
  <c r="AB1013" i="1" s="1" a="1"/>
  <c r="AB1013" i="1" s="1"/>
  <c r="AE1013" i="1"/>
  <c r="AM1012" i="1" s="1" a="1"/>
  <c r="AM1012" i="1" s="1"/>
  <c r="AK1013" i="1" l="1" a="1"/>
  <c r="AK1013" i="1" s="1"/>
  <c r="AL1013" i="1" s="1"/>
  <c r="Z1013" i="1" a="1"/>
  <c r="Z1013" i="1" s="1"/>
  <c r="AA1013" i="1"/>
  <c r="X1013" i="1" a="1"/>
  <c r="X1013" i="1" s="1"/>
  <c r="Y1013" i="1" s="1"/>
  <c r="AE1015" i="1" a="1"/>
  <c r="Q1015" i="1" a="1"/>
  <c r="Q1014" i="1"/>
  <c r="Z1014" i="1" s="1" a="1"/>
  <c r="Z1014" i="1" s="1"/>
  <c r="AE1014" i="1"/>
  <c r="AM1013" i="1" s="1" a="1"/>
  <c r="AM1013" i="1" s="1"/>
  <c r="AB1014" i="1" l="1" a="1"/>
  <c r="AB1014" i="1" s="1"/>
  <c r="X1014" i="1" a="1"/>
  <c r="X1014" i="1" s="1"/>
  <c r="Y1014" i="1" s="1"/>
  <c r="AA1014" i="1"/>
  <c r="AK1014" i="1" a="1"/>
  <c r="AK1014" i="1" s="1"/>
  <c r="AL1014" i="1" s="1"/>
  <c r="AE1016" i="1" a="1"/>
  <c r="Q1016" i="1" a="1"/>
  <c r="Q1015" i="1"/>
  <c r="AB1015" i="1" s="1" a="1"/>
  <c r="AB1015" i="1" s="1"/>
  <c r="AE1015" i="1"/>
  <c r="AM1014" i="1" s="1" a="1"/>
  <c r="AM1014" i="1" s="1"/>
  <c r="X1015" i="1" l="1" a="1"/>
  <c r="X1015" i="1" s="1"/>
  <c r="Y1015" i="1" s="1"/>
  <c r="Z1015" i="1" a="1"/>
  <c r="Z1015" i="1" s="1"/>
  <c r="AA1015" i="1"/>
  <c r="AK1015" i="1" a="1"/>
  <c r="AK1015" i="1" s="1"/>
  <c r="AL1015" i="1" s="1"/>
  <c r="AE1017" i="1" a="1"/>
  <c r="Q1017" i="1" a="1"/>
  <c r="Q1016" i="1"/>
  <c r="AB1016" i="1" s="1" a="1"/>
  <c r="AB1016" i="1" s="1"/>
  <c r="AE1016" i="1"/>
  <c r="AK1016" i="1" s="1" a="1"/>
  <c r="AK1016" i="1" s="1"/>
  <c r="AL1016" i="1" s="1"/>
  <c r="Z1016" i="1" l="1" a="1"/>
  <c r="Z1016" i="1" s="1"/>
  <c r="X1016" i="1" a="1"/>
  <c r="X1016" i="1" s="1"/>
  <c r="Y1016" i="1" s="1"/>
  <c r="AA1016" i="1"/>
  <c r="AM1015" i="1" a="1"/>
  <c r="AM1015" i="1" s="1"/>
  <c r="AE1018" i="1" a="1"/>
  <c r="Q1017" i="1"/>
  <c r="AB1017" i="1" s="1" a="1"/>
  <c r="AB1017" i="1" s="1"/>
  <c r="Q1018" i="1" a="1"/>
  <c r="AE1017" i="1"/>
  <c r="AM1016" i="1" s="1" a="1"/>
  <c r="AM1016" i="1" s="1"/>
  <c r="Z1017" i="1" l="1" a="1"/>
  <c r="Z1017" i="1" s="1"/>
  <c r="X1017" i="1" a="1"/>
  <c r="X1017" i="1" s="1"/>
  <c r="Y1017" i="1" s="1"/>
  <c r="AA1017" i="1"/>
  <c r="AK1017" i="1" a="1"/>
  <c r="AK1017" i="1" s="1"/>
  <c r="AL1017" i="1" s="1"/>
  <c r="AE1019" i="1" a="1"/>
  <c r="Q1018" i="1"/>
  <c r="X1018" i="1" s="1" a="1"/>
  <c r="X1018" i="1" s="1"/>
  <c r="Y1018" i="1" s="1"/>
  <c r="Q1019" i="1" a="1"/>
  <c r="AE1018" i="1"/>
  <c r="AK1018" i="1" s="1" a="1"/>
  <c r="AK1018" i="1" s="1"/>
  <c r="AL1018" i="1" s="1"/>
  <c r="AB1018" i="1" l="1" a="1"/>
  <c r="AB1018" i="1" s="1"/>
  <c r="Z1018" i="1" a="1"/>
  <c r="Z1018" i="1" s="1"/>
  <c r="AA1018" i="1"/>
  <c r="AM1017" i="1" a="1"/>
  <c r="AM1017" i="1" s="1"/>
  <c r="AE1020" i="1" a="1"/>
  <c r="Q1019" i="1"/>
  <c r="AB1019" i="1" s="1" a="1"/>
  <c r="AB1019" i="1" s="1"/>
  <c r="Q1020" i="1" a="1"/>
  <c r="AE1019" i="1"/>
  <c r="AK1019" i="1" s="1" a="1"/>
  <c r="AK1019" i="1" s="1"/>
  <c r="AL1019" i="1" s="1"/>
  <c r="Z1019" i="1" l="1" a="1"/>
  <c r="Z1019" i="1" s="1"/>
  <c r="X1019" i="1" a="1"/>
  <c r="X1019" i="1" s="1"/>
  <c r="Y1019" i="1" s="1"/>
  <c r="AA1019" i="1"/>
  <c r="AM1018" i="1" a="1"/>
  <c r="AM1018" i="1" s="1"/>
  <c r="AE1021" i="1" a="1"/>
  <c r="Q1020" i="1"/>
  <c r="AB1020" i="1" s="1" a="1"/>
  <c r="AB1020" i="1" s="1"/>
  <c r="Q1021" i="1" a="1"/>
  <c r="AE1020" i="1"/>
  <c r="AK1020" i="1" s="1" a="1"/>
  <c r="AK1020" i="1" s="1"/>
  <c r="AL1020" i="1" s="1"/>
  <c r="Z1020" i="1" l="1" a="1"/>
  <c r="Z1020" i="1" s="1"/>
  <c r="X1020" i="1" a="1"/>
  <c r="X1020" i="1" s="1"/>
  <c r="Y1020" i="1" s="1"/>
  <c r="AA1020" i="1"/>
  <c r="AM1019" i="1" a="1"/>
  <c r="AM1019" i="1" s="1"/>
  <c r="AE1022" i="1" a="1"/>
  <c r="Q1021" i="1"/>
  <c r="AB1021" i="1" s="1" a="1"/>
  <c r="AB1021" i="1" s="1"/>
  <c r="Q1022" i="1" a="1"/>
  <c r="AE1021" i="1"/>
  <c r="AM1020" i="1" s="1" a="1"/>
  <c r="AM1020" i="1" s="1"/>
  <c r="AK1021" i="1" l="1" a="1"/>
  <c r="AK1021" i="1" s="1"/>
  <c r="AL1021" i="1" s="1"/>
  <c r="Z1021" i="1" a="1"/>
  <c r="Z1021" i="1" s="1"/>
  <c r="AA1021" i="1"/>
  <c r="X1021" i="1" a="1"/>
  <c r="X1021" i="1" s="1"/>
  <c r="Y1021" i="1" s="1"/>
  <c r="AE1023" i="1" a="1"/>
  <c r="Q1023" i="1" a="1"/>
  <c r="Q1022" i="1"/>
  <c r="AB1022" i="1" s="1" a="1"/>
  <c r="AB1022" i="1" s="1"/>
  <c r="AE1022" i="1"/>
  <c r="AM1021" i="1" s="1" a="1"/>
  <c r="AM1021" i="1" s="1"/>
  <c r="Z1022" i="1" l="1" a="1"/>
  <c r="Z1022" i="1" s="1"/>
  <c r="X1022" i="1" a="1"/>
  <c r="X1022" i="1" s="1"/>
  <c r="Y1022" i="1" s="1"/>
  <c r="AA1022" i="1"/>
  <c r="AK1022" i="1" a="1"/>
  <c r="AK1022" i="1" s="1"/>
  <c r="AL1022" i="1" s="1"/>
  <c r="Q1023" i="1"/>
  <c r="AB1023" i="1" s="1" a="1"/>
  <c r="AB1023" i="1" s="1"/>
  <c r="AE1023" i="1"/>
  <c r="AM1022" i="1" s="1" a="1"/>
  <c r="AM1022" i="1" s="1"/>
  <c r="X1023" i="1" l="1" a="1"/>
  <c r="X1023" i="1" s="1"/>
  <c r="Y1023" i="1" s="1"/>
  <c r="AK1023" i="1" a="1"/>
  <c r="AK1023" i="1" s="1"/>
  <c r="AL1023" i="1" s="1"/>
  <c r="Z1023" i="1" a="1"/>
  <c r="Z1023" i="1" s="1"/>
  <c r="AA10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<sst xmlns="http://schemas.openxmlformats.org/spreadsheetml/2006/main" count="2079" uniqueCount="1044">
  <si>
    <t>BAC</t>
  </si>
  <si>
    <t>CVX</t>
  </si>
  <si>
    <t>DELL</t>
  </si>
  <si>
    <t>EQNR</t>
  </si>
  <si>
    <t>MSFT</t>
  </si>
  <si>
    <t>b)</t>
  </si>
  <si>
    <t>Variance</t>
  </si>
  <si>
    <t xml:space="preserve">Returns </t>
  </si>
  <si>
    <t>a) Prices</t>
  </si>
  <si>
    <t>S.Dev</t>
  </si>
  <si>
    <t>Covar</t>
  </si>
  <si>
    <t>Corr</t>
  </si>
  <si>
    <t>Port 1</t>
  </si>
  <si>
    <t>Portf. Variance</t>
  </si>
  <si>
    <t>Portf. StDev</t>
  </si>
  <si>
    <t>Portf. Return</t>
  </si>
  <si>
    <t>Port 2</t>
  </si>
  <si>
    <t>Port 3</t>
  </si>
  <si>
    <t>Port 4</t>
  </si>
  <si>
    <t>Port 5</t>
  </si>
  <si>
    <t>Port 6</t>
  </si>
  <si>
    <t>Port 7</t>
  </si>
  <si>
    <t>Port 8</t>
  </si>
  <si>
    <t>Port 9</t>
  </si>
  <si>
    <t>Port 10</t>
  </si>
  <si>
    <t>Port 11</t>
  </si>
  <si>
    <t>Port 12</t>
  </si>
  <si>
    <t>Port 13</t>
  </si>
  <si>
    <t>Port 14</t>
  </si>
  <si>
    <t>Port 15</t>
  </si>
  <si>
    <t>Port 16</t>
  </si>
  <si>
    <t>Port 17</t>
  </si>
  <si>
    <t>Port 18</t>
  </si>
  <si>
    <t>Port 19</t>
  </si>
  <si>
    <t>Port 20</t>
  </si>
  <si>
    <t>Port 21</t>
  </si>
  <si>
    <t>Port 22</t>
  </si>
  <si>
    <t>Port 23</t>
  </si>
  <si>
    <t>Port 24</t>
  </si>
  <si>
    <t>Port 25</t>
  </si>
  <si>
    <t>Port 26</t>
  </si>
  <si>
    <t>Port 27</t>
  </si>
  <si>
    <t>Port 28</t>
  </si>
  <si>
    <t>Port 29</t>
  </si>
  <si>
    <t>Port 30</t>
  </si>
  <si>
    <t>Port 31</t>
  </si>
  <si>
    <t>Port 32</t>
  </si>
  <si>
    <t>Port 33</t>
  </si>
  <si>
    <t>Port 34</t>
  </si>
  <si>
    <t>Port 35</t>
  </si>
  <si>
    <t>Port 36</t>
  </si>
  <si>
    <t>Port 37</t>
  </si>
  <si>
    <t>Port 38</t>
  </si>
  <si>
    <t>Port 39</t>
  </si>
  <si>
    <t>Port 40</t>
  </si>
  <si>
    <t>Port 41</t>
  </si>
  <si>
    <t>Port 42</t>
  </si>
  <si>
    <t>Port 43</t>
  </si>
  <si>
    <t>Port 44</t>
  </si>
  <si>
    <t>Port 45</t>
  </si>
  <si>
    <t>Port 46</t>
  </si>
  <si>
    <t>Port 47</t>
  </si>
  <si>
    <t>Port 48</t>
  </si>
  <si>
    <t>Port 49</t>
  </si>
  <si>
    <t>Port 50</t>
  </si>
  <si>
    <t>Port 51</t>
  </si>
  <si>
    <t>Port 52</t>
  </si>
  <si>
    <t>Port 53</t>
  </si>
  <si>
    <t>Port 54</t>
  </si>
  <si>
    <t>Port 55</t>
  </si>
  <si>
    <t>Port 56</t>
  </si>
  <si>
    <t>Port 57</t>
  </si>
  <si>
    <t>Port 58</t>
  </si>
  <si>
    <t>Port 59</t>
  </si>
  <si>
    <t>Port 60</t>
  </si>
  <si>
    <t>Port 61</t>
  </si>
  <si>
    <t>Port 62</t>
  </si>
  <si>
    <t>Port 63</t>
  </si>
  <si>
    <t>Port 64</t>
  </si>
  <si>
    <t>Port 65</t>
  </si>
  <si>
    <t>Port 66</t>
  </si>
  <si>
    <t>Port 67</t>
  </si>
  <si>
    <t>Port 68</t>
  </si>
  <si>
    <t>Port 69</t>
  </si>
  <si>
    <t>Port 70</t>
  </si>
  <si>
    <t>Port 71</t>
  </si>
  <si>
    <t>Port 72</t>
  </si>
  <si>
    <t>Port 73</t>
  </si>
  <si>
    <t>Port 74</t>
  </si>
  <si>
    <t>Port 75</t>
  </si>
  <si>
    <t>Port 76</t>
  </si>
  <si>
    <t>Port 77</t>
  </si>
  <si>
    <t>Port 78</t>
  </si>
  <si>
    <t>Port 79</t>
  </si>
  <si>
    <t>Port 80</t>
  </si>
  <si>
    <t>Port 81</t>
  </si>
  <si>
    <t>Port 82</t>
  </si>
  <si>
    <t>Port 83</t>
  </si>
  <si>
    <t>Port 84</t>
  </si>
  <si>
    <t>Port 85</t>
  </si>
  <si>
    <t>Port 86</t>
  </si>
  <si>
    <t>Port 87</t>
  </si>
  <si>
    <t>Port 88</t>
  </si>
  <si>
    <t>Port 89</t>
  </si>
  <si>
    <t>Port 90</t>
  </si>
  <si>
    <t>Port 91</t>
  </si>
  <si>
    <t>Port 92</t>
  </si>
  <si>
    <t>Port 93</t>
  </si>
  <si>
    <t>Port 94</t>
  </si>
  <si>
    <t>Port 95</t>
  </si>
  <si>
    <t>Port 96</t>
  </si>
  <si>
    <t>Port 97</t>
  </si>
  <si>
    <t>Port 98</t>
  </si>
  <si>
    <t>Port 99</t>
  </si>
  <si>
    <t>Port 100</t>
  </si>
  <si>
    <t>Port 101</t>
  </si>
  <si>
    <t>Port 102</t>
  </si>
  <si>
    <t>Port 103</t>
  </si>
  <si>
    <t>Port 104</t>
  </si>
  <si>
    <t>Port 105</t>
  </si>
  <si>
    <t>Port 106</t>
  </si>
  <si>
    <t>Port 107</t>
  </si>
  <si>
    <t>Port 108</t>
  </si>
  <si>
    <t>Port 109</t>
  </si>
  <si>
    <t>Port 110</t>
  </si>
  <si>
    <t>Port 111</t>
  </si>
  <si>
    <t>Port 112</t>
  </si>
  <si>
    <t>Port 113</t>
  </si>
  <si>
    <t>Port 114</t>
  </si>
  <si>
    <t>Port 115</t>
  </si>
  <si>
    <t>Port 116</t>
  </si>
  <si>
    <t>Port 117</t>
  </si>
  <si>
    <t>Port 118</t>
  </si>
  <si>
    <t>Port 119</t>
  </si>
  <si>
    <t>Port 120</t>
  </si>
  <si>
    <t>Port 121</t>
  </si>
  <si>
    <t>Port 122</t>
  </si>
  <si>
    <t>Port 123</t>
  </si>
  <si>
    <t>Port 124</t>
  </si>
  <si>
    <t>Port 125</t>
  </si>
  <si>
    <t>Port 126</t>
  </si>
  <si>
    <t>Port 127</t>
  </si>
  <si>
    <t>Port 128</t>
  </si>
  <si>
    <t>Port 129</t>
  </si>
  <si>
    <t>Port 130</t>
  </si>
  <si>
    <t>Port 131</t>
  </si>
  <si>
    <t>Port 132</t>
  </si>
  <si>
    <t>Port 133</t>
  </si>
  <si>
    <t>Port 134</t>
  </si>
  <si>
    <t>Port 135</t>
  </si>
  <si>
    <t>Port 136</t>
  </si>
  <si>
    <t>Port 137</t>
  </si>
  <si>
    <t>Port 138</t>
  </si>
  <si>
    <t>Port 139</t>
  </si>
  <si>
    <t>Port 140</t>
  </si>
  <si>
    <t>Port 141</t>
  </si>
  <si>
    <t>Port 142</t>
  </si>
  <si>
    <t>Port 143</t>
  </si>
  <si>
    <t>Port 144</t>
  </si>
  <si>
    <t>Port 145</t>
  </si>
  <si>
    <t>Port 146</t>
  </si>
  <si>
    <t>Port 147</t>
  </si>
  <si>
    <t>Port 148</t>
  </si>
  <si>
    <t>Port 149</t>
  </si>
  <si>
    <t>Port 150</t>
  </si>
  <si>
    <t>Port 151</t>
  </si>
  <si>
    <t>Port 152</t>
  </si>
  <si>
    <t>Port 153</t>
  </si>
  <si>
    <t>Port 154</t>
  </si>
  <si>
    <t>Port 155</t>
  </si>
  <si>
    <t>Port 156</t>
  </si>
  <si>
    <t>Port 157</t>
  </si>
  <si>
    <t>Port 158</t>
  </si>
  <si>
    <t>Port 159</t>
  </si>
  <si>
    <t>Port 160</t>
  </si>
  <si>
    <t>Port 161</t>
  </si>
  <si>
    <t>Port 162</t>
  </si>
  <si>
    <t>Port 163</t>
  </si>
  <si>
    <t>Port 164</t>
  </si>
  <si>
    <t>Port 165</t>
  </si>
  <si>
    <t>Port 166</t>
  </si>
  <si>
    <t>Port 167</t>
  </si>
  <si>
    <t>Port 168</t>
  </si>
  <si>
    <t>Port 169</t>
  </si>
  <si>
    <t>Port 170</t>
  </si>
  <si>
    <t>Port 171</t>
  </si>
  <si>
    <t>Port 172</t>
  </si>
  <si>
    <t>Port 173</t>
  </si>
  <si>
    <t>Port 174</t>
  </si>
  <si>
    <t>Port 175</t>
  </si>
  <si>
    <t>Port 176</t>
  </si>
  <si>
    <t>Port 177</t>
  </si>
  <si>
    <t>Port 178</t>
  </si>
  <si>
    <t>Port 179</t>
  </si>
  <si>
    <t>Port 180</t>
  </si>
  <si>
    <t>Port 181</t>
  </si>
  <si>
    <t>Port 182</t>
  </si>
  <si>
    <t>Port 183</t>
  </si>
  <si>
    <t>Port 184</t>
  </si>
  <si>
    <t>Port 185</t>
  </si>
  <si>
    <t>Port 186</t>
  </si>
  <si>
    <t>Port 187</t>
  </si>
  <si>
    <t>Port 188</t>
  </si>
  <si>
    <t>Port 189</t>
  </si>
  <si>
    <t>Port 190</t>
  </si>
  <si>
    <t>Port 191</t>
  </si>
  <si>
    <t>Port 192</t>
  </si>
  <si>
    <t>Port 193</t>
  </si>
  <si>
    <t>Port 194</t>
  </si>
  <si>
    <t>Port 195</t>
  </si>
  <si>
    <t>Port 196</t>
  </si>
  <si>
    <t>Port 197</t>
  </si>
  <si>
    <t>Port 198</t>
  </si>
  <si>
    <t>Port 199</t>
  </si>
  <si>
    <t>Port 200</t>
  </si>
  <si>
    <t>Port 201</t>
  </si>
  <si>
    <t>Port 202</t>
  </si>
  <si>
    <t>Port 203</t>
  </si>
  <si>
    <t>Port 204</t>
  </si>
  <si>
    <t>Port 205</t>
  </si>
  <si>
    <t>Port 206</t>
  </si>
  <si>
    <t>Port 207</t>
  </si>
  <si>
    <t>Port 208</t>
  </si>
  <si>
    <t>Port 209</t>
  </si>
  <si>
    <t>Port 210</t>
  </si>
  <si>
    <t>Port 211</t>
  </si>
  <si>
    <t>Port 212</t>
  </si>
  <si>
    <t>Port 213</t>
  </si>
  <si>
    <t>Port 214</t>
  </si>
  <si>
    <t>Port 215</t>
  </si>
  <si>
    <t>Port 216</t>
  </si>
  <si>
    <t>Port 217</t>
  </si>
  <si>
    <t>Port 218</t>
  </si>
  <si>
    <t>Port 219</t>
  </si>
  <si>
    <t>Port 220</t>
  </si>
  <si>
    <t>Port 221</t>
  </si>
  <si>
    <t>Port 222</t>
  </si>
  <si>
    <t>Port 223</t>
  </si>
  <si>
    <t>Port 224</t>
  </si>
  <si>
    <t>Port 225</t>
  </si>
  <si>
    <t>Port 226</t>
  </si>
  <si>
    <t>Port 227</t>
  </si>
  <si>
    <t>Port 228</t>
  </si>
  <si>
    <t>Port 229</t>
  </si>
  <si>
    <t>Port 230</t>
  </si>
  <si>
    <t>Port 231</t>
  </si>
  <si>
    <t>Port 232</t>
  </si>
  <si>
    <t>Port 233</t>
  </si>
  <si>
    <t>Port 234</t>
  </si>
  <si>
    <t>Port 235</t>
  </si>
  <si>
    <t>Port 236</t>
  </si>
  <si>
    <t>Port 237</t>
  </si>
  <si>
    <t>Port 238</t>
  </si>
  <si>
    <t>Port 239</t>
  </si>
  <si>
    <t>Port 240</t>
  </si>
  <si>
    <t>Port 241</t>
  </si>
  <si>
    <t>Port 242</t>
  </si>
  <si>
    <t>Port 243</t>
  </si>
  <si>
    <t>Port 244</t>
  </si>
  <si>
    <t>Port 245</t>
  </si>
  <si>
    <t>Port 246</t>
  </si>
  <si>
    <t>Port 247</t>
  </si>
  <si>
    <t>Port 248</t>
  </si>
  <si>
    <t>Port 249</t>
  </si>
  <si>
    <t>Port 250</t>
  </si>
  <si>
    <t>Port 251</t>
  </si>
  <si>
    <t>Port 252</t>
  </si>
  <si>
    <t>Port 253</t>
  </si>
  <si>
    <t>Port 254</t>
  </si>
  <si>
    <t>Port 255</t>
  </si>
  <si>
    <t>Port 256</t>
  </si>
  <si>
    <t>Port 257</t>
  </si>
  <si>
    <t>Port 258</t>
  </si>
  <si>
    <t>Port 259</t>
  </si>
  <si>
    <t>Port 260</t>
  </si>
  <si>
    <t>Port 261</t>
  </si>
  <si>
    <t>Port 262</t>
  </si>
  <si>
    <t>Port 263</t>
  </si>
  <si>
    <t>Port 264</t>
  </si>
  <si>
    <t>Port 265</t>
  </si>
  <si>
    <t>Port 266</t>
  </si>
  <si>
    <t>Port 267</t>
  </si>
  <si>
    <t>Port 268</t>
  </si>
  <si>
    <t>Port 269</t>
  </si>
  <si>
    <t>Port 270</t>
  </si>
  <si>
    <t>Port 271</t>
  </si>
  <si>
    <t>Port 272</t>
  </si>
  <si>
    <t>Port 273</t>
  </si>
  <si>
    <t>Port 274</t>
  </si>
  <si>
    <t>Port 275</t>
  </si>
  <si>
    <t>Port 276</t>
  </si>
  <si>
    <t>Port 277</t>
  </si>
  <si>
    <t>Port 278</t>
  </si>
  <si>
    <t>Port 279</t>
  </si>
  <si>
    <t>Port 280</t>
  </si>
  <si>
    <t>Port 281</t>
  </si>
  <si>
    <t>Port 282</t>
  </si>
  <si>
    <t>Port 283</t>
  </si>
  <si>
    <t>Port 284</t>
  </si>
  <si>
    <t>Port 285</t>
  </si>
  <si>
    <t>Port 286</t>
  </si>
  <si>
    <t>Port 287</t>
  </si>
  <si>
    <t>Port 288</t>
  </si>
  <si>
    <t>Port 289</t>
  </si>
  <si>
    <t>Port 290</t>
  </si>
  <si>
    <t>Port 291</t>
  </si>
  <si>
    <t>Port 292</t>
  </si>
  <si>
    <t>Port 293</t>
  </si>
  <si>
    <t>Port 294</t>
  </si>
  <si>
    <t>Port 295</t>
  </si>
  <si>
    <t>Port 296</t>
  </si>
  <si>
    <t>Port 297</t>
  </si>
  <si>
    <t>Port 298</t>
  </si>
  <si>
    <t>Port 299</t>
  </si>
  <si>
    <t>Port 300</t>
  </si>
  <si>
    <t>Port 301</t>
  </si>
  <si>
    <t>Port 302</t>
  </si>
  <si>
    <t>Port 303</t>
  </si>
  <si>
    <t>Port 304</t>
  </si>
  <si>
    <t>Port 305</t>
  </si>
  <si>
    <t>Port 306</t>
  </si>
  <si>
    <t>Port 307</t>
  </si>
  <si>
    <t>Port 308</t>
  </si>
  <si>
    <t>Port 309</t>
  </si>
  <si>
    <t>Port 310</t>
  </si>
  <si>
    <t>Port 311</t>
  </si>
  <si>
    <t>Port 312</t>
  </si>
  <si>
    <t>Port 313</t>
  </si>
  <si>
    <t>Port 314</t>
  </si>
  <si>
    <t>Port 315</t>
  </si>
  <si>
    <t>Port 316</t>
  </si>
  <si>
    <t>Port 317</t>
  </si>
  <si>
    <t>Port 318</t>
  </si>
  <si>
    <t>Port 319</t>
  </si>
  <si>
    <t>Port 320</t>
  </si>
  <si>
    <t>Port 321</t>
  </si>
  <si>
    <t>Port 322</t>
  </si>
  <si>
    <t>Port 323</t>
  </si>
  <si>
    <t>Port 324</t>
  </si>
  <si>
    <t>Port 325</t>
  </si>
  <si>
    <t>Port 326</t>
  </si>
  <si>
    <t>Port 327</t>
  </si>
  <si>
    <t>Port 328</t>
  </si>
  <si>
    <t>Port 329</t>
  </si>
  <si>
    <t>Port 330</t>
  </si>
  <si>
    <t>Port 331</t>
  </si>
  <si>
    <t>Port 332</t>
  </si>
  <si>
    <t>Port 333</t>
  </si>
  <si>
    <t>Port 334</t>
  </si>
  <si>
    <t>Port 335</t>
  </si>
  <si>
    <t>Port 336</t>
  </si>
  <si>
    <t>Port 337</t>
  </si>
  <si>
    <t>Port 338</t>
  </si>
  <si>
    <t>Port 339</t>
  </si>
  <si>
    <t>Port 340</t>
  </si>
  <si>
    <t>Port 341</t>
  </si>
  <si>
    <t>Port 342</t>
  </si>
  <si>
    <t>Port 343</t>
  </si>
  <si>
    <t>Port 344</t>
  </si>
  <si>
    <t>Port 345</t>
  </si>
  <si>
    <t>Port 346</t>
  </si>
  <si>
    <t>Port 347</t>
  </si>
  <si>
    <t>Port 348</t>
  </si>
  <si>
    <t>Port 349</t>
  </si>
  <si>
    <t>Port 350</t>
  </si>
  <si>
    <t>Port 351</t>
  </si>
  <si>
    <t>Port 352</t>
  </si>
  <si>
    <t>Port 353</t>
  </si>
  <si>
    <t>Port 354</t>
  </si>
  <si>
    <t>Port 355</t>
  </si>
  <si>
    <t>Port 356</t>
  </si>
  <si>
    <t>Port 357</t>
  </si>
  <si>
    <t>Port 358</t>
  </si>
  <si>
    <t>Port 359</t>
  </si>
  <si>
    <t>Port 360</t>
  </si>
  <si>
    <t>Port 361</t>
  </si>
  <si>
    <t>Port 362</t>
  </si>
  <si>
    <t>Port 363</t>
  </si>
  <si>
    <t>Port 364</t>
  </si>
  <si>
    <t>Port 365</t>
  </si>
  <si>
    <t>Port 366</t>
  </si>
  <si>
    <t>Port 367</t>
  </si>
  <si>
    <t>Port 368</t>
  </si>
  <si>
    <t>Port 369</t>
  </si>
  <si>
    <t>Port 370</t>
  </si>
  <si>
    <t>Port 371</t>
  </si>
  <si>
    <t>Port 372</t>
  </si>
  <si>
    <t>Port 373</t>
  </si>
  <si>
    <t>Port 374</t>
  </si>
  <si>
    <t>Port 375</t>
  </si>
  <si>
    <t>Port 376</t>
  </si>
  <si>
    <t>Port 377</t>
  </si>
  <si>
    <t>Port 378</t>
  </si>
  <si>
    <t>Port 379</t>
  </si>
  <si>
    <t>Port 380</t>
  </si>
  <si>
    <t>Port 381</t>
  </si>
  <si>
    <t>Port 382</t>
  </si>
  <si>
    <t>Port 383</t>
  </si>
  <si>
    <t>Port 384</t>
  </si>
  <si>
    <t>Port 385</t>
  </si>
  <si>
    <t>Port 386</t>
  </si>
  <si>
    <t>Port 387</t>
  </si>
  <si>
    <t>Port 388</t>
  </si>
  <si>
    <t>Port 389</t>
  </si>
  <si>
    <t>Port 390</t>
  </si>
  <si>
    <t>Port 391</t>
  </si>
  <si>
    <t>Port 392</t>
  </si>
  <si>
    <t>Port 393</t>
  </si>
  <si>
    <t>Port 394</t>
  </si>
  <si>
    <t>Port 395</t>
  </si>
  <si>
    <t>Port 396</t>
  </si>
  <si>
    <t>Port 397</t>
  </si>
  <si>
    <t>Port 398</t>
  </si>
  <si>
    <t>Port 399</t>
  </si>
  <si>
    <t>Port 400</t>
  </si>
  <si>
    <t>Port 401</t>
  </si>
  <si>
    <t>Port 402</t>
  </si>
  <si>
    <t>Port 403</t>
  </si>
  <si>
    <t>Port 404</t>
  </si>
  <si>
    <t>Port 405</t>
  </si>
  <si>
    <t>Port 406</t>
  </si>
  <si>
    <t>Port 407</t>
  </si>
  <si>
    <t>Port 408</t>
  </si>
  <si>
    <t>Port 409</t>
  </si>
  <si>
    <t>Port 410</t>
  </si>
  <si>
    <t>Port 411</t>
  </si>
  <si>
    <t>Port 412</t>
  </si>
  <si>
    <t>Port 413</t>
  </si>
  <si>
    <t>Port 414</t>
  </si>
  <si>
    <t>Port 415</t>
  </si>
  <si>
    <t>Port 416</t>
  </si>
  <si>
    <t>Port 417</t>
  </si>
  <si>
    <t>Port 418</t>
  </si>
  <si>
    <t>Port 419</t>
  </si>
  <si>
    <t>Port 420</t>
  </si>
  <si>
    <t>Port 421</t>
  </si>
  <si>
    <t>Port 422</t>
  </si>
  <si>
    <t>Port 423</t>
  </si>
  <si>
    <t>Port 424</t>
  </si>
  <si>
    <t>Port 425</t>
  </si>
  <si>
    <t>Port 426</t>
  </si>
  <si>
    <t>Port 427</t>
  </si>
  <si>
    <t>Port 428</t>
  </si>
  <si>
    <t>Port 429</t>
  </si>
  <si>
    <t>Port 430</t>
  </si>
  <si>
    <t>Port 431</t>
  </si>
  <si>
    <t>Port 432</t>
  </si>
  <si>
    <t>Port 433</t>
  </si>
  <si>
    <t>Port 434</t>
  </si>
  <si>
    <t>Port 435</t>
  </si>
  <si>
    <t>Port 436</t>
  </si>
  <si>
    <t>Port 437</t>
  </si>
  <si>
    <t>Port 438</t>
  </si>
  <si>
    <t>Port 439</t>
  </si>
  <si>
    <t>Port 440</t>
  </si>
  <si>
    <t>Port 441</t>
  </si>
  <si>
    <t>Port 442</t>
  </si>
  <si>
    <t>Port 443</t>
  </si>
  <si>
    <t>Port 444</t>
  </si>
  <si>
    <t>Port 445</t>
  </si>
  <si>
    <t>Port 446</t>
  </si>
  <si>
    <t>Port 447</t>
  </si>
  <si>
    <t>Port 448</t>
  </si>
  <si>
    <t>Port 449</t>
  </si>
  <si>
    <t>Port 450</t>
  </si>
  <si>
    <t>Port 451</t>
  </si>
  <si>
    <t>Port 452</t>
  </si>
  <si>
    <t>Port 453</t>
  </si>
  <si>
    <t>Port 454</t>
  </si>
  <si>
    <t>Port 455</t>
  </si>
  <si>
    <t>Port 456</t>
  </si>
  <si>
    <t>Port 457</t>
  </si>
  <si>
    <t>Port 458</t>
  </si>
  <si>
    <t>Port 459</t>
  </si>
  <si>
    <t>Port 460</t>
  </si>
  <si>
    <t>Port 461</t>
  </si>
  <si>
    <t>Port 462</t>
  </si>
  <si>
    <t>Port 463</t>
  </si>
  <si>
    <t>Port 464</t>
  </si>
  <si>
    <t>Port 465</t>
  </si>
  <si>
    <t>Port 466</t>
  </si>
  <si>
    <t>Port 467</t>
  </si>
  <si>
    <t>Port 468</t>
  </si>
  <si>
    <t>Port 469</t>
  </si>
  <si>
    <t>Port 470</t>
  </si>
  <si>
    <t>Port 471</t>
  </si>
  <si>
    <t>Port 472</t>
  </si>
  <si>
    <t>Port 473</t>
  </si>
  <si>
    <t>Port 474</t>
  </si>
  <si>
    <t>Port 475</t>
  </si>
  <si>
    <t>Port 476</t>
  </si>
  <si>
    <t>Port 477</t>
  </si>
  <si>
    <t>Port 478</t>
  </si>
  <si>
    <t>Port 479</t>
  </si>
  <si>
    <t>Port 480</t>
  </si>
  <si>
    <t>Port 481</t>
  </si>
  <si>
    <t>Port 482</t>
  </si>
  <si>
    <t>Port 483</t>
  </si>
  <si>
    <t>Port 484</t>
  </si>
  <si>
    <t>Port 485</t>
  </si>
  <si>
    <t>Port 486</t>
  </si>
  <si>
    <t>Port 487</t>
  </si>
  <si>
    <t>Port 488</t>
  </si>
  <si>
    <t>Port 489</t>
  </si>
  <si>
    <t>Port 490</t>
  </si>
  <si>
    <t>Port 491</t>
  </si>
  <si>
    <t>Port 492</t>
  </si>
  <si>
    <t>Port 493</t>
  </si>
  <si>
    <t>Port 494</t>
  </si>
  <si>
    <t>Port 495</t>
  </si>
  <si>
    <t>Port 496</t>
  </si>
  <si>
    <t>Port 497</t>
  </si>
  <si>
    <t>Port 498</t>
  </si>
  <si>
    <t>Port 499</t>
  </si>
  <si>
    <t>Port 500</t>
  </si>
  <si>
    <t>Port 501</t>
  </si>
  <si>
    <t>Port 502</t>
  </si>
  <si>
    <t>Port 503</t>
  </si>
  <si>
    <t>Port 504</t>
  </si>
  <si>
    <t>Port 505</t>
  </si>
  <si>
    <t>Port 506</t>
  </si>
  <si>
    <t>Port 507</t>
  </si>
  <si>
    <t>Port 508</t>
  </si>
  <si>
    <t>Port 509</t>
  </si>
  <si>
    <t>Port 510</t>
  </si>
  <si>
    <t>Port 511</t>
  </si>
  <si>
    <t>Port 512</t>
  </si>
  <si>
    <t>Port 513</t>
  </si>
  <si>
    <t>Port 514</t>
  </si>
  <si>
    <t>Port 515</t>
  </si>
  <si>
    <t>Port 516</t>
  </si>
  <si>
    <t>Port 517</t>
  </si>
  <si>
    <t>Port 518</t>
  </si>
  <si>
    <t>Port 519</t>
  </si>
  <si>
    <t>Port 520</t>
  </si>
  <si>
    <t>Port 521</t>
  </si>
  <si>
    <t>Port 522</t>
  </si>
  <si>
    <t>Port 523</t>
  </si>
  <si>
    <t>Port 524</t>
  </si>
  <si>
    <t>Port 525</t>
  </si>
  <si>
    <t>Port 526</t>
  </si>
  <si>
    <t>Port 527</t>
  </si>
  <si>
    <t>Port 528</t>
  </si>
  <si>
    <t>Port 529</t>
  </si>
  <si>
    <t>Port 530</t>
  </si>
  <si>
    <t>Port 531</t>
  </si>
  <si>
    <t>Port 532</t>
  </si>
  <si>
    <t>Port 533</t>
  </si>
  <si>
    <t>Port 534</t>
  </si>
  <si>
    <t>Port 535</t>
  </si>
  <si>
    <t>Port 536</t>
  </si>
  <si>
    <t>Port 537</t>
  </si>
  <si>
    <t>Port 538</t>
  </si>
  <si>
    <t>Port 539</t>
  </si>
  <si>
    <t>Port 540</t>
  </si>
  <si>
    <t>Port 541</t>
  </si>
  <si>
    <t>Port 542</t>
  </si>
  <si>
    <t>Port 543</t>
  </si>
  <si>
    <t>Port 544</t>
  </si>
  <si>
    <t>Port 545</t>
  </si>
  <si>
    <t>Port 546</t>
  </si>
  <si>
    <t>Port 547</t>
  </si>
  <si>
    <t>Port 548</t>
  </si>
  <si>
    <t>Port 549</t>
  </si>
  <si>
    <t>Port 550</t>
  </si>
  <si>
    <t>Port 551</t>
  </si>
  <si>
    <t>Port 552</t>
  </si>
  <si>
    <t>Port 553</t>
  </si>
  <si>
    <t>Port 554</t>
  </si>
  <si>
    <t>Port 555</t>
  </si>
  <si>
    <t>Port 556</t>
  </si>
  <si>
    <t>Port 557</t>
  </si>
  <si>
    <t>Port 558</t>
  </si>
  <si>
    <t>Port 559</t>
  </si>
  <si>
    <t>Port 560</t>
  </si>
  <si>
    <t>Port 561</t>
  </si>
  <si>
    <t>Port 562</t>
  </si>
  <si>
    <t>Port 563</t>
  </si>
  <si>
    <t>Port 564</t>
  </si>
  <si>
    <t>Port 565</t>
  </si>
  <si>
    <t>Port 566</t>
  </si>
  <si>
    <t>Port 567</t>
  </si>
  <si>
    <t>Port 568</t>
  </si>
  <si>
    <t>Port 569</t>
  </si>
  <si>
    <t>Port 570</t>
  </si>
  <si>
    <t>Port 571</t>
  </si>
  <si>
    <t>Port 572</t>
  </si>
  <si>
    <t>Port 573</t>
  </si>
  <si>
    <t>Port 574</t>
  </si>
  <si>
    <t>Port 575</t>
  </si>
  <si>
    <t>Port 576</t>
  </si>
  <si>
    <t>Port 577</t>
  </si>
  <si>
    <t>Port 578</t>
  </si>
  <si>
    <t>Port 579</t>
  </si>
  <si>
    <t>Port 580</t>
  </si>
  <si>
    <t>Port 581</t>
  </si>
  <si>
    <t>Port 582</t>
  </si>
  <si>
    <t>Port 583</t>
  </si>
  <si>
    <t>Port 584</t>
  </si>
  <si>
    <t>Port 585</t>
  </si>
  <si>
    <t>Port 586</t>
  </si>
  <si>
    <t>Port 587</t>
  </si>
  <si>
    <t>Port 588</t>
  </si>
  <si>
    <t>Port 589</t>
  </si>
  <si>
    <t>Port 590</t>
  </si>
  <si>
    <t>Port 591</t>
  </si>
  <si>
    <t>Port 592</t>
  </si>
  <si>
    <t>Port 593</t>
  </si>
  <si>
    <t>Port 594</t>
  </si>
  <si>
    <t>Port 595</t>
  </si>
  <si>
    <t>Port 596</t>
  </si>
  <si>
    <t>Port 597</t>
  </si>
  <si>
    <t>Port 598</t>
  </si>
  <si>
    <t>Port 599</t>
  </si>
  <si>
    <t>Port 600</t>
  </si>
  <si>
    <t>Port 601</t>
  </si>
  <si>
    <t>Port 602</t>
  </si>
  <si>
    <t>Port 603</t>
  </si>
  <si>
    <t>Port 604</t>
  </si>
  <si>
    <t>Port 605</t>
  </si>
  <si>
    <t>Port 606</t>
  </si>
  <si>
    <t>Port 607</t>
  </si>
  <si>
    <t>Port 608</t>
  </si>
  <si>
    <t>Port 609</t>
  </si>
  <si>
    <t>Port 610</t>
  </si>
  <si>
    <t>Port 611</t>
  </si>
  <si>
    <t>Port 612</t>
  </si>
  <si>
    <t>Port 613</t>
  </si>
  <si>
    <t>Port 614</t>
  </si>
  <si>
    <t>Port 615</t>
  </si>
  <si>
    <t>Port 616</t>
  </si>
  <si>
    <t>Port 617</t>
  </si>
  <si>
    <t>Port 618</t>
  </si>
  <si>
    <t>Port 619</t>
  </si>
  <si>
    <t>Port 620</t>
  </si>
  <si>
    <t>Port 621</t>
  </si>
  <si>
    <t>Port 622</t>
  </si>
  <si>
    <t>Port 623</t>
  </si>
  <si>
    <t>Port 624</t>
  </si>
  <si>
    <t>Port 625</t>
  </si>
  <si>
    <t>Port 626</t>
  </si>
  <si>
    <t>Port 627</t>
  </si>
  <si>
    <t>Port 628</t>
  </si>
  <si>
    <t>Port 629</t>
  </si>
  <si>
    <t>Port 630</t>
  </si>
  <si>
    <t>Port 631</t>
  </si>
  <si>
    <t>Port 632</t>
  </si>
  <si>
    <t>Port 633</t>
  </si>
  <si>
    <t>Port 634</t>
  </si>
  <si>
    <t>Port 635</t>
  </si>
  <si>
    <t>Port 636</t>
  </si>
  <si>
    <t>Port 637</t>
  </si>
  <si>
    <t>Port 638</t>
  </si>
  <si>
    <t>Port 639</t>
  </si>
  <si>
    <t>Port 640</t>
  </si>
  <si>
    <t>Port 641</t>
  </si>
  <si>
    <t>Port 642</t>
  </si>
  <si>
    <t>Port 643</t>
  </si>
  <si>
    <t>Port 644</t>
  </si>
  <si>
    <t>Port 645</t>
  </si>
  <si>
    <t>Port 646</t>
  </si>
  <si>
    <t>Port 647</t>
  </si>
  <si>
    <t>Port 648</t>
  </si>
  <si>
    <t>Port 649</t>
  </si>
  <si>
    <t>Port 650</t>
  </si>
  <si>
    <t>Port 651</t>
  </si>
  <si>
    <t>Port 652</t>
  </si>
  <si>
    <t>Port 653</t>
  </si>
  <si>
    <t>Port 654</t>
  </si>
  <si>
    <t>Port 655</t>
  </si>
  <si>
    <t>Port 656</t>
  </si>
  <si>
    <t>Port 657</t>
  </si>
  <si>
    <t>Port 658</t>
  </si>
  <si>
    <t>Port 659</t>
  </si>
  <si>
    <t>Port 660</t>
  </si>
  <si>
    <t>Port 661</t>
  </si>
  <si>
    <t>Port 662</t>
  </si>
  <si>
    <t>Port 663</t>
  </si>
  <si>
    <t>Port 664</t>
  </si>
  <si>
    <t>Port 665</t>
  </si>
  <si>
    <t>Port 666</t>
  </si>
  <si>
    <t>Port 667</t>
  </si>
  <si>
    <t>Port 668</t>
  </si>
  <si>
    <t>Port 669</t>
  </si>
  <si>
    <t>Port 670</t>
  </si>
  <si>
    <t>Port 671</t>
  </si>
  <si>
    <t>Port 672</t>
  </si>
  <si>
    <t>Port 673</t>
  </si>
  <si>
    <t>Port 674</t>
  </si>
  <si>
    <t>Port 675</t>
  </si>
  <si>
    <t>Port 676</t>
  </si>
  <si>
    <t>Port 677</t>
  </si>
  <si>
    <t>Port 678</t>
  </si>
  <si>
    <t>Port 679</t>
  </si>
  <si>
    <t>Port 680</t>
  </si>
  <si>
    <t>Port 681</t>
  </si>
  <si>
    <t>Port 682</t>
  </si>
  <si>
    <t>Port 683</t>
  </si>
  <si>
    <t>Port 684</t>
  </si>
  <si>
    <t>Port 685</t>
  </si>
  <si>
    <t>Port 686</t>
  </si>
  <si>
    <t>Port 687</t>
  </si>
  <si>
    <t>Port 688</t>
  </si>
  <si>
    <t>Port 689</t>
  </si>
  <si>
    <t>Port 690</t>
  </si>
  <si>
    <t>Port 691</t>
  </si>
  <si>
    <t>Port 692</t>
  </si>
  <si>
    <t>Port 693</t>
  </si>
  <si>
    <t>Port 694</t>
  </si>
  <si>
    <t>Port 695</t>
  </si>
  <si>
    <t>Port 696</t>
  </si>
  <si>
    <t>Port 697</t>
  </si>
  <si>
    <t>Port 698</t>
  </si>
  <si>
    <t>Port 699</t>
  </si>
  <si>
    <t>Port 700</t>
  </si>
  <si>
    <t>Port 701</t>
  </si>
  <si>
    <t>Port 702</t>
  </si>
  <si>
    <t>Port 703</t>
  </si>
  <si>
    <t>Port 704</t>
  </si>
  <si>
    <t>Port 705</t>
  </si>
  <si>
    <t>Port 706</t>
  </si>
  <si>
    <t>Port 707</t>
  </si>
  <si>
    <t>Port 708</t>
  </si>
  <si>
    <t>Port 709</t>
  </si>
  <si>
    <t>Port 710</t>
  </si>
  <si>
    <t>Port 711</t>
  </si>
  <si>
    <t>Port 712</t>
  </si>
  <si>
    <t>Port 713</t>
  </si>
  <si>
    <t>Port 714</t>
  </si>
  <si>
    <t>Port 715</t>
  </si>
  <si>
    <t>Port 716</t>
  </si>
  <si>
    <t>Port 717</t>
  </si>
  <si>
    <t>Port 718</t>
  </si>
  <si>
    <t>Port 719</t>
  </si>
  <si>
    <t>Port 720</t>
  </si>
  <si>
    <t>Port 721</t>
  </si>
  <si>
    <t>Port 722</t>
  </si>
  <si>
    <t>Port 723</t>
  </si>
  <si>
    <t>Port 724</t>
  </si>
  <si>
    <t>Port 725</t>
  </si>
  <si>
    <t>Port 726</t>
  </si>
  <si>
    <t>Port 727</t>
  </si>
  <si>
    <t>Port 728</t>
  </si>
  <si>
    <t>Port 729</t>
  </si>
  <si>
    <t>Port 730</t>
  </si>
  <si>
    <t>Port 731</t>
  </si>
  <si>
    <t>Port 732</t>
  </si>
  <si>
    <t>Port 733</t>
  </si>
  <si>
    <t>Port 734</t>
  </si>
  <si>
    <t>Port 735</t>
  </si>
  <si>
    <t>Port 736</t>
  </si>
  <si>
    <t>Port 737</t>
  </si>
  <si>
    <t>Port 738</t>
  </si>
  <si>
    <t>Port 739</t>
  </si>
  <si>
    <t>Port 740</t>
  </si>
  <si>
    <t>Port 741</t>
  </si>
  <si>
    <t>Port 742</t>
  </si>
  <si>
    <t>Port 743</t>
  </si>
  <si>
    <t>Port 744</t>
  </si>
  <si>
    <t>Port 745</t>
  </si>
  <si>
    <t>Port 746</t>
  </si>
  <si>
    <t>Port 747</t>
  </si>
  <si>
    <t>Port 748</t>
  </si>
  <si>
    <t>Port 749</t>
  </si>
  <si>
    <t>Port 750</t>
  </si>
  <si>
    <t>Port 751</t>
  </si>
  <si>
    <t>Port 752</t>
  </si>
  <si>
    <t>Port 753</t>
  </si>
  <si>
    <t>Port 754</t>
  </si>
  <si>
    <t>Port 755</t>
  </si>
  <si>
    <t>Port 756</t>
  </si>
  <si>
    <t>Port 757</t>
  </si>
  <si>
    <t>Port 758</t>
  </si>
  <si>
    <t>Port 759</t>
  </si>
  <si>
    <t>Port 760</t>
  </si>
  <si>
    <t>Port 761</t>
  </si>
  <si>
    <t>Port 762</t>
  </si>
  <si>
    <t>Port 763</t>
  </si>
  <si>
    <t>Port 764</t>
  </si>
  <si>
    <t>Port 765</t>
  </si>
  <si>
    <t>Port 766</t>
  </si>
  <si>
    <t>Port 767</t>
  </si>
  <si>
    <t>Port 768</t>
  </si>
  <si>
    <t>Port 769</t>
  </si>
  <si>
    <t>Port 770</t>
  </si>
  <si>
    <t>Port 771</t>
  </si>
  <si>
    <t>Port 772</t>
  </si>
  <si>
    <t>Port 773</t>
  </si>
  <si>
    <t>Port 774</t>
  </si>
  <si>
    <t>Port 775</t>
  </si>
  <si>
    <t>Port 776</t>
  </si>
  <si>
    <t>Port 777</t>
  </si>
  <si>
    <t>Port 778</t>
  </si>
  <si>
    <t>Port 779</t>
  </si>
  <si>
    <t>Port 780</t>
  </si>
  <si>
    <t>Port 781</t>
  </si>
  <si>
    <t>Port 782</t>
  </si>
  <si>
    <t>Port 783</t>
  </si>
  <si>
    <t>Port 784</t>
  </si>
  <si>
    <t>Port 785</t>
  </si>
  <si>
    <t>Port 786</t>
  </si>
  <si>
    <t>Port 787</t>
  </si>
  <si>
    <t>Port 788</t>
  </si>
  <si>
    <t>Port 789</t>
  </si>
  <si>
    <t>Port 790</t>
  </si>
  <si>
    <t>Port 791</t>
  </si>
  <si>
    <t>Port 792</t>
  </si>
  <si>
    <t>Port 793</t>
  </si>
  <si>
    <t>Port 794</t>
  </si>
  <si>
    <t>Port 795</t>
  </si>
  <si>
    <t>Port 796</t>
  </si>
  <si>
    <t>Port 797</t>
  </si>
  <si>
    <t>Port 798</t>
  </si>
  <si>
    <t>Port 799</t>
  </si>
  <si>
    <t>Port 800</t>
  </si>
  <si>
    <t>Port 801</t>
  </si>
  <si>
    <t>Port 802</t>
  </si>
  <si>
    <t>Port 803</t>
  </si>
  <si>
    <t>Port 804</t>
  </si>
  <si>
    <t>Port 805</t>
  </si>
  <si>
    <t>Port 806</t>
  </si>
  <si>
    <t>Port 807</t>
  </si>
  <si>
    <t>Port 808</t>
  </si>
  <si>
    <t>Port 809</t>
  </si>
  <si>
    <t>Port 810</t>
  </si>
  <si>
    <t>Port 811</t>
  </si>
  <si>
    <t>Port 812</t>
  </si>
  <si>
    <t>Port 813</t>
  </si>
  <si>
    <t>Port 814</t>
  </si>
  <si>
    <t>Port 815</t>
  </si>
  <si>
    <t>Port 816</t>
  </si>
  <si>
    <t>Port 817</t>
  </si>
  <si>
    <t>Port 818</t>
  </si>
  <si>
    <t>Port 819</t>
  </si>
  <si>
    <t>Port 820</t>
  </si>
  <si>
    <t>Port 821</t>
  </si>
  <si>
    <t>Port 822</t>
  </si>
  <si>
    <t>Port 823</t>
  </si>
  <si>
    <t>Port 824</t>
  </si>
  <si>
    <t>Port 825</t>
  </si>
  <si>
    <t>Port 826</t>
  </si>
  <si>
    <t>Port 827</t>
  </si>
  <si>
    <t>Port 828</t>
  </si>
  <si>
    <t>Port 829</t>
  </si>
  <si>
    <t>Port 830</t>
  </si>
  <si>
    <t>Port 831</t>
  </si>
  <si>
    <t>Port 832</t>
  </si>
  <si>
    <t>Port 833</t>
  </si>
  <si>
    <t>Port 834</t>
  </si>
  <si>
    <t>Port 835</t>
  </si>
  <si>
    <t>Port 836</t>
  </si>
  <si>
    <t>Port 837</t>
  </si>
  <si>
    <t>Port 838</t>
  </si>
  <si>
    <t>Port 839</t>
  </si>
  <si>
    <t>Port 840</t>
  </si>
  <si>
    <t>Port 841</t>
  </si>
  <si>
    <t>Port 842</t>
  </si>
  <si>
    <t>Port 843</t>
  </si>
  <si>
    <t>Port 844</t>
  </si>
  <si>
    <t>Port 845</t>
  </si>
  <si>
    <t>Port 846</t>
  </si>
  <si>
    <t>Port 847</t>
  </si>
  <si>
    <t>Port 848</t>
  </si>
  <si>
    <t>Port 849</t>
  </si>
  <si>
    <t>Port 850</t>
  </si>
  <si>
    <t>Port 851</t>
  </si>
  <si>
    <t>Port 852</t>
  </si>
  <si>
    <t>Port 853</t>
  </si>
  <si>
    <t>Port 854</t>
  </si>
  <si>
    <t>Port 855</t>
  </si>
  <si>
    <t>Port 856</t>
  </si>
  <si>
    <t>Port 857</t>
  </si>
  <si>
    <t>Port 858</t>
  </si>
  <si>
    <t>Port 859</t>
  </si>
  <si>
    <t>Port 860</t>
  </si>
  <si>
    <t>Port 861</t>
  </si>
  <si>
    <t>Port 862</t>
  </si>
  <si>
    <t>Port 863</t>
  </si>
  <si>
    <t>Port 864</t>
  </si>
  <si>
    <t>Port 865</t>
  </si>
  <si>
    <t>Port 866</t>
  </si>
  <si>
    <t>Port 867</t>
  </si>
  <si>
    <t>Port 868</t>
  </si>
  <si>
    <t>Port 869</t>
  </si>
  <si>
    <t>Port 870</t>
  </si>
  <si>
    <t>Port 871</t>
  </si>
  <si>
    <t>Port 872</t>
  </si>
  <si>
    <t>Port 873</t>
  </si>
  <si>
    <t>Port 874</t>
  </si>
  <si>
    <t>Port 875</t>
  </si>
  <si>
    <t>Port 876</t>
  </si>
  <si>
    <t>Port 877</t>
  </si>
  <si>
    <t>Port 878</t>
  </si>
  <si>
    <t>Port 879</t>
  </si>
  <si>
    <t>Port 880</t>
  </si>
  <si>
    <t>Port 881</t>
  </si>
  <si>
    <t>Port 882</t>
  </si>
  <si>
    <t>Port 883</t>
  </si>
  <si>
    <t>Port 884</t>
  </si>
  <si>
    <t>Port 885</t>
  </si>
  <si>
    <t>Port 886</t>
  </si>
  <si>
    <t>Port 887</t>
  </si>
  <si>
    <t>Port 888</t>
  </si>
  <si>
    <t>Port 889</t>
  </si>
  <si>
    <t>Port 890</t>
  </si>
  <si>
    <t>Port 891</t>
  </si>
  <si>
    <t>Port 892</t>
  </si>
  <si>
    <t>Port 893</t>
  </si>
  <si>
    <t>Port 894</t>
  </si>
  <si>
    <t>Port 895</t>
  </si>
  <si>
    <t>Port 896</t>
  </si>
  <si>
    <t>Port 897</t>
  </si>
  <si>
    <t>Port 898</t>
  </si>
  <si>
    <t>Port 899</t>
  </si>
  <si>
    <t>Port 900</t>
  </si>
  <si>
    <t>Port 901</t>
  </si>
  <si>
    <t>Port 902</t>
  </si>
  <si>
    <t>Port 903</t>
  </si>
  <si>
    <t>Port 904</t>
  </si>
  <si>
    <t>Port 905</t>
  </si>
  <si>
    <t>Port 906</t>
  </si>
  <si>
    <t>Port 907</t>
  </si>
  <si>
    <t>Port 908</t>
  </si>
  <si>
    <t>Port 909</t>
  </si>
  <si>
    <t>Port 910</t>
  </si>
  <si>
    <t>Port 911</t>
  </si>
  <si>
    <t>Port 912</t>
  </si>
  <si>
    <t>Port 913</t>
  </si>
  <si>
    <t>Port 914</t>
  </si>
  <si>
    <t>Port 915</t>
  </si>
  <si>
    <t>Port 916</t>
  </si>
  <si>
    <t>Port 917</t>
  </si>
  <si>
    <t>Port 918</t>
  </si>
  <si>
    <t>Port 919</t>
  </si>
  <si>
    <t>Port 920</t>
  </si>
  <si>
    <t>Port 921</t>
  </si>
  <si>
    <t>Port 922</t>
  </si>
  <si>
    <t>Port 923</t>
  </si>
  <si>
    <t>Port 924</t>
  </si>
  <si>
    <t>Port 925</t>
  </si>
  <si>
    <t>Port 926</t>
  </si>
  <si>
    <t>Port 927</t>
  </si>
  <si>
    <t>Port 928</t>
  </si>
  <si>
    <t>Port 929</t>
  </si>
  <si>
    <t>Port 930</t>
  </si>
  <si>
    <t>Port 931</t>
  </si>
  <si>
    <t>Port 932</t>
  </si>
  <si>
    <t>Port 933</t>
  </si>
  <si>
    <t>Port 934</t>
  </si>
  <si>
    <t>Port 935</t>
  </si>
  <si>
    <t>Port 936</t>
  </si>
  <si>
    <t>Port 937</t>
  </si>
  <si>
    <t>Port 938</t>
  </si>
  <si>
    <t>Port 939</t>
  </si>
  <si>
    <t>Port 940</t>
  </si>
  <si>
    <t>Port 941</t>
  </si>
  <si>
    <t>Port 942</t>
  </si>
  <si>
    <t>Port 943</t>
  </si>
  <si>
    <t>Port 944</t>
  </si>
  <si>
    <t>Port 945</t>
  </si>
  <si>
    <t>Port 946</t>
  </si>
  <si>
    <t>Port 947</t>
  </si>
  <si>
    <t>Port 948</t>
  </si>
  <si>
    <t>Port 949</t>
  </si>
  <si>
    <t>Port 950</t>
  </si>
  <si>
    <t>Port 951</t>
  </si>
  <si>
    <t>Port 952</t>
  </si>
  <si>
    <t>Port 953</t>
  </si>
  <si>
    <t>Port 954</t>
  </si>
  <si>
    <t>Port 955</t>
  </si>
  <si>
    <t>Port 956</t>
  </si>
  <si>
    <t>Port 957</t>
  </si>
  <si>
    <t>Port 958</t>
  </si>
  <si>
    <t>Port 959</t>
  </si>
  <si>
    <t>Port 960</t>
  </si>
  <si>
    <t>Port 961</t>
  </si>
  <si>
    <t>Port 962</t>
  </si>
  <si>
    <t>Port 963</t>
  </si>
  <si>
    <t>Port 964</t>
  </si>
  <si>
    <t>Port 965</t>
  </si>
  <si>
    <t>Port 966</t>
  </si>
  <si>
    <t>Port 967</t>
  </si>
  <si>
    <t>Port 968</t>
  </si>
  <si>
    <t>Port 969</t>
  </si>
  <si>
    <t>Port 970</t>
  </si>
  <si>
    <t>Port 971</t>
  </si>
  <si>
    <t>Port 972</t>
  </si>
  <si>
    <t>Port 973</t>
  </si>
  <si>
    <t>Port 974</t>
  </si>
  <si>
    <t>Port 975</t>
  </si>
  <si>
    <t>Port 976</t>
  </si>
  <si>
    <t>Port 977</t>
  </si>
  <si>
    <t>Port 978</t>
  </si>
  <si>
    <t>Port 979</t>
  </si>
  <si>
    <t>Port 980</t>
  </si>
  <si>
    <t>Port 981</t>
  </si>
  <si>
    <t>Port 982</t>
  </si>
  <si>
    <t>Port 983</t>
  </si>
  <si>
    <t>Port 984</t>
  </si>
  <si>
    <t>Port 985</t>
  </si>
  <si>
    <t>Port 986</t>
  </si>
  <si>
    <t>Port 987</t>
  </si>
  <si>
    <t>Port 988</t>
  </si>
  <si>
    <t>Port 989</t>
  </si>
  <si>
    <t>Port 990</t>
  </si>
  <si>
    <t>Port 991</t>
  </si>
  <si>
    <t>Port 992</t>
  </si>
  <si>
    <t>Port 993</t>
  </si>
  <si>
    <t>Port 994</t>
  </si>
  <si>
    <t>Port 995</t>
  </si>
  <si>
    <t>Port 996</t>
  </si>
  <si>
    <t>Port 997</t>
  </si>
  <si>
    <t>Port 998</t>
  </si>
  <si>
    <t>Port 999</t>
  </si>
  <si>
    <t>Port 1000</t>
  </si>
  <si>
    <t>Exp. Return</t>
  </si>
  <si>
    <t>d)</t>
  </si>
  <si>
    <t>Mean Abs Dev</t>
  </si>
  <si>
    <t>c), e) and f)</t>
  </si>
  <si>
    <t>Value at risk 10%</t>
  </si>
  <si>
    <t>g)</t>
  </si>
  <si>
    <t xml:space="preserve">Weights </t>
  </si>
  <si>
    <t>Sum</t>
  </si>
  <si>
    <t>h)</t>
  </si>
  <si>
    <t>Riske free</t>
  </si>
  <si>
    <t>Return</t>
  </si>
  <si>
    <t>Sharpe ratio</t>
  </si>
  <si>
    <t>i)</t>
  </si>
  <si>
    <t>j)</t>
  </si>
  <si>
    <t>Risk Premium market</t>
  </si>
  <si>
    <t>Covariances</t>
  </si>
  <si>
    <t>Market</t>
  </si>
  <si>
    <t>Market port</t>
  </si>
  <si>
    <t>Beta</t>
  </si>
  <si>
    <t>Required returns</t>
  </si>
  <si>
    <t>Covariance Inverse</t>
  </si>
  <si>
    <t>Excess Return</t>
  </si>
  <si>
    <t>Weights x</t>
  </si>
  <si>
    <t>Weights z</t>
  </si>
  <si>
    <t>Security market line</t>
  </si>
  <si>
    <t>Inteercept</t>
  </si>
  <si>
    <t>Slope</t>
  </si>
  <si>
    <t>Point 1</t>
  </si>
  <si>
    <t>Point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</si>
</sst>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\ 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0" fontId="0" fillId="0" borderId="0" xfId="0" applyNumberFormat="1"/>
    <xf numFmtId="0" fontId="0" fillId="0" borderId="10" xfId="0" applyBorder="1"/>
    <xf numFmtId="14" fontId="0" fillId="0" borderId="10" xfId="0" applyNumberFormat="1" applyBorder="1"/>
    <xf numFmtId="4" fontId="0" fillId="0" borderId="10" xfId="0" applyNumberFormat="1" applyBorder="1"/>
    <xf numFmtId="10" fontId="0" fillId="0" borderId="10" xfId="0" applyNumberFormat="1" applyBorder="1"/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9" fillId="0" borderId="10" xfId="0" applyFont="1" applyBorder="1"/>
    <xf numFmtId="10" fontId="0" fillId="0" borderId="0" xfId="1" applyNumberFormat="1" applyFont="1"/>
    <xf numFmtId="10" fontId="0" fillId="0" borderId="10" xfId="1" applyNumberFormat="1" applyFont="1" applyBorder="1"/>
    <xf numFmtId="167" fontId="0" fillId="0" borderId="10" xfId="1" applyNumberFormat="1" applyFont="1" applyBorder="1"/>
    <xf numFmtId="0" fontId="0" fillId="0" borderId="0" xfId="0" applyBorder="1"/>
    <xf numFmtId="0" fontId="0" fillId="0" borderId="10" xfId="0" applyFill="1" applyBorder="1"/>
    <xf numFmtId="0" fontId="0" fillId="0" borderId="10" xfId="0" applyFont="1" applyBorder="1"/>
    <xf numFmtId="0" fontId="16" fillId="0" borderId="10" xfId="0" applyFont="1" applyBorder="1"/>
    <xf numFmtId="0" fontId="0" fillId="0" borderId="0" xfId="0" applyBorder="1" applyAlignment="1">
      <alignment horizontal="center"/>
    </xf>
    <xf numFmtId="0" fontId="18" fillId="0" borderId="0" xfId="0" applyFont="1" applyBorder="1" applyAlignment="1">
      <alignment horizontal="center"/>
    </xf>
    <xf numFmtId="10" fontId="0" fillId="0" borderId="0" xfId="1" applyNumberFormat="1" applyFont="1" applyBorder="1"/>
    <xf numFmtId="10" fontId="16" fillId="0" borderId="10" xfId="0" applyNumberFormat="1" applyFont="1" applyBorder="1"/>
    <xf numFmtId="0" fontId="16" fillId="0" borderId="11" xfId="0" applyFont="1" applyBorder="1"/>
    <xf numFmtId="10" fontId="16" fillId="0" borderId="11" xfId="0" applyNumberFormat="1" applyFont="1" applyBorder="1"/>
    <xf numFmtId="10" fontId="0" fillId="0" borderId="10" xfId="0" applyNumberFormat="1" applyFont="1" applyBorder="1"/>
    <xf numFmtId="0" fontId="19" fillId="0" borderId="0" xfId="0" applyFont="1"/>
    <xf numFmtId="0" fontId="0" fillId="0" borderId="10" xfId="0" applyFill="1" applyBorder="1" applyAlignment="1">
      <alignment horizontal="right"/>
    </xf>
    <xf numFmtId="0" fontId="0" fillId="0" borderId="10" xfId="0" applyBorder="1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chartsheet" Target="chart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1.xml"/><Relationship Id="rId10" Type="http://schemas.microsoft.com/office/2017/10/relationships/person" Target="persons/person.xml"/><Relationship Id="rId4" Type="http://schemas.openxmlformats.org/officeDocument/2006/relationships/chartsheet" Target="chart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Diagram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'Mandatory Assigment '!$Y$24:$Y$1023</c:f>
              <c:numCache>
                <c:formatCode>General</c:formatCode>
                <c:ptCount val="1000"/>
                <c:pt idx="0">
                  <c:v>1.803944483843354E-2</c:v>
                </c:pt>
                <c:pt idx="1">
                  <c:v>1.6566562867900907E-2</c:v>
                </c:pt>
                <c:pt idx="2">
                  <c:v>1.6112594845991018E-2</c:v>
                </c:pt>
                <c:pt idx="3">
                  <c:v>1.5922955393267605E-2</c:v>
                </c:pt>
                <c:pt idx="4">
                  <c:v>1.82045658695381E-2</c:v>
                </c:pt>
                <c:pt idx="5">
                  <c:v>1.759018413886362E-2</c:v>
                </c:pt>
                <c:pt idx="6">
                  <c:v>1.7255427147636521E-2</c:v>
                </c:pt>
                <c:pt idx="7">
                  <c:v>1.803013526483033E-2</c:v>
                </c:pt>
                <c:pt idx="8">
                  <c:v>1.6037166832577061E-2</c:v>
                </c:pt>
                <c:pt idx="9">
                  <c:v>1.91087931063827E-2</c:v>
                </c:pt>
                <c:pt idx="10">
                  <c:v>1.6271593571035962E-2</c:v>
                </c:pt>
                <c:pt idx="11">
                  <c:v>1.7888817272861859E-2</c:v>
                </c:pt>
                <c:pt idx="12">
                  <c:v>1.7126668285683416E-2</c:v>
                </c:pt>
                <c:pt idx="13">
                  <c:v>1.7227797914981503E-2</c:v>
                </c:pt>
                <c:pt idx="14">
                  <c:v>1.6382354259654713E-2</c:v>
                </c:pt>
                <c:pt idx="15">
                  <c:v>1.6157735414373705E-2</c:v>
                </c:pt>
                <c:pt idx="16">
                  <c:v>1.715868679811532E-2</c:v>
                </c:pt>
                <c:pt idx="17">
                  <c:v>1.7092174213064051E-2</c:v>
                </c:pt>
                <c:pt idx="18">
                  <c:v>1.6382537984798801E-2</c:v>
                </c:pt>
                <c:pt idx="19">
                  <c:v>2.0657285519617596E-2</c:v>
                </c:pt>
                <c:pt idx="20">
                  <c:v>1.6437803461612832E-2</c:v>
                </c:pt>
                <c:pt idx="21">
                  <c:v>1.8263932065842373E-2</c:v>
                </c:pt>
                <c:pt idx="22">
                  <c:v>2.0749302696268082E-2</c:v>
                </c:pt>
                <c:pt idx="23">
                  <c:v>1.754751650464664E-2</c:v>
                </c:pt>
                <c:pt idx="24">
                  <c:v>1.9463293695636139E-2</c:v>
                </c:pt>
                <c:pt idx="25">
                  <c:v>1.7382014591362033E-2</c:v>
                </c:pt>
                <c:pt idx="26">
                  <c:v>1.6584715597216602E-2</c:v>
                </c:pt>
                <c:pt idx="27">
                  <c:v>1.6091929308411287E-2</c:v>
                </c:pt>
                <c:pt idx="28">
                  <c:v>1.6783461916241429E-2</c:v>
                </c:pt>
                <c:pt idx="29">
                  <c:v>1.648632961503391E-2</c:v>
                </c:pt>
                <c:pt idx="30">
                  <c:v>1.7235956515486272E-2</c:v>
                </c:pt>
                <c:pt idx="31">
                  <c:v>1.689767428922238E-2</c:v>
                </c:pt>
                <c:pt idx="32">
                  <c:v>1.648737126005019E-2</c:v>
                </c:pt>
                <c:pt idx="33">
                  <c:v>1.6368158489466333E-2</c:v>
                </c:pt>
                <c:pt idx="34">
                  <c:v>1.7056819815439935E-2</c:v>
                </c:pt>
                <c:pt idx="35">
                  <c:v>1.6161586834444529E-2</c:v>
                </c:pt>
                <c:pt idx="36">
                  <c:v>1.5880758628857506E-2</c:v>
                </c:pt>
                <c:pt idx="37">
                  <c:v>1.7787002707591142E-2</c:v>
                </c:pt>
                <c:pt idx="38">
                  <c:v>1.8415468994145073E-2</c:v>
                </c:pt>
                <c:pt idx="39">
                  <c:v>1.701549014360591E-2</c:v>
                </c:pt>
                <c:pt idx="40">
                  <c:v>1.6231203224643814E-2</c:v>
                </c:pt>
                <c:pt idx="41">
                  <c:v>1.5759101211406199E-2</c:v>
                </c:pt>
                <c:pt idx="42">
                  <c:v>1.6841505629641478E-2</c:v>
                </c:pt>
                <c:pt idx="43">
                  <c:v>1.6432887716895075E-2</c:v>
                </c:pt>
                <c:pt idx="44">
                  <c:v>1.8187426317348918E-2</c:v>
                </c:pt>
                <c:pt idx="45">
                  <c:v>1.6612472461563017E-2</c:v>
                </c:pt>
                <c:pt idx="46">
                  <c:v>1.8562335100004747E-2</c:v>
                </c:pt>
                <c:pt idx="47">
                  <c:v>1.8437373482589319E-2</c:v>
                </c:pt>
                <c:pt idx="48">
                  <c:v>1.6787400929334648E-2</c:v>
                </c:pt>
                <c:pt idx="49">
                  <c:v>1.6756864204542282E-2</c:v>
                </c:pt>
                <c:pt idx="50">
                  <c:v>1.8170163836091765E-2</c:v>
                </c:pt>
                <c:pt idx="51">
                  <c:v>1.7540039558892318E-2</c:v>
                </c:pt>
                <c:pt idx="52">
                  <c:v>1.7353382589669963E-2</c:v>
                </c:pt>
                <c:pt idx="53">
                  <c:v>1.721790870368126E-2</c:v>
                </c:pt>
                <c:pt idx="54">
                  <c:v>1.721744927026753E-2</c:v>
                </c:pt>
                <c:pt idx="55">
                  <c:v>1.7847398778904521E-2</c:v>
                </c:pt>
                <c:pt idx="56">
                  <c:v>1.7322087826046762E-2</c:v>
                </c:pt>
                <c:pt idx="57">
                  <c:v>1.6976645044651014E-2</c:v>
                </c:pt>
                <c:pt idx="58">
                  <c:v>1.5834562039530306E-2</c:v>
                </c:pt>
                <c:pt idx="59">
                  <c:v>1.6800847067511619E-2</c:v>
                </c:pt>
                <c:pt idx="60">
                  <c:v>1.6528779025747467E-2</c:v>
                </c:pt>
                <c:pt idx="61">
                  <c:v>1.8427971919827806E-2</c:v>
                </c:pt>
                <c:pt idx="62">
                  <c:v>1.679255142226178E-2</c:v>
                </c:pt>
                <c:pt idx="63">
                  <c:v>1.6375346103712423E-2</c:v>
                </c:pt>
                <c:pt idx="64">
                  <c:v>1.7124038118079665E-2</c:v>
                </c:pt>
                <c:pt idx="65">
                  <c:v>1.6254829490317979E-2</c:v>
                </c:pt>
                <c:pt idx="66">
                  <c:v>1.6096487202450535E-2</c:v>
                </c:pt>
                <c:pt idx="67">
                  <c:v>1.7510302283664146E-2</c:v>
                </c:pt>
                <c:pt idx="68">
                  <c:v>1.6447775878456309E-2</c:v>
                </c:pt>
                <c:pt idx="69">
                  <c:v>1.6698666754328732E-2</c:v>
                </c:pt>
                <c:pt idx="70">
                  <c:v>1.6954627726810025E-2</c:v>
                </c:pt>
                <c:pt idx="71">
                  <c:v>1.7212151557450154E-2</c:v>
                </c:pt>
                <c:pt idx="72">
                  <c:v>1.819891449669641E-2</c:v>
                </c:pt>
                <c:pt idx="73">
                  <c:v>1.7118561330243875E-2</c:v>
                </c:pt>
                <c:pt idx="74">
                  <c:v>1.8133025950640445E-2</c:v>
                </c:pt>
                <c:pt idx="75">
                  <c:v>1.7025395366716576E-2</c:v>
                </c:pt>
                <c:pt idx="76">
                  <c:v>1.6276718358724726E-2</c:v>
                </c:pt>
                <c:pt idx="77">
                  <c:v>1.7256061052888162E-2</c:v>
                </c:pt>
                <c:pt idx="78">
                  <c:v>1.6733374384087916E-2</c:v>
                </c:pt>
                <c:pt idx="79">
                  <c:v>1.7982312595353506E-2</c:v>
                </c:pt>
                <c:pt idx="80">
                  <c:v>1.8867534012261454E-2</c:v>
                </c:pt>
                <c:pt idx="81">
                  <c:v>1.7151466416596928E-2</c:v>
                </c:pt>
                <c:pt idx="82">
                  <c:v>1.7678652643526242E-2</c:v>
                </c:pt>
                <c:pt idx="83">
                  <c:v>1.8566286753785265E-2</c:v>
                </c:pt>
                <c:pt idx="84">
                  <c:v>1.6649000022379134E-2</c:v>
                </c:pt>
                <c:pt idx="85">
                  <c:v>1.5634851724359418E-2</c:v>
                </c:pt>
                <c:pt idx="86">
                  <c:v>1.6819707631379993E-2</c:v>
                </c:pt>
                <c:pt idx="87">
                  <c:v>1.6483462394818557E-2</c:v>
                </c:pt>
                <c:pt idx="88">
                  <c:v>2.0804490192520016E-2</c:v>
                </c:pt>
                <c:pt idx="89">
                  <c:v>1.6702170018177909E-2</c:v>
                </c:pt>
                <c:pt idx="90">
                  <c:v>1.731324175849891E-2</c:v>
                </c:pt>
                <c:pt idx="91">
                  <c:v>1.6600817079925639E-2</c:v>
                </c:pt>
                <c:pt idx="92">
                  <c:v>1.6194385961485931E-2</c:v>
                </c:pt>
                <c:pt idx="93">
                  <c:v>1.6803021570900929E-2</c:v>
                </c:pt>
                <c:pt idx="94">
                  <c:v>1.6806006957647508E-2</c:v>
                </c:pt>
                <c:pt idx="95">
                  <c:v>1.5974692168820092E-2</c:v>
                </c:pt>
                <c:pt idx="96">
                  <c:v>1.7407810810226014E-2</c:v>
                </c:pt>
                <c:pt idx="97">
                  <c:v>1.6893260542879453E-2</c:v>
                </c:pt>
                <c:pt idx="98">
                  <c:v>2.0007683394615158E-2</c:v>
                </c:pt>
                <c:pt idx="99">
                  <c:v>1.6437421154077821E-2</c:v>
                </c:pt>
                <c:pt idx="100">
                  <c:v>1.8213591581909078E-2</c:v>
                </c:pt>
                <c:pt idx="101">
                  <c:v>1.6295204787710869E-2</c:v>
                </c:pt>
                <c:pt idx="102">
                  <c:v>1.6105828312281675E-2</c:v>
                </c:pt>
                <c:pt idx="103">
                  <c:v>1.6775414602383174E-2</c:v>
                </c:pt>
                <c:pt idx="104">
                  <c:v>1.6491193919358386E-2</c:v>
                </c:pt>
                <c:pt idx="105">
                  <c:v>1.7921095283527012E-2</c:v>
                </c:pt>
                <c:pt idx="106">
                  <c:v>1.8269108217652617E-2</c:v>
                </c:pt>
                <c:pt idx="107">
                  <c:v>1.6790620485873549E-2</c:v>
                </c:pt>
                <c:pt idx="108">
                  <c:v>1.743909196997696E-2</c:v>
                </c:pt>
                <c:pt idx="109">
                  <c:v>1.8755987013598593E-2</c:v>
                </c:pt>
                <c:pt idx="110">
                  <c:v>1.7306353662102564E-2</c:v>
                </c:pt>
                <c:pt idx="111">
                  <c:v>2.0018929552465505E-2</c:v>
                </c:pt>
                <c:pt idx="112">
                  <c:v>1.6889541227273541E-2</c:v>
                </c:pt>
                <c:pt idx="113">
                  <c:v>1.7236863670247092E-2</c:v>
                </c:pt>
                <c:pt idx="114">
                  <c:v>1.7733537614481976E-2</c:v>
                </c:pt>
                <c:pt idx="115">
                  <c:v>1.8809941070799394E-2</c:v>
                </c:pt>
                <c:pt idx="116">
                  <c:v>1.6655214677641174E-2</c:v>
                </c:pt>
                <c:pt idx="117">
                  <c:v>1.6301104023850786E-2</c:v>
                </c:pt>
                <c:pt idx="118">
                  <c:v>1.7621804229692669E-2</c:v>
                </c:pt>
                <c:pt idx="119">
                  <c:v>1.784321411986067E-2</c:v>
                </c:pt>
                <c:pt idx="120">
                  <c:v>1.6293132292011011E-2</c:v>
                </c:pt>
                <c:pt idx="121">
                  <c:v>1.8718949350851999E-2</c:v>
                </c:pt>
                <c:pt idx="122">
                  <c:v>1.6786482842425135E-2</c:v>
                </c:pt>
                <c:pt idx="123">
                  <c:v>1.688089348259814E-2</c:v>
                </c:pt>
                <c:pt idx="124">
                  <c:v>1.9766479911842969E-2</c:v>
                </c:pt>
                <c:pt idx="125">
                  <c:v>1.7020732749595199E-2</c:v>
                </c:pt>
                <c:pt idx="126">
                  <c:v>1.9269435711016129E-2</c:v>
                </c:pt>
                <c:pt idx="127">
                  <c:v>1.6582901172761927E-2</c:v>
                </c:pt>
                <c:pt idx="128">
                  <c:v>1.5593369466255797E-2</c:v>
                </c:pt>
                <c:pt idx="129">
                  <c:v>1.6333380021705556E-2</c:v>
                </c:pt>
                <c:pt idx="130">
                  <c:v>1.6565869103755619E-2</c:v>
                </c:pt>
                <c:pt idx="131">
                  <c:v>1.6774484645032988E-2</c:v>
                </c:pt>
                <c:pt idx="132">
                  <c:v>1.6784145394104343E-2</c:v>
                </c:pt>
                <c:pt idx="133">
                  <c:v>1.7400038898483416E-2</c:v>
                </c:pt>
                <c:pt idx="134">
                  <c:v>1.6672322652800477E-2</c:v>
                </c:pt>
                <c:pt idx="135">
                  <c:v>1.6198005340735344E-2</c:v>
                </c:pt>
                <c:pt idx="136">
                  <c:v>1.7159275069008322E-2</c:v>
                </c:pt>
                <c:pt idx="137">
                  <c:v>1.7447085840009049E-2</c:v>
                </c:pt>
                <c:pt idx="138">
                  <c:v>1.6602276091777664E-2</c:v>
                </c:pt>
                <c:pt idx="139">
                  <c:v>1.7240348491233664E-2</c:v>
                </c:pt>
                <c:pt idx="140">
                  <c:v>1.7357042936171203E-2</c:v>
                </c:pt>
                <c:pt idx="141">
                  <c:v>1.9770142624609011E-2</c:v>
                </c:pt>
                <c:pt idx="142">
                  <c:v>1.5686931725448851E-2</c:v>
                </c:pt>
                <c:pt idx="143">
                  <c:v>1.6731028522318597E-2</c:v>
                </c:pt>
                <c:pt idx="144">
                  <c:v>1.8042470134783564E-2</c:v>
                </c:pt>
                <c:pt idx="145">
                  <c:v>1.9226979570212775E-2</c:v>
                </c:pt>
                <c:pt idx="146">
                  <c:v>1.720538483767443E-2</c:v>
                </c:pt>
                <c:pt idx="147">
                  <c:v>1.6686429477879471E-2</c:v>
                </c:pt>
                <c:pt idx="148">
                  <c:v>1.8309197845152017E-2</c:v>
                </c:pt>
                <c:pt idx="149">
                  <c:v>1.8036973094899295E-2</c:v>
                </c:pt>
                <c:pt idx="150">
                  <c:v>1.651038331346363E-2</c:v>
                </c:pt>
                <c:pt idx="151">
                  <c:v>1.7909485807711234E-2</c:v>
                </c:pt>
                <c:pt idx="152">
                  <c:v>1.7047226221075441E-2</c:v>
                </c:pt>
                <c:pt idx="153">
                  <c:v>1.6644641215181003E-2</c:v>
                </c:pt>
                <c:pt idx="154">
                  <c:v>1.7296097528098825E-2</c:v>
                </c:pt>
                <c:pt idx="155">
                  <c:v>1.9018418309701125E-2</c:v>
                </c:pt>
                <c:pt idx="156">
                  <c:v>1.8378515557031825E-2</c:v>
                </c:pt>
                <c:pt idx="157">
                  <c:v>1.743646050704464E-2</c:v>
                </c:pt>
                <c:pt idx="158">
                  <c:v>1.8778413364540267E-2</c:v>
                </c:pt>
                <c:pt idx="159">
                  <c:v>1.7094410208612056E-2</c:v>
                </c:pt>
                <c:pt idx="160">
                  <c:v>1.6663450876714395E-2</c:v>
                </c:pt>
                <c:pt idx="161">
                  <c:v>1.7988078274300361E-2</c:v>
                </c:pt>
                <c:pt idx="162">
                  <c:v>1.6523642961447572E-2</c:v>
                </c:pt>
                <c:pt idx="163">
                  <c:v>2.0302699489199442E-2</c:v>
                </c:pt>
                <c:pt idx="164">
                  <c:v>1.8250402351227719E-2</c:v>
                </c:pt>
                <c:pt idx="165">
                  <c:v>1.7115451242018742E-2</c:v>
                </c:pt>
                <c:pt idx="166">
                  <c:v>1.8485698234293742E-2</c:v>
                </c:pt>
                <c:pt idx="167">
                  <c:v>1.9508128652204318E-2</c:v>
                </c:pt>
                <c:pt idx="168">
                  <c:v>1.8363091382624656E-2</c:v>
                </c:pt>
                <c:pt idx="169">
                  <c:v>1.7862569038480311E-2</c:v>
                </c:pt>
                <c:pt idx="170">
                  <c:v>1.9255674220863567E-2</c:v>
                </c:pt>
                <c:pt idx="171">
                  <c:v>1.6568256752665374E-2</c:v>
                </c:pt>
                <c:pt idx="172">
                  <c:v>1.6328570430610961E-2</c:v>
                </c:pt>
                <c:pt idx="173">
                  <c:v>1.8368346760679069E-2</c:v>
                </c:pt>
                <c:pt idx="174">
                  <c:v>1.9619404575832066E-2</c:v>
                </c:pt>
                <c:pt idx="175">
                  <c:v>1.6466008738287654E-2</c:v>
                </c:pt>
                <c:pt idx="176">
                  <c:v>1.7044461996472519E-2</c:v>
                </c:pt>
                <c:pt idx="177">
                  <c:v>1.7010206581863498E-2</c:v>
                </c:pt>
                <c:pt idx="178">
                  <c:v>1.6817867688307491E-2</c:v>
                </c:pt>
                <c:pt idx="179">
                  <c:v>1.6842247734456302E-2</c:v>
                </c:pt>
                <c:pt idx="180">
                  <c:v>1.5654008882185207E-2</c:v>
                </c:pt>
                <c:pt idx="181">
                  <c:v>1.8917239006843185E-2</c:v>
                </c:pt>
                <c:pt idx="182">
                  <c:v>1.7045272622369226E-2</c:v>
                </c:pt>
                <c:pt idx="183">
                  <c:v>1.8355956607221103E-2</c:v>
                </c:pt>
                <c:pt idx="184">
                  <c:v>1.8157222890979416E-2</c:v>
                </c:pt>
                <c:pt idx="185">
                  <c:v>1.7636735730803228E-2</c:v>
                </c:pt>
                <c:pt idx="186">
                  <c:v>1.7371117522598199E-2</c:v>
                </c:pt>
                <c:pt idx="187">
                  <c:v>1.6365202335237264E-2</c:v>
                </c:pt>
                <c:pt idx="188">
                  <c:v>1.6000984286988148E-2</c:v>
                </c:pt>
                <c:pt idx="189">
                  <c:v>1.7518430411233212E-2</c:v>
                </c:pt>
                <c:pt idx="190">
                  <c:v>1.8092839432413455E-2</c:v>
                </c:pt>
                <c:pt idx="191">
                  <c:v>1.8536056524138853E-2</c:v>
                </c:pt>
                <c:pt idx="192">
                  <c:v>1.9757645182892983E-2</c:v>
                </c:pt>
                <c:pt idx="193">
                  <c:v>1.6831299203253942E-2</c:v>
                </c:pt>
                <c:pt idx="194">
                  <c:v>1.634120183086369E-2</c:v>
                </c:pt>
                <c:pt idx="195">
                  <c:v>1.6520614491892505E-2</c:v>
                </c:pt>
                <c:pt idx="196">
                  <c:v>1.8726874880966186E-2</c:v>
                </c:pt>
                <c:pt idx="197">
                  <c:v>1.8618954516595104E-2</c:v>
                </c:pt>
                <c:pt idx="198">
                  <c:v>1.8202449872365085E-2</c:v>
                </c:pt>
                <c:pt idx="199">
                  <c:v>1.6037317491851472E-2</c:v>
                </c:pt>
                <c:pt idx="200">
                  <c:v>1.5887951156393881E-2</c:v>
                </c:pt>
                <c:pt idx="201">
                  <c:v>1.7809905501832854E-2</c:v>
                </c:pt>
                <c:pt idx="202">
                  <c:v>1.659322212942644E-2</c:v>
                </c:pt>
                <c:pt idx="203">
                  <c:v>1.760760330871099E-2</c:v>
                </c:pt>
                <c:pt idx="204">
                  <c:v>1.6714437190271027E-2</c:v>
                </c:pt>
                <c:pt idx="205">
                  <c:v>1.6598334801073013E-2</c:v>
                </c:pt>
                <c:pt idx="206">
                  <c:v>1.6703001863994434E-2</c:v>
                </c:pt>
                <c:pt idx="207">
                  <c:v>1.6369103384687882E-2</c:v>
                </c:pt>
                <c:pt idx="208">
                  <c:v>1.8069584106924802E-2</c:v>
                </c:pt>
                <c:pt idx="209">
                  <c:v>1.6676142920652403E-2</c:v>
                </c:pt>
                <c:pt idx="210">
                  <c:v>1.8737138182624503E-2</c:v>
                </c:pt>
                <c:pt idx="211">
                  <c:v>1.6583612305687133E-2</c:v>
                </c:pt>
                <c:pt idx="212">
                  <c:v>1.8188514891189507E-2</c:v>
                </c:pt>
                <c:pt idx="213">
                  <c:v>1.8297949613157258E-2</c:v>
                </c:pt>
                <c:pt idx="214">
                  <c:v>1.9256586319552869E-2</c:v>
                </c:pt>
                <c:pt idx="215">
                  <c:v>1.8075784710020245E-2</c:v>
                </c:pt>
                <c:pt idx="216">
                  <c:v>1.7060173408922054E-2</c:v>
                </c:pt>
                <c:pt idx="217">
                  <c:v>1.804157610908444E-2</c:v>
                </c:pt>
                <c:pt idx="218">
                  <c:v>1.6886531373220322E-2</c:v>
                </c:pt>
                <c:pt idx="219">
                  <c:v>1.9294679507933218E-2</c:v>
                </c:pt>
                <c:pt idx="220">
                  <c:v>1.7016861441627458E-2</c:v>
                </c:pt>
                <c:pt idx="221">
                  <c:v>1.7480480696946035E-2</c:v>
                </c:pt>
                <c:pt idx="222">
                  <c:v>1.6883569239534081E-2</c:v>
                </c:pt>
                <c:pt idx="223">
                  <c:v>1.735989649960773E-2</c:v>
                </c:pt>
                <c:pt idx="224">
                  <c:v>1.809716007917115E-2</c:v>
                </c:pt>
                <c:pt idx="225">
                  <c:v>1.6502549294338843E-2</c:v>
                </c:pt>
                <c:pt idx="226">
                  <c:v>1.6656570197650527E-2</c:v>
                </c:pt>
                <c:pt idx="227">
                  <c:v>1.6503136613021267E-2</c:v>
                </c:pt>
                <c:pt idx="228">
                  <c:v>1.6760673817068018E-2</c:v>
                </c:pt>
                <c:pt idx="229">
                  <c:v>1.6461975683071169E-2</c:v>
                </c:pt>
                <c:pt idx="230">
                  <c:v>1.8237137540529951E-2</c:v>
                </c:pt>
                <c:pt idx="231">
                  <c:v>1.6810872554138073E-2</c:v>
                </c:pt>
                <c:pt idx="232">
                  <c:v>1.7225300636925824E-2</c:v>
                </c:pt>
                <c:pt idx="233">
                  <c:v>1.6994799711620465E-2</c:v>
                </c:pt>
                <c:pt idx="234">
                  <c:v>1.8325102002004667E-2</c:v>
                </c:pt>
                <c:pt idx="235">
                  <c:v>1.6619622661078692E-2</c:v>
                </c:pt>
                <c:pt idx="236">
                  <c:v>1.9008371595775259E-2</c:v>
                </c:pt>
                <c:pt idx="237">
                  <c:v>1.7494329892908365E-2</c:v>
                </c:pt>
                <c:pt idx="238">
                  <c:v>1.9344471102861378E-2</c:v>
                </c:pt>
                <c:pt idx="239">
                  <c:v>1.8307457828563543E-2</c:v>
                </c:pt>
                <c:pt idx="240">
                  <c:v>1.6450504918408104E-2</c:v>
                </c:pt>
                <c:pt idx="241">
                  <c:v>1.8856287448140149E-2</c:v>
                </c:pt>
                <c:pt idx="242">
                  <c:v>1.6932765703167336E-2</c:v>
                </c:pt>
                <c:pt idx="243">
                  <c:v>1.6760952503337527E-2</c:v>
                </c:pt>
                <c:pt idx="244">
                  <c:v>1.6779929894025013E-2</c:v>
                </c:pt>
                <c:pt idx="245">
                  <c:v>1.6708888972952127E-2</c:v>
                </c:pt>
                <c:pt idx="246">
                  <c:v>1.6245573369992477E-2</c:v>
                </c:pt>
                <c:pt idx="247">
                  <c:v>1.8704076296517831E-2</c:v>
                </c:pt>
                <c:pt idx="248">
                  <c:v>1.6190893312894323E-2</c:v>
                </c:pt>
                <c:pt idx="249">
                  <c:v>1.6147801395115381E-2</c:v>
                </c:pt>
                <c:pt idx="250">
                  <c:v>1.9035103027806463E-2</c:v>
                </c:pt>
                <c:pt idx="251">
                  <c:v>1.8965382268131457E-2</c:v>
                </c:pt>
                <c:pt idx="252">
                  <c:v>1.7084196872342198E-2</c:v>
                </c:pt>
                <c:pt idx="253">
                  <c:v>1.7226325476592676E-2</c:v>
                </c:pt>
                <c:pt idx="254">
                  <c:v>1.629185712085051E-2</c:v>
                </c:pt>
                <c:pt idx="255">
                  <c:v>1.7647056070100791E-2</c:v>
                </c:pt>
                <c:pt idx="256">
                  <c:v>1.6780636518651994E-2</c:v>
                </c:pt>
                <c:pt idx="257">
                  <c:v>1.8709285243956562E-2</c:v>
                </c:pt>
                <c:pt idx="258">
                  <c:v>1.7896700064538782E-2</c:v>
                </c:pt>
                <c:pt idx="259">
                  <c:v>1.7185325470606059E-2</c:v>
                </c:pt>
                <c:pt idx="260">
                  <c:v>1.675837148002807E-2</c:v>
                </c:pt>
                <c:pt idx="261">
                  <c:v>1.6389826625310112E-2</c:v>
                </c:pt>
                <c:pt idx="262">
                  <c:v>1.8524062893986237E-2</c:v>
                </c:pt>
                <c:pt idx="263">
                  <c:v>1.6510869134053325E-2</c:v>
                </c:pt>
                <c:pt idx="264">
                  <c:v>1.8693448117282695E-2</c:v>
                </c:pt>
                <c:pt idx="265">
                  <c:v>1.8210266786520046E-2</c:v>
                </c:pt>
                <c:pt idx="266">
                  <c:v>1.6190520708406413E-2</c:v>
                </c:pt>
                <c:pt idx="267">
                  <c:v>1.7297348567607222E-2</c:v>
                </c:pt>
                <c:pt idx="268">
                  <c:v>1.6096694895014117E-2</c:v>
                </c:pt>
                <c:pt idx="269">
                  <c:v>1.6445625345822223E-2</c:v>
                </c:pt>
                <c:pt idx="270">
                  <c:v>1.8043671549029725E-2</c:v>
                </c:pt>
                <c:pt idx="271">
                  <c:v>1.6994889590471893E-2</c:v>
                </c:pt>
                <c:pt idx="272">
                  <c:v>1.5862778185819309E-2</c:v>
                </c:pt>
                <c:pt idx="273">
                  <c:v>1.682791420453756E-2</c:v>
                </c:pt>
                <c:pt idx="274">
                  <c:v>1.7500671858231332E-2</c:v>
                </c:pt>
                <c:pt idx="275">
                  <c:v>1.7843982963429331E-2</c:v>
                </c:pt>
                <c:pt idx="276">
                  <c:v>1.7384283181666595E-2</c:v>
                </c:pt>
                <c:pt idx="277">
                  <c:v>1.6825014122385698E-2</c:v>
                </c:pt>
                <c:pt idx="278">
                  <c:v>1.6692545420277365E-2</c:v>
                </c:pt>
                <c:pt idx="279">
                  <c:v>1.6401086430520566E-2</c:v>
                </c:pt>
                <c:pt idx="280">
                  <c:v>1.8556158409234722E-2</c:v>
                </c:pt>
                <c:pt idx="281">
                  <c:v>1.6273878778207931E-2</c:v>
                </c:pt>
                <c:pt idx="282">
                  <c:v>1.7209016472642735E-2</c:v>
                </c:pt>
                <c:pt idx="283">
                  <c:v>1.6105174602291373E-2</c:v>
                </c:pt>
                <c:pt idx="284">
                  <c:v>1.7120704683269775E-2</c:v>
                </c:pt>
                <c:pt idx="285">
                  <c:v>1.681014402214041E-2</c:v>
                </c:pt>
                <c:pt idx="286">
                  <c:v>1.7558357271360646E-2</c:v>
                </c:pt>
                <c:pt idx="287">
                  <c:v>1.6211256184377718E-2</c:v>
                </c:pt>
                <c:pt idx="288">
                  <c:v>1.653633387511674E-2</c:v>
                </c:pt>
                <c:pt idx="289">
                  <c:v>1.6333767896298215E-2</c:v>
                </c:pt>
                <c:pt idx="290">
                  <c:v>1.8211816886154409E-2</c:v>
                </c:pt>
                <c:pt idx="291">
                  <c:v>1.6232119545990548E-2</c:v>
                </c:pt>
                <c:pt idx="292">
                  <c:v>1.5633220477730168E-2</c:v>
                </c:pt>
                <c:pt idx="293">
                  <c:v>1.7707031917425214E-2</c:v>
                </c:pt>
                <c:pt idx="294">
                  <c:v>1.8384744981911078E-2</c:v>
                </c:pt>
                <c:pt idx="295">
                  <c:v>1.761343811848123E-2</c:v>
                </c:pt>
                <c:pt idx="296">
                  <c:v>1.8308324351767293E-2</c:v>
                </c:pt>
                <c:pt idx="297">
                  <c:v>1.6260748261281557E-2</c:v>
                </c:pt>
                <c:pt idx="298">
                  <c:v>1.7912943651573351E-2</c:v>
                </c:pt>
                <c:pt idx="299">
                  <c:v>1.6769162425378081E-2</c:v>
                </c:pt>
                <c:pt idx="300">
                  <c:v>1.7599510808378606E-2</c:v>
                </c:pt>
                <c:pt idx="301">
                  <c:v>1.7883610215635889E-2</c:v>
                </c:pt>
                <c:pt idx="302">
                  <c:v>1.7951258224896519E-2</c:v>
                </c:pt>
                <c:pt idx="303">
                  <c:v>1.8996923874742038E-2</c:v>
                </c:pt>
                <c:pt idx="304">
                  <c:v>1.6345855303664343E-2</c:v>
                </c:pt>
                <c:pt idx="305">
                  <c:v>1.7738768648113291E-2</c:v>
                </c:pt>
                <c:pt idx="306">
                  <c:v>1.6129725388117674E-2</c:v>
                </c:pt>
                <c:pt idx="307">
                  <c:v>1.7754631209688006E-2</c:v>
                </c:pt>
                <c:pt idx="308">
                  <c:v>1.6548448940752466E-2</c:v>
                </c:pt>
                <c:pt idx="309">
                  <c:v>1.9597071178746601E-2</c:v>
                </c:pt>
                <c:pt idx="310">
                  <c:v>1.7661829001407819E-2</c:v>
                </c:pt>
                <c:pt idx="311">
                  <c:v>1.6791247634129064E-2</c:v>
                </c:pt>
                <c:pt idx="312">
                  <c:v>1.7283644515764321E-2</c:v>
                </c:pt>
                <c:pt idx="313">
                  <c:v>1.6127861591803454E-2</c:v>
                </c:pt>
                <c:pt idx="314">
                  <c:v>1.8114344898015399E-2</c:v>
                </c:pt>
                <c:pt idx="315">
                  <c:v>1.6556912540574616E-2</c:v>
                </c:pt>
                <c:pt idx="316">
                  <c:v>1.7252930814164298E-2</c:v>
                </c:pt>
                <c:pt idx="317">
                  <c:v>1.854253583033982E-2</c:v>
                </c:pt>
                <c:pt idx="318">
                  <c:v>1.6220578519562788E-2</c:v>
                </c:pt>
                <c:pt idx="319">
                  <c:v>1.6204010919876558E-2</c:v>
                </c:pt>
                <c:pt idx="320">
                  <c:v>1.6297048389259303E-2</c:v>
                </c:pt>
                <c:pt idx="321">
                  <c:v>1.7295555015173138E-2</c:v>
                </c:pt>
                <c:pt idx="322">
                  <c:v>1.7834098084360324E-2</c:v>
                </c:pt>
                <c:pt idx="323">
                  <c:v>1.655697540847573E-2</c:v>
                </c:pt>
                <c:pt idx="324">
                  <c:v>1.6540641942825576E-2</c:v>
                </c:pt>
                <c:pt idx="325">
                  <c:v>1.6558873563143367E-2</c:v>
                </c:pt>
                <c:pt idx="326">
                  <c:v>1.7487049648138228E-2</c:v>
                </c:pt>
                <c:pt idx="327">
                  <c:v>1.6572371328791972E-2</c:v>
                </c:pt>
                <c:pt idx="328">
                  <c:v>1.734787844524428E-2</c:v>
                </c:pt>
                <c:pt idx="329">
                  <c:v>1.6822831661053188E-2</c:v>
                </c:pt>
                <c:pt idx="330">
                  <c:v>1.6880656581549938E-2</c:v>
                </c:pt>
                <c:pt idx="331">
                  <c:v>1.7655294997395786E-2</c:v>
                </c:pt>
                <c:pt idx="332">
                  <c:v>1.7604746411196567E-2</c:v>
                </c:pt>
                <c:pt idx="333">
                  <c:v>1.6312555452934419E-2</c:v>
                </c:pt>
                <c:pt idx="334">
                  <c:v>1.6399768284043766E-2</c:v>
                </c:pt>
                <c:pt idx="335">
                  <c:v>1.690755921717051E-2</c:v>
                </c:pt>
                <c:pt idx="336">
                  <c:v>1.885326192006018E-2</c:v>
                </c:pt>
                <c:pt idx="337">
                  <c:v>1.7428880183788655E-2</c:v>
                </c:pt>
                <c:pt idx="338">
                  <c:v>1.7013754560467029E-2</c:v>
                </c:pt>
                <c:pt idx="339">
                  <c:v>1.8126598142645913E-2</c:v>
                </c:pt>
                <c:pt idx="340">
                  <c:v>1.9250877755396471E-2</c:v>
                </c:pt>
                <c:pt idx="341">
                  <c:v>1.7856253414704072E-2</c:v>
                </c:pt>
                <c:pt idx="342">
                  <c:v>1.6873902836824894E-2</c:v>
                </c:pt>
                <c:pt idx="343">
                  <c:v>1.8363258089714264E-2</c:v>
                </c:pt>
                <c:pt idx="344">
                  <c:v>1.727153766196797E-2</c:v>
                </c:pt>
                <c:pt idx="345">
                  <c:v>1.6658129188032514E-2</c:v>
                </c:pt>
                <c:pt idx="346">
                  <c:v>1.7248172188256819E-2</c:v>
                </c:pt>
                <c:pt idx="347">
                  <c:v>1.7245829424222498E-2</c:v>
                </c:pt>
                <c:pt idx="348">
                  <c:v>1.6890823549232721E-2</c:v>
                </c:pt>
                <c:pt idx="349">
                  <c:v>1.8041421534949895E-2</c:v>
                </c:pt>
                <c:pt idx="350">
                  <c:v>1.8305985365459656E-2</c:v>
                </c:pt>
                <c:pt idx="351">
                  <c:v>1.6668566666951476E-2</c:v>
                </c:pt>
                <c:pt idx="352">
                  <c:v>1.8207987084876687E-2</c:v>
                </c:pt>
                <c:pt idx="353">
                  <c:v>1.7389020691664449E-2</c:v>
                </c:pt>
                <c:pt idx="354">
                  <c:v>1.7340471430351823E-2</c:v>
                </c:pt>
                <c:pt idx="355">
                  <c:v>1.6991708714113322E-2</c:v>
                </c:pt>
                <c:pt idx="356">
                  <c:v>1.7392621063566812E-2</c:v>
                </c:pt>
                <c:pt idx="357">
                  <c:v>1.6081963370281383E-2</c:v>
                </c:pt>
                <c:pt idx="358">
                  <c:v>1.8216090955367983E-2</c:v>
                </c:pt>
                <c:pt idx="359">
                  <c:v>1.6916993690945622E-2</c:v>
                </c:pt>
                <c:pt idx="360">
                  <c:v>1.6328893179997521E-2</c:v>
                </c:pt>
                <c:pt idx="361">
                  <c:v>1.7486334876993137E-2</c:v>
                </c:pt>
                <c:pt idx="362">
                  <c:v>1.6735134307681667E-2</c:v>
                </c:pt>
                <c:pt idx="363">
                  <c:v>1.7422005422934286E-2</c:v>
                </c:pt>
                <c:pt idx="364">
                  <c:v>1.8430686558512991E-2</c:v>
                </c:pt>
                <c:pt idx="365">
                  <c:v>1.6308053438663997E-2</c:v>
                </c:pt>
                <c:pt idx="366">
                  <c:v>1.6646077127654261E-2</c:v>
                </c:pt>
                <c:pt idx="367">
                  <c:v>1.7877262015039554E-2</c:v>
                </c:pt>
                <c:pt idx="368">
                  <c:v>1.7701494192314055E-2</c:v>
                </c:pt>
                <c:pt idx="369">
                  <c:v>1.7217770780550697E-2</c:v>
                </c:pt>
                <c:pt idx="370">
                  <c:v>1.6551140630237781E-2</c:v>
                </c:pt>
                <c:pt idx="371">
                  <c:v>1.6398303179857868E-2</c:v>
                </c:pt>
                <c:pt idx="372">
                  <c:v>1.6534341143110712E-2</c:v>
                </c:pt>
                <c:pt idx="373">
                  <c:v>1.6566584178913525E-2</c:v>
                </c:pt>
                <c:pt idx="374">
                  <c:v>1.6748838718695449E-2</c:v>
                </c:pt>
                <c:pt idx="375">
                  <c:v>1.6000077463009306E-2</c:v>
                </c:pt>
                <c:pt idx="376">
                  <c:v>1.7078790583309855E-2</c:v>
                </c:pt>
                <c:pt idx="377">
                  <c:v>1.7983504832359339E-2</c:v>
                </c:pt>
                <c:pt idx="378">
                  <c:v>1.6886559570913017E-2</c:v>
                </c:pt>
                <c:pt idx="379">
                  <c:v>1.68448419740405E-2</c:v>
                </c:pt>
                <c:pt idx="380">
                  <c:v>1.6881710446490318E-2</c:v>
                </c:pt>
                <c:pt idx="381">
                  <c:v>1.6146335288640269E-2</c:v>
                </c:pt>
                <c:pt idx="382">
                  <c:v>1.6691071370547383E-2</c:v>
                </c:pt>
                <c:pt idx="383">
                  <c:v>1.9120810636510308E-2</c:v>
                </c:pt>
                <c:pt idx="384">
                  <c:v>1.7787258716285722E-2</c:v>
                </c:pt>
                <c:pt idx="385">
                  <c:v>1.8129331014117064E-2</c:v>
                </c:pt>
                <c:pt idx="386">
                  <c:v>1.6435467400139209E-2</c:v>
                </c:pt>
                <c:pt idx="387">
                  <c:v>1.6458841611513248E-2</c:v>
                </c:pt>
                <c:pt idx="388">
                  <c:v>1.7192856392611196E-2</c:v>
                </c:pt>
                <c:pt idx="389">
                  <c:v>1.695796982816886E-2</c:v>
                </c:pt>
                <c:pt idx="390">
                  <c:v>1.6295120769417415E-2</c:v>
                </c:pt>
                <c:pt idx="391">
                  <c:v>1.7374043473178894E-2</c:v>
                </c:pt>
                <c:pt idx="392">
                  <c:v>1.6506574084074997E-2</c:v>
                </c:pt>
                <c:pt idx="393">
                  <c:v>1.7608516673066236E-2</c:v>
                </c:pt>
                <c:pt idx="394">
                  <c:v>1.7163291769224341E-2</c:v>
                </c:pt>
                <c:pt idx="395">
                  <c:v>1.7216872625887336E-2</c:v>
                </c:pt>
                <c:pt idx="396">
                  <c:v>1.8544186087092841E-2</c:v>
                </c:pt>
                <c:pt idx="397">
                  <c:v>1.6768628673969107E-2</c:v>
                </c:pt>
                <c:pt idx="398">
                  <c:v>1.5868265606192006E-2</c:v>
                </c:pt>
                <c:pt idx="399">
                  <c:v>1.862233943113804E-2</c:v>
                </c:pt>
                <c:pt idx="400">
                  <c:v>1.7497878775827886E-2</c:v>
                </c:pt>
                <c:pt idx="401">
                  <c:v>1.5758824547972047E-2</c:v>
                </c:pt>
                <c:pt idx="402">
                  <c:v>1.7346264562741107E-2</c:v>
                </c:pt>
                <c:pt idx="403">
                  <c:v>1.6220101043661051E-2</c:v>
                </c:pt>
                <c:pt idx="404">
                  <c:v>1.5965070538431769E-2</c:v>
                </c:pt>
                <c:pt idx="405">
                  <c:v>1.786053929394809E-2</c:v>
                </c:pt>
                <c:pt idx="406">
                  <c:v>1.6159626219764696E-2</c:v>
                </c:pt>
                <c:pt idx="407">
                  <c:v>1.5816678242247372E-2</c:v>
                </c:pt>
                <c:pt idx="408">
                  <c:v>1.7456460234077729E-2</c:v>
                </c:pt>
                <c:pt idx="409">
                  <c:v>1.6498355445077547E-2</c:v>
                </c:pt>
                <c:pt idx="410">
                  <c:v>1.7193973803050794E-2</c:v>
                </c:pt>
                <c:pt idx="411">
                  <c:v>1.6967765325153757E-2</c:v>
                </c:pt>
                <c:pt idx="412">
                  <c:v>1.7457237962685841E-2</c:v>
                </c:pt>
                <c:pt idx="413">
                  <c:v>1.8116886029965678E-2</c:v>
                </c:pt>
                <c:pt idx="414">
                  <c:v>1.7868625859193011E-2</c:v>
                </c:pt>
                <c:pt idx="415">
                  <c:v>1.7738961626615212E-2</c:v>
                </c:pt>
                <c:pt idx="416">
                  <c:v>1.5915746656709567E-2</c:v>
                </c:pt>
                <c:pt idx="417">
                  <c:v>1.7602972700214971E-2</c:v>
                </c:pt>
                <c:pt idx="418">
                  <c:v>1.6067720838042934E-2</c:v>
                </c:pt>
                <c:pt idx="419">
                  <c:v>1.7561702900246685E-2</c:v>
                </c:pt>
                <c:pt idx="420">
                  <c:v>1.7355244208098718E-2</c:v>
                </c:pt>
                <c:pt idx="421">
                  <c:v>1.6653017589071981E-2</c:v>
                </c:pt>
                <c:pt idx="422">
                  <c:v>1.695419813745188E-2</c:v>
                </c:pt>
                <c:pt idx="423">
                  <c:v>1.6712800727506565E-2</c:v>
                </c:pt>
                <c:pt idx="424">
                  <c:v>1.7210416815924327E-2</c:v>
                </c:pt>
                <c:pt idx="425">
                  <c:v>1.6405969267828197E-2</c:v>
                </c:pt>
                <c:pt idx="426">
                  <c:v>1.6681249730191767E-2</c:v>
                </c:pt>
                <c:pt idx="427">
                  <c:v>1.6677980293271392E-2</c:v>
                </c:pt>
                <c:pt idx="428">
                  <c:v>1.6629860334963834E-2</c:v>
                </c:pt>
                <c:pt idx="429">
                  <c:v>2.1032732643950589E-2</c:v>
                </c:pt>
                <c:pt idx="430">
                  <c:v>1.7027229349975859E-2</c:v>
                </c:pt>
                <c:pt idx="431">
                  <c:v>2.0242001620163867E-2</c:v>
                </c:pt>
                <c:pt idx="432">
                  <c:v>1.6664033256791645E-2</c:v>
                </c:pt>
                <c:pt idx="433">
                  <c:v>1.659148449107728E-2</c:v>
                </c:pt>
                <c:pt idx="434">
                  <c:v>2.1134943523337633E-2</c:v>
                </c:pt>
                <c:pt idx="435">
                  <c:v>1.8058326610465376E-2</c:v>
                </c:pt>
                <c:pt idx="436">
                  <c:v>1.7030207759071433E-2</c:v>
                </c:pt>
                <c:pt idx="437">
                  <c:v>1.8321496395376887E-2</c:v>
                </c:pt>
                <c:pt idx="438">
                  <c:v>1.7357413061396904E-2</c:v>
                </c:pt>
                <c:pt idx="439">
                  <c:v>1.6710696383427384E-2</c:v>
                </c:pt>
                <c:pt idx="440">
                  <c:v>1.7600051306257473E-2</c:v>
                </c:pt>
                <c:pt idx="441">
                  <c:v>1.6499522347711477E-2</c:v>
                </c:pt>
                <c:pt idx="442">
                  <c:v>1.7110315115415387E-2</c:v>
                </c:pt>
                <c:pt idx="443">
                  <c:v>1.7360639189352857E-2</c:v>
                </c:pt>
                <c:pt idx="444">
                  <c:v>2.0550218925929658E-2</c:v>
                </c:pt>
                <c:pt idx="445">
                  <c:v>1.8710770015463778E-2</c:v>
                </c:pt>
                <c:pt idx="446">
                  <c:v>1.7739863985178204E-2</c:v>
                </c:pt>
                <c:pt idx="447">
                  <c:v>1.6660808859010418E-2</c:v>
                </c:pt>
                <c:pt idx="448">
                  <c:v>1.8089005317952468E-2</c:v>
                </c:pt>
                <c:pt idx="449">
                  <c:v>1.806034225101516E-2</c:v>
                </c:pt>
                <c:pt idx="450">
                  <c:v>1.6819245756668599E-2</c:v>
                </c:pt>
                <c:pt idx="451">
                  <c:v>1.6498938967808335E-2</c:v>
                </c:pt>
                <c:pt idx="452">
                  <c:v>1.6205773033934882E-2</c:v>
                </c:pt>
                <c:pt idx="453">
                  <c:v>1.7281510972121997E-2</c:v>
                </c:pt>
                <c:pt idx="454">
                  <c:v>1.8553267134260264E-2</c:v>
                </c:pt>
                <c:pt idx="455">
                  <c:v>1.6613009882718417E-2</c:v>
                </c:pt>
                <c:pt idx="456">
                  <c:v>1.6196392511440248E-2</c:v>
                </c:pt>
                <c:pt idx="457">
                  <c:v>1.6862966816225806E-2</c:v>
                </c:pt>
                <c:pt idx="458">
                  <c:v>1.6724453144271061E-2</c:v>
                </c:pt>
                <c:pt idx="459">
                  <c:v>1.6351901019155055E-2</c:v>
                </c:pt>
                <c:pt idx="460">
                  <c:v>1.702857501989358E-2</c:v>
                </c:pt>
                <c:pt idx="461">
                  <c:v>1.6929490262527293E-2</c:v>
                </c:pt>
                <c:pt idx="462">
                  <c:v>1.7375437851715903E-2</c:v>
                </c:pt>
                <c:pt idx="463">
                  <c:v>1.6782784531289893E-2</c:v>
                </c:pt>
                <c:pt idx="464">
                  <c:v>1.7996820857845028E-2</c:v>
                </c:pt>
                <c:pt idx="465">
                  <c:v>1.8551049698235872E-2</c:v>
                </c:pt>
                <c:pt idx="466">
                  <c:v>1.6936829122778205E-2</c:v>
                </c:pt>
                <c:pt idx="467">
                  <c:v>1.8802603063988666E-2</c:v>
                </c:pt>
                <c:pt idx="468">
                  <c:v>1.7700585128411776E-2</c:v>
                </c:pt>
                <c:pt idx="469">
                  <c:v>1.6462194669075461E-2</c:v>
                </c:pt>
                <c:pt idx="470">
                  <c:v>1.7479119946798429E-2</c:v>
                </c:pt>
                <c:pt idx="471">
                  <c:v>1.695134551722316E-2</c:v>
                </c:pt>
                <c:pt idx="472">
                  <c:v>1.6329396470961755E-2</c:v>
                </c:pt>
                <c:pt idx="473">
                  <c:v>2.0084413092755278E-2</c:v>
                </c:pt>
                <c:pt idx="474">
                  <c:v>1.8330878620438494E-2</c:v>
                </c:pt>
                <c:pt idx="475">
                  <c:v>1.8150056829292383E-2</c:v>
                </c:pt>
                <c:pt idx="476">
                  <c:v>1.7161891534110907E-2</c:v>
                </c:pt>
                <c:pt idx="477">
                  <c:v>1.7539632444458202E-2</c:v>
                </c:pt>
                <c:pt idx="478">
                  <c:v>1.6982412581191524E-2</c:v>
                </c:pt>
                <c:pt idx="479">
                  <c:v>1.6936070847617463E-2</c:v>
                </c:pt>
                <c:pt idx="480">
                  <c:v>1.6414600664144394E-2</c:v>
                </c:pt>
                <c:pt idx="481">
                  <c:v>1.8153302303169958E-2</c:v>
                </c:pt>
                <c:pt idx="482">
                  <c:v>1.8917203171252912E-2</c:v>
                </c:pt>
                <c:pt idx="483">
                  <c:v>1.6662932685113263E-2</c:v>
                </c:pt>
                <c:pt idx="484">
                  <c:v>1.5928965046657497E-2</c:v>
                </c:pt>
                <c:pt idx="485">
                  <c:v>1.7388224820625041E-2</c:v>
                </c:pt>
                <c:pt idx="486">
                  <c:v>1.6339651522865886E-2</c:v>
                </c:pt>
                <c:pt idx="487">
                  <c:v>1.7743133757728156E-2</c:v>
                </c:pt>
                <c:pt idx="488">
                  <c:v>1.6825298085185212E-2</c:v>
                </c:pt>
                <c:pt idx="489">
                  <c:v>1.6087975056173369E-2</c:v>
                </c:pt>
                <c:pt idx="490">
                  <c:v>1.768696259669697E-2</c:v>
                </c:pt>
                <c:pt idx="491">
                  <c:v>1.6100940453967035E-2</c:v>
                </c:pt>
                <c:pt idx="492">
                  <c:v>1.8648074286531108E-2</c:v>
                </c:pt>
                <c:pt idx="493">
                  <c:v>1.7804732598056216E-2</c:v>
                </c:pt>
                <c:pt idx="494">
                  <c:v>1.7155338852135493E-2</c:v>
                </c:pt>
                <c:pt idx="495">
                  <c:v>1.7214988487437001E-2</c:v>
                </c:pt>
                <c:pt idx="496">
                  <c:v>1.761484776817198E-2</c:v>
                </c:pt>
                <c:pt idx="497">
                  <c:v>1.8290472944891563E-2</c:v>
                </c:pt>
                <c:pt idx="498">
                  <c:v>1.6632088945771412E-2</c:v>
                </c:pt>
                <c:pt idx="499">
                  <c:v>1.6650263970458028E-2</c:v>
                </c:pt>
                <c:pt idx="500">
                  <c:v>1.8183888568968107E-2</c:v>
                </c:pt>
                <c:pt idx="501">
                  <c:v>1.7124328618700887E-2</c:v>
                </c:pt>
                <c:pt idx="502">
                  <c:v>1.6096463215592164E-2</c:v>
                </c:pt>
                <c:pt idx="503">
                  <c:v>1.7930450329666992E-2</c:v>
                </c:pt>
                <c:pt idx="504">
                  <c:v>1.8056674314070598E-2</c:v>
                </c:pt>
                <c:pt idx="505">
                  <c:v>1.633032577208705E-2</c:v>
                </c:pt>
                <c:pt idx="506">
                  <c:v>1.8448367972696781E-2</c:v>
                </c:pt>
                <c:pt idx="507">
                  <c:v>1.810321903990306E-2</c:v>
                </c:pt>
                <c:pt idx="508">
                  <c:v>1.7656191957737412E-2</c:v>
                </c:pt>
                <c:pt idx="509">
                  <c:v>1.6834266050559907E-2</c:v>
                </c:pt>
                <c:pt idx="510">
                  <c:v>1.7040278940458575E-2</c:v>
                </c:pt>
                <c:pt idx="511">
                  <c:v>1.6591362005287498E-2</c:v>
                </c:pt>
                <c:pt idx="512">
                  <c:v>1.7868546223181809E-2</c:v>
                </c:pt>
                <c:pt idx="513">
                  <c:v>1.623186340601511E-2</c:v>
                </c:pt>
                <c:pt idx="514">
                  <c:v>1.8295175519718276E-2</c:v>
                </c:pt>
                <c:pt idx="515">
                  <c:v>1.8835997338013159E-2</c:v>
                </c:pt>
                <c:pt idx="516">
                  <c:v>1.8640395202086858E-2</c:v>
                </c:pt>
                <c:pt idx="517">
                  <c:v>1.6407157122356349E-2</c:v>
                </c:pt>
                <c:pt idx="518">
                  <c:v>1.7652932338375383E-2</c:v>
                </c:pt>
                <c:pt idx="519">
                  <c:v>1.6912786287163289E-2</c:v>
                </c:pt>
                <c:pt idx="520">
                  <c:v>1.6826582024773658E-2</c:v>
                </c:pt>
                <c:pt idx="521">
                  <c:v>1.7545502624243939E-2</c:v>
                </c:pt>
                <c:pt idx="522">
                  <c:v>1.6004236639852117E-2</c:v>
                </c:pt>
                <c:pt idx="523">
                  <c:v>1.6746143210138481E-2</c:v>
                </c:pt>
                <c:pt idx="524">
                  <c:v>1.8100105706192082E-2</c:v>
                </c:pt>
                <c:pt idx="525">
                  <c:v>1.8320402430971078E-2</c:v>
                </c:pt>
                <c:pt idx="526">
                  <c:v>1.7054789170380617E-2</c:v>
                </c:pt>
                <c:pt idx="527">
                  <c:v>1.729956791944785E-2</c:v>
                </c:pt>
                <c:pt idx="528">
                  <c:v>1.7122011869179346E-2</c:v>
                </c:pt>
                <c:pt idx="529">
                  <c:v>1.8219832471569494E-2</c:v>
                </c:pt>
                <c:pt idx="530">
                  <c:v>1.6617279120191678E-2</c:v>
                </c:pt>
                <c:pt idx="531">
                  <c:v>1.8164320992846938E-2</c:v>
                </c:pt>
                <c:pt idx="532">
                  <c:v>1.6877895423857783E-2</c:v>
                </c:pt>
                <c:pt idx="533">
                  <c:v>1.7590178140693379E-2</c:v>
                </c:pt>
                <c:pt idx="534">
                  <c:v>1.7637868127695869E-2</c:v>
                </c:pt>
                <c:pt idx="535">
                  <c:v>1.7319003099654156E-2</c:v>
                </c:pt>
                <c:pt idx="536">
                  <c:v>1.8332544400694182E-2</c:v>
                </c:pt>
                <c:pt idx="537">
                  <c:v>1.8012145329841005E-2</c:v>
                </c:pt>
                <c:pt idx="538">
                  <c:v>1.7200122404025551E-2</c:v>
                </c:pt>
                <c:pt idx="539">
                  <c:v>1.6927208286982874E-2</c:v>
                </c:pt>
                <c:pt idx="540">
                  <c:v>1.6553471910513588E-2</c:v>
                </c:pt>
                <c:pt idx="541">
                  <c:v>1.6414023522681509E-2</c:v>
                </c:pt>
                <c:pt idx="542">
                  <c:v>1.6614381038370273E-2</c:v>
                </c:pt>
                <c:pt idx="543">
                  <c:v>1.6813734325515455E-2</c:v>
                </c:pt>
                <c:pt idx="544">
                  <c:v>1.649660732045586E-2</c:v>
                </c:pt>
                <c:pt idx="545">
                  <c:v>1.6107293237687781E-2</c:v>
                </c:pt>
                <c:pt idx="546">
                  <c:v>1.660719684288858E-2</c:v>
                </c:pt>
                <c:pt idx="547">
                  <c:v>1.6821904536318155E-2</c:v>
                </c:pt>
                <c:pt idx="548">
                  <c:v>1.8522421955769287E-2</c:v>
                </c:pt>
                <c:pt idx="549">
                  <c:v>1.6437916771094435E-2</c:v>
                </c:pt>
                <c:pt idx="550">
                  <c:v>1.8468044125785149E-2</c:v>
                </c:pt>
                <c:pt idx="551">
                  <c:v>1.9171654359950989E-2</c:v>
                </c:pt>
                <c:pt idx="552">
                  <c:v>1.7143223939986695E-2</c:v>
                </c:pt>
                <c:pt idx="553">
                  <c:v>1.6637638247257339E-2</c:v>
                </c:pt>
                <c:pt idx="554">
                  <c:v>1.8171948301200738E-2</c:v>
                </c:pt>
                <c:pt idx="555">
                  <c:v>1.7366474421263635E-2</c:v>
                </c:pt>
                <c:pt idx="556">
                  <c:v>1.8369572532685209E-2</c:v>
                </c:pt>
                <c:pt idx="557">
                  <c:v>1.6783164673775768E-2</c:v>
                </c:pt>
                <c:pt idx="558">
                  <c:v>1.7589657713752014E-2</c:v>
                </c:pt>
                <c:pt idx="559">
                  <c:v>1.6057382879799215E-2</c:v>
                </c:pt>
                <c:pt idx="560">
                  <c:v>1.6612051682679336E-2</c:v>
                </c:pt>
                <c:pt idx="561">
                  <c:v>1.6771681223028783E-2</c:v>
                </c:pt>
                <c:pt idx="562">
                  <c:v>1.6429064751741034E-2</c:v>
                </c:pt>
                <c:pt idx="563">
                  <c:v>1.6440393458351181E-2</c:v>
                </c:pt>
                <c:pt idx="564">
                  <c:v>1.5697130199141845E-2</c:v>
                </c:pt>
                <c:pt idx="565">
                  <c:v>1.7186109998266551E-2</c:v>
                </c:pt>
                <c:pt idx="566">
                  <c:v>1.6579184486216911E-2</c:v>
                </c:pt>
                <c:pt idx="567">
                  <c:v>1.6158739366158643E-2</c:v>
                </c:pt>
                <c:pt idx="568">
                  <c:v>1.6550877269747116E-2</c:v>
                </c:pt>
                <c:pt idx="569">
                  <c:v>1.7406234519533603E-2</c:v>
                </c:pt>
                <c:pt idx="570">
                  <c:v>1.8116412871195146E-2</c:v>
                </c:pt>
                <c:pt idx="571">
                  <c:v>1.8599766391630915E-2</c:v>
                </c:pt>
                <c:pt idx="572">
                  <c:v>1.7238609974665729E-2</c:v>
                </c:pt>
                <c:pt idx="573">
                  <c:v>1.9836358311001986E-2</c:v>
                </c:pt>
                <c:pt idx="574">
                  <c:v>1.6825184024035544E-2</c:v>
                </c:pt>
                <c:pt idx="575">
                  <c:v>1.6938272012438676E-2</c:v>
                </c:pt>
                <c:pt idx="576">
                  <c:v>1.7293948340788432E-2</c:v>
                </c:pt>
                <c:pt idx="577">
                  <c:v>1.8161855764321878E-2</c:v>
                </c:pt>
                <c:pt idx="578">
                  <c:v>1.6426598177824329E-2</c:v>
                </c:pt>
                <c:pt idx="579">
                  <c:v>1.7089345204868031E-2</c:v>
                </c:pt>
                <c:pt idx="580">
                  <c:v>1.7321459847734449E-2</c:v>
                </c:pt>
                <c:pt idx="581">
                  <c:v>1.6817395894449205E-2</c:v>
                </c:pt>
                <c:pt idx="582">
                  <c:v>1.6717099898630659E-2</c:v>
                </c:pt>
                <c:pt idx="583">
                  <c:v>1.7195370174092731E-2</c:v>
                </c:pt>
                <c:pt idx="584">
                  <c:v>1.6764239403887892E-2</c:v>
                </c:pt>
                <c:pt idx="585">
                  <c:v>1.7099204942796948E-2</c:v>
                </c:pt>
                <c:pt idx="586">
                  <c:v>1.6916583788679589E-2</c:v>
                </c:pt>
                <c:pt idx="587">
                  <c:v>1.7546647311656879E-2</c:v>
                </c:pt>
                <c:pt idx="588">
                  <c:v>1.6677355507569165E-2</c:v>
                </c:pt>
                <c:pt idx="589">
                  <c:v>1.8058994994585534E-2</c:v>
                </c:pt>
                <c:pt idx="590">
                  <c:v>1.9655661855944619E-2</c:v>
                </c:pt>
                <c:pt idx="591">
                  <c:v>1.835506243756756E-2</c:v>
                </c:pt>
                <c:pt idx="592">
                  <c:v>1.8986186844655712E-2</c:v>
                </c:pt>
                <c:pt idx="593">
                  <c:v>1.6657021858212481E-2</c:v>
                </c:pt>
                <c:pt idx="594">
                  <c:v>1.8105823328046902E-2</c:v>
                </c:pt>
                <c:pt idx="595">
                  <c:v>1.7678976544887422E-2</c:v>
                </c:pt>
                <c:pt idx="596">
                  <c:v>1.6131417110928997E-2</c:v>
                </c:pt>
                <c:pt idx="597">
                  <c:v>1.804849761483655E-2</c:v>
                </c:pt>
                <c:pt idx="598">
                  <c:v>1.6797757001929328E-2</c:v>
                </c:pt>
                <c:pt idx="599">
                  <c:v>1.8165242147514665E-2</c:v>
                </c:pt>
                <c:pt idx="600">
                  <c:v>1.671308924182105E-2</c:v>
                </c:pt>
                <c:pt idx="601">
                  <c:v>1.6523126389867936E-2</c:v>
                </c:pt>
                <c:pt idx="602">
                  <c:v>1.8390854796655288E-2</c:v>
                </c:pt>
                <c:pt idx="603">
                  <c:v>1.8048934451732467E-2</c:v>
                </c:pt>
                <c:pt idx="604">
                  <c:v>1.7040767528552749E-2</c:v>
                </c:pt>
                <c:pt idx="605">
                  <c:v>1.7438689931843804E-2</c:v>
                </c:pt>
                <c:pt idx="606">
                  <c:v>1.6995077638849377E-2</c:v>
                </c:pt>
                <c:pt idx="607">
                  <c:v>1.7433174318614374E-2</c:v>
                </c:pt>
                <c:pt idx="608">
                  <c:v>1.6678415446438458E-2</c:v>
                </c:pt>
                <c:pt idx="609">
                  <c:v>1.7268981062483032E-2</c:v>
                </c:pt>
                <c:pt idx="610">
                  <c:v>1.6914827069343982E-2</c:v>
                </c:pt>
                <c:pt idx="611">
                  <c:v>1.7414203312078071E-2</c:v>
                </c:pt>
                <c:pt idx="612">
                  <c:v>1.7222834452137781E-2</c:v>
                </c:pt>
                <c:pt idx="613">
                  <c:v>1.6663362180896271E-2</c:v>
                </c:pt>
                <c:pt idx="614">
                  <c:v>1.699542629887239E-2</c:v>
                </c:pt>
                <c:pt idx="615">
                  <c:v>1.595282176052017E-2</c:v>
                </c:pt>
                <c:pt idx="616">
                  <c:v>1.6965352332100163E-2</c:v>
                </c:pt>
                <c:pt idx="617">
                  <c:v>1.679583755988167E-2</c:v>
                </c:pt>
                <c:pt idx="618">
                  <c:v>1.9639605361395047E-2</c:v>
                </c:pt>
                <c:pt idx="619">
                  <c:v>1.7527953776283613E-2</c:v>
                </c:pt>
                <c:pt idx="620">
                  <c:v>1.6121896094000981E-2</c:v>
                </c:pt>
                <c:pt idx="621">
                  <c:v>1.8450388086059023E-2</c:v>
                </c:pt>
                <c:pt idx="622">
                  <c:v>1.7962583236201899E-2</c:v>
                </c:pt>
                <c:pt idx="623">
                  <c:v>1.6603502647527302E-2</c:v>
                </c:pt>
                <c:pt idx="624">
                  <c:v>1.7592154575975336E-2</c:v>
                </c:pt>
                <c:pt idx="625">
                  <c:v>1.7041808684256757E-2</c:v>
                </c:pt>
                <c:pt idx="626">
                  <c:v>1.7623159219863758E-2</c:v>
                </c:pt>
                <c:pt idx="627">
                  <c:v>1.6513847449679202E-2</c:v>
                </c:pt>
                <c:pt idx="628">
                  <c:v>1.839692358496459E-2</c:v>
                </c:pt>
                <c:pt idx="629">
                  <c:v>1.6593673004120693E-2</c:v>
                </c:pt>
                <c:pt idx="630">
                  <c:v>1.6124541682955372E-2</c:v>
                </c:pt>
                <c:pt idx="631">
                  <c:v>1.7838915983215946E-2</c:v>
                </c:pt>
                <c:pt idx="632">
                  <c:v>1.7372022500454616E-2</c:v>
                </c:pt>
                <c:pt idx="633">
                  <c:v>1.6953162986524106E-2</c:v>
                </c:pt>
                <c:pt idx="634">
                  <c:v>1.7565127113455644E-2</c:v>
                </c:pt>
                <c:pt idx="635">
                  <c:v>1.725646966206431E-2</c:v>
                </c:pt>
                <c:pt idx="636">
                  <c:v>1.862849464895679E-2</c:v>
                </c:pt>
                <c:pt idx="637">
                  <c:v>1.8097087259541844E-2</c:v>
                </c:pt>
                <c:pt idx="638">
                  <c:v>1.7750270314065498E-2</c:v>
                </c:pt>
                <c:pt idx="639">
                  <c:v>1.8057001215100149E-2</c:v>
                </c:pt>
                <c:pt idx="640">
                  <c:v>1.6131580687827822E-2</c:v>
                </c:pt>
                <c:pt idx="641">
                  <c:v>1.7812615866708972E-2</c:v>
                </c:pt>
                <c:pt idx="642">
                  <c:v>1.7588921737612749E-2</c:v>
                </c:pt>
                <c:pt idx="643">
                  <c:v>1.7213321156334005E-2</c:v>
                </c:pt>
                <c:pt idx="644">
                  <c:v>1.6174970917059186E-2</c:v>
                </c:pt>
                <c:pt idx="645">
                  <c:v>1.8030521827710467E-2</c:v>
                </c:pt>
                <c:pt idx="646">
                  <c:v>1.6830904015334065E-2</c:v>
                </c:pt>
                <c:pt idx="647">
                  <c:v>1.7290724905910958E-2</c:v>
                </c:pt>
                <c:pt idx="648">
                  <c:v>1.8182378408268116E-2</c:v>
                </c:pt>
                <c:pt idx="649">
                  <c:v>1.6697153961162576E-2</c:v>
                </c:pt>
                <c:pt idx="650">
                  <c:v>1.7506224064790552E-2</c:v>
                </c:pt>
                <c:pt idx="651">
                  <c:v>1.6485947616688187E-2</c:v>
                </c:pt>
                <c:pt idx="652">
                  <c:v>1.7154950781907395E-2</c:v>
                </c:pt>
                <c:pt idx="653">
                  <c:v>1.608463975097477E-2</c:v>
                </c:pt>
                <c:pt idx="654">
                  <c:v>1.7421136254599644E-2</c:v>
                </c:pt>
                <c:pt idx="655">
                  <c:v>1.6664196684416738E-2</c:v>
                </c:pt>
                <c:pt idx="656">
                  <c:v>1.713978154892154E-2</c:v>
                </c:pt>
                <c:pt idx="657">
                  <c:v>1.7323392893186976E-2</c:v>
                </c:pt>
                <c:pt idx="658">
                  <c:v>1.584980507425001E-2</c:v>
                </c:pt>
                <c:pt idx="659">
                  <c:v>1.8123074679026609E-2</c:v>
                </c:pt>
                <c:pt idx="660">
                  <c:v>1.6427549282565544E-2</c:v>
                </c:pt>
                <c:pt idx="661">
                  <c:v>1.8079651427769131E-2</c:v>
                </c:pt>
                <c:pt idx="662">
                  <c:v>1.6984891180183485E-2</c:v>
                </c:pt>
                <c:pt idx="663">
                  <c:v>1.6480763906025556E-2</c:v>
                </c:pt>
                <c:pt idx="664">
                  <c:v>1.6877896112154234E-2</c:v>
                </c:pt>
                <c:pt idx="665">
                  <c:v>1.9039585883185751E-2</c:v>
                </c:pt>
                <c:pt idx="666">
                  <c:v>1.9122447540457541E-2</c:v>
                </c:pt>
                <c:pt idx="667">
                  <c:v>1.699233320462188E-2</c:v>
                </c:pt>
                <c:pt idx="668">
                  <c:v>1.8427974250670383E-2</c:v>
                </c:pt>
                <c:pt idx="669">
                  <c:v>1.865378560681694E-2</c:v>
                </c:pt>
                <c:pt idx="670">
                  <c:v>1.692793320825851E-2</c:v>
                </c:pt>
                <c:pt idx="671">
                  <c:v>1.8247075321119195E-2</c:v>
                </c:pt>
                <c:pt idx="672">
                  <c:v>1.9980185777391118E-2</c:v>
                </c:pt>
                <c:pt idx="673">
                  <c:v>1.8700880193170052E-2</c:v>
                </c:pt>
                <c:pt idx="674">
                  <c:v>1.669465898350786E-2</c:v>
                </c:pt>
                <c:pt idx="675">
                  <c:v>1.820560461913048E-2</c:v>
                </c:pt>
                <c:pt idx="676">
                  <c:v>1.6793619812884759E-2</c:v>
                </c:pt>
                <c:pt idx="677">
                  <c:v>1.6112659894925999E-2</c:v>
                </c:pt>
                <c:pt idx="678">
                  <c:v>1.7535174853569476E-2</c:v>
                </c:pt>
                <c:pt idx="679">
                  <c:v>1.6323623655117896E-2</c:v>
                </c:pt>
                <c:pt idx="680">
                  <c:v>1.6794790298569423E-2</c:v>
                </c:pt>
                <c:pt idx="681">
                  <c:v>1.7141897531453395E-2</c:v>
                </c:pt>
                <c:pt idx="682">
                  <c:v>1.8030827618621806E-2</c:v>
                </c:pt>
                <c:pt idx="683">
                  <c:v>1.7776606673657318E-2</c:v>
                </c:pt>
                <c:pt idx="684">
                  <c:v>1.6721350304610416E-2</c:v>
                </c:pt>
                <c:pt idx="685">
                  <c:v>1.7405336595672456E-2</c:v>
                </c:pt>
                <c:pt idx="686">
                  <c:v>1.7550869257714645E-2</c:v>
                </c:pt>
                <c:pt idx="687">
                  <c:v>1.6174933906690867E-2</c:v>
                </c:pt>
                <c:pt idx="688">
                  <c:v>1.7734001756036174E-2</c:v>
                </c:pt>
                <c:pt idx="689">
                  <c:v>1.8266261174052931E-2</c:v>
                </c:pt>
                <c:pt idx="690">
                  <c:v>1.7229502198797323E-2</c:v>
                </c:pt>
                <c:pt idx="691">
                  <c:v>1.6297032555622641E-2</c:v>
                </c:pt>
                <c:pt idx="692">
                  <c:v>1.8258570798105691E-2</c:v>
                </c:pt>
                <c:pt idx="693">
                  <c:v>1.9613610689741257E-2</c:v>
                </c:pt>
                <c:pt idx="694">
                  <c:v>1.6352853638740072E-2</c:v>
                </c:pt>
                <c:pt idx="695">
                  <c:v>1.7821964449687561E-2</c:v>
                </c:pt>
                <c:pt idx="696">
                  <c:v>1.6537572892248338E-2</c:v>
                </c:pt>
                <c:pt idx="697">
                  <c:v>1.8378378641425757E-2</c:v>
                </c:pt>
                <c:pt idx="698">
                  <c:v>1.7065046639060909E-2</c:v>
                </c:pt>
                <c:pt idx="699">
                  <c:v>1.6204800928864026E-2</c:v>
                </c:pt>
                <c:pt idx="700">
                  <c:v>1.899748078778379E-2</c:v>
                </c:pt>
                <c:pt idx="701">
                  <c:v>1.6720644266987657E-2</c:v>
                </c:pt>
                <c:pt idx="702">
                  <c:v>1.7150299952663876E-2</c:v>
                </c:pt>
                <c:pt idx="703">
                  <c:v>1.848235940803401E-2</c:v>
                </c:pt>
                <c:pt idx="704">
                  <c:v>1.653448768436144E-2</c:v>
                </c:pt>
                <c:pt idx="705">
                  <c:v>1.8341851022924724E-2</c:v>
                </c:pt>
                <c:pt idx="706">
                  <c:v>1.6989648602428718E-2</c:v>
                </c:pt>
                <c:pt idx="707">
                  <c:v>1.7438653336346841E-2</c:v>
                </c:pt>
                <c:pt idx="708">
                  <c:v>1.5639164384360967E-2</c:v>
                </c:pt>
                <c:pt idx="709">
                  <c:v>1.7824973160766363E-2</c:v>
                </c:pt>
                <c:pt idx="710">
                  <c:v>1.6296785093989574E-2</c:v>
                </c:pt>
                <c:pt idx="711">
                  <c:v>1.6051999247750325E-2</c:v>
                </c:pt>
                <c:pt idx="712">
                  <c:v>1.7221087457939304E-2</c:v>
                </c:pt>
                <c:pt idx="713">
                  <c:v>1.6589924494615764E-2</c:v>
                </c:pt>
                <c:pt idx="714">
                  <c:v>1.7402437153532357E-2</c:v>
                </c:pt>
                <c:pt idx="715">
                  <c:v>1.7888881862996593E-2</c:v>
                </c:pt>
                <c:pt idx="716">
                  <c:v>1.5955780123341767E-2</c:v>
                </c:pt>
                <c:pt idx="717">
                  <c:v>1.679571685598313E-2</c:v>
                </c:pt>
                <c:pt idx="718">
                  <c:v>1.7818027179306986E-2</c:v>
                </c:pt>
                <c:pt idx="719">
                  <c:v>1.7177813895090467E-2</c:v>
                </c:pt>
                <c:pt idx="720">
                  <c:v>1.6627162194502769E-2</c:v>
                </c:pt>
                <c:pt idx="721">
                  <c:v>1.6397740468590258E-2</c:v>
                </c:pt>
                <c:pt idx="722">
                  <c:v>1.8909470827108053E-2</c:v>
                </c:pt>
                <c:pt idx="723">
                  <c:v>1.6273941238668471E-2</c:v>
                </c:pt>
                <c:pt idx="724">
                  <c:v>1.7556010362326412E-2</c:v>
                </c:pt>
                <c:pt idx="725">
                  <c:v>1.8261755582948833E-2</c:v>
                </c:pt>
                <c:pt idx="726">
                  <c:v>1.7547141048956268E-2</c:v>
                </c:pt>
                <c:pt idx="727">
                  <c:v>1.7412555596525405E-2</c:v>
                </c:pt>
                <c:pt idx="728">
                  <c:v>1.5861352365594654E-2</c:v>
                </c:pt>
                <c:pt idx="729">
                  <c:v>1.8099457647791362E-2</c:v>
                </c:pt>
                <c:pt idx="730">
                  <c:v>1.8169275563316687E-2</c:v>
                </c:pt>
                <c:pt idx="731">
                  <c:v>1.8709213679381366E-2</c:v>
                </c:pt>
                <c:pt idx="732">
                  <c:v>1.8327051560595293E-2</c:v>
                </c:pt>
                <c:pt idx="733">
                  <c:v>1.7947040769104007E-2</c:v>
                </c:pt>
                <c:pt idx="734">
                  <c:v>1.802126171481342E-2</c:v>
                </c:pt>
                <c:pt idx="735">
                  <c:v>1.7807973110687818E-2</c:v>
                </c:pt>
                <c:pt idx="736">
                  <c:v>1.6698496766611812E-2</c:v>
                </c:pt>
                <c:pt idx="737">
                  <c:v>1.71468018970003E-2</c:v>
                </c:pt>
                <c:pt idx="738">
                  <c:v>1.6767668677204868E-2</c:v>
                </c:pt>
                <c:pt idx="739">
                  <c:v>1.8227362868334814E-2</c:v>
                </c:pt>
                <c:pt idx="740">
                  <c:v>1.7737635466475898E-2</c:v>
                </c:pt>
                <c:pt idx="741">
                  <c:v>1.8836256845288672E-2</c:v>
                </c:pt>
                <c:pt idx="742">
                  <c:v>1.8123251418200613E-2</c:v>
                </c:pt>
                <c:pt idx="743">
                  <c:v>1.739946666683723E-2</c:v>
                </c:pt>
                <c:pt idx="744">
                  <c:v>1.6646297131095368E-2</c:v>
                </c:pt>
                <c:pt idx="745">
                  <c:v>1.6081186775544192E-2</c:v>
                </c:pt>
                <c:pt idx="746">
                  <c:v>1.6460282546608238E-2</c:v>
                </c:pt>
                <c:pt idx="747">
                  <c:v>1.8854922970208497E-2</c:v>
                </c:pt>
                <c:pt idx="748">
                  <c:v>1.7084943771507415E-2</c:v>
                </c:pt>
                <c:pt idx="749">
                  <c:v>1.7245281901753458E-2</c:v>
                </c:pt>
                <c:pt idx="750">
                  <c:v>1.7847081011564268E-2</c:v>
                </c:pt>
                <c:pt idx="751">
                  <c:v>1.754151840194839E-2</c:v>
                </c:pt>
                <c:pt idx="752">
                  <c:v>1.7673964212823776E-2</c:v>
                </c:pt>
                <c:pt idx="753">
                  <c:v>1.8978094872645835E-2</c:v>
                </c:pt>
                <c:pt idx="754">
                  <c:v>1.9571284741040425E-2</c:v>
                </c:pt>
                <c:pt idx="755">
                  <c:v>1.6020477610175148E-2</c:v>
                </c:pt>
                <c:pt idx="756">
                  <c:v>1.5913257266224199E-2</c:v>
                </c:pt>
                <c:pt idx="757">
                  <c:v>1.7410582452673684E-2</c:v>
                </c:pt>
                <c:pt idx="758">
                  <c:v>1.7340479990992589E-2</c:v>
                </c:pt>
                <c:pt idx="759">
                  <c:v>1.650746868619966E-2</c:v>
                </c:pt>
                <c:pt idx="760">
                  <c:v>1.5861139283917011E-2</c:v>
                </c:pt>
                <c:pt idx="761">
                  <c:v>1.7473572200877179E-2</c:v>
                </c:pt>
                <c:pt idx="762">
                  <c:v>1.6560964454292077E-2</c:v>
                </c:pt>
                <c:pt idx="763">
                  <c:v>1.8197807645395227E-2</c:v>
                </c:pt>
                <c:pt idx="764">
                  <c:v>1.6792789933161231E-2</c:v>
                </c:pt>
                <c:pt idx="765">
                  <c:v>1.8879388842232753E-2</c:v>
                </c:pt>
                <c:pt idx="766">
                  <c:v>1.6605516562149522E-2</c:v>
                </c:pt>
                <c:pt idx="767">
                  <c:v>1.7745572764429143E-2</c:v>
                </c:pt>
                <c:pt idx="768">
                  <c:v>1.7194743638177756E-2</c:v>
                </c:pt>
                <c:pt idx="769">
                  <c:v>1.6211653796879701E-2</c:v>
                </c:pt>
                <c:pt idx="770">
                  <c:v>1.7615757348360791E-2</c:v>
                </c:pt>
                <c:pt idx="771">
                  <c:v>1.7085686622976839E-2</c:v>
                </c:pt>
                <c:pt idx="772">
                  <c:v>1.6446605773718304E-2</c:v>
                </c:pt>
                <c:pt idx="773">
                  <c:v>1.6739227314755471E-2</c:v>
                </c:pt>
                <c:pt idx="774">
                  <c:v>1.9130832225914499E-2</c:v>
                </c:pt>
                <c:pt idx="775">
                  <c:v>1.7079013332909874E-2</c:v>
                </c:pt>
                <c:pt idx="776">
                  <c:v>1.8455128774898518E-2</c:v>
                </c:pt>
                <c:pt idx="777">
                  <c:v>1.7037907261813461E-2</c:v>
                </c:pt>
                <c:pt idx="778">
                  <c:v>1.6907692266343706E-2</c:v>
                </c:pt>
                <c:pt idx="779">
                  <c:v>1.6601496808428744E-2</c:v>
                </c:pt>
                <c:pt idx="780">
                  <c:v>1.6422858034771962E-2</c:v>
                </c:pt>
                <c:pt idx="781">
                  <c:v>1.623464405597521E-2</c:v>
                </c:pt>
                <c:pt idx="782">
                  <c:v>1.7086492384932435E-2</c:v>
                </c:pt>
                <c:pt idx="783">
                  <c:v>1.7335405020996605E-2</c:v>
                </c:pt>
                <c:pt idx="784">
                  <c:v>1.7091889050762279E-2</c:v>
                </c:pt>
                <c:pt idx="785">
                  <c:v>1.7649461039422245E-2</c:v>
                </c:pt>
                <c:pt idx="786">
                  <c:v>1.7272103354276081E-2</c:v>
                </c:pt>
                <c:pt idx="787">
                  <c:v>1.7461876975285638E-2</c:v>
                </c:pt>
                <c:pt idx="788">
                  <c:v>1.8320365873565055E-2</c:v>
                </c:pt>
                <c:pt idx="789">
                  <c:v>1.6993961735599628E-2</c:v>
                </c:pt>
                <c:pt idx="790">
                  <c:v>1.7237877147353538E-2</c:v>
                </c:pt>
                <c:pt idx="791">
                  <c:v>1.6665096026403554E-2</c:v>
                </c:pt>
                <c:pt idx="792">
                  <c:v>1.836007673134905E-2</c:v>
                </c:pt>
                <c:pt idx="793">
                  <c:v>1.5919596292870795E-2</c:v>
                </c:pt>
                <c:pt idx="794">
                  <c:v>1.7602385382505231E-2</c:v>
                </c:pt>
                <c:pt idx="795">
                  <c:v>1.6750160375294306E-2</c:v>
                </c:pt>
                <c:pt idx="796">
                  <c:v>1.728919734901211E-2</c:v>
                </c:pt>
                <c:pt idx="797">
                  <c:v>1.6587064745281124E-2</c:v>
                </c:pt>
                <c:pt idx="798">
                  <c:v>1.7437959576472761E-2</c:v>
                </c:pt>
                <c:pt idx="799">
                  <c:v>1.6922712316200489E-2</c:v>
                </c:pt>
                <c:pt idx="800">
                  <c:v>1.6110881255865864E-2</c:v>
                </c:pt>
                <c:pt idx="801">
                  <c:v>1.6317946018528897E-2</c:v>
                </c:pt>
                <c:pt idx="802">
                  <c:v>1.8160691501579066E-2</c:v>
                </c:pt>
                <c:pt idx="803">
                  <c:v>1.8419345002749339E-2</c:v>
                </c:pt>
                <c:pt idx="804">
                  <c:v>1.7344533424030393E-2</c:v>
                </c:pt>
                <c:pt idx="805">
                  <c:v>1.7815788515278767E-2</c:v>
                </c:pt>
                <c:pt idx="806">
                  <c:v>1.8203033323667257E-2</c:v>
                </c:pt>
                <c:pt idx="807">
                  <c:v>1.7479859382416543E-2</c:v>
                </c:pt>
                <c:pt idx="808">
                  <c:v>1.7157740029262802E-2</c:v>
                </c:pt>
                <c:pt idx="809">
                  <c:v>1.7696056487373005E-2</c:v>
                </c:pt>
                <c:pt idx="810">
                  <c:v>1.8305184569423316E-2</c:v>
                </c:pt>
                <c:pt idx="811">
                  <c:v>1.6379000926941664E-2</c:v>
                </c:pt>
                <c:pt idx="812">
                  <c:v>1.68972431138543E-2</c:v>
                </c:pt>
                <c:pt idx="813">
                  <c:v>1.7717688728756256E-2</c:v>
                </c:pt>
                <c:pt idx="814">
                  <c:v>1.686587978997733E-2</c:v>
                </c:pt>
                <c:pt idx="815">
                  <c:v>1.6180960750499636E-2</c:v>
                </c:pt>
                <c:pt idx="816">
                  <c:v>1.7532867084058965E-2</c:v>
                </c:pt>
                <c:pt idx="817">
                  <c:v>1.8409099897189224E-2</c:v>
                </c:pt>
                <c:pt idx="818">
                  <c:v>1.7881467103804696E-2</c:v>
                </c:pt>
                <c:pt idx="819">
                  <c:v>1.7408961729866917E-2</c:v>
                </c:pt>
                <c:pt idx="820">
                  <c:v>1.8034490033789135E-2</c:v>
                </c:pt>
                <c:pt idx="821">
                  <c:v>1.8190121700145521E-2</c:v>
                </c:pt>
                <c:pt idx="822">
                  <c:v>1.6347179855884714E-2</c:v>
                </c:pt>
                <c:pt idx="823">
                  <c:v>1.6611772282397845E-2</c:v>
                </c:pt>
                <c:pt idx="824">
                  <c:v>1.742066388925417E-2</c:v>
                </c:pt>
                <c:pt idx="825">
                  <c:v>1.6921533144806978E-2</c:v>
                </c:pt>
                <c:pt idx="826">
                  <c:v>1.6969559728275799E-2</c:v>
                </c:pt>
                <c:pt idx="827">
                  <c:v>1.835045226742479E-2</c:v>
                </c:pt>
                <c:pt idx="828">
                  <c:v>1.7386042062486604E-2</c:v>
                </c:pt>
                <c:pt idx="829">
                  <c:v>1.5937002959942475E-2</c:v>
                </c:pt>
                <c:pt idx="830">
                  <c:v>1.7442220738831383E-2</c:v>
                </c:pt>
                <c:pt idx="831">
                  <c:v>1.7489403557857955E-2</c:v>
                </c:pt>
                <c:pt idx="832">
                  <c:v>1.8569034350786124E-2</c:v>
                </c:pt>
                <c:pt idx="833">
                  <c:v>1.6338261546051822E-2</c:v>
                </c:pt>
                <c:pt idx="834">
                  <c:v>1.7924575656932451E-2</c:v>
                </c:pt>
                <c:pt idx="835">
                  <c:v>1.772169162403768E-2</c:v>
                </c:pt>
                <c:pt idx="836">
                  <c:v>1.8510000830610749E-2</c:v>
                </c:pt>
                <c:pt idx="837">
                  <c:v>1.6443810813509221E-2</c:v>
                </c:pt>
                <c:pt idx="838">
                  <c:v>1.6894959803623204E-2</c:v>
                </c:pt>
                <c:pt idx="839">
                  <c:v>1.646021378726524E-2</c:v>
                </c:pt>
                <c:pt idx="840">
                  <c:v>1.6579935329603262E-2</c:v>
                </c:pt>
                <c:pt idx="841">
                  <c:v>1.8540327492674095E-2</c:v>
                </c:pt>
                <c:pt idx="842">
                  <c:v>1.8779984728246799E-2</c:v>
                </c:pt>
                <c:pt idx="843">
                  <c:v>1.6947184943075531E-2</c:v>
                </c:pt>
                <c:pt idx="844">
                  <c:v>1.7572314834129493E-2</c:v>
                </c:pt>
                <c:pt idx="845">
                  <c:v>1.8482459135440339E-2</c:v>
                </c:pt>
                <c:pt idx="846">
                  <c:v>1.8602154027842873E-2</c:v>
                </c:pt>
                <c:pt idx="847">
                  <c:v>1.8918672363180181E-2</c:v>
                </c:pt>
                <c:pt idx="848">
                  <c:v>1.8898325268741432E-2</c:v>
                </c:pt>
                <c:pt idx="849">
                  <c:v>1.7029404578852523E-2</c:v>
                </c:pt>
                <c:pt idx="850">
                  <c:v>1.6445702526398792E-2</c:v>
                </c:pt>
                <c:pt idx="851">
                  <c:v>1.6157923318696182E-2</c:v>
                </c:pt>
                <c:pt idx="852">
                  <c:v>1.7502824825151485E-2</c:v>
                </c:pt>
                <c:pt idx="853">
                  <c:v>1.7341256954181098E-2</c:v>
                </c:pt>
                <c:pt idx="854">
                  <c:v>1.7138446315821732E-2</c:v>
                </c:pt>
                <c:pt idx="855">
                  <c:v>1.6499156273380215E-2</c:v>
                </c:pt>
                <c:pt idx="856">
                  <c:v>1.6892469087843379E-2</c:v>
                </c:pt>
                <c:pt idx="857">
                  <c:v>1.7058085880449349E-2</c:v>
                </c:pt>
                <c:pt idx="858">
                  <c:v>1.8016326348751607E-2</c:v>
                </c:pt>
                <c:pt idx="859">
                  <c:v>1.6427457036860771E-2</c:v>
                </c:pt>
                <c:pt idx="860">
                  <c:v>1.7378936062618117E-2</c:v>
                </c:pt>
                <c:pt idx="861">
                  <c:v>1.6330772095909898E-2</c:v>
                </c:pt>
                <c:pt idx="862">
                  <c:v>1.7375330512524625E-2</c:v>
                </c:pt>
                <c:pt idx="863">
                  <c:v>1.7705930384986152E-2</c:v>
                </c:pt>
                <c:pt idx="864">
                  <c:v>1.7260730720153609E-2</c:v>
                </c:pt>
                <c:pt idx="865">
                  <c:v>1.8530274170832989E-2</c:v>
                </c:pt>
                <c:pt idx="866">
                  <c:v>1.7021400404585465E-2</c:v>
                </c:pt>
                <c:pt idx="867">
                  <c:v>1.6800925273343922E-2</c:v>
                </c:pt>
                <c:pt idx="868">
                  <c:v>1.7097543727405507E-2</c:v>
                </c:pt>
                <c:pt idx="869">
                  <c:v>1.6343580454314506E-2</c:v>
                </c:pt>
                <c:pt idx="870">
                  <c:v>1.6242594529099121E-2</c:v>
                </c:pt>
                <c:pt idx="871">
                  <c:v>1.6923888912668873E-2</c:v>
                </c:pt>
                <c:pt idx="872">
                  <c:v>1.5871591555336656E-2</c:v>
                </c:pt>
                <c:pt idx="873">
                  <c:v>1.7082964788015822E-2</c:v>
                </c:pt>
                <c:pt idx="874">
                  <c:v>1.773351908845824E-2</c:v>
                </c:pt>
                <c:pt idx="875">
                  <c:v>1.7991054123405032E-2</c:v>
                </c:pt>
                <c:pt idx="876">
                  <c:v>1.8235782008337514E-2</c:v>
                </c:pt>
                <c:pt idx="877">
                  <c:v>1.6298553728173005E-2</c:v>
                </c:pt>
                <c:pt idx="878">
                  <c:v>1.7493778368255462E-2</c:v>
                </c:pt>
                <c:pt idx="879">
                  <c:v>1.8187980300840005E-2</c:v>
                </c:pt>
                <c:pt idx="880">
                  <c:v>1.5897089570502163E-2</c:v>
                </c:pt>
                <c:pt idx="881">
                  <c:v>1.7410430194804247E-2</c:v>
                </c:pt>
                <c:pt idx="882">
                  <c:v>1.674877795592784E-2</c:v>
                </c:pt>
                <c:pt idx="883">
                  <c:v>1.6971190896600579E-2</c:v>
                </c:pt>
                <c:pt idx="884">
                  <c:v>1.6600284365792414E-2</c:v>
                </c:pt>
                <c:pt idx="885">
                  <c:v>1.61002729761556E-2</c:v>
                </c:pt>
                <c:pt idx="886">
                  <c:v>1.7632374560411529E-2</c:v>
                </c:pt>
                <c:pt idx="887">
                  <c:v>1.8031676065888711E-2</c:v>
                </c:pt>
                <c:pt idx="888">
                  <c:v>1.8442459019235361E-2</c:v>
                </c:pt>
                <c:pt idx="889">
                  <c:v>1.6457058300611675E-2</c:v>
                </c:pt>
                <c:pt idx="890">
                  <c:v>1.7186276312267056E-2</c:v>
                </c:pt>
                <c:pt idx="891">
                  <c:v>1.7411108871551863E-2</c:v>
                </c:pt>
                <c:pt idx="892">
                  <c:v>1.6283338697327735E-2</c:v>
                </c:pt>
                <c:pt idx="893">
                  <c:v>1.6638244870179005E-2</c:v>
                </c:pt>
                <c:pt idx="894">
                  <c:v>1.6555862132669338E-2</c:v>
                </c:pt>
                <c:pt idx="895">
                  <c:v>1.7552104498803765E-2</c:v>
                </c:pt>
                <c:pt idx="896">
                  <c:v>1.8415941121144318E-2</c:v>
                </c:pt>
                <c:pt idx="897">
                  <c:v>1.6337164962249615E-2</c:v>
                </c:pt>
                <c:pt idx="898">
                  <c:v>1.7949164594863398E-2</c:v>
                </c:pt>
                <c:pt idx="899">
                  <c:v>1.7832878892486231E-2</c:v>
                </c:pt>
                <c:pt idx="900">
                  <c:v>1.755920137566469E-2</c:v>
                </c:pt>
                <c:pt idx="901">
                  <c:v>1.7396165023422065E-2</c:v>
                </c:pt>
                <c:pt idx="902">
                  <c:v>1.7621901780606328E-2</c:v>
                </c:pt>
                <c:pt idx="903">
                  <c:v>1.7614518672348069E-2</c:v>
                </c:pt>
                <c:pt idx="904">
                  <c:v>1.7909149011782206E-2</c:v>
                </c:pt>
                <c:pt idx="905">
                  <c:v>1.9559560813303775E-2</c:v>
                </c:pt>
                <c:pt idx="906">
                  <c:v>1.6475386912896021E-2</c:v>
                </c:pt>
                <c:pt idx="907">
                  <c:v>1.6221856794842948E-2</c:v>
                </c:pt>
                <c:pt idx="908">
                  <c:v>1.6993450873404432E-2</c:v>
                </c:pt>
                <c:pt idx="909">
                  <c:v>1.934926771973438E-2</c:v>
                </c:pt>
                <c:pt idx="910">
                  <c:v>1.8292548070339022E-2</c:v>
                </c:pt>
                <c:pt idx="911">
                  <c:v>1.6703024485137406E-2</c:v>
                </c:pt>
                <c:pt idx="912">
                  <c:v>1.6227147348838157E-2</c:v>
                </c:pt>
                <c:pt idx="913">
                  <c:v>1.6417586964239027E-2</c:v>
                </c:pt>
                <c:pt idx="914">
                  <c:v>1.7775908379001955E-2</c:v>
                </c:pt>
                <c:pt idx="915">
                  <c:v>1.6666720765522093E-2</c:v>
                </c:pt>
                <c:pt idx="916">
                  <c:v>1.592766478223568E-2</c:v>
                </c:pt>
                <c:pt idx="917">
                  <c:v>1.6465960153621558E-2</c:v>
                </c:pt>
                <c:pt idx="918">
                  <c:v>1.7990203084683368E-2</c:v>
                </c:pt>
                <c:pt idx="919">
                  <c:v>1.7208969237361895E-2</c:v>
                </c:pt>
                <c:pt idx="920">
                  <c:v>1.7007869464237119E-2</c:v>
                </c:pt>
                <c:pt idx="921">
                  <c:v>1.812501814515205E-2</c:v>
                </c:pt>
                <c:pt idx="922">
                  <c:v>1.8081243546048814E-2</c:v>
                </c:pt>
                <c:pt idx="923">
                  <c:v>1.6622829980895978E-2</c:v>
                </c:pt>
                <c:pt idx="924">
                  <c:v>1.6106202631009748E-2</c:v>
                </c:pt>
                <c:pt idx="925">
                  <c:v>1.8113618519012751E-2</c:v>
                </c:pt>
                <c:pt idx="926">
                  <c:v>1.6618365033622733E-2</c:v>
                </c:pt>
                <c:pt idx="927">
                  <c:v>1.7620601529302424E-2</c:v>
                </c:pt>
                <c:pt idx="928">
                  <c:v>2.0805709761063173E-2</c:v>
                </c:pt>
                <c:pt idx="929">
                  <c:v>1.6148071868731954E-2</c:v>
                </c:pt>
                <c:pt idx="930">
                  <c:v>1.6334550513550244E-2</c:v>
                </c:pt>
                <c:pt idx="931">
                  <c:v>1.6735148173187595E-2</c:v>
                </c:pt>
                <c:pt idx="932">
                  <c:v>1.6716976995956482E-2</c:v>
                </c:pt>
                <c:pt idx="933">
                  <c:v>1.6879401086832963E-2</c:v>
                </c:pt>
                <c:pt idx="934">
                  <c:v>1.6982505726513858E-2</c:v>
                </c:pt>
                <c:pt idx="935">
                  <c:v>1.6067768113696996E-2</c:v>
                </c:pt>
                <c:pt idx="936">
                  <c:v>1.7414593556473464E-2</c:v>
                </c:pt>
                <c:pt idx="937">
                  <c:v>1.7578080082557745E-2</c:v>
                </c:pt>
                <c:pt idx="938">
                  <c:v>1.8719095495663817E-2</c:v>
                </c:pt>
                <c:pt idx="939">
                  <c:v>1.8274074434999281E-2</c:v>
                </c:pt>
                <c:pt idx="940">
                  <c:v>1.6579578229927189E-2</c:v>
                </c:pt>
                <c:pt idx="941">
                  <c:v>1.7346729676615068E-2</c:v>
                </c:pt>
                <c:pt idx="942">
                  <c:v>1.6749529105051186E-2</c:v>
                </c:pt>
                <c:pt idx="943">
                  <c:v>1.8837568206781542E-2</c:v>
                </c:pt>
                <c:pt idx="944">
                  <c:v>1.8499046727422936E-2</c:v>
                </c:pt>
                <c:pt idx="945">
                  <c:v>1.8747100598488359E-2</c:v>
                </c:pt>
                <c:pt idx="946">
                  <c:v>1.7928213087495461E-2</c:v>
                </c:pt>
                <c:pt idx="947">
                  <c:v>1.6431713153659131E-2</c:v>
                </c:pt>
                <c:pt idx="948">
                  <c:v>1.7230507218753497E-2</c:v>
                </c:pt>
                <c:pt idx="949">
                  <c:v>1.8251743686061972E-2</c:v>
                </c:pt>
                <c:pt idx="950">
                  <c:v>1.6169281154836231E-2</c:v>
                </c:pt>
                <c:pt idx="951">
                  <c:v>1.7298621030959371E-2</c:v>
                </c:pt>
                <c:pt idx="952">
                  <c:v>1.6292692403447565E-2</c:v>
                </c:pt>
                <c:pt idx="953">
                  <c:v>1.6145817879308619E-2</c:v>
                </c:pt>
                <c:pt idx="954">
                  <c:v>1.8977889109183039E-2</c:v>
                </c:pt>
                <c:pt idx="955">
                  <c:v>1.7948857798734116E-2</c:v>
                </c:pt>
                <c:pt idx="956">
                  <c:v>1.7193093026200548E-2</c:v>
                </c:pt>
                <c:pt idx="957">
                  <c:v>1.6927405191628386E-2</c:v>
                </c:pt>
                <c:pt idx="958">
                  <c:v>1.7127652035136474E-2</c:v>
                </c:pt>
                <c:pt idx="959">
                  <c:v>1.6399747464093364E-2</c:v>
                </c:pt>
                <c:pt idx="960">
                  <c:v>1.7033667725837309E-2</c:v>
                </c:pt>
                <c:pt idx="961">
                  <c:v>1.6415351167712634E-2</c:v>
                </c:pt>
                <c:pt idx="962">
                  <c:v>1.7417746369984662E-2</c:v>
                </c:pt>
                <c:pt idx="963">
                  <c:v>1.8496482776650055E-2</c:v>
                </c:pt>
                <c:pt idx="964">
                  <c:v>1.7814829741859304E-2</c:v>
                </c:pt>
                <c:pt idx="965">
                  <c:v>1.7525578294187025E-2</c:v>
                </c:pt>
                <c:pt idx="966">
                  <c:v>1.8051615004141697E-2</c:v>
                </c:pt>
                <c:pt idx="967">
                  <c:v>1.7146819396192246E-2</c:v>
                </c:pt>
                <c:pt idx="968">
                  <c:v>1.8329936027703934E-2</c:v>
                </c:pt>
                <c:pt idx="969">
                  <c:v>1.6239338974009542E-2</c:v>
                </c:pt>
                <c:pt idx="970">
                  <c:v>1.6295782265065988E-2</c:v>
                </c:pt>
                <c:pt idx="971">
                  <c:v>1.8263784052510272E-2</c:v>
                </c:pt>
                <c:pt idx="972">
                  <c:v>1.6344931180557642E-2</c:v>
                </c:pt>
                <c:pt idx="973">
                  <c:v>1.782138994978855E-2</c:v>
                </c:pt>
                <c:pt idx="974">
                  <c:v>1.6587831984053007E-2</c:v>
                </c:pt>
                <c:pt idx="975">
                  <c:v>1.7089300938897333E-2</c:v>
                </c:pt>
                <c:pt idx="976">
                  <c:v>1.7042982498628713E-2</c:v>
                </c:pt>
                <c:pt idx="977">
                  <c:v>1.7893084757964875E-2</c:v>
                </c:pt>
                <c:pt idx="978">
                  <c:v>1.6313804458084193E-2</c:v>
                </c:pt>
                <c:pt idx="979">
                  <c:v>1.8591507810866898E-2</c:v>
                </c:pt>
                <c:pt idx="980">
                  <c:v>1.6044393497205347E-2</c:v>
                </c:pt>
                <c:pt idx="981">
                  <c:v>1.6598023738755477E-2</c:v>
                </c:pt>
                <c:pt idx="982">
                  <c:v>1.7907224792020646E-2</c:v>
                </c:pt>
                <c:pt idx="983">
                  <c:v>1.7703914658540359E-2</c:v>
                </c:pt>
                <c:pt idx="984">
                  <c:v>1.7519731903746266E-2</c:v>
                </c:pt>
                <c:pt idx="985">
                  <c:v>1.5699420953424439E-2</c:v>
                </c:pt>
                <c:pt idx="986">
                  <c:v>1.8244089090988801E-2</c:v>
                </c:pt>
                <c:pt idx="987">
                  <c:v>1.7922826298035519E-2</c:v>
                </c:pt>
                <c:pt idx="988">
                  <c:v>1.7053922637145762E-2</c:v>
                </c:pt>
                <c:pt idx="989">
                  <c:v>1.8605189063236917E-2</c:v>
                </c:pt>
                <c:pt idx="990">
                  <c:v>1.6050519450935163E-2</c:v>
                </c:pt>
                <c:pt idx="991">
                  <c:v>1.6843225417993463E-2</c:v>
                </c:pt>
                <c:pt idx="992">
                  <c:v>1.8245806322734696E-2</c:v>
                </c:pt>
                <c:pt idx="993">
                  <c:v>1.6693836704117542E-2</c:v>
                </c:pt>
                <c:pt idx="994">
                  <c:v>1.6291501105455033E-2</c:v>
                </c:pt>
                <c:pt idx="995">
                  <c:v>1.6808431090452918E-2</c:v>
                </c:pt>
                <c:pt idx="996">
                  <c:v>1.8567138794914822E-2</c:v>
                </c:pt>
                <c:pt idx="997">
                  <c:v>1.7665359272115832E-2</c:v>
                </c:pt>
                <c:pt idx="998">
                  <c:v>1.6249264752758803E-2</c:v>
                </c:pt>
                <c:pt idx="999">
                  <c:v>1.696222291971269E-2</c:v>
                </c:pt>
              </c:numCache>
            </c:numRef>
          </c:xVal>
          <c:yVal>
            <c:numRef>
              <c:f>'Mandatory Assigment '!$Z$24:$Z$1023</c:f>
              <c:numCache>
                <c:formatCode>General</c:formatCode>
                <c:ptCount val="1000"/>
                <c:pt idx="0">
                  <c:v>7.6545332474571147E-4</c:v>
                </c:pt>
                <c:pt idx="1">
                  <c:v>8.7114013780695688E-4</c:v>
                </c:pt>
                <c:pt idx="2">
                  <c:v>8.6775175334168997E-4</c:v>
                </c:pt>
                <c:pt idx="3">
                  <c:v>8.5113642022109528E-4</c:v>
                </c:pt>
                <c:pt idx="4">
                  <c:v>8.0127354782245799E-4</c:v>
                </c:pt>
                <c:pt idx="5">
                  <c:v>9.2373126173441345E-4</c:v>
                </c:pt>
                <c:pt idx="6">
                  <c:v>1.0182194184835715E-3</c:v>
                </c:pt>
                <c:pt idx="7">
                  <c:v>1.0397402798507256E-3</c:v>
                </c:pt>
                <c:pt idx="8">
                  <c:v>8.3077859257197511E-4</c:v>
                </c:pt>
                <c:pt idx="9">
                  <c:v>1.1163545805234869E-3</c:v>
                </c:pt>
                <c:pt idx="10">
                  <c:v>8.2442585080853533E-4</c:v>
                </c:pt>
                <c:pt idx="11">
                  <c:v>9.4724664173351442E-4</c:v>
                </c:pt>
                <c:pt idx="12">
                  <c:v>9.4019316571181295E-4</c:v>
                </c:pt>
                <c:pt idx="13">
                  <c:v>9.590033721829219E-4</c:v>
                </c:pt>
                <c:pt idx="14">
                  <c:v>9.1215641695177574E-4</c:v>
                </c:pt>
                <c:pt idx="15">
                  <c:v>7.9610779402728294E-4</c:v>
                </c:pt>
                <c:pt idx="16">
                  <c:v>1.028705196179313E-3</c:v>
                </c:pt>
                <c:pt idx="17">
                  <c:v>9.411451895096764E-4</c:v>
                </c:pt>
                <c:pt idx="18">
                  <c:v>7.3599555342639166E-4</c:v>
                </c:pt>
                <c:pt idx="19">
                  <c:v>1.171838658478794E-3</c:v>
                </c:pt>
                <c:pt idx="20">
                  <c:v>9.6452693142545331E-4</c:v>
                </c:pt>
                <c:pt idx="21">
                  <c:v>1.0465877801435937E-3</c:v>
                </c:pt>
                <c:pt idx="22">
                  <c:v>1.2060013978611407E-3</c:v>
                </c:pt>
                <c:pt idx="23">
                  <c:v>8.2751437603675458E-4</c:v>
                </c:pt>
                <c:pt idx="24">
                  <c:v>1.1440935807871047E-3</c:v>
                </c:pt>
                <c:pt idx="25">
                  <c:v>7.1731202074732465E-4</c:v>
                </c:pt>
                <c:pt idx="26">
                  <c:v>8.9244323353580672E-4</c:v>
                </c:pt>
                <c:pt idx="27">
                  <c:v>9.1364283539114286E-4</c:v>
                </c:pt>
                <c:pt idx="28">
                  <c:v>9.1109461085681271E-4</c:v>
                </c:pt>
                <c:pt idx="29">
                  <c:v>8.5145129042319789E-4</c:v>
                </c:pt>
                <c:pt idx="30">
                  <c:v>9.0769585843103267E-4</c:v>
                </c:pt>
                <c:pt idx="31">
                  <c:v>6.9791638938661814E-4</c:v>
                </c:pt>
                <c:pt idx="32">
                  <c:v>9.5025067862202308E-4</c:v>
                </c:pt>
                <c:pt idx="33">
                  <c:v>8.2050210805704603E-4</c:v>
                </c:pt>
                <c:pt idx="34">
                  <c:v>9.8700726237068684E-4</c:v>
                </c:pt>
                <c:pt idx="35">
                  <c:v>8.7445312461257403E-4</c:v>
                </c:pt>
                <c:pt idx="36">
                  <c:v>8.1970740141909602E-4</c:v>
                </c:pt>
                <c:pt idx="37">
                  <c:v>9.4357583813709119E-4</c:v>
                </c:pt>
                <c:pt idx="38">
                  <c:v>1.0084503673442025E-3</c:v>
                </c:pt>
                <c:pt idx="39">
                  <c:v>9.9695383288983205E-4</c:v>
                </c:pt>
                <c:pt idx="40">
                  <c:v>9.3557221873214781E-4</c:v>
                </c:pt>
                <c:pt idx="41">
                  <c:v>8.4008338080477491E-4</c:v>
                </c:pt>
                <c:pt idx="42">
                  <c:v>6.8946077163531861E-4</c:v>
                </c:pt>
                <c:pt idx="43">
                  <c:v>8.5424551366786432E-4</c:v>
                </c:pt>
                <c:pt idx="44">
                  <c:v>1.0555042426169837E-3</c:v>
                </c:pt>
                <c:pt idx="45">
                  <c:v>7.0922768671849998E-4</c:v>
                </c:pt>
                <c:pt idx="46">
                  <c:v>1.0458741802014694E-3</c:v>
                </c:pt>
                <c:pt idx="47">
                  <c:v>9.2278106197918298E-4</c:v>
                </c:pt>
                <c:pt idx="48">
                  <c:v>8.7225161678919057E-4</c:v>
                </c:pt>
                <c:pt idx="49">
                  <c:v>8.0923992185662045E-4</c:v>
                </c:pt>
                <c:pt idx="50">
                  <c:v>1.0343509840691175E-3</c:v>
                </c:pt>
                <c:pt idx="51">
                  <c:v>9.496149473065831E-4</c:v>
                </c:pt>
                <c:pt idx="52">
                  <c:v>1.0545027293851752E-3</c:v>
                </c:pt>
                <c:pt idx="53">
                  <c:v>7.9641615016331981E-4</c:v>
                </c:pt>
                <c:pt idx="54">
                  <c:v>1.0367421405024827E-3</c:v>
                </c:pt>
                <c:pt idx="55">
                  <c:v>8.6213875223696123E-4</c:v>
                </c:pt>
                <c:pt idx="56">
                  <c:v>9.3984363309669778E-4</c:v>
                </c:pt>
                <c:pt idx="57">
                  <c:v>9.7859366530264635E-4</c:v>
                </c:pt>
                <c:pt idx="58">
                  <c:v>8.4198849942715166E-4</c:v>
                </c:pt>
                <c:pt idx="59">
                  <c:v>8.3288627989787378E-4</c:v>
                </c:pt>
                <c:pt idx="60">
                  <c:v>8.3159852342763784E-4</c:v>
                </c:pt>
                <c:pt idx="61">
                  <c:v>1.0378486355974556E-3</c:v>
                </c:pt>
                <c:pt idx="62">
                  <c:v>9.5160249178389785E-4</c:v>
                </c:pt>
                <c:pt idx="63">
                  <c:v>9.3046017829912235E-4</c:v>
                </c:pt>
                <c:pt idx="64">
                  <c:v>9.9777231339560641E-4</c:v>
                </c:pt>
                <c:pt idx="65">
                  <c:v>8.5759808033638999E-4</c:v>
                </c:pt>
                <c:pt idx="66">
                  <c:v>7.8183914619814245E-4</c:v>
                </c:pt>
                <c:pt idx="67">
                  <c:v>9.1305602641858637E-4</c:v>
                </c:pt>
                <c:pt idx="68">
                  <c:v>9.2227780907807872E-4</c:v>
                </c:pt>
                <c:pt idx="69">
                  <c:v>9.6861122641349491E-4</c:v>
                </c:pt>
                <c:pt idx="70">
                  <c:v>9.1269496692402102E-4</c:v>
                </c:pt>
                <c:pt idx="71">
                  <c:v>9.0103970762751709E-4</c:v>
                </c:pt>
                <c:pt idx="72">
                  <c:v>8.1554369748274708E-4</c:v>
                </c:pt>
                <c:pt idx="73">
                  <c:v>8.9470090482548852E-4</c:v>
                </c:pt>
                <c:pt idx="74">
                  <c:v>1.0525335593151446E-3</c:v>
                </c:pt>
                <c:pt idx="75">
                  <c:v>8.8785073089591544E-4</c:v>
                </c:pt>
                <c:pt idx="76">
                  <c:v>7.4795214933951718E-4</c:v>
                </c:pt>
                <c:pt idx="77">
                  <c:v>1.0022099483042845E-3</c:v>
                </c:pt>
                <c:pt idx="78">
                  <c:v>9.678481098114285E-4</c:v>
                </c:pt>
                <c:pt idx="79">
                  <c:v>1.0615590478126424E-3</c:v>
                </c:pt>
                <c:pt idx="80">
                  <c:v>1.0852504815639782E-3</c:v>
                </c:pt>
                <c:pt idx="81">
                  <c:v>1.0173360703439461E-3</c:v>
                </c:pt>
                <c:pt idx="82">
                  <c:v>8.8206213862573901E-4</c:v>
                </c:pt>
                <c:pt idx="83">
                  <c:v>1.0369583300288117E-3</c:v>
                </c:pt>
                <c:pt idx="84">
                  <c:v>9.3779227697883701E-4</c:v>
                </c:pt>
                <c:pt idx="85">
                  <c:v>7.8329254162677196E-4</c:v>
                </c:pt>
                <c:pt idx="86">
                  <c:v>7.9153294155210989E-4</c:v>
                </c:pt>
                <c:pt idx="87">
                  <c:v>9.7775714580618364E-4</c:v>
                </c:pt>
                <c:pt idx="88">
                  <c:v>9.8830385889487607E-4</c:v>
                </c:pt>
                <c:pt idx="89">
                  <c:v>9.0602115976209908E-4</c:v>
                </c:pt>
                <c:pt idx="90">
                  <c:v>9.8825526790418533E-4</c:v>
                </c:pt>
                <c:pt idx="91">
                  <c:v>8.8574718426930531E-4</c:v>
                </c:pt>
                <c:pt idx="92">
                  <c:v>8.9159149785035595E-4</c:v>
                </c:pt>
                <c:pt idx="93">
                  <c:v>8.5804277812247969E-4</c:v>
                </c:pt>
                <c:pt idx="94">
                  <c:v>7.8963954895431687E-4</c:v>
                </c:pt>
                <c:pt idx="95">
                  <c:v>7.4656272579772388E-4</c:v>
                </c:pt>
                <c:pt idx="96">
                  <c:v>9.8637385469519875E-4</c:v>
                </c:pt>
                <c:pt idx="97">
                  <c:v>1.0011304418911559E-3</c:v>
                </c:pt>
                <c:pt idx="98">
                  <c:v>1.2335896560298578E-3</c:v>
                </c:pt>
                <c:pt idx="99">
                  <c:v>9.3938823584383468E-4</c:v>
                </c:pt>
                <c:pt idx="100">
                  <c:v>6.4244406714267081E-4</c:v>
                </c:pt>
                <c:pt idx="101">
                  <c:v>8.9281414037462416E-4</c:v>
                </c:pt>
                <c:pt idx="102">
                  <c:v>8.1833571061890097E-4</c:v>
                </c:pt>
                <c:pt idx="103">
                  <c:v>9.7153114905469662E-4</c:v>
                </c:pt>
                <c:pt idx="104">
                  <c:v>9.3762550546718317E-4</c:v>
                </c:pt>
                <c:pt idx="105">
                  <c:v>1.1391165749447261E-3</c:v>
                </c:pt>
                <c:pt idx="106">
                  <c:v>1.0598703212107814E-3</c:v>
                </c:pt>
                <c:pt idx="107">
                  <c:v>9.3012179111920325E-4</c:v>
                </c:pt>
                <c:pt idx="108">
                  <c:v>1.0247374538014833E-3</c:v>
                </c:pt>
                <c:pt idx="109">
                  <c:v>1.059628346744551E-3</c:v>
                </c:pt>
                <c:pt idx="110">
                  <c:v>8.2513491883843811E-4</c:v>
                </c:pt>
                <c:pt idx="111">
                  <c:v>9.2175637551050564E-4</c:v>
                </c:pt>
                <c:pt idx="112">
                  <c:v>1.0318271895814941E-3</c:v>
                </c:pt>
                <c:pt idx="113">
                  <c:v>1.0047944074731098E-3</c:v>
                </c:pt>
                <c:pt idx="114">
                  <c:v>9.9277110913913928E-4</c:v>
                </c:pt>
                <c:pt idx="115">
                  <c:v>1.0925383841494172E-3</c:v>
                </c:pt>
                <c:pt idx="116">
                  <c:v>9.1218590681487713E-4</c:v>
                </c:pt>
                <c:pt idx="117">
                  <c:v>8.7868881322292918E-4</c:v>
                </c:pt>
                <c:pt idx="118">
                  <c:v>8.1530448635764804E-4</c:v>
                </c:pt>
                <c:pt idx="119">
                  <c:v>1.0097489459496161E-3</c:v>
                </c:pt>
                <c:pt idx="120">
                  <c:v>8.1747143132045825E-4</c:v>
                </c:pt>
                <c:pt idx="121">
                  <c:v>7.2371739100348222E-4</c:v>
                </c:pt>
                <c:pt idx="122">
                  <c:v>9.7946731191991647E-4</c:v>
                </c:pt>
                <c:pt idx="123">
                  <c:v>9.5352321977547837E-4</c:v>
                </c:pt>
                <c:pt idx="124">
                  <c:v>1.1202904399791516E-3</c:v>
                </c:pt>
                <c:pt idx="125">
                  <c:v>9.8452576204963215E-4</c:v>
                </c:pt>
                <c:pt idx="126">
                  <c:v>1.0944046795759367E-3</c:v>
                </c:pt>
                <c:pt idx="127">
                  <c:v>8.3145678194877998E-4</c:v>
                </c:pt>
                <c:pt idx="128">
                  <c:v>8.1335629996731433E-4</c:v>
                </c:pt>
                <c:pt idx="129">
                  <c:v>7.8284835516288938E-4</c:v>
                </c:pt>
                <c:pt idx="130">
                  <c:v>8.7620097087957015E-4</c:v>
                </c:pt>
                <c:pt idx="131">
                  <c:v>8.8466628406283466E-4</c:v>
                </c:pt>
                <c:pt idx="132">
                  <c:v>9.9109051080988422E-4</c:v>
                </c:pt>
                <c:pt idx="133">
                  <c:v>1.0847991658355961E-3</c:v>
                </c:pt>
                <c:pt idx="134">
                  <c:v>9.6956433677046028E-4</c:v>
                </c:pt>
                <c:pt idx="135">
                  <c:v>8.7061768978413971E-4</c:v>
                </c:pt>
                <c:pt idx="136">
                  <c:v>9.8212040085247313E-4</c:v>
                </c:pt>
                <c:pt idx="137">
                  <c:v>1.0439948472022263E-3</c:v>
                </c:pt>
                <c:pt idx="138">
                  <c:v>9.8459976183756705E-4</c:v>
                </c:pt>
                <c:pt idx="139">
                  <c:v>9.4942188156927178E-4</c:v>
                </c:pt>
                <c:pt idx="140">
                  <c:v>1.0112294799406358E-3</c:v>
                </c:pt>
                <c:pt idx="141">
                  <c:v>1.1447547791189209E-3</c:v>
                </c:pt>
                <c:pt idx="142">
                  <c:v>8.3791819014654044E-4</c:v>
                </c:pt>
                <c:pt idx="143">
                  <c:v>8.517280139504602E-4</c:v>
                </c:pt>
                <c:pt idx="144">
                  <c:v>1.0304621061021885E-3</c:v>
                </c:pt>
                <c:pt idx="145">
                  <c:v>1.1324913382843049E-3</c:v>
                </c:pt>
                <c:pt idx="146">
                  <c:v>9.2884608294089947E-4</c:v>
                </c:pt>
                <c:pt idx="147">
                  <c:v>9.1555597852154284E-4</c:v>
                </c:pt>
                <c:pt idx="148">
                  <c:v>8.0127604967177566E-4</c:v>
                </c:pt>
                <c:pt idx="149">
                  <c:v>1.0040813320484601E-3</c:v>
                </c:pt>
                <c:pt idx="150">
                  <c:v>9.8696197874690748E-4</c:v>
                </c:pt>
                <c:pt idx="151">
                  <c:v>1.018172434801849E-3</c:v>
                </c:pt>
                <c:pt idx="152">
                  <c:v>1.017706860987072E-3</c:v>
                </c:pt>
                <c:pt idx="153">
                  <c:v>9.0432608594185769E-4</c:v>
                </c:pt>
                <c:pt idx="154">
                  <c:v>9.6239981729516412E-4</c:v>
                </c:pt>
                <c:pt idx="155">
                  <c:v>1.09127536108667E-3</c:v>
                </c:pt>
                <c:pt idx="156">
                  <c:v>1.1074979888772664E-3</c:v>
                </c:pt>
                <c:pt idx="157">
                  <c:v>9.8651682716739274E-4</c:v>
                </c:pt>
                <c:pt idx="158">
                  <c:v>9.041024880584173E-4</c:v>
                </c:pt>
                <c:pt idx="159">
                  <c:v>9.3302791284131925E-4</c:v>
                </c:pt>
                <c:pt idx="160">
                  <c:v>8.3195260922773505E-4</c:v>
                </c:pt>
                <c:pt idx="161">
                  <c:v>9.0201863593907829E-4</c:v>
                </c:pt>
                <c:pt idx="162">
                  <c:v>8.5091985233401207E-4</c:v>
                </c:pt>
                <c:pt idx="163">
                  <c:v>1.0242622023808867E-3</c:v>
                </c:pt>
                <c:pt idx="164">
                  <c:v>1.0947948906303469E-3</c:v>
                </c:pt>
                <c:pt idx="165">
                  <c:v>9.9791539680626259E-4</c:v>
                </c:pt>
                <c:pt idx="166">
                  <c:v>1.0314142625430761E-3</c:v>
                </c:pt>
                <c:pt idx="167">
                  <c:v>6.5266420960716372E-4</c:v>
                </c:pt>
                <c:pt idx="168">
                  <c:v>1.1081654622847462E-3</c:v>
                </c:pt>
                <c:pt idx="169">
                  <c:v>1.0128969480214535E-3</c:v>
                </c:pt>
                <c:pt idx="170">
                  <c:v>1.150529756401969E-3</c:v>
                </c:pt>
                <c:pt idx="171">
                  <c:v>9.2541553115695107E-4</c:v>
                </c:pt>
                <c:pt idx="172">
                  <c:v>7.7325105049111983E-4</c:v>
                </c:pt>
                <c:pt idx="173">
                  <c:v>1.0644515864685318E-3</c:v>
                </c:pt>
                <c:pt idx="174">
                  <c:v>9.3669619804571101E-4</c:v>
                </c:pt>
                <c:pt idx="175">
                  <c:v>8.68463055641521E-4</c:v>
                </c:pt>
                <c:pt idx="176">
                  <c:v>9.1956685799905302E-4</c:v>
                </c:pt>
                <c:pt idx="177">
                  <c:v>9.2866912556140407E-4</c:v>
                </c:pt>
                <c:pt idx="178">
                  <c:v>8.5232082829784692E-4</c:v>
                </c:pt>
                <c:pt idx="179">
                  <c:v>9.8061829743401182E-4</c:v>
                </c:pt>
                <c:pt idx="180">
                  <c:v>8.4059881906069288E-4</c:v>
                </c:pt>
                <c:pt idx="181">
                  <c:v>1.0595496250906172E-3</c:v>
                </c:pt>
                <c:pt idx="182">
                  <c:v>8.1920952979253818E-4</c:v>
                </c:pt>
                <c:pt idx="183">
                  <c:v>1.0243204708256983E-3</c:v>
                </c:pt>
                <c:pt idx="184">
                  <c:v>8.6062671688166283E-4</c:v>
                </c:pt>
                <c:pt idx="185">
                  <c:v>8.3937871879313309E-4</c:v>
                </c:pt>
                <c:pt idx="186">
                  <c:v>1.0042151046251776E-3</c:v>
                </c:pt>
                <c:pt idx="187">
                  <c:v>8.9893386827962461E-4</c:v>
                </c:pt>
                <c:pt idx="188">
                  <c:v>8.5571934057744191E-4</c:v>
                </c:pt>
                <c:pt idx="189">
                  <c:v>9.4602550896196261E-4</c:v>
                </c:pt>
                <c:pt idx="190">
                  <c:v>8.6189193466585528E-4</c:v>
                </c:pt>
                <c:pt idx="191">
                  <c:v>1.03118578776778E-3</c:v>
                </c:pt>
                <c:pt idx="192">
                  <c:v>1.1915406038926235E-3</c:v>
                </c:pt>
                <c:pt idx="193">
                  <c:v>9.5748746766241512E-4</c:v>
                </c:pt>
                <c:pt idx="194">
                  <c:v>8.5063870641886212E-4</c:v>
                </c:pt>
                <c:pt idx="195">
                  <c:v>7.8804822526926381E-4</c:v>
                </c:pt>
                <c:pt idx="196">
                  <c:v>9.5624573516067722E-4</c:v>
                </c:pt>
                <c:pt idx="197">
                  <c:v>1.0331293736399606E-3</c:v>
                </c:pt>
                <c:pt idx="198">
                  <c:v>1.0292055657350617E-3</c:v>
                </c:pt>
                <c:pt idx="199">
                  <c:v>8.7183920285732546E-4</c:v>
                </c:pt>
                <c:pt idx="200">
                  <c:v>8.3055280427154501E-4</c:v>
                </c:pt>
                <c:pt idx="201">
                  <c:v>7.0250631140574059E-4</c:v>
                </c:pt>
                <c:pt idx="202">
                  <c:v>8.2767707091456412E-4</c:v>
                </c:pt>
                <c:pt idx="203">
                  <c:v>9.9647631485953107E-4</c:v>
                </c:pt>
                <c:pt idx="204">
                  <c:v>9.2862898523481303E-4</c:v>
                </c:pt>
                <c:pt idx="205">
                  <c:v>9.7428138725154259E-4</c:v>
                </c:pt>
                <c:pt idx="206">
                  <c:v>9.9771347801771797E-4</c:v>
                </c:pt>
                <c:pt idx="207">
                  <c:v>9.0865308887262653E-4</c:v>
                </c:pt>
                <c:pt idx="208">
                  <c:v>1.0125882776082186E-3</c:v>
                </c:pt>
                <c:pt idx="209">
                  <c:v>9.776276475685615E-4</c:v>
                </c:pt>
                <c:pt idx="210">
                  <c:v>1.0994210729311014E-3</c:v>
                </c:pt>
                <c:pt idx="211">
                  <c:v>9.6138463437082944E-4</c:v>
                </c:pt>
                <c:pt idx="212">
                  <c:v>9.8597019519470748E-4</c:v>
                </c:pt>
                <c:pt idx="213">
                  <c:v>7.9438667565105161E-4</c:v>
                </c:pt>
                <c:pt idx="214">
                  <c:v>1.103355509289214E-3</c:v>
                </c:pt>
                <c:pt idx="215">
                  <c:v>1.0667707150737906E-3</c:v>
                </c:pt>
                <c:pt idx="216">
                  <c:v>1.0313410361732652E-3</c:v>
                </c:pt>
                <c:pt idx="217">
                  <c:v>1.0585548465415237E-3</c:v>
                </c:pt>
                <c:pt idx="218">
                  <c:v>8.9492013094669978E-4</c:v>
                </c:pt>
                <c:pt idx="219">
                  <c:v>9.3319476487140909E-4</c:v>
                </c:pt>
                <c:pt idx="220">
                  <c:v>9.490688568954583E-4</c:v>
                </c:pt>
                <c:pt idx="221">
                  <c:v>1.0339784962312634E-3</c:v>
                </c:pt>
                <c:pt idx="222">
                  <c:v>9.1141061033772977E-4</c:v>
                </c:pt>
                <c:pt idx="223">
                  <c:v>9.9978220348795007E-4</c:v>
                </c:pt>
                <c:pt idx="224">
                  <c:v>9.9345286922662311E-4</c:v>
                </c:pt>
                <c:pt idx="225">
                  <c:v>8.379052831725541E-4</c:v>
                </c:pt>
                <c:pt idx="226">
                  <c:v>9.3526945525762302E-4</c:v>
                </c:pt>
                <c:pt idx="227">
                  <c:v>7.6005373700394031E-4</c:v>
                </c:pt>
                <c:pt idx="228">
                  <c:v>9.4622924203957158E-4</c:v>
                </c:pt>
                <c:pt idx="229">
                  <c:v>9.2239014375657515E-4</c:v>
                </c:pt>
                <c:pt idx="230">
                  <c:v>9.9771195783633073E-4</c:v>
                </c:pt>
                <c:pt idx="231">
                  <c:v>8.6143263594900784E-4</c:v>
                </c:pt>
                <c:pt idx="232">
                  <c:v>1.0178562564372162E-3</c:v>
                </c:pt>
                <c:pt idx="233">
                  <c:v>1.0096516428765323E-3</c:v>
                </c:pt>
                <c:pt idx="234">
                  <c:v>7.6878593966030011E-4</c:v>
                </c:pt>
                <c:pt idx="235">
                  <c:v>9.5242162144654739E-4</c:v>
                </c:pt>
                <c:pt idx="236">
                  <c:v>1.140870429913251E-3</c:v>
                </c:pt>
                <c:pt idx="237">
                  <c:v>1.0358399773846968E-3</c:v>
                </c:pt>
                <c:pt idx="238">
                  <c:v>1.1760926526911955E-3</c:v>
                </c:pt>
                <c:pt idx="239">
                  <c:v>1.0579253172730849E-3</c:v>
                </c:pt>
                <c:pt idx="240">
                  <c:v>9.3237433631556928E-4</c:v>
                </c:pt>
                <c:pt idx="241">
                  <c:v>1.1338743332511131E-3</c:v>
                </c:pt>
                <c:pt idx="242">
                  <c:v>9.4487709094167433E-4</c:v>
                </c:pt>
                <c:pt idx="243">
                  <c:v>9.1307551920129216E-4</c:v>
                </c:pt>
                <c:pt idx="244">
                  <c:v>8.9678136262082229E-4</c:v>
                </c:pt>
                <c:pt idx="245">
                  <c:v>9.7540333572430611E-4</c:v>
                </c:pt>
                <c:pt idx="246">
                  <c:v>7.6856405631210213E-4</c:v>
                </c:pt>
                <c:pt idx="247">
                  <c:v>1.0791831651412733E-3</c:v>
                </c:pt>
                <c:pt idx="248">
                  <c:v>8.8082416177463405E-4</c:v>
                </c:pt>
                <c:pt idx="249">
                  <c:v>7.9828988138381791E-4</c:v>
                </c:pt>
                <c:pt idx="250">
                  <c:v>1.0826465559352124E-3</c:v>
                </c:pt>
                <c:pt idx="251">
                  <c:v>9.5797010575928441E-4</c:v>
                </c:pt>
                <c:pt idx="252">
                  <c:v>9.5027382470794437E-4</c:v>
                </c:pt>
                <c:pt idx="253">
                  <c:v>1.0087154836723252E-3</c:v>
                </c:pt>
                <c:pt idx="254">
                  <c:v>9.5973167818693718E-4</c:v>
                </c:pt>
                <c:pt idx="255">
                  <c:v>1.0232237181559409E-3</c:v>
                </c:pt>
                <c:pt idx="256">
                  <c:v>9.3030137244195339E-4</c:v>
                </c:pt>
                <c:pt idx="257">
                  <c:v>1.054454791998114E-3</c:v>
                </c:pt>
                <c:pt idx="258">
                  <c:v>1.0835497777329744E-3</c:v>
                </c:pt>
                <c:pt idx="259">
                  <c:v>1.0514361319205539E-3</c:v>
                </c:pt>
                <c:pt idx="260">
                  <c:v>7.3192201163408224E-4</c:v>
                </c:pt>
                <c:pt idx="261">
                  <c:v>9.1916326240941209E-4</c:v>
                </c:pt>
                <c:pt idx="262">
                  <c:v>1.114874932472627E-3</c:v>
                </c:pt>
                <c:pt idx="263">
                  <c:v>9.4495889923192891E-4</c:v>
                </c:pt>
                <c:pt idx="264">
                  <c:v>1.0920697935236235E-3</c:v>
                </c:pt>
                <c:pt idx="265">
                  <c:v>9.5460129758882968E-4</c:v>
                </c:pt>
                <c:pt idx="266">
                  <c:v>8.275929269136225E-4</c:v>
                </c:pt>
                <c:pt idx="267">
                  <c:v>9.8536119018322261E-4</c:v>
                </c:pt>
                <c:pt idx="268">
                  <c:v>7.8108460152138308E-4</c:v>
                </c:pt>
                <c:pt idx="269">
                  <c:v>8.0246253245345013E-4</c:v>
                </c:pt>
                <c:pt idx="270">
                  <c:v>9.5829485458190236E-4</c:v>
                </c:pt>
                <c:pt idx="271">
                  <c:v>8.4700380852267224E-4</c:v>
                </c:pt>
                <c:pt idx="272">
                  <c:v>8.6416858565668169E-4</c:v>
                </c:pt>
                <c:pt idx="273">
                  <c:v>8.2594919517402557E-4</c:v>
                </c:pt>
                <c:pt idx="274">
                  <c:v>1.0764809224705972E-3</c:v>
                </c:pt>
                <c:pt idx="275">
                  <c:v>8.8199196031834778E-4</c:v>
                </c:pt>
                <c:pt idx="276">
                  <c:v>9.4653341970549524E-4</c:v>
                </c:pt>
                <c:pt idx="277">
                  <c:v>8.2227188625991383E-4</c:v>
                </c:pt>
                <c:pt idx="278">
                  <c:v>8.1692356215301337E-4</c:v>
                </c:pt>
                <c:pt idx="279">
                  <c:v>9.2705311995190719E-4</c:v>
                </c:pt>
                <c:pt idx="280">
                  <c:v>8.8226878157943937E-4</c:v>
                </c:pt>
                <c:pt idx="281">
                  <c:v>8.2375679057973094E-4</c:v>
                </c:pt>
                <c:pt idx="282">
                  <c:v>8.5529049754322947E-4</c:v>
                </c:pt>
                <c:pt idx="283">
                  <c:v>9.0494563763051381E-4</c:v>
                </c:pt>
                <c:pt idx="284">
                  <c:v>9.0591970907727653E-4</c:v>
                </c:pt>
                <c:pt idx="285">
                  <c:v>8.6386069024684355E-4</c:v>
                </c:pt>
                <c:pt idx="286">
                  <c:v>1.0838798585158628E-3</c:v>
                </c:pt>
                <c:pt idx="287">
                  <c:v>8.9020697229713662E-4</c:v>
                </c:pt>
                <c:pt idx="288">
                  <c:v>9.417888723133208E-4</c:v>
                </c:pt>
                <c:pt idx="289">
                  <c:v>8.5809206996894185E-4</c:v>
                </c:pt>
                <c:pt idx="290">
                  <c:v>1.089289688542617E-3</c:v>
                </c:pt>
                <c:pt idx="291">
                  <c:v>8.6642799699777006E-4</c:v>
                </c:pt>
                <c:pt idx="292">
                  <c:v>8.0769341068823424E-4</c:v>
                </c:pt>
                <c:pt idx="293">
                  <c:v>9.2525085954992328E-4</c:v>
                </c:pt>
                <c:pt idx="294">
                  <c:v>9.5716538547934305E-4</c:v>
                </c:pt>
                <c:pt idx="295">
                  <c:v>1.0395599528036032E-3</c:v>
                </c:pt>
                <c:pt idx="296">
                  <c:v>7.3622571510786709E-4</c:v>
                </c:pt>
                <c:pt idx="297">
                  <c:v>8.5943204536377126E-4</c:v>
                </c:pt>
                <c:pt idx="298">
                  <c:v>7.1812250283619615E-4</c:v>
                </c:pt>
                <c:pt idx="299">
                  <c:v>8.5859775813231052E-4</c:v>
                </c:pt>
                <c:pt idx="300">
                  <c:v>1.0250071372923553E-3</c:v>
                </c:pt>
                <c:pt idx="301">
                  <c:v>9.5227013174129188E-4</c:v>
                </c:pt>
                <c:pt idx="302">
                  <c:v>9.4653657524628885E-4</c:v>
                </c:pt>
                <c:pt idx="303">
                  <c:v>9.7058564389775699E-4</c:v>
                </c:pt>
                <c:pt idx="304">
                  <c:v>8.3399667711310077E-4</c:v>
                </c:pt>
                <c:pt idx="305">
                  <c:v>1.1072948008414782E-3</c:v>
                </c:pt>
                <c:pt idx="306">
                  <c:v>8.7677116781269054E-4</c:v>
                </c:pt>
                <c:pt idx="307">
                  <c:v>1.0345585222606116E-3</c:v>
                </c:pt>
                <c:pt idx="308">
                  <c:v>9.0860040483702682E-4</c:v>
                </c:pt>
                <c:pt idx="309">
                  <c:v>1.1446353512436938E-3</c:v>
                </c:pt>
                <c:pt idx="310">
                  <c:v>8.3776782119075592E-4</c:v>
                </c:pt>
                <c:pt idx="311">
                  <c:v>9.9265157637368879E-4</c:v>
                </c:pt>
                <c:pt idx="312">
                  <c:v>9.420943821276264E-4</c:v>
                </c:pt>
                <c:pt idx="313">
                  <c:v>8.515557836773249E-4</c:v>
                </c:pt>
                <c:pt idx="314">
                  <c:v>1.1425662006345023E-3</c:v>
                </c:pt>
                <c:pt idx="315">
                  <c:v>8.2660763629513001E-4</c:v>
                </c:pt>
                <c:pt idx="316">
                  <c:v>1.0568368443424027E-3</c:v>
                </c:pt>
                <c:pt idx="317">
                  <c:v>1.0205916769231019E-3</c:v>
                </c:pt>
                <c:pt idx="318">
                  <c:v>9.5132173066764703E-4</c:v>
                </c:pt>
                <c:pt idx="319">
                  <c:v>9.6118206550194576E-4</c:v>
                </c:pt>
                <c:pt idx="320">
                  <c:v>8.5334437767894597E-4</c:v>
                </c:pt>
                <c:pt idx="321">
                  <c:v>1.0175959561924063E-3</c:v>
                </c:pt>
                <c:pt idx="322">
                  <c:v>1.0694716646874715E-3</c:v>
                </c:pt>
                <c:pt idx="323">
                  <c:v>9.2521230348678607E-4</c:v>
                </c:pt>
                <c:pt idx="324">
                  <c:v>9.599133820705029E-4</c:v>
                </c:pt>
                <c:pt idx="325">
                  <c:v>7.5534598248651352E-4</c:v>
                </c:pt>
                <c:pt idx="326">
                  <c:v>9.8934871585998297E-4</c:v>
                </c:pt>
                <c:pt idx="327">
                  <c:v>7.6993159729281955E-4</c:v>
                </c:pt>
                <c:pt idx="328">
                  <c:v>7.3164616491023713E-4</c:v>
                </c:pt>
                <c:pt idx="329">
                  <c:v>9.4242384137561139E-4</c:v>
                </c:pt>
                <c:pt idx="330">
                  <c:v>8.5380555060558241E-4</c:v>
                </c:pt>
                <c:pt idx="331">
                  <c:v>1.035423840489608E-3</c:v>
                </c:pt>
                <c:pt idx="332">
                  <c:v>9.2174160348064155E-4</c:v>
                </c:pt>
                <c:pt idx="333">
                  <c:v>8.3070674892275775E-4</c:v>
                </c:pt>
                <c:pt idx="334">
                  <c:v>8.9565089923848565E-4</c:v>
                </c:pt>
                <c:pt idx="335">
                  <c:v>8.9626799862632255E-4</c:v>
                </c:pt>
                <c:pt idx="336">
                  <c:v>1.0292129135600864E-3</c:v>
                </c:pt>
                <c:pt idx="337">
                  <c:v>9.3722184621446668E-4</c:v>
                </c:pt>
                <c:pt idx="338">
                  <c:v>9.1692324695235032E-4</c:v>
                </c:pt>
                <c:pt idx="339">
                  <c:v>8.6905259447677839E-4</c:v>
                </c:pt>
                <c:pt idx="340">
                  <c:v>1.1064865018638682E-3</c:v>
                </c:pt>
                <c:pt idx="341">
                  <c:v>9.439631792900235E-4</c:v>
                </c:pt>
                <c:pt idx="342">
                  <c:v>8.2917360781313706E-4</c:v>
                </c:pt>
                <c:pt idx="343">
                  <c:v>9.9822418290733753E-4</c:v>
                </c:pt>
                <c:pt idx="344">
                  <c:v>8.4989739086043501E-4</c:v>
                </c:pt>
                <c:pt idx="345">
                  <c:v>8.6294950809021162E-4</c:v>
                </c:pt>
                <c:pt idx="346">
                  <c:v>9.6270947104474408E-4</c:v>
                </c:pt>
                <c:pt idx="347">
                  <c:v>9.5097679099807983E-4</c:v>
                </c:pt>
                <c:pt idx="348">
                  <c:v>1.0290491033381659E-3</c:v>
                </c:pt>
                <c:pt idx="349">
                  <c:v>1.0235781508724311E-3</c:v>
                </c:pt>
                <c:pt idx="350">
                  <c:v>7.8377763998599989E-4</c:v>
                </c:pt>
                <c:pt idx="351">
                  <c:v>9.4001359054100917E-4</c:v>
                </c:pt>
                <c:pt idx="352">
                  <c:v>7.3946378901952961E-4</c:v>
                </c:pt>
                <c:pt idx="353">
                  <c:v>1.0149483070428938E-3</c:v>
                </c:pt>
                <c:pt idx="354">
                  <c:v>9.6077437047185617E-4</c:v>
                </c:pt>
                <c:pt idx="355">
                  <c:v>1.0012530076783286E-3</c:v>
                </c:pt>
                <c:pt idx="356">
                  <c:v>9.90812906382373E-4</c:v>
                </c:pt>
                <c:pt idx="357">
                  <c:v>7.9235882708498227E-4</c:v>
                </c:pt>
                <c:pt idx="358">
                  <c:v>7.7897871147390057E-4</c:v>
                </c:pt>
                <c:pt idx="359">
                  <c:v>9.121483773853775E-4</c:v>
                </c:pt>
                <c:pt idx="360">
                  <c:v>9.03518004016531E-4</c:v>
                </c:pt>
                <c:pt idx="361">
                  <c:v>8.3897658609250825E-4</c:v>
                </c:pt>
                <c:pt idx="362">
                  <c:v>1.0080798384375174E-3</c:v>
                </c:pt>
                <c:pt idx="363">
                  <c:v>1.0213760781943634E-3</c:v>
                </c:pt>
                <c:pt idx="364">
                  <c:v>9.978166718538164E-4</c:v>
                </c:pt>
                <c:pt idx="365">
                  <c:v>8.8002784921559348E-4</c:v>
                </c:pt>
                <c:pt idx="366">
                  <c:v>9.2090058768504385E-4</c:v>
                </c:pt>
                <c:pt idx="367">
                  <c:v>1.0245771664132478E-3</c:v>
                </c:pt>
                <c:pt idx="368">
                  <c:v>1.03015832782937E-3</c:v>
                </c:pt>
                <c:pt idx="369">
                  <c:v>9.3027579931307747E-4</c:v>
                </c:pt>
                <c:pt idx="370">
                  <c:v>8.356023139936236E-4</c:v>
                </c:pt>
                <c:pt idx="371">
                  <c:v>9.5986776379218552E-4</c:v>
                </c:pt>
                <c:pt idx="372">
                  <c:v>9.5140570589420062E-4</c:v>
                </c:pt>
                <c:pt idx="373">
                  <c:v>9.2558569938733107E-4</c:v>
                </c:pt>
                <c:pt idx="374">
                  <c:v>9.8212395036180325E-4</c:v>
                </c:pt>
                <c:pt idx="375">
                  <c:v>8.3898206642667107E-4</c:v>
                </c:pt>
                <c:pt idx="376">
                  <c:v>9.740585935713226E-4</c:v>
                </c:pt>
                <c:pt idx="377">
                  <c:v>1.0385931388482872E-3</c:v>
                </c:pt>
                <c:pt idx="378">
                  <c:v>9.6225878960282238E-4</c:v>
                </c:pt>
                <c:pt idx="379">
                  <c:v>1.0509851798984264E-3</c:v>
                </c:pt>
                <c:pt idx="380">
                  <c:v>8.3996159578826699E-4</c:v>
                </c:pt>
                <c:pt idx="381">
                  <c:v>8.4446690237964224E-4</c:v>
                </c:pt>
                <c:pt idx="382">
                  <c:v>9.3698503975274752E-4</c:v>
                </c:pt>
                <c:pt idx="383">
                  <c:v>9.830308699418876E-4</c:v>
                </c:pt>
                <c:pt idx="384">
                  <c:v>9.2738620521863027E-4</c:v>
                </c:pt>
                <c:pt idx="385">
                  <c:v>8.3364245200483796E-4</c:v>
                </c:pt>
                <c:pt idx="386">
                  <c:v>7.9573290898283123E-4</c:v>
                </c:pt>
                <c:pt idx="387">
                  <c:v>9.1758539919621575E-4</c:v>
                </c:pt>
                <c:pt idx="388">
                  <c:v>7.8272951965570586E-4</c:v>
                </c:pt>
                <c:pt idx="389">
                  <c:v>8.3327325944717462E-4</c:v>
                </c:pt>
                <c:pt idx="390">
                  <c:v>9.3489705581583607E-4</c:v>
                </c:pt>
                <c:pt idx="391">
                  <c:v>1.0384098637343437E-3</c:v>
                </c:pt>
                <c:pt idx="392">
                  <c:v>8.7751561462814096E-4</c:v>
                </c:pt>
                <c:pt idx="393">
                  <c:v>9.4243967213574528E-4</c:v>
                </c:pt>
                <c:pt idx="394">
                  <c:v>8.825089422832491E-4</c:v>
                </c:pt>
                <c:pt idx="395">
                  <c:v>1.041874647078582E-3</c:v>
                </c:pt>
                <c:pt idx="396">
                  <c:v>1.0729999694783592E-3</c:v>
                </c:pt>
                <c:pt idx="397">
                  <c:v>8.501555075765561E-4</c:v>
                </c:pt>
                <c:pt idx="398">
                  <c:v>7.1019717157999173E-4</c:v>
                </c:pt>
                <c:pt idx="399">
                  <c:v>9.8507041407202146E-4</c:v>
                </c:pt>
                <c:pt idx="400">
                  <c:v>1.01436002237049E-3</c:v>
                </c:pt>
                <c:pt idx="401">
                  <c:v>7.3087311023176701E-4</c:v>
                </c:pt>
                <c:pt idx="402">
                  <c:v>1.0139024232053912E-3</c:v>
                </c:pt>
                <c:pt idx="403">
                  <c:v>7.9552138301292714E-4</c:v>
                </c:pt>
                <c:pt idx="404">
                  <c:v>8.2217972743937418E-4</c:v>
                </c:pt>
                <c:pt idx="405">
                  <c:v>9.5426476530669543E-4</c:v>
                </c:pt>
                <c:pt idx="406">
                  <c:v>7.7762707158503068E-4</c:v>
                </c:pt>
                <c:pt idx="407">
                  <c:v>8.0998967809291114E-4</c:v>
                </c:pt>
                <c:pt idx="408">
                  <c:v>9.9467058556368003E-4</c:v>
                </c:pt>
                <c:pt idx="409">
                  <c:v>8.0558237629685273E-4</c:v>
                </c:pt>
                <c:pt idx="410">
                  <c:v>9.2031847842808886E-4</c:v>
                </c:pt>
                <c:pt idx="411">
                  <c:v>8.9834826308174615E-4</c:v>
                </c:pt>
                <c:pt idx="412">
                  <c:v>9.4252318065949172E-4</c:v>
                </c:pt>
                <c:pt idx="413">
                  <c:v>9.6885015020502718E-4</c:v>
                </c:pt>
                <c:pt idx="414">
                  <c:v>9.8311683660588572E-4</c:v>
                </c:pt>
                <c:pt idx="415">
                  <c:v>9.0917219505612791E-4</c:v>
                </c:pt>
                <c:pt idx="416">
                  <c:v>8.4232098914929169E-4</c:v>
                </c:pt>
                <c:pt idx="417">
                  <c:v>1.106794027082399E-3</c:v>
                </c:pt>
                <c:pt idx="418">
                  <c:v>7.9177020195450956E-4</c:v>
                </c:pt>
                <c:pt idx="419">
                  <c:v>8.8229978477165805E-4</c:v>
                </c:pt>
                <c:pt idx="420">
                  <c:v>8.3526703094849561E-4</c:v>
                </c:pt>
                <c:pt idx="421">
                  <c:v>9.7559274815498518E-4</c:v>
                </c:pt>
                <c:pt idx="422">
                  <c:v>9.1657150852031768E-4</c:v>
                </c:pt>
                <c:pt idx="423">
                  <c:v>8.9674033572915198E-4</c:v>
                </c:pt>
                <c:pt idx="424">
                  <c:v>1.0348981232584694E-3</c:v>
                </c:pt>
                <c:pt idx="425">
                  <c:v>8.2937804400019842E-4</c:v>
                </c:pt>
                <c:pt idx="426">
                  <c:v>8.3173904880690292E-4</c:v>
                </c:pt>
                <c:pt idx="427">
                  <c:v>8.2173927899166098E-4</c:v>
                </c:pt>
                <c:pt idx="428">
                  <c:v>9.194311890056866E-4</c:v>
                </c:pt>
                <c:pt idx="429">
                  <c:v>1.2295853110851796E-3</c:v>
                </c:pt>
                <c:pt idx="430">
                  <c:v>1.0347933574625821E-3</c:v>
                </c:pt>
                <c:pt idx="431">
                  <c:v>1.205131403350909E-3</c:v>
                </c:pt>
                <c:pt idx="432">
                  <c:v>8.1068935483750288E-4</c:v>
                </c:pt>
                <c:pt idx="433">
                  <c:v>8.5080700876698505E-4</c:v>
                </c:pt>
                <c:pt idx="434">
                  <c:v>1.2490329726824274E-3</c:v>
                </c:pt>
                <c:pt idx="435">
                  <c:v>9.4359290305749948E-4</c:v>
                </c:pt>
                <c:pt idx="436">
                  <c:v>9.9469533986282568E-4</c:v>
                </c:pt>
                <c:pt idx="437">
                  <c:v>7.6120309409643584E-4</c:v>
                </c:pt>
                <c:pt idx="438">
                  <c:v>6.6147903508814222E-4</c:v>
                </c:pt>
                <c:pt idx="439">
                  <c:v>9.864857948485785E-4</c:v>
                </c:pt>
                <c:pt idx="440">
                  <c:v>9.5713237923018043E-4</c:v>
                </c:pt>
                <c:pt idx="441">
                  <c:v>7.8143690152410205E-4</c:v>
                </c:pt>
                <c:pt idx="442">
                  <c:v>9.5067491445358023E-4</c:v>
                </c:pt>
                <c:pt idx="443">
                  <c:v>1.0574907777504703E-3</c:v>
                </c:pt>
                <c:pt idx="444">
                  <c:v>1.227312632264868E-3</c:v>
                </c:pt>
                <c:pt idx="445">
                  <c:v>1.1704959291098977E-3</c:v>
                </c:pt>
                <c:pt idx="446">
                  <c:v>8.7519919438484059E-4</c:v>
                </c:pt>
                <c:pt idx="447">
                  <c:v>9.8845700742256157E-4</c:v>
                </c:pt>
                <c:pt idx="448">
                  <c:v>1.036449796416721E-3</c:v>
                </c:pt>
                <c:pt idx="449">
                  <c:v>1.0616534593963617E-3</c:v>
                </c:pt>
                <c:pt idx="450">
                  <c:v>1.0353591611889303E-3</c:v>
                </c:pt>
                <c:pt idx="451">
                  <c:v>8.4231420427330187E-4</c:v>
                </c:pt>
                <c:pt idx="452">
                  <c:v>9.0725812675731838E-4</c:v>
                </c:pt>
                <c:pt idx="453">
                  <c:v>1.0232944911304019E-3</c:v>
                </c:pt>
                <c:pt idx="454">
                  <c:v>9.3759411722881751E-4</c:v>
                </c:pt>
                <c:pt idx="455">
                  <c:v>9.054253389085159E-4</c:v>
                </c:pt>
                <c:pt idx="456">
                  <c:v>8.4042152379960595E-4</c:v>
                </c:pt>
                <c:pt idx="457">
                  <c:v>8.9585116516051702E-4</c:v>
                </c:pt>
                <c:pt idx="458">
                  <c:v>8.7493229894678132E-4</c:v>
                </c:pt>
                <c:pt idx="459">
                  <c:v>8.6922762100074429E-4</c:v>
                </c:pt>
                <c:pt idx="460">
                  <c:v>9.9074886025500358E-4</c:v>
                </c:pt>
                <c:pt idx="461">
                  <c:v>9.2905844542159649E-4</c:v>
                </c:pt>
                <c:pt idx="462">
                  <c:v>9.6656467875719557E-4</c:v>
                </c:pt>
                <c:pt idx="463">
                  <c:v>9.5620505474790967E-4</c:v>
                </c:pt>
                <c:pt idx="464">
                  <c:v>9.4354989034708655E-4</c:v>
                </c:pt>
                <c:pt idx="465">
                  <c:v>1.1360901709725143E-3</c:v>
                </c:pt>
                <c:pt idx="466">
                  <c:v>1.001356394080138E-3</c:v>
                </c:pt>
                <c:pt idx="467">
                  <c:v>1.1442928302210194E-3</c:v>
                </c:pt>
                <c:pt idx="468">
                  <c:v>1.0198439937135757E-3</c:v>
                </c:pt>
                <c:pt idx="469">
                  <c:v>8.8015871123045238E-4</c:v>
                </c:pt>
                <c:pt idx="470">
                  <c:v>9.6248551448291548E-4</c:v>
                </c:pt>
                <c:pt idx="471">
                  <c:v>9.8992527989969609E-4</c:v>
                </c:pt>
                <c:pt idx="472">
                  <c:v>8.3046580631801275E-4</c:v>
                </c:pt>
                <c:pt idx="473">
                  <c:v>8.9482826758681216E-4</c:v>
                </c:pt>
                <c:pt idx="474">
                  <c:v>1.0332990863537921E-3</c:v>
                </c:pt>
                <c:pt idx="475">
                  <c:v>7.7290207220589622E-4</c:v>
                </c:pt>
                <c:pt idx="476">
                  <c:v>9.144361649805903E-4</c:v>
                </c:pt>
                <c:pt idx="477">
                  <c:v>7.9585661043726742E-4</c:v>
                </c:pt>
                <c:pt idx="478">
                  <c:v>8.1412238154468205E-4</c:v>
                </c:pt>
                <c:pt idx="479">
                  <c:v>9.5093150057738826E-4</c:v>
                </c:pt>
                <c:pt idx="480">
                  <c:v>9.2089126283153926E-4</c:v>
                </c:pt>
                <c:pt idx="481">
                  <c:v>1.0268681193268787E-3</c:v>
                </c:pt>
                <c:pt idx="482">
                  <c:v>1.1368446262060565E-3</c:v>
                </c:pt>
                <c:pt idx="483">
                  <c:v>8.8491555652074627E-4</c:v>
                </c:pt>
                <c:pt idx="484">
                  <c:v>8.4783017604913745E-4</c:v>
                </c:pt>
                <c:pt idx="485">
                  <c:v>9.262563088503255E-4</c:v>
                </c:pt>
                <c:pt idx="486">
                  <c:v>7.892920457448488E-4</c:v>
                </c:pt>
                <c:pt idx="487">
                  <c:v>1.0014312053270873E-3</c:v>
                </c:pt>
                <c:pt idx="488">
                  <c:v>9.393161541579086E-4</c:v>
                </c:pt>
                <c:pt idx="489">
                  <c:v>7.8194674762289192E-4</c:v>
                </c:pt>
                <c:pt idx="490">
                  <c:v>8.7418914174980399E-4</c:v>
                </c:pt>
                <c:pt idx="491">
                  <c:v>7.1813781676573533E-4</c:v>
                </c:pt>
                <c:pt idx="492">
                  <c:v>1.1214225766536367E-3</c:v>
                </c:pt>
                <c:pt idx="493">
                  <c:v>1.0620359196399265E-3</c:v>
                </c:pt>
                <c:pt idx="494">
                  <c:v>1.043397535331657E-3</c:v>
                </c:pt>
                <c:pt idx="495">
                  <c:v>7.813936086272028E-4</c:v>
                </c:pt>
                <c:pt idx="496">
                  <c:v>8.5583726537287127E-4</c:v>
                </c:pt>
                <c:pt idx="497">
                  <c:v>9.7800662574803435E-4</c:v>
                </c:pt>
                <c:pt idx="498">
                  <c:v>7.4923960475140093E-4</c:v>
                </c:pt>
                <c:pt idx="499">
                  <c:v>9.277742615353443E-4</c:v>
                </c:pt>
                <c:pt idx="500">
                  <c:v>9.9688529069586851E-4</c:v>
                </c:pt>
                <c:pt idx="501">
                  <c:v>9.988305519207472E-4</c:v>
                </c:pt>
                <c:pt idx="502">
                  <c:v>8.1041320653869257E-4</c:v>
                </c:pt>
                <c:pt idx="503">
                  <c:v>9.8802894771369437E-4</c:v>
                </c:pt>
                <c:pt idx="504">
                  <c:v>1.0409421060817354E-3</c:v>
                </c:pt>
                <c:pt idx="505">
                  <c:v>8.6524456620779011E-4</c:v>
                </c:pt>
                <c:pt idx="506">
                  <c:v>7.5353304302705048E-4</c:v>
                </c:pt>
                <c:pt idx="507">
                  <c:v>1.0246335499776772E-3</c:v>
                </c:pt>
                <c:pt idx="508">
                  <c:v>1.0599795493826661E-3</c:v>
                </c:pt>
                <c:pt idx="509">
                  <c:v>9.817583410400765E-4</c:v>
                </c:pt>
                <c:pt idx="510">
                  <c:v>9.3314116066823692E-4</c:v>
                </c:pt>
                <c:pt idx="511">
                  <c:v>9.0079035968946078E-4</c:v>
                </c:pt>
                <c:pt idx="512">
                  <c:v>1.0313252461051112E-3</c:v>
                </c:pt>
                <c:pt idx="513">
                  <c:v>8.9270014133829129E-4</c:v>
                </c:pt>
                <c:pt idx="514">
                  <c:v>1.0496304970778259E-3</c:v>
                </c:pt>
                <c:pt idx="515">
                  <c:v>1.0668518686694729E-3</c:v>
                </c:pt>
                <c:pt idx="516">
                  <c:v>1.0011243867441709E-3</c:v>
                </c:pt>
                <c:pt idx="517">
                  <c:v>9.0772778504983004E-4</c:v>
                </c:pt>
                <c:pt idx="518">
                  <c:v>9.2865051838452806E-4</c:v>
                </c:pt>
                <c:pt idx="519">
                  <c:v>8.7663729117939829E-4</c:v>
                </c:pt>
                <c:pt idx="520">
                  <c:v>8.3667307323942268E-4</c:v>
                </c:pt>
                <c:pt idx="521">
                  <c:v>9.4673768112110983E-4</c:v>
                </c:pt>
                <c:pt idx="522">
                  <c:v>8.682866435011776E-4</c:v>
                </c:pt>
                <c:pt idx="523">
                  <c:v>8.3763826660348368E-4</c:v>
                </c:pt>
                <c:pt idx="524">
                  <c:v>9.5343067011453993E-4</c:v>
                </c:pt>
                <c:pt idx="525">
                  <c:v>9.9990046753687376E-4</c:v>
                </c:pt>
                <c:pt idx="526">
                  <c:v>9.7115782426141308E-4</c:v>
                </c:pt>
                <c:pt idx="527">
                  <c:v>9.9377803904879053E-4</c:v>
                </c:pt>
                <c:pt idx="528">
                  <c:v>1.0300290016578241E-3</c:v>
                </c:pt>
                <c:pt idx="529">
                  <c:v>7.6878930072446115E-4</c:v>
                </c:pt>
                <c:pt idx="530">
                  <c:v>9.844416326808777E-4</c:v>
                </c:pt>
                <c:pt idx="531">
                  <c:v>8.670996128170344E-4</c:v>
                </c:pt>
                <c:pt idx="532">
                  <c:v>8.9135027141178374E-4</c:v>
                </c:pt>
                <c:pt idx="533">
                  <c:v>8.4962041707702064E-4</c:v>
                </c:pt>
                <c:pt idx="534">
                  <c:v>9.5977508044825402E-4</c:v>
                </c:pt>
                <c:pt idx="535">
                  <c:v>9.2674210047756793E-4</c:v>
                </c:pt>
                <c:pt idx="536">
                  <c:v>9.2601044429728387E-4</c:v>
                </c:pt>
                <c:pt idx="537">
                  <c:v>1.101008027753421E-3</c:v>
                </c:pt>
                <c:pt idx="538">
                  <c:v>1.0266133342433331E-3</c:v>
                </c:pt>
                <c:pt idx="539">
                  <c:v>9.2123587169907052E-4</c:v>
                </c:pt>
                <c:pt idx="540">
                  <c:v>9.6628049152162041E-4</c:v>
                </c:pt>
                <c:pt idx="541">
                  <c:v>7.4685965549833985E-4</c:v>
                </c:pt>
                <c:pt idx="542">
                  <c:v>7.7499007233534597E-4</c:v>
                </c:pt>
                <c:pt idx="543">
                  <c:v>9.7909990529966356E-4</c:v>
                </c:pt>
                <c:pt idx="544">
                  <c:v>9.2389985510185776E-4</c:v>
                </c:pt>
                <c:pt idx="545">
                  <c:v>8.6332161805002339E-4</c:v>
                </c:pt>
                <c:pt idx="546">
                  <c:v>9.6759605335385458E-4</c:v>
                </c:pt>
                <c:pt idx="547">
                  <c:v>1.0344225563555154E-3</c:v>
                </c:pt>
                <c:pt idx="548">
                  <c:v>1.0931033568803484E-3</c:v>
                </c:pt>
                <c:pt idx="549">
                  <c:v>8.9742588080481893E-4</c:v>
                </c:pt>
                <c:pt idx="550">
                  <c:v>1.0688959426087593E-3</c:v>
                </c:pt>
                <c:pt idx="551">
                  <c:v>1.1228532689380117E-3</c:v>
                </c:pt>
                <c:pt idx="552">
                  <c:v>6.8366181710069929E-4</c:v>
                </c:pt>
                <c:pt idx="553">
                  <c:v>9.2284779102298081E-4</c:v>
                </c:pt>
                <c:pt idx="554">
                  <c:v>9.4721937251050184E-4</c:v>
                </c:pt>
                <c:pt idx="555">
                  <c:v>1.0446417712250192E-3</c:v>
                </c:pt>
                <c:pt idx="556">
                  <c:v>9.8375676053970794E-4</c:v>
                </c:pt>
                <c:pt idx="557">
                  <c:v>8.6244044768383338E-4</c:v>
                </c:pt>
                <c:pt idx="558">
                  <c:v>9.571654543730154E-4</c:v>
                </c:pt>
                <c:pt idx="559">
                  <c:v>7.555517900056743E-4</c:v>
                </c:pt>
                <c:pt idx="560">
                  <c:v>9.0530208305566822E-4</c:v>
                </c:pt>
                <c:pt idx="561">
                  <c:v>1.0062492643552283E-3</c:v>
                </c:pt>
                <c:pt idx="562">
                  <c:v>8.9760016977115864E-4</c:v>
                </c:pt>
                <c:pt idx="563">
                  <c:v>7.9526100878286464E-4</c:v>
                </c:pt>
                <c:pt idx="564">
                  <c:v>8.0572048753798091E-4</c:v>
                </c:pt>
                <c:pt idx="565">
                  <c:v>8.5099872428566654E-4</c:v>
                </c:pt>
                <c:pt idx="566">
                  <c:v>9.4184884027774269E-4</c:v>
                </c:pt>
                <c:pt idx="567">
                  <c:v>9.3227428871064185E-4</c:v>
                </c:pt>
                <c:pt idx="568">
                  <c:v>9.0953316767096318E-4</c:v>
                </c:pt>
                <c:pt idx="569">
                  <c:v>1.0385594316522804E-3</c:v>
                </c:pt>
                <c:pt idx="570">
                  <c:v>9.1507580873550283E-4</c:v>
                </c:pt>
                <c:pt idx="571">
                  <c:v>1.1709713373580424E-3</c:v>
                </c:pt>
                <c:pt idx="572">
                  <c:v>8.0174067176707014E-4</c:v>
                </c:pt>
                <c:pt idx="573">
                  <c:v>1.1735804098057484E-3</c:v>
                </c:pt>
                <c:pt idx="574">
                  <c:v>8.8921999817551296E-4</c:v>
                </c:pt>
                <c:pt idx="575">
                  <c:v>8.1839957233453917E-4</c:v>
                </c:pt>
                <c:pt idx="576">
                  <c:v>8.6299189210852336E-4</c:v>
                </c:pt>
                <c:pt idx="577">
                  <c:v>1.0164001379381899E-3</c:v>
                </c:pt>
                <c:pt idx="578">
                  <c:v>8.6421821460663285E-4</c:v>
                </c:pt>
                <c:pt idx="579">
                  <c:v>8.7309638060856665E-4</c:v>
                </c:pt>
                <c:pt idx="580">
                  <c:v>1.0040843795088921E-3</c:v>
                </c:pt>
                <c:pt idx="581">
                  <c:v>9.43272342041909E-4</c:v>
                </c:pt>
                <c:pt idx="582">
                  <c:v>8.834624708384095E-4</c:v>
                </c:pt>
                <c:pt idx="583">
                  <c:v>1.0407924085825257E-3</c:v>
                </c:pt>
                <c:pt idx="584">
                  <c:v>1.0120454066024596E-3</c:v>
                </c:pt>
                <c:pt idx="585">
                  <c:v>7.6601055032012185E-4</c:v>
                </c:pt>
                <c:pt idx="586">
                  <c:v>8.3002747527606666E-4</c:v>
                </c:pt>
                <c:pt idx="587">
                  <c:v>1.0943784737144603E-3</c:v>
                </c:pt>
                <c:pt idx="588">
                  <c:v>9.0283519832851068E-4</c:v>
                </c:pt>
                <c:pt idx="589">
                  <c:v>1.0601006569596145E-3</c:v>
                </c:pt>
                <c:pt idx="590">
                  <c:v>1.1274790649082064E-3</c:v>
                </c:pt>
                <c:pt idx="591">
                  <c:v>1.0136090511311798E-3</c:v>
                </c:pt>
                <c:pt idx="592">
                  <c:v>1.069399483394642E-3</c:v>
                </c:pt>
                <c:pt idx="593">
                  <c:v>8.5050245648197131E-4</c:v>
                </c:pt>
                <c:pt idx="594">
                  <c:v>9.6778928723531121E-4</c:v>
                </c:pt>
                <c:pt idx="595">
                  <c:v>9.3149807565420187E-4</c:v>
                </c:pt>
                <c:pt idx="596">
                  <c:v>9.5230466139972954E-4</c:v>
                </c:pt>
                <c:pt idx="597">
                  <c:v>9.2831906254274815E-4</c:v>
                </c:pt>
                <c:pt idx="598">
                  <c:v>9.2612993013002892E-4</c:v>
                </c:pt>
                <c:pt idx="599">
                  <c:v>8.4481113817539159E-4</c:v>
                </c:pt>
                <c:pt idx="600">
                  <c:v>9.481011829269065E-4</c:v>
                </c:pt>
                <c:pt idx="601">
                  <c:v>8.9956513727281124E-4</c:v>
                </c:pt>
                <c:pt idx="602">
                  <c:v>9.0751381515709524E-4</c:v>
                </c:pt>
                <c:pt idx="603">
                  <c:v>6.7478957791590184E-4</c:v>
                </c:pt>
                <c:pt idx="604">
                  <c:v>8.5482026600874059E-4</c:v>
                </c:pt>
                <c:pt idx="605">
                  <c:v>9.5894103528845753E-4</c:v>
                </c:pt>
                <c:pt idx="606">
                  <c:v>9.682673811716243E-4</c:v>
                </c:pt>
                <c:pt idx="607">
                  <c:v>1.099310225243869E-3</c:v>
                </c:pt>
                <c:pt idx="608">
                  <c:v>8.3248770677028664E-4</c:v>
                </c:pt>
                <c:pt idx="609">
                  <c:v>9.2336832302158554E-4</c:v>
                </c:pt>
                <c:pt idx="610">
                  <c:v>9.4380221553665448E-4</c:v>
                </c:pt>
                <c:pt idx="611">
                  <c:v>1.0601357897080828E-3</c:v>
                </c:pt>
                <c:pt idx="612">
                  <c:v>9.6466224365003431E-4</c:v>
                </c:pt>
                <c:pt idx="613">
                  <c:v>8.7330206943773449E-4</c:v>
                </c:pt>
                <c:pt idx="614">
                  <c:v>9.9961737365854612E-4</c:v>
                </c:pt>
                <c:pt idx="615">
                  <c:v>7.0243648832576965E-4</c:v>
                </c:pt>
                <c:pt idx="616">
                  <c:v>1.0073774115896719E-3</c:v>
                </c:pt>
                <c:pt idx="617">
                  <c:v>8.719075559249093E-4</c:v>
                </c:pt>
                <c:pt idx="618">
                  <c:v>1.0896662137690322E-3</c:v>
                </c:pt>
                <c:pt idx="619">
                  <c:v>9.4732839951562901E-4</c:v>
                </c:pt>
                <c:pt idx="620">
                  <c:v>9.3618514670638572E-4</c:v>
                </c:pt>
                <c:pt idx="621">
                  <c:v>1.1132364672107908E-3</c:v>
                </c:pt>
                <c:pt idx="622">
                  <c:v>1.0760239003265418E-3</c:v>
                </c:pt>
                <c:pt idx="623">
                  <c:v>7.3803037829315795E-4</c:v>
                </c:pt>
                <c:pt idx="624">
                  <c:v>9.9673583436566348E-4</c:v>
                </c:pt>
                <c:pt idx="625">
                  <c:v>7.8201779257158321E-4</c:v>
                </c:pt>
                <c:pt idx="626">
                  <c:v>9.6265560564124178E-4</c:v>
                </c:pt>
                <c:pt idx="627">
                  <c:v>9.5377111704184417E-4</c:v>
                </c:pt>
                <c:pt idx="628">
                  <c:v>1.1121956634639538E-3</c:v>
                </c:pt>
                <c:pt idx="629">
                  <c:v>9.593856012210044E-4</c:v>
                </c:pt>
                <c:pt idx="630">
                  <c:v>7.9276341042832776E-4</c:v>
                </c:pt>
                <c:pt idx="631">
                  <c:v>9.567951999697881E-4</c:v>
                </c:pt>
                <c:pt idx="632">
                  <c:v>9.7736795037989634E-4</c:v>
                </c:pt>
                <c:pt idx="633">
                  <c:v>7.4268921957980198E-4</c:v>
                </c:pt>
                <c:pt idx="634">
                  <c:v>1.0863102411051977E-3</c:v>
                </c:pt>
                <c:pt idx="635">
                  <c:v>8.5622159796557441E-4</c:v>
                </c:pt>
                <c:pt idx="636">
                  <c:v>1.0797928891552529E-3</c:v>
                </c:pt>
                <c:pt idx="637">
                  <c:v>9.2603508468360666E-4</c:v>
                </c:pt>
                <c:pt idx="638">
                  <c:v>1.0059107194549685E-3</c:v>
                </c:pt>
                <c:pt idx="639">
                  <c:v>8.2827009186923995E-4</c:v>
                </c:pt>
                <c:pt idx="640">
                  <c:v>8.5796478217182624E-4</c:v>
                </c:pt>
                <c:pt idx="641">
                  <c:v>1.033409104117548E-3</c:v>
                </c:pt>
                <c:pt idx="642">
                  <c:v>9.5910958402654217E-4</c:v>
                </c:pt>
                <c:pt idx="643">
                  <c:v>9.3672531644278182E-4</c:v>
                </c:pt>
                <c:pt idx="644">
                  <c:v>7.7188105621284078E-4</c:v>
                </c:pt>
                <c:pt idx="645">
                  <c:v>7.9679849313697433E-4</c:v>
                </c:pt>
                <c:pt idx="646">
                  <c:v>8.9482572680212372E-4</c:v>
                </c:pt>
                <c:pt idx="647">
                  <c:v>9.2478769248823781E-4</c:v>
                </c:pt>
                <c:pt idx="648">
                  <c:v>9.8808953545398166E-4</c:v>
                </c:pt>
                <c:pt idx="649">
                  <c:v>8.3734570504720885E-4</c:v>
                </c:pt>
                <c:pt idx="650">
                  <c:v>9.1887919777886517E-4</c:v>
                </c:pt>
                <c:pt idx="651">
                  <c:v>9.785465730857213E-4</c:v>
                </c:pt>
                <c:pt idx="652">
                  <c:v>9.0935174015922609E-4</c:v>
                </c:pt>
                <c:pt idx="653">
                  <c:v>8.8427969262036121E-4</c:v>
                </c:pt>
                <c:pt idx="654">
                  <c:v>1.0475911153880954E-3</c:v>
                </c:pt>
                <c:pt idx="655">
                  <c:v>9.5490712145522539E-4</c:v>
                </c:pt>
                <c:pt idx="656">
                  <c:v>9.4004797539316051E-4</c:v>
                </c:pt>
                <c:pt idx="657">
                  <c:v>1.0043708766819047E-3</c:v>
                </c:pt>
                <c:pt idx="658">
                  <c:v>7.5652860095690329E-4</c:v>
                </c:pt>
                <c:pt idx="659">
                  <c:v>9.6083012339273177E-4</c:v>
                </c:pt>
                <c:pt idx="660">
                  <c:v>8.3059743394037417E-4</c:v>
                </c:pt>
                <c:pt idx="661">
                  <c:v>1.0737268090781267E-3</c:v>
                </c:pt>
                <c:pt idx="662">
                  <c:v>8.2912814195416928E-4</c:v>
                </c:pt>
                <c:pt idx="663">
                  <c:v>8.7638129421974045E-4</c:v>
                </c:pt>
                <c:pt idx="664">
                  <c:v>9.2199996618339778E-4</c:v>
                </c:pt>
                <c:pt idx="665">
                  <c:v>1.1427511328594053E-3</c:v>
                </c:pt>
                <c:pt idx="666">
                  <c:v>1.0590226326397582E-3</c:v>
                </c:pt>
                <c:pt idx="667">
                  <c:v>1.0214022602050719E-3</c:v>
                </c:pt>
                <c:pt idx="668">
                  <c:v>1.0791706563750638E-3</c:v>
                </c:pt>
                <c:pt idx="669">
                  <c:v>1.0521452663091561E-3</c:v>
                </c:pt>
                <c:pt idx="670">
                  <c:v>9.9721953427912846E-4</c:v>
                </c:pt>
                <c:pt idx="671">
                  <c:v>9.8536295035342274E-4</c:v>
                </c:pt>
                <c:pt idx="672">
                  <c:v>1.2039403120050758E-3</c:v>
                </c:pt>
                <c:pt idx="673">
                  <c:v>9.6557139105087324E-4</c:v>
                </c:pt>
                <c:pt idx="674">
                  <c:v>7.6143504323145106E-4</c:v>
                </c:pt>
                <c:pt idx="675">
                  <c:v>7.9973135316117091E-4</c:v>
                </c:pt>
                <c:pt idx="676">
                  <c:v>9.5747839749694291E-4</c:v>
                </c:pt>
                <c:pt idx="677">
                  <c:v>7.6575852853418144E-4</c:v>
                </c:pt>
                <c:pt idx="678">
                  <c:v>9.6479118191084327E-4</c:v>
                </c:pt>
                <c:pt idx="679">
                  <c:v>8.088624526591049E-4</c:v>
                </c:pt>
                <c:pt idx="680">
                  <c:v>9.4715697546495447E-4</c:v>
                </c:pt>
                <c:pt idx="681">
                  <c:v>9.2159090406795897E-4</c:v>
                </c:pt>
                <c:pt idx="682">
                  <c:v>8.4270428488619764E-4</c:v>
                </c:pt>
                <c:pt idx="683">
                  <c:v>8.3749798962400696E-4</c:v>
                </c:pt>
                <c:pt idx="684">
                  <c:v>9.8419493206999245E-4</c:v>
                </c:pt>
                <c:pt idx="685">
                  <c:v>9.3213410628053769E-4</c:v>
                </c:pt>
                <c:pt idx="686">
                  <c:v>1.0253179408235883E-3</c:v>
                </c:pt>
                <c:pt idx="687">
                  <c:v>6.8477955396577901E-4</c:v>
                </c:pt>
                <c:pt idx="688">
                  <c:v>8.5290526144953926E-4</c:v>
                </c:pt>
                <c:pt idx="689">
                  <c:v>9.9507561325634284E-4</c:v>
                </c:pt>
                <c:pt idx="690">
                  <c:v>7.6947415161525347E-4</c:v>
                </c:pt>
                <c:pt idx="691">
                  <c:v>7.1725288466186973E-4</c:v>
                </c:pt>
                <c:pt idx="692">
                  <c:v>8.9276570330528934E-4</c:v>
                </c:pt>
                <c:pt idx="693">
                  <c:v>9.9665530743066116E-4</c:v>
                </c:pt>
                <c:pt idx="694">
                  <c:v>9.0280446638460097E-4</c:v>
                </c:pt>
                <c:pt idx="695">
                  <c:v>6.6647184469318082E-4</c:v>
                </c:pt>
                <c:pt idx="696">
                  <c:v>8.2322077119618368E-4</c:v>
                </c:pt>
                <c:pt idx="697">
                  <c:v>1.0142512543154165E-3</c:v>
                </c:pt>
                <c:pt idx="698">
                  <c:v>9.8638649610550966E-4</c:v>
                </c:pt>
                <c:pt idx="699">
                  <c:v>9.5002694611394357E-4</c:v>
                </c:pt>
                <c:pt idx="700">
                  <c:v>1.0259505672483196E-3</c:v>
                </c:pt>
                <c:pt idx="701">
                  <c:v>9.0118444494942667E-4</c:v>
                </c:pt>
                <c:pt idx="702">
                  <c:v>8.6139416024672228E-4</c:v>
                </c:pt>
                <c:pt idx="703">
                  <c:v>1.0213870794393799E-3</c:v>
                </c:pt>
                <c:pt idx="704">
                  <c:v>8.8366470441062406E-4</c:v>
                </c:pt>
                <c:pt idx="705">
                  <c:v>7.8916934141474288E-4</c:v>
                </c:pt>
                <c:pt idx="706">
                  <c:v>8.0144277609968753E-4</c:v>
                </c:pt>
                <c:pt idx="707">
                  <c:v>9.5442786588850444E-4</c:v>
                </c:pt>
                <c:pt idx="708">
                  <c:v>7.828955125636297E-4</c:v>
                </c:pt>
                <c:pt idx="709">
                  <c:v>9.4354674423097261E-4</c:v>
                </c:pt>
                <c:pt idx="710">
                  <c:v>8.3445482078569548E-4</c:v>
                </c:pt>
                <c:pt idx="711">
                  <c:v>8.6628312952483999E-4</c:v>
                </c:pt>
                <c:pt idx="712">
                  <c:v>9.4585351728941136E-4</c:v>
                </c:pt>
                <c:pt idx="713">
                  <c:v>9.5341878544741103E-4</c:v>
                </c:pt>
                <c:pt idx="714">
                  <c:v>1.0135382557304952E-3</c:v>
                </c:pt>
                <c:pt idx="715">
                  <c:v>9.2167126012590486E-4</c:v>
                </c:pt>
                <c:pt idx="716">
                  <c:v>8.3813003983492396E-4</c:v>
                </c:pt>
                <c:pt idx="717">
                  <c:v>9.0877521277782066E-4</c:v>
                </c:pt>
                <c:pt idx="718">
                  <c:v>9.9734136761664123E-4</c:v>
                </c:pt>
                <c:pt idx="719">
                  <c:v>9.1529357904345844E-4</c:v>
                </c:pt>
                <c:pt idx="720">
                  <c:v>9.5164820756149277E-4</c:v>
                </c:pt>
                <c:pt idx="721">
                  <c:v>8.9262359345874996E-4</c:v>
                </c:pt>
                <c:pt idx="722">
                  <c:v>1.0680308918046609E-3</c:v>
                </c:pt>
                <c:pt idx="723">
                  <c:v>9.2107516014928938E-4</c:v>
                </c:pt>
                <c:pt idx="724">
                  <c:v>1.0144609655170687E-3</c:v>
                </c:pt>
                <c:pt idx="725">
                  <c:v>1.0639060419375065E-3</c:v>
                </c:pt>
                <c:pt idx="726">
                  <c:v>9.2642599010051756E-4</c:v>
                </c:pt>
                <c:pt idx="727">
                  <c:v>1.0955219714561949E-3</c:v>
                </c:pt>
                <c:pt idx="728">
                  <c:v>8.020506673465553E-4</c:v>
                </c:pt>
                <c:pt idx="729">
                  <c:v>8.5532602743377715E-4</c:v>
                </c:pt>
                <c:pt idx="730">
                  <c:v>7.7130073142673097E-4</c:v>
                </c:pt>
                <c:pt idx="731">
                  <c:v>1.0930515897985976E-3</c:v>
                </c:pt>
                <c:pt idx="732">
                  <c:v>1.0048348458050658E-3</c:v>
                </c:pt>
                <c:pt idx="733">
                  <c:v>1.02236232318064E-3</c:v>
                </c:pt>
                <c:pt idx="734">
                  <c:v>9.5661939492955046E-4</c:v>
                </c:pt>
                <c:pt idx="735">
                  <c:v>1.0613671472841123E-3</c:v>
                </c:pt>
                <c:pt idx="736">
                  <c:v>9.3347765552275808E-4</c:v>
                </c:pt>
                <c:pt idx="737">
                  <c:v>8.7664390574446692E-4</c:v>
                </c:pt>
                <c:pt idx="738">
                  <c:v>7.8441800766059725E-4</c:v>
                </c:pt>
                <c:pt idx="739">
                  <c:v>9.8343389435310473E-4</c:v>
                </c:pt>
                <c:pt idx="740">
                  <c:v>9.6421752187338529E-4</c:v>
                </c:pt>
                <c:pt idx="741">
                  <c:v>1.0838154069693197E-3</c:v>
                </c:pt>
                <c:pt idx="742">
                  <c:v>1.101555042609321E-3</c:v>
                </c:pt>
                <c:pt idx="743">
                  <c:v>1.0235975886417514E-3</c:v>
                </c:pt>
                <c:pt idx="744">
                  <c:v>9.0176286285661425E-4</c:v>
                </c:pt>
                <c:pt idx="745">
                  <c:v>8.359756861466899E-4</c:v>
                </c:pt>
                <c:pt idx="746">
                  <c:v>9.7826717761215079E-4</c:v>
                </c:pt>
                <c:pt idx="747">
                  <c:v>1.0955443569393227E-3</c:v>
                </c:pt>
                <c:pt idx="748">
                  <c:v>1.0173732613625573E-3</c:v>
                </c:pt>
                <c:pt idx="749">
                  <c:v>9.4778719485207681E-4</c:v>
                </c:pt>
                <c:pt idx="750">
                  <c:v>8.2335140421692962E-4</c:v>
                </c:pt>
                <c:pt idx="751">
                  <c:v>8.6661262173495161E-4</c:v>
                </c:pt>
                <c:pt idx="752">
                  <c:v>9.9571620233126004E-4</c:v>
                </c:pt>
                <c:pt idx="753">
                  <c:v>1.1082920611612476E-3</c:v>
                </c:pt>
                <c:pt idx="754">
                  <c:v>1.2054669476044371E-3</c:v>
                </c:pt>
                <c:pt idx="755">
                  <c:v>8.5164695143257927E-4</c:v>
                </c:pt>
                <c:pt idx="756">
                  <c:v>6.9517675952551717E-4</c:v>
                </c:pt>
                <c:pt idx="757">
                  <c:v>1.0348327672437126E-3</c:v>
                </c:pt>
                <c:pt idx="758">
                  <c:v>8.2683304955938569E-4</c:v>
                </c:pt>
                <c:pt idx="759">
                  <c:v>9.3330963955349437E-4</c:v>
                </c:pt>
                <c:pt idx="760">
                  <c:v>8.787068784174431E-4</c:v>
                </c:pt>
                <c:pt idx="761">
                  <c:v>1.0556645448391005E-3</c:v>
                </c:pt>
                <c:pt idx="762">
                  <c:v>9.4807507924906417E-4</c:v>
                </c:pt>
                <c:pt idx="763">
                  <c:v>9.1736719674414071E-4</c:v>
                </c:pt>
                <c:pt idx="764">
                  <c:v>9.4729702626603106E-4</c:v>
                </c:pt>
                <c:pt idx="765">
                  <c:v>1.0004911662037281E-3</c:v>
                </c:pt>
                <c:pt idx="766">
                  <c:v>8.7116339189992971E-4</c:v>
                </c:pt>
                <c:pt idx="767">
                  <c:v>7.6791678732236778E-4</c:v>
                </c:pt>
                <c:pt idx="768">
                  <c:v>7.7855735684134188E-4</c:v>
                </c:pt>
                <c:pt idx="769">
                  <c:v>8.7157847099881875E-4</c:v>
                </c:pt>
                <c:pt idx="770">
                  <c:v>9.8328935575857086E-4</c:v>
                </c:pt>
                <c:pt idx="771">
                  <c:v>1.012745578118349E-3</c:v>
                </c:pt>
                <c:pt idx="772">
                  <c:v>9.3023488372873065E-4</c:v>
                </c:pt>
                <c:pt idx="773">
                  <c:v>8.9751886530423845E-4</c:v>
                </c:pt>
                <c:pt idx="774">
                  <c:v>1.1309403602501498E-3</c:v>
                </c:pt>
                <c:pt idx="775">
                  <c:v>9.397567250066949E-4</c:v>
                </c:pt>
                <c:pt idx="776">
                  <c:v>7.9265193227126118E-4</c:v>
                </c:pt>
                <c:pt idx="777">
                  <c:v>9.7186212785942009E-4</c:v>
                </c:pt>
                <c:pt idx="778">
                  <c:v>9.7256340710699023E-4</c:v>
                </c:pt>
                <c:pt idx="779">
                  <c:v>8.5400005170933608E-4</c:v>
                </c:pt>
                <c:pt idx="780">
                  <c:v>7.5259930133834572E-4</c:v>
                </c:pt>
                <c:pt idx="781">
                  <c:v>9.3088793194323507E-4</c:v>
                </c:pt>
                <c:pt idx="782">
                  <c:v>9.7812300279447972E-4</c:v>
                </c:pt>
                <c:pt idx="783">
                  <c:v>9.4829085723257623E-4</c:v>
                </c:pt>
                <c:pt idx="784">
                  <c:v>9.5806880230530278E-4</c:v>
                </c:pt>
                <c:pt idx="785">
                  <c:v>9.9528863743610736E-4</c:v>
                </c:pt>
                <c:pt idx="786">
                  <c:v>9.7611946269179602E-4</c:v>
                </c:pt>
                <c:pt idx="787">
                  <c:v>9.0089776038592426E-4</c:v>
                </c:pt>
                <c:pt idx="788">
                  <c:v>1.1633172540843097E-3</c:v>
                </c:pt>
                <c:pt idx="789">
                  <c:v>7.4617382834970376E-4</c:v>
                </c:pt>
                <c:pt idx="790">
                  <c:v>1.074285924315287E-3</c:v>
                </c:pt>
                <c:pt idx="791">
                  <c:v>7.7746644800655762E-4</c:v>
                </c:pt>
                <c:pt idx="792">
                  <c:v>9.9319878500600664E-4</c:v>
                </c:pt>
                <c:pt idx="793">
                  <c:v>8.801141346338647E-4</c:v>
                </c:pt>
                <c:pt idx="794">
                  <c:v>7.7940497852638344E-4</c:v>
                </c:pt>
                <c:pt idx="795">
                  <c:v>9.4692096154584725E-4</c:v>
                </c:pt>
                <c:pt idx="796">
                  <c:v>7.6792661024080455E-4</c:v>
                </c:pt>
                <c:pt idx="797">
                  <c:v>8.229424190459427E-4</c:v>
                </c:pt>
                <c:pt idx="798">
                  <c:v>9.5657009539690989E-4</c:v>
                </c:pt>
                <c:pt idx="799">
                  <c:v>8.5918978856977459E-4</c:v>
                </c:pt>
                <c:pt idx="800">
                  <c:v>7.4035198942533549E-4</c:v>
                </c:pt>
                <c:pt idx="801">
                  <c:v>8.047733921854658E-4</c:v>
                </c:pt>
                <c:pt idx="802">
                  <c:v>8.6664671394960213E-4</c:v>
                </c:pt>
                <c:pt idx="803">
                  <c:v>9.6413622756978126E-4</c:v>
                </c:pt>
                <c:pt idx="804">
                  <c:v>9.0498938160953524E-4</c:v>
                </c:pt>
                <c:pt idx="805">
                  <c:v>7.2633561047746799E-4</c:v>
                </c:pt>
                <c:pt idx="806">
                  <c:v>9.4821728063789195E-4</c:v>
                </c:pt>
                <c:pt idx="807">
                  <c:v>9.3928395381800641E-4</c:v>
                </c:pt>
                <c:pt idx="808">
                  <c:v>9.2689984318584245E-4</c:v>
                </c:pt>
                <c:pt idx="809">
                  <c:v>9.340780087251832E-4</c:v>
                </c:pt>
                <c:pt idx="810">
                  <c:v>7.5937681333669246E-4</c:v>
                </c:pt>
                <c:pt idx="811">
                  <c:v>6.8661922628318638E-4</c:v>
                </c:pt>
                <c:pt idx="812">
                  <c:v>9.7142805322926072E-4</c:v>
                </c:pt>
                <c:pt idx="813">
                  <c:v>1.075010116815607E-3</c:v>
                </c:pt>
                <c:pt idx="814">
                  <c:v>7.2134018834336131E-4</c:v>
                </c:pt>
                <c:pt idx="815">
                  <c:v>8.7035869363680165E-4</c:v>
                </c:pt>
                <c:pt idx="816">
                  <c:v>9.1400415636695015E-4</c:v>
                </c:pt>
                <c:pt idx="817">
                  <c:v>9.2052353520065747E-4</c:v>
                </c:pt>
                <c:pt idx="818">
                  <c:v>9.0788905082990739E-4</c:v>
                </c:pt>
                <c:pt idx="819">
                  <c:v>1.0063197548474763E-3</c:v>
                </c:pt>
                <c:pt idx="820">
                  <c:v>1.1049119462325438E-3</c:v>
                </c:pt>
                <c:pt idx="821">
                  <c:v>8.583304648970883E-4</c:v>
                </c:pt>
                <c:pt idx="822">
                  <c:v>9.0650576258579014E-4</c:v>
                </c:pt>
                <c:pt idx="823">
                  <c:v>9.32585722701177E-4</c:v>
                </c:pt>
                <c:pt idx="824">
                  <c:v>1.0822375785237083E-3</c:v>
                </c:pt>
                <c:pt idx="825">
                  <c:v>9.5268032806309299E-4</c:v>
                </c:pt>
                <c:pt idx="826">
                  <c:v>9.8305521727203807E-4</c:v>
                </c:pt>
                <c:pt idx="827">
                  <c:v>1.0891910583957687E-3</c:v>
                </c:pt>
                <c:pt idx="828">
                  <c:v>9.7320471785147333E-4</c:v>
                </c:pt>
                <c:pt idx="829">
                  <c:v>7.8064384430691477E-4</c:v>
                </c:pt>
                <c:pt idx="830">
                  <c:v>1.0872104902789142E-3</c:v>
                </c:pt>
                <c:pt idx="831">
                  <c:v>6.8102773653895196E-4</c:v>
                </c:pt>
                <c:pt idx="832">
                  <c:v>1.0152862512540345E-3</c:v>
                </c:pt>
                <c:pt idx="833">
                  <c:v>8.2836702114106502E-4</c:v>
                </c:pt>
                <c:pt idx="834">
                  <c:v>8.659656172767228E-4</c:v>
                </c:pt>
                <c:pt idx="835">
                  <c:v>9.3673934678708344E-4</c:v>
                </c:pt>
                <c:pt idx="836">
                  <c:v>1.0265390892852803E-3</c:v>
                </c:pt>
                <c:pt idx="837">
                  <c:v>8.562249337391157E-4</c:v>
                </c:pt>
                <c:pt idx="838">
                  <c:v>9.6281611725346412E-4</c:v>
                </c:pt>
                <c:pt idx="839">
                  <c:v>8.4288427708569436E-4</c:v>
                </c:pt>
                <c:pt idx="840">
                  <c:v>8.6501444554822765E-4</c:v>
                </c:pt>
                <c:pt idx="841">
                  <c:v>1.0465259440979988E-3</c:v>
                </c:pt>
                <c:pt idx="842">
                  <c:v>1.1399861167514821E-3</c:v>
                </c:pt>
                <c:pt idx="843">
                  <c:v>9.7480031535025487E-4</c:v>
                </c:pt>
                <c:pt idx="844">
                  <c:v>9.6145159570134491E-4</c:v>
                </c:pt>
                <c:pt idx="845">
                  <c:v>1.0430014106870111E-3</c:v>
                </c:pt>
                <c:pt idx="846">
                  <c:v>1.0760493719226623E-3</c:v>
                </c:pt>
                <c:pt idx="847">
                  <c:v>1.0827381838526497E-3</c:v>
                </c:pt>
                <c:pt idx="848">
                  <c:v>1.135580442171097E-3</c:v>
                </c:pt>
                <c:pt idx="849">
                  <c:v>1.0469192711331482E-3</c:v>
                </c:pt>
                <c:pt idx="850">
                  <c:v>9.5724984454424516E-4</c:v>
                </c:pt>
                <c:pt idx="851">
                  <c:v>8.169110068399839E-4</c:v>
                </c:pt>
                <c:pt idx="852">
                  <c:v>9.3375424074285725E-4</c:v>
                </c:pt>
                <c:pt idx="853">
                  <c:v>7.8714943673264073E-4</c:v>
                </c:pt>
                <c:pt idx="854">
                  <c:v>1.0197166746501042E-3</c:v>
                </c:pt>
                <c:pt idx="855">
                  <c:v>9.7004265291689867E-4</c:v>
                </c:pt>
                <c:pt idx="856">
                  <c:v>7.7880584683438802E-4</c:v>
                </c:pt>
                <c:pt idx="857">
                  <c:v>7.7234212666256951E-4</c:v>
                </c:pt>
                <c:pt idx="858">
                  <c:v>8.8045429305950507E-4</c:v>
                </c:pt>
                <c:pt idx="859">
                  <c:v>7.5808536230237032E-4</c:v>
                </c:pt>
                <c:pt idx="860">
                  <c:v>9.4799742837623315E-4</c:v>
                </c:pt>
                <c:pt idx="861">
                  <c:v>8.349048057701453E-4</c:v>
                </c:pt>
                <c:pt idx="862">
                  <c:v>6.9516740242929844E-4</c:v>
                </c:pt>
                <c:pt idx="863">
                  <c:v>1.0086307522062313E-3</c:v>
                </c:pt>
                <c:pt idx="864">
                  <c:v>1.0110337799419098E-3</c:v>
                </c:pt>
                <c:pt idx="865">
                  <c:v>1.0600200965046702E-3</c:v>
                </c:pt>
                <c:pt idx="866">
                  <c:v>9.9388995885818098E-4</c:v>
                </c:pt>
                <c:pt idx="867">
                  <c:v>8.7886445401918166E-4</c:v>
                </c:pt>
                <c:pt idx="868">
                  <c:v>1.0627680701868663E-3</c:v>
                </c:pt>
                <c:pt idx="869">
                  <c:v>7.289387229294401E-4</c:v>
                </c:pt>
                <c:pt idx="870">
                  <c:v>8.1703041424402271E-4</c:v>
                </c:pt>
                <c:pt idx="871">
                  <c:v>7.29940655036669E-4</c:v>
                </c:pt>
                <c:pt idx="872">
                  <c:v>8.1920004852734302E-4</c:v>
                </c:pt>
                <c:pt idx="873">
                  <c:v>9.5748534922385654E-4</c:v>
                </c:pt>
                <c:pt idx="874">
                  <c:v>1.0622684248746909E-3</c:v>
                </c:pt>
                <c:pt idx="875">
                  <c:v>1.0753595319351183E-3</c:v>
                </c:pt>
                <c:pt idx="876">
                  <c:v>9.9980918617702296E-4</c:v>
                </c:pt>
                <c:pt idx="877">
                  <c:v>8.8292960912319108E-4</c:v>
                </c:pt>
                <c:pt idx="878">
                  <c:v>9.8296805221598249E-4</c:v>
                </c:pt>
                <c:pt idx="879">
                  <c:v>9.8684089040198728E-4</c:v>
                </c:pt>
                <c:pt idx="880">
                  <c:v>7.388760608329516E-4</c:v>
                </c:pt>
                <c:pt idx="881">
                  <c:v>7.8378169927568824E-4</c:v>
                </c:pt>
                <c:pt idx="882">
                  <c:v>9.6829751189902741E-4</c:v>
                </c:pt>
                <c:pt idx="883">
                  <c:v>1.0376444238700733E-3</c:v>
                </c:pt>
                <c:pt idx="884">
                  <c:v>1.0008580803991182E-3</c:v>
                </c:pt>
                <c:pt idx="885">
                  <c:v>8.6883132860808153E-4</c:v>
                </c:pt>
                <c:pt idx="886">
                  <c:v>8.5069079114657195E-4</c:v>
                </c:pt>
                <c:pt idx="887">
                  <c:v>9.7996359395913181E-4</c:v>
                </c:pt>
                <c:pt idx="888">
                  <c:v>9.7218118944694361E-4</c:v>
                </c:pt>
                <c:pt idx="889">
                  <c:v>7.3337442481921135E-4</c:v>
                </c:pt>
                <c:pt idx="890">
                  <c:v>9.8428186969281022E-4</c:v>
                </c:pt>
                <c:pt idx="891">
                  <c:v>9.0777782398472357E-4</c:v>
                </c:pt>
                <c:pt idx="892">
                  <c:v>8.2017897319126029E-4</c:v>
                </c:pt>
                <c:pt idx="893">
                  <c:v>9.5604917033088128E-4</c:v>
                </c:pt>
                <c:pt idx="894">
                  <c:v>8.838217867318173E-4</c:v>
                </c:pt>
                <c:pt idx="895">
                  <c:v>9.8595405091170978E-4</c:v>
                </c:pt>
                <c:pt idx="896">
                  <c:v>1.0127236421844407E-3</c:v>
                </c:pt>
                <c:pt idx="897">
                  <c:v>9.0110470761532485E-4</c:v>
                </c:pt>
                <c:pt idx="898">
                  <c:v>9.4907028777357243E-4</c:v>
                </c:pt>
                <c:pt idx="899">
                  <c:v>1.0782589264864216E-3</c:v>
                </c:pt>
                <c:pt idx="900">
                  <c:v>9.0051524423628946E-4</c:v>
                </c:pt>
                <c:pt idx="901">
                  <c:v>1.0204740443402764E-3</c:v>
                </c:pt>
                <c:pt idx="902">
                  <c:v>8.0728308825555608E-4</c:v>
                </c:pt>
                <c:pt idx="903">
                  <c:v>1.031907858518842E-3</c:v>
                </c:pt>
                <c:pt idx="904">
                  <c:v>8.8000105725641862E-4</c:v>
                </c:pt>
                <c:pt idx="905">
                  <c:v>1.1809099417224732E-3</c:v>
                </c:pt>
                <c:pt idx="906">
                  <c:v>9.047607739291108E-4</c:v>
                </c:pt>
                <c:pt idx="907">
                  <c:v>8.6071707722734268E-4</c:v>
                </c:pt>
                <c:pt idx="908">
                  <c:v>9.4604933175068413E-4</c:v>
                </c:pt>
                <c:pt idx="909">
                  <c:v>1.2110629329395008E-3</c:v>
                </c:pt>
                <c:pt idx="910">
                  <c:v>1.0835138884143884E-3</c:v>
                </c:pt>
                <c:pt idx="911">
                  <c:v>1.0221378565018419E-3</c:v>
                </c:pt>
                <c:pt idx="912">
                  <c:v>7.7265837538872397E-4</c:v>
                </c:pt>
                <c:pt idx="913">
                  <c:v>7.2304704572981522E-4</c:v>
                </c:pt>
                <c:pt idx="914">
                  <c:v>8.9431135749478547E-4</c:v>
                </c:pt>
                <c:pt idx="915">
                  <c:v>9.5792446665962541E-4</c:v>
                </c:pt>
                <c:pt idx="916">
                  <c:v>8.3888927353378048E-4</c:v>
                </c:pt>
                <c:pt idx="917">
                  <c:v>9.2916245369347209E-4</c:v>
                </c:pt>
                <c:pt idx="918">
                  <c:v>9.6214552027705101E-4</c:v>
                </c:pt>
                <c:pt idx="919">
                  <c:v>1.0042536055022309E-3</c:v>
                </c:pt>
                <c:pt idx="920">
                  <c:v>9.7308471792445722E-4</c:v>
                </c:pt>
                <c:pt idx="921">
                  <c:v>1.0727149026336117E-3</c:v>
                </c:pt>
                <c:pt idx="922">
                  <c:v>8.2532241470672726E-4</c:v>
                </c:pt>
                <c:pt idx="923">
                  <c:v>9.6596975758438727E-4</c:v>
                </c:pt>
                <c:pt idx="924">
                  <c:v>7.1824873555265698E-4</c:v>
                </c:pt>
                <c:pt idx="925">
                  <c:v>8.046850589717631E-4</c:v>
                </c:pt>
                <c:pt idx="926">
                  <c:v>7.8269468657390148E-4</c:v>
                </c:pt>
                <c:pt idx="927">
                  <c:v>9.0346429659521311E-4</c:v>
                </c:pt>
                <c:pt idx="928">
                  <c:v>1.2859446915649236E-3</c:v>
                </c:pt>
                <c:pt idx="929">
                  <c:v>8.5964957678303039E-4</c:v>
                </c:pt>
                <c:pt idx="930">
                  <c:v>9.4224595643641669E-4</c:v>
                </c:pt>
                <c:pt idx="931">
                  <c:v>8.2147490241876481E-4</c:v>
                </c:pt>
                <c:pt idx="932">
                  <c:v>9.0276235737077131E-4</c:v>
                </c:pt>
                <c:pt idx="933">
                  <c:v>9.4133953913249388E-4</c:v>
                </c:pt>
                <c:pt idx="934">
                  <c:v>9.9837889063817808E-4</c:v>
                </c:pt>
                <c:pt idx="935">
                  <c:v>7.885074352097848E-4</c:v>
                </c:pt>
                <c:pt idx="936">
                  <c:v>8.2723502992960041E-4</c:v>
                </c:pt>
                <c:pt idx="937">
                  <c:v>9.1850143750674769E-4</c:v>
                </c:pt>
                <c:pt idx="938">
                  <c:v>1.0344446353251365E-3</c:v>
                </c:pt>
                <c:pt idx="939">
                  <c:v>8.3961724626058665E-4</c:v>
                </c:pt>
                <c:pt idx="940">
                  <c:v>9.0799070127829673E-4</c:v>
                </c:pt>
                <c:pt idx="941">
                  <c:v>9.3803685815854764E-4</c:v>
                </c:pt>
                <c:pt idx="942">
                  <c:v>8.7337334492620673E-4</c:v>
                </c:pt>
                <c:pt idx="943">
                  <c:v>9.9443739854434415E-4</c:v>
                </c:pt>
                <c:pt idx="944">
                  <c:v>9.9226143892012803E-4</c:v>
                </c:pt>
                <c:pt idx="945">
                  <c:v>9.6078014913373775E-4</c:v>
                </c:pt>
                <c:pt idx="946">
                  <c:v>8.1733293549997158E-4</c:v>
                </c:pt>
                <c:pt idx="947">
                  <c:v>9.3984711556730611E-4</c:v>
                </c:pt>
                <c:pt idx="948">
                  <c:v>9.2341635942533523E-4</c:v>
                </c:pt>
                <c:pt idx="949">
                  <c:v>9.7703726525018319E-4</c:v>
                </c:pt>
                <c:pt idx="950">
                  <c:v>8.2374523485964797E-4</c:v>
                </c:pt>
                <c:pt idx="951">
                  <c:v>9.902932698188443E-4</c:v>
                </c:pt>
                <c:pt idx="952">
                  <c:v>8.4687977922532352E-4</c:v>
                </c:pt>
                <c:pt idx="953">
                  <c:v>7.1749389415096869E-4</c:v>
                </c:pt>
                <c:pt idx="954">
                  <c:v>9.7102767831827022E-4</c:v>
                </c:pt>
                <c:pt idx="955">
                  <c:v>1.1159079926400853E-3</c:v>
                </c:pt>
                <c:pt idx="956">
                  <c:v>7.6505533375935788E-4</c:v>
                </c:pt>
                <c:pt idx="957">
                  <c:v>1.012984299915008E-3</c:v>
                </c:pt>
                <c:pt idx="958">
                  <c:v>7.5578148870252644E-4</c:v>
                </c:pt>
                <c:pt idx="959">
                  <c:v>8.3784838842388483E-4</c:v>
                </c:pt>
                <c:pt idx="960">
                  <c:v>1.0051430627101854E-3</c:v>
                </c:pt>
                <c:pt idx="961">
                  <c:v>8.8879633404665521E-4</c:v>
                </c:pt>
                <c:pt idx="962">
                  <c:v>9.7748951722936113E-4</c:v>
                </c:pt>
                <c:pt idx="963">
                  <c:v>7.3952053645799361E-4</c:v>
                </c:pt>
                <c:pt idx="964">
                  <c:v>9.0377607651847105E-4</c:v>
                </c:pt>
                <c:pt idx="965">
                  <c:v>7.0081929573166007E-4</c:v>
                </c:pt>
                <c:pt idx="966">
                  <c:v>1.08494559618105E-3</c:v>
                </c:pt>
                <c:pt idx="967">
                  <c:v>9.7732427812129629E-4</c:v>
                </c:pt>
                <c:pt idx="968">
                  <c:v>1.025008985164568E-3</c:v>
                </c:pt>
                <c:pt idx="969">
                  <c:v>9.0465927024878433E-4</c:v>
                </c:pt>
                <c:pt idx="970">
                  <c:v>9.092560410850646E-4</c:v>
                </c:pt>
                <c:pt idx="971">
                  <c:v>9.7475118915721208E-4</c:v>
                </c:pt>
                <c:pt idx="972">
                  <c:v>8.2990643762504801E-4</c:v>
                </c:pt>
                <c:pt idx="973">
                  <c:v>9.9227373213825118E-4</c:v>
                </c:pt>
                <c:pt idx="974">
                  <c:v>8.8428489726532751E-4</c:v>
                </c:pt>
                <c:pt idx="975">
                  <c:v>9.2036555238165162E-4</c:v>
                </c:pt>
                <c:pt idx="976">
                  <c:v>9.2241896237582448E-4</c:v>
                </c:pt>
                <c:pt idx="977">
                  <c:v>9.9163745236324698E-4</c:v>
                </c:pt>
                <c:pt idx="978">
                  <c:v>7.471854113986436E-4</c:v>
                </c:pt>
                <c:pt idx="979">
                  <c:v>9.7424818887626829E-4</c:v>
                </c:pt>
                <c:pt idx="980">
                  <c:v>8.1408305399634771E-4</c:v>
                </c:pt>
                <c:pt idx="981">
                  <c:v>9.5902853669716306E-4</c:v>
                </c:pt>
                <c:pt idx="982">
                  <c:v>1.0015578765314274E-3</c:v>
                </c:pt>
                <c:pt idx="983">
                  <c:v>1.0239707159186411E-3</c:v>
                </c:pt>
                <c:pt idx="984">
                  <c:v>9.5786752567453217E-4</c:v>
                </c:pt>
                <c:pt idx="985">
                  <c:v>8.5232033932466607E-4</c:v>
                </c:pt>
                <c:pt idx="986">
                  <c:v>9.8537727058745864E-4</c:v>
                </c:pt>
                <c:pt idx="987">
                  <c:v>1.0645143540466877E-3</c:v>
                </c:pt>
                <c:pt idx="988">
                  <c:v>8.6502953466081097E-4</c:v>
                </c:pt>
                <c:pt idx="989">
                  <c:v>1.0353956569552826E-3</c:v>
                </c:pt>
                <c:pt idx="990">
                  <c:v>8.9031068786636983E-4</c:v>
                </c:pt>
                <c:pt idx="991">
                  <c:v>8.3304874143943358E-4</c:v>
                </c:pt>
                <c:pt idx="992">
                  <c:v>9.9368271857270076E-4</c:v>
                </c:pt>
                <c:pt idx="993">
                  <c:v>8.5981569589856457E-4</c:v>
                </c:pt>
                <c:pt idx="994">
                  <c:v>9.0250160309983168E-4</c:v>
                </c:pt>
                <c:pt idx="995">
                  <c:v>9.0379013699258299E-4</c:v>
                </c:pt>
                <c:pt idx="996">
                  <c:v>1.0539067878532614E-3</c:v>
                </c:pt>
                <c:pt idx="997">
                  <c:v>1.0643852992015305E-3</c:v>
                </c:pt>
                <c:pt idx="998">
                  <c:v>8.8634292228329881E-4</c:v>
                </c:pt>
                <c:pt idx="999">
                  <c:v>9.6649220777759092E-4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98-4639-92FC-8D2BDD386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997408"/>
        <c:axId val="236991648"/>
      </c:scatterChart>
      <c:valAx>
        <c:axId val="236997408"/>
        <c:scaling>
          <c:orientation val="minMax"/>
          <c:min val="1.2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36991648"/>
        <c:crosses val="autoZero"/>
        <c:crossBetween val="midCat"/>
      </c:valAx>
      <c:valAx>
        <c:axId val="236991648"/>
        <c:scaling>
          <c:orientation val="minMax"/>
          <c:min val="6.0000000000000016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36997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Diagram</a:t>
            </a:r>
            <a:r>
              <a:rPr lang="en-US" baseline="0"/>
              <a:t>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'Mandatory Assigment '!$AM$22</c:f>
              <c:strCache>
                <c:ptCount val="1"/>
                <c:pt idx="0">
                  <c:v>Portf. Return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'Mandatory Assigment '!$AL$24:$AL$1023</c:f>
              <c:numCache>
                <c:formatCode>General</c:formatCode>
                <c:ptCount val="1000"/>
                <c:pt idx="0">
                  <c:v>1.6473268961757628E-2</c:v>
                </c:pt>
                <c:pt idx="1">
                  <c:v>0.12034110015163435</c:v>
                </c:pt>
                <c:pt idx="2">
                  <c:v>2.7106223252693119E-2</c:v>
                </c:pt>
                <c:pt idx="3">
                  <c:v>1.5991041622599157E-2</c:v>
                </c:pt>
                <c:pt idx="4">
                  <c:v>2.3967337695353832E-2</c:v>
                </c:pt>
                <c:pt idx="5">
                  <c:v>0.25470137740373489</c:v>
                </c:pt>
                <c:pt idx="6">
                  <c:v>3.5723942826979188E-2</c:v>
                </c:pt>
                <c:pt idx="7">
                  <c:v>5.296336759248646E-2</c:v>
                </c:pt>
                <c:pt idx="8">
                  <c:v>5.8504477131528489E-2</c:v>
                </c:pt>
                <c:pt idx="9">
                  <c:v>9.3310472097586028E-2</c:v>
                </c:pt>
                <c:pt idx="10">
                  <c:v>1.926803077948654E-2</c:v>
                </c:pt>
                <c:pt idx="11">
                  <c:v>2.0725680834173671E-2</c:v>
                </c:pt>
                <c:pt idx="12">
                  <c:v>2.2054391255634062E-2</c:v>
                </c:pt>
                <c:pt idx="13">
                  <c:v>2.480623227270955E-2</c:v>
                </c:pt>
                <c:pt idx="14">
                  <c:v>0.14132529460206913</c:v>
                </c:pt>
                <c:pt idx="15">
                  <c:v>4.3348868538602682E-2</c:v>
                </c:pt>
                <c:pt idx="16">
                  <c:v>3.0967977398602919E-2</c:v>
                </c:pt>
                <c:pt idx="17">
                  <c:v>0.15776763631645882</c:v>
                </c:pt>
                <c:pt idx="18">
                  <c:v>2.3336107360668639E-2</c:v>
                </c:pt>
                <c:pt idx="19">
                  <c:v>2.2183545599466611E-2</c:v>
                </c:pt>
                <c:pt idx="20">
                  <c:v>2.1584837107707311E-2</c:v>
                </c:pt>
                <c:pt idx="21">
                  <c:v>1.7909357381496866E-2</c:v>
                </c:pt>
                <c:pt idx="22">
                  <c:v>0.1491644332268279</c:v>
                </c:pt>
                <c:pt idx="23">
                  <c:v>3.4683088910854851E-2</c:v>
                </c:pt>
                <c:pt idx="24">
                  <c:v>1.7324789165974453E-2</c:v>
                </c:pt>
                <c:pt idx="25">
                  <c:v>2.0518977112743763E-2</c:v>
                </c:pt>
                <c:pt idx="26">
                  <c:v>5.2660187670458505E-2</c:v>
                </c:pt>
                <c:pt idx="27">
                  <c:v>7.8255485074873288E-2</c:v>
                </c:pt>
                <c:pt idx="28">
                  <c:v>1.6822144658456818E-2</c:v>
                </c:pt>
                <c:pt idx="29">
                  <c:v>4.6534615064730507E-2</c:v>
                </c:pt>
                <c:pt idx="30">
                  <c:v>1.7663758837378977E-2</c:v>
                </c:pt>
                <c:pt idx="31">
                  <c:v>9.5628110498686317E-2</c:v>
                </c:pt>
                <c:pt idx="32">
                  <c:v>1.9436926149618557E-2</c:v>
                </c:pt>
                <c:pt idx="33">
                  <c:v>3.3248437052558685E-2</c:v>
                </c:pt>
                <c:pt idx="34">
                  <c:v>1.7098594318049418E-2</c:v>
                </c:pt>
                <c:pt idx="35">
                  <c:v>3.9188530779111046E-2</c:v>
                </c:pt>
                <c:pt idx="36">
                  <c:v>4.3406401410170027E-2</c:v>
                </c:pt>
                <c:pt idx="37">
                  <c:v>2.3038183664648822E-2</c:v>
                </c:pt>
                <c:pt idx="38">
                  <c:v>3.5531390320464248E-2</c:v>
                </c:pt>
                <c:pt idx="39">
                  <c:v>4.0853598241796907E-2</c:v>
                </c:pt>
                <c:pt idx="40">
                  <c:v>4.035238466616059E-2</c:v>
                </c:pt>
                <c:pt idx="41">
                  <c:v>1.8456203266621868E-2</c:v>
                </c:pt>
                <c:pt idx="42">
                  <c:v>1.9923281117295664E-2</c:v>
                </c:pt>
                <c:pt idx="43">
                  <c:v>2.1289716603355695E-2</c:v>
                </c:pt>
                <c:pt idx="44">
                  <c:v>0.79639444562877715</c:v>
                </c:pt>
                <c:pt idx="45">
                  <c:v>6.1569322284137355E-2</c:v>
                </c:pt>
                <c:pt idx="46">
                  <c:v>8.9199432071371584E-2</c:v>
                </c:pt>
                <c:pt idx="47">
                  <c:v>3.2377351630031193E-2</c:v>
                </c:pt>
                <c:pt idx="48">
                  <c:v>8.1507721134988886E-2</c:v>
                </c:pt>
                <c:pt idx="49">
                  <c:v>1.7866913040632999E-2</c:v>
                </c:pt>
                <c:pt idx="50">
                  <c:v>3.4670482874947887E-2</c:v>
                </c:pt>
                <c:pt idx="51">
                  <c:v>2.0664956549744557E-2</c:v>
                </c:pt>
                <c:pt idx="52">
                  <c:v>1.6450540383950777E-2</c:v>
                </c:pt>
                <c:pt idx="53">
                  <c:v>6.71024946947371E-2</c:v>
                </c:pt>
                <c:pt idx="54">
                  <c:v>4.3249578678845033E-2</c:v>
                </c:pt>
                <c:pt idx="55">
                  <c:v>2.076225174136901E-2</c:v>
                </c:pt>
                <c:pt idx="56">
                  <c:v>4.5682798935136826E-2</c:v>
                </c:pt>
                <c:pt idx="57">
                  <c:v>2.632062193923947E-2</c:v>
                </c:pt>
                <c:pt idx="58">
                  <c:v>3.9269878026688528E-2</c:v>
                </c:pt>
                <c:pt idx="59">
                  <c:v>8.7886527146252932E-2</c:v>
                </c:pt>
                <c:pt idx="60">
                  <c:v>1.6537718389537145E-2</c:v>
                </c:pt>
                <c:pt idx="61">
                  <c:v>2.9553751229290191E-2</c:v>
                </c:pt>
                <c:pt idx="62">
                  <c:v>3.3692668536633906E-2</c:v>
                </c:pt>
                <c:pt idx="63">
                  <c:v>5.7162331291359031E-2</c:v>
                </c:pt>
                <c:pt idx="64">
                  <c:v>0.34493920516685384</c:v>
                </c:pt>
                <c:pt idx="65">
                  <c:v>2.6429983081727816E-2</c:v>
                </c:pt>
                <c:pt idx="66">
                  <c:v>4.0757439253359035E-2</c:v>
                </c:pt>
                <c:pt idx="67">
                  <c:v>4.5999152099454897E-2</c:v>
                </c:pt>
                <c:pt idx="68">
                  <c:v>2.2648946022787532E-2</c:v>
                </c:pt>
                <c:pt idx="69">
                  <c:v>7.9331055892133559E-2</c:v>
                </c:pt>
                <c:pt idx="70">
                  <c:v>1.9125571659939375E-2</c:v>
                </c:pt>
                <c:pt idx="71">
                  <c:v>1.8380739358733359E-2</c:v>
                </c:pt>
                <c:pt idx="72">
                  <c:v>6.9176728101498206E-2</c:v>
                </c:pt>
                <c:pt idx="73">
                  <c:v>2.2636846621632772E-2</c:v>
                </c:pt>
                <c:pt idx="74">
                  <c:v>3.429341869887443E-2</c:v>
                </c:pt>
                <c:pt idx="75">
                  <c:v>0.17305164313556137</c:v>
                </c:pt>
                <c:pt idx="76">
                  <c:v>2.5982097214300243E-2</c:v>
                </c:pt>
                <c:pt idx="77">
                  <c:v>2.4621634908868411E-2</c:v>
                </c:pt>
                <c:pt idx="78">
                  <c:v>2.5277992123502437E-2</c:v>
                </c:pt>
                <c:pt idx="79">
                  <c:v>2.1508887263359897E-2</c:v>
                </c:pt>
                <c:pt idx="80">
                  <c:v>2.7251241006946286E-2</c:v>
                </c:pt>
                <c:pt idx="81">
                  <c:v>6.0080056339287119E-2</c:v>
                </c:pt>
                <c:pt idx="82">
                  <c:v>2.2810243918263928E-2</c:v>
                </c:pt>
                <c:pt idx="83">
                  <c:v>3.1111218943193148E-2</c:v>
                </c:pt>
                <c:pt idx="84">
                  <c:v>2.764326790918023E-2</c:v>
                </c:pt>
                <c:pt idx="85">
                  <c:v>3.4868943498406559E-2</c:v>
                </c:pt>
                <c:pt idx="86">
                  <c:v>0.18245134731865037</c:v>
                </c:pt>
                <c:pt idx="87">
                  <c:v>8.9454354782351767E-2</c:v>
                </c:pt>
                <c:pt idx="88">
                  <c:v>1.1949412664995127</c:v>
                </c:pt>
                <c:pt idx="89">
                  <c:v>1.6657781690283955E-2</c:v>
                </c:pt>
                <c:pt idx="90">
                  <c:v>1.8288288110181003E-2</c:v>
                </c:pt>
                <c:pt idx="91">
                  <c:v>0.32681496643347313</c:v>
                </c:pt>
                <c:pt idx="92">
                  <c:v>2.2443853563475044E-2</c:v>
                </c:pt>
                <c:pt idx="93">
                  <c:v>9.9576606851692992E-2</c:v>
                </c:pt>
                <c:pt idx="94">
                  <c:v>4.7128524646386262E-2</c:v>
                </c:pt>
                <c:pt idx="95">
                  <c:v>6.7855903715482516E-2</c:v>
                </c:pt>
                <c:pt idx="96">
                  <c:v>1.8583110599099194E-2</c:v>
                </c:pt>
                <c:pt idx="97">
                  <c:v>2.5703402017817983E-2</c:v>
                </c:pt>
                <c:pt idx="98">
                  <c:v>1.9965173090517544E-2</c:v>
                </c:pt>
                <c:pt idx="99">
                  <c:v>2.8661778701738461E-2</c:v>
                </c:pt>
                <c:pt idx="100">
                  <c:v>1.6750368272553124E-2</c:v>
                </c:pt>
                <c:pt idx="101">
                  <c:v>4.0684713633488565E-2</c:v>
                </c:pt>
                <c:pt idx="102">
                  <c:v>2.0069882137470078E-2</c:v>
                </c:pt>
                <c:pt idx="103">
                  <c:v>0.1974438980064829</c:v>
                </c:pt>
                <c:pt idx="104">
                  <c:v>3.2235700098021632E-2</c:v>
                </c:pt>
                <c:pt idx="105">
                  <c:v>2.3974101404493818E-2</c:v>
                </c:pt>
                <c:pt idx="106">
                  <c:v>4.855026039276264E-2</c:v>
                </c:pt>
                <c:pt idx="107">
                  <c:v>2.3933642870209312E-2</c:v>
                </c:pt>
                <c:pt idx="108">
                  <c:v>2.2528780414355524E-2</c:v>
                </c:pt>
                <c:pt idx="109">
                  <c:v>2.0978481798754549E-2</c:v>
                </c:pt>
                <c:pt idx="110">
                  <c:v>5.0604778211216901E-2</c:v>
                </c:pt>
                <c:pt idx="111">
                  <c:v>2.2667441868598232E-2</c:v>
                </c:pt>
                <c:pt idx="112">
                  <c:v>2.4213454941359715E-2</c:v>
                </c:pt>
                <c:pt idx="113">
                  <c:v>1.7926116458038811E-2</c:v>
                </c:pt>
                <c:pt idx="114">
                  <c:v>2.7382597856236878E-2</c:v>
                </c:pt>
                <c:pt idx="115">
                  <c:v>1.6171042779719261E-2</c:v>
                </c:pt>
                <c:pt idx="116">
                  <c:v>1.8231948953211858E-2</c:v>
                </c:pt>
                <c:pt idx="117">
                  <c:v>0.13523669924420001</c:v>
                </c:pt>
                <c:pt idx="118">
                  <c:v>2.1765559411013918E-2</c:v>
                </c:pt>
                <c:pt idx="119">
                  <c:v>0.27938250565103007</c:v>
                </c:pt>
                <c:pt idx="120">
                  <c:v>2.5717213562933466E-2</c:v>
                </c:pt>
                <c:pt idx="121">
                  <c:v>2.3315141055882359E-2</c:v>
                </c:pt>
                <c:pt idx="122">
                  <c:v>7.0023401359184598E-2</c:v>
                </c:pt>
                <c:pt idx="123">
                  <c:v>0.12718256174464204</c:v>
                </c:pt>
                <c:pt idx="124">
                  <c:v>7.4644949696693025E-2</c:v>
                </c:pt>
                <c:pt idx="125">
                  <c:v>4.494657246432518E-2</c:v>
                </c:pt>
                <c:pt idx="126">
                  <c:v>2.5535709267330394E-2</c:v>
                </c:pt>
                <c:pt idx="127">
                  <c:v>1.9167340086355043E-2</c:v>
                </c:pt>
                <c:pt idx="128">
                  <c:v>0.11541072682550281</c:v>
                </c:pt>
                <c:pt idx="129">
                  <c:v>1.7574622668251841E-2</c:v>
                </c:pt>
                <c:pt idx="130">
                  <c:v>1.8993944188130923E-2</c:v>
                </c:pt>
                <c:pt idx="131">
                  <c:v>1.9178957034597748E-2</c:v>
                </c:pt>
                <c:pt idx="132">
                  <c:v>1.6435368119277233E-2</c:v>
                </c:pt>
                <c:pt idx="133">
                  <c:v>2.1688537530927848E-2</c:v>
                </c:pt>
                <c:pt idx="134">
                  <c:v>1.5838013976467124E-2</c:v>
                </c:pt>
                <c:pt idx="135">
                  <c:v>3.3896686834684581E-2</c:v>
                </c:pt>
                <c:pt idx="136">
                  <c:v>7.9017919121773042E-2</c:v>
                </c:pt>
                <c:pt idx="137">
                  <c:v>8.3780247442932748E-2</c:v>
                </c:pt>
                <c:pt idx="138">
                  <c:v>0.1723037781635923</c:v>
                </c:pt>
                <c:pt idx="139">
                  <c:v>2.2957770589927168E-2</c:v>
                </c:pt>
                <c:pt idx="140">
                  <c:v>0.23380449609041193</c:v>
                </c:pt>
                <c:pt idx="141">
                  <c:v>2.1159335019302894E-2</c:v>
                </c:pt>
                <c:pt idx="142">
                  <c:v>1.8750918028226145E-2</c:v>
                </c:pt>
                <c:pt idx="143">
                  <c:v>4.5081592940397125E-2</c:v>
                </c:pt>
                <c:pt idx="144">
                  <c:v>2.0996962310172972E-2</c:v>
                </c:pt>
                <c:pt idx="145">
                  <c:v>2.6288241783891896E-2</c:v>
                </c:pt>
                <c:pt idx="146">
                  <c:v>1.8840975222523745E-2</c:v>
                </c:pt>
                <c:pt idx="147">
                  <c:v>3.8159142791724165E-2</c:v>
                </c:pt>
                <c:pt idx="148">
                  <c:v>2.5199822637635181E-2</c:v>
                </c:pt>
                <c:pt idx="149">
                  <c:v>2.1156183452960029E-2</c:v>
                </c:pt>
                <c:pt idx="150">
                  <c:v>5.3491522941962993E-2</c:v>
                </c:pt>
                <c:pt idx="151">
                  <c:v>4.2622277125445501E-2</c:v>
                </c:pt>
                <c:pt idx="152">
                  <c:v>2.7255048762467531E-2</c:v>
                </c:pt>
                <c:pt idx="153">
                  <c:v>1.0673212314948179</c:v>
                </c:pt>
                <c:pt idx="154">
                  <c:v>1.8085213005494781E-2</c:v>
                </c:pt>
                <c:pt idx="155">
                  <c:v>2.6371405540027107E-2</c:v>
                </c:pt>
                <c:pt idx="156">
                  <c:v>2.8970382468069395E-2</c:v>
                </c:pt>
                <c:pt idx="157">
                  <c:v>4.6846743899327026E-2</c:v>
                </c:pt>
                <c:pt idx="158">
                  <c:v>4.7832709353586432E-2</c:v>
                </c:pt>
                <c:pt idx="159">
                  <c:v>0.11013167893908296</c:v>
                </c:pt>
                <c:pt idx="160">
                  <c:v>3.5801426100309251E-2</c:v>
                </c:pt>
                <c:pt idx="161">
                  <c:v>3.194888997199942E-2</c:v>
                </c:pt>
                <c:pt idx="162">
                  <c:v>3.9359478745772787E-2</c:v>
                </c:pt>
                <c:pt idx="163">
                  <c:v>6.5277977115165836E-2</c:v>
                </c:pt>
                <c:pt idx="164">
                  <c:v>0.40402739591417741</c:v>
                </c:pt>
                <c:pt idx="165">
                  <c:v>2.9461973983150116E-2</c:v>
                </c:pt>
                <c:pt idx="166">
                  <c:v>2.6529944337673507E-2</c:v>
                </c:pt>
                <c:pt idx="167">
                  <c:v>1.6155690546342451E-2</c:v>
                </c:pt>
                <c:pt idx="168">
                  <c:v>4.3996554561213756E-2</c:v>
                </c:pt>
                <c:pt idx="169">
                  <c:v>2.2778697737083509E-2</c:v>
                </c:pt>
                <c:pt idx="170">
                  <c:v>0.10325660581340206</c:v>
                </c:pt>
                <c:pt idx="171">
                  <c:v>0.19197260745236475</c:v>
                </c:pt>
                <c:pt idx="172">
                  <c:v>1.7938527174634389</c:v>
                </c:pt>
                <c:pt idx="173">
                  <c:v>3.2277791791166958E-2</c:v>
                </c:pt>
                <c:pt idx="174">
                  <c:v>1.7572978868042408E-2</c:v>
                </c:pt>
                <c:pt idx="175">
                  <c:v>1.7335349264475278E-2</c:v>
                </c:pt>
                <c:pt idx="176">
                  <c:v>1.8312806799659451E-2</c:v>
                </c:pt>
                <c:pt idx="177">
                  <c:v>1.6903371138517826E-2</c:v>
                </c:pt>
                <c:pt idx="178">
                  <c:v>1.8954957660104698E-2</c:v>
                </c:pt>
                <c:pt idx="179">
                  <c:v>3.2848101083815535E-2</c:v>
                </c:pt>
                <c:pt idx="180">
                  <c:v>3.2789061789164665E-2</c:v>
                </c:pt>
                <c:pt idx="181">
                  <c:v>4.0410610316954101E-2</c:v>
                </c:pt>
                <c:pt idx="182">
                  <c:v>1.8468169020377005E-2</c:v>
                </c:pt>
                <c:pt idx="183">
                  <c:v>2.0021731871659409E-2</c:v>
                </c:pt>
                <c:pt idx="184">
                  <c:v>4.3450825058963506E-2</c:v>
                </c:pt>
                <c:pt idx="185">
                  <c:v>4.027975338303471E-2</c:v>
                </c:pt>
                <c:pt idx="186">
                  <c:v>6.702506697285833E-2</c:v>
                </c:pt>
                <c:pt idx="187">
                  <c:v>1.6603585296042389E-2</c:v>
                </c:pt>
                <c:pt idx="188">
                  <c:v>1.7273382710653529E-2</c:v>
                </c:pt>
                <c:pt idx="189">
                  <c:v>7.5585691257512119E-2</c:v>
                </c:pt>
                <c:pt idx="190">
                  <c:v>4.0138156423078553E-2</c:v>
                </c:pt>
                <c:pt idx="191">
                  <c:v>1.9220294607190748E-2</c:v>
                </c:pt>
                <c:pt idx="192">
                  <c:v>2.095299937520799E-2</c:v>
                </c:pt>
                <c:pt idx="193">
                  <c:v>2.25947128940499E-2</c:v>
                </c:pt>
                <c:pt idx="194">
                  <c:v>1.7802289028293009E-2</c:v>
                </c:pt>
                <c:pt idx="195">
                  <c:v>2.4709647828912471E-2</c:v>
                </c:pt>
                <c:pt idx="196">
                  <c:v>1.7758110044812061E-2</c:v>
                </c:pt>
                <c:pt idx="197">
                  <c:v>5.3135264231760536E-2</c:v>
                </c:pt>
                <c:pt idx="198">
                  <c:v>3.9356486089270067E-2</c:v>
                </c:pt>
                <c:pt idx="199">
                  <c:v>0.21237537725978559</c:v>
                </c:pt>
                <c:pt idx="200">
                  <c:v>1.6311816574818901E-2</c:v>
                </c:pt>
                <c:pt idx="201">
                  <c:v>1.7001073873977476E-2</c:v>
                </c:pt>
                <c:pt idx="202">
                  <c:v>3.694555767291411E-2</c:v>
                </c:pt>
                <c:pt idx="203">
                  <c:v>3.6657479940858967E-2</c:v>
                </c:pt>
                <c:pt idx="204">
                  <c:v>4.9033285831489047E-2</c:v>
                </c:pt>
                <c:pt idx="205">
                  <c:v>1.9950488786104684E-2</c:v>
                </c:pt>
                <c:pt idx="206">
                  <c:v>0.10219690374845922</c:v>
                </c:pt>
                <c:pt idx="207">
                  <c:v>2.8178927832826339E-2</c:v>
                </c:pt>
                <c:pt idx="208">
                  <c:v>1.6002809888496949E-2</c:v>
                </c:pt>
                <c:pt idx="209">
                  <c:v>7.5411845076689257E-2</c:v>
                </c:pt>
                <c:pt idx="210">
                  <c:v>2.197484837546524E-2</c:v>
                </c:pt>
                <c:pt idx="211">
                  <c:v>5.4656460249450065</c:v>
                </c:pt>
                <c:pt idx="212">
                  <c:v>1.7971325670318804E-2</c:v>
                </c:pt>
                <c:pt idx="213">
                  <c:v>3.3162029808043149E-2</c:v>
                </c:pt>
                <c:pt idx="214">
                  <c:v>3.7241755231648667E-2</c:v>
                </c:pt>
                <c:pt idx="215">
                  <c:v>2.7688012967473391E-2</c:v>
                </c:pt>
                <c:pt idx="216">
                  <c:v>2.075762623546222E-2</c:v>
                </c:pt>
                <c:pt idx="217">
                  <c:v>2.1406498795303222E-2</c:v>
                </c:pt>
                <c:pt idx="218">
                  <c:v>1.7299938857150168E-2</c:v>
                </c:pt>
                <c:pt idx="219">
                  <c:v>1.7031896156743952E-2</c:v>
                </c:pt>
                <c:pt idx="220">
                  <c:v>3.4549810362675758E-2</c:v>
                </c:pt>
                <c:pt idx="221">
                  <c:v>2.8671214706088785E-2</c:v>
                </c:pt>
                <c:pt idx="222">
                  <c:v>2.5923519837208309E-2</c:v>
                </c:pt>
                <c:pt idx="223">
                  <c:v>1.6998629844422592E-2</c:v>
                </c:pt>
                <c:pt idx="224">
                  <c:v>0.6462926797689843</c:v>
                </c:pt>
                <c:pt idx="225">
                  <c:v>9.6127801219357642E-2</c:v>
                </c:pt>
                <c:pt idx="226">
                  <c:v>2.0923287815710449E-2</c:v>
                </c:pt>
                <c:pt idx="227">
                  <c:v>3.6600394073477038E-2</c:v>
                </c:pt>
                <c:pt idx="228">
                  <c:v>1.6684344597739879E-2</c:v>
                </c:pt>
                <c:pt idx="229">
                  <c:v>2.287503165180851E-2</c:v>
                </c:pt>
                <c:pt idx="230">
                  <c:v>1.7383093058439943E-2</c:v>
                </c:pt>
                <c:pt idx="231">
                  <c:v>3.2451822741181011E-2</c:v>
                </c:pt>
                <c:pt idx="232">
                  <c:v>0.80233601348467765</c:v>
                </c:pt>
                <c:pt idx="233">
                  <c:v>1.8402374849678427E-2</c:v>
                </c:pt>
                <c:pt idx="234">
                  <c:v>1.694188397124425E-2</c:v>
                </c:pt>
                <c:pt idx="235">
                  <c:v>7.3386317269875767E-2</c:v>
                </c:pt>
                <c:pt idx="236">
                  <c:v>7.3521693821944345E-2</c:v>
                </c:pt>
                <c:pt idx="237">
                  <c:v>1.9691929345618423E-2</c:v>
                </c:pt>
                <c:pt idx="238">
                  <c:v>2.6499226570912488E-2</c:v>
                </c:pt>
                <c:pt idx="239">
                  <c:v>3.1677858027581565E-2</c:v>
                </c:pt>
                <c:pt idx="240">
                  <c:v>1.85644611745172E-2</c:v>
                </c:pt>
                <c:pt idx="241">
                  <c:v>0.68217406885542464</c:v>
                </c:pt>
                <c:pt idx="242">
                  <c:v>1.7228311531060997E-2</c:v>
                </c:pt>
                <c:pt idx="243">
                  <c:v>4.4312876447122423E-2</c:v>
                </c:pt>
                <c:pt idx="244">
                  <c:v>1.6768698503329803E-2</c:v>
                </c:pt>
                <c:pt idx="245">
                  <c:v>2.4122877749613587E-2</c:v>
                </c:pt>
                <c:pt idx="246">
                  <c:v>0.11604681083059749</c:v>
                </c:pt>
                <c:pt idx="247">
                  <c:v>2.7469874308584108E-2</c:v>
                </c:pt>
                <c:pt idx="248">
                  <c:v>3.4133153416516036E-2</c:v>
                </c:pt>
                <c:pt idx="249">
                  <c:v>0.31378209933959661</c:v>
                </c:pt>
                <c:pt idx="250">
                  <c:v>2.3295381121893603E-2</c:v>
                </c:pt>
                <c:pt idx="251">
                  <c:v>2.7295854650468045E-2</c:v>
                </c:pt>
                <c:pt idx="252">
                  <c:v>2.5404612634199474E-2</c:v>
                </c:pt>
                <c:pt idx="253">
                  <c:v>5.6042584855233356E-2</c:v>
                </c:pt>
                <c:pt idx="254">
                  <c:v>5.0803568022288817E-2</c:v>
                </c:pt>
                <c:pt idx="255">
                  <c:v>1.966026246326227E-2</c:v>
                </c:pt>
                <c:pt idx="256">
                  <c:v>4.3194523100556263E-2</c:v>
                </c:pt>
                <c:pt idx="257">
                  <c:v>0.13657018053784398</c:v>
                </c:pt>
                <c:pt idx="258">
                  <c:v>3.315033261697832E-2</c:v>
                </c:pt>
                <c:pt idx="259">
                  <c:v>3.3482828258411007E-2</c:v>
                </c:pt>
                <c:pt idx="260">
                  <c:v>2.5047457861342562E-2</c:v>
                </c:pt>
                <c:pt idx="261">
                  <c:v>0.11261525945352469</c:v>
                </c:pt>
                <c:pt idx="262">
                  <c:v>1.9839176695722924E-2</c:v>
                </c:pt>
                <c:pt idx="263">
                  <c:v>1.7670818333096243E-2</c:v>
                </c:pt>
                <c:pt idx="264">
                  <c:v>2.5980053469511009E-2</c:v>
                </c:pt>
                <c:pt idx="265">
                  <c:v>2.1437685308040397E-2</c:v>
                </c:pt>
                <c:pt idx="266">
                  <c:v>2.743992692358178E-2</c:v>
                </c:pt>
                <c:pt idx="267">
                  <c:v>4.6493515384010725E-2</c:v>
                </c:pt>
                <c:pt idx="268">
                  <c:v>1.6876330927619677E-2</c:v>
                </c:pt>
                <c:pt idx="269">
                  <c:v>2.7473838955542972E-2</c:v>
                </c:pt>
                <c:pt idx="270">
                  <c:v>2.0417549831372814E-2</c:v>
                </c:pt>
                <c:pt idx="271">
                  <c:v>9.3076952995494247E-2</c:v>
                </c:pt>
                <c:pt idx="272">
                  <c:v>2.4006155885658995E-2</c:v>
                </c:pt>
                <c:pt idx="273">
                  <c:v>1.0737322832560408</c:v>
                </c:pt>
                <c:pt idx="274">
                  <c:v>0.12500350919227798</c:v>
                </c:pt>
                <c:pt idx="275">
                  <c:v>2.0677461236960001E-2</c:v>
                </c:pt>
                <c:pt idx="276">
                  <c:v>1.6388585462010153E-2</c:v>
                </c:pt>
                <c:pt idx="277">
                  <c:v>1.7880133763463802E-2</c:v>
                </c:pt>
                <c:pt idx="278">
                  <c:v>1.6569365599876467E-2</c:v>
                </c:pt>
                <c:pt idx="279">
                  <c:v>0.3339086046029715</c:v>
                </c:pt>
                <c:pt idx="280">
                  <c:v>9.1472639698205932E-2</c:v>
                </c:pt>
                <c:pt idx="281">
                  <c:v>1.6138170652828795E-2</c:v>
                </c:pt>
                <c:pt idx="282">
                  <c:v>6.7302223307485892E-2</c:v>
                </c:pt>
                <c:pt idx="283">
                  <c:v>5.7998132963213635E-2</c:v>
                </c:pt>
                <c:pt idx="284">
                  <c:v>3.0652424402393845E-2</c:v>
                </c:pt>
                <c:pt idx="285">
                  <c:v>3.8873600481950092E-2</c:v>
                </c:pt>
                <c:pt idx="286">
                  <c:v>5.2576296316869511E-2</c:v>
                </c:pt>
                <c:pt idx="287">
                  <c:v>1.647865226944218E-2</c:v>
                </c:pt>
                <c:pt idx="288">
                  <c:v>2.7620875096843266E-2</c:v>
                </c:pt>
                <c:pt idx="289">
                  <c:v>3.9647032067487098E-2</c:v>
                </c:pt>
                <c:pt idx="290">
                  <c:v>2.9154661377753043E-2</c:v>
                </c:pt>
                <c:pt idx="291">
                  <c:v>1.745757293816701E-2</c:v>
                </c:pt>
                <c:pt idx="292">
                  <c:v>1.6571388433793011E-2</c:v>
                </c:pt>
                <c:pt idx="293">
                  <c:v>2.5037752799814454E-2</c:v>
                </c:pt>
                <c:pt idx="294">
                  <c:v>1.7032164151267022E-2</c:v>
                </c:pt>
                <c:pt idx="295">
                  <c:v>6.1013415060643512E-2</c:v>
                </c:pt>
                <c:pt idx="296">
                  <c:v>1.8887864560645583E-2</c:v>
                </c:pt>
                <c:pt idx="297">
                  <c:v>1.7141202711230992E-2</c:v>
                </c:pt>
                <c:pt idx="298">
                  <c:v>4.4215159194486854E-2</c:v>
                </c:pt>
                <c:pt idx="299">
                  <c:v>7.2002680277296061E-2</c:v>
                </c:pt>
                <c:pt idx="300">
                  <c:v>2.8591662161896091E-2</c:v>
                </c:pt>
                <c:pt idx="301">
                  <c:v>3.6480031642880592E-2</c:v>
                </c:pt>
                <c:pt idx="302">
                  <c:v>2.8865289811149743E-2</c:v>
                </c:pt>
                <c:pt idx="303">
                  <c:v>0.24681610437492926</c:v>
                </c:pt>
                <c:pt idx="304">
                  <c:v>2.210181468688361E-2</c:v>
                </c:pt>
                <c:pt idx="305">
                  <c:v>1.6554021232307356E-2</c:v>
                </c:pt>
                <c:pt idx="306">
                  <c:v>2.7779108860592278E-2</c:v>
                </c:pt>
                <c:pt idx="307">
                  <c:v>3.3888768108007374E-2</c:v>
                </c:pt>
                <c:pt idx="308">
                  <c:v>2.0094696454922394E-2</c:v>
                </c:pt>
                <c:pt idx="309">
                  <c:v>2.9682380168677327E-2</c:v>
                </c:pt>
                <c:pt idx="310">
                  <c:v>1.6142752142627149E-2</c:v>
                </c:pt>
                <c:pt idx="311">
                  <c:v>7.3607128483023143E-2</c:v>
                </c:pt>
                <c:pt idx="312">
                  <c:v>8.8027156171945883E-2</c:v>
                </c:pt>
                <c:pt idx="313">
                  <c:v>1.912236981705296E-2</c:v>
                </c:pt>
                <c:pt idx="314">
                  <c:v>8.6928653877269682E-2</c:v>
                </c:pt>
                <c:pt idx="315">
                  <c:v>0.16127364039333625</c:v>
                </c:pt>
                <c:pt idx="316">
                  <c:v>3.5814303171746935E-2</c:v>
                </c:pt>
                <c:pt idx="317">
                  <c:v>1.9039202457657063E-2</c:v>
                </c:pt>
                <c:pt idx="318">
                  <c:v>2.8344150933223854E-2</c:v>
                </c:pt>
                <c:pt idx="319">
                  <c:v>0.10887772627688887</c:v>
                </c:pt>
                <c:pt idx="320">
                  <c:v>4.4467530402031372E-2</c:v>
                </c:pt>
                <c:pt idx="321">
                  <c:v>2.1813104108258017E-2</c:v>
                </c:pt>
                <c:pt idx="322">
                  <c:v>2.4047458247899136E-2</c:v>
                </c:pt>
                <c:pt idx="323">
                  <c:v>3.763379028061499E-2</c:v>
                </c:pt>
                <c:pt idx="324">
                  <c:v>2.1525082464006858E-2</c:v>
                </c:pt>
                <c:pt idx="325">
                  <c:v>2.0399136521263034E-2</c:v>
                </c:pt>
                <c:pt idx="326">
                  <c:v>0.11528004933488177</c:v>
                </c:pt>
                <c:pt idx="327">
                  <c:v>2.5365272465696087E-2</c:v>
                </c:pt>
                <c:pt idx="328">
                  <c:v>5.4685147477094326E-2</c:v>
                </c:pt>
                <c:pt idx="329">
                  <c:v>0.65687714257903429</c:v>
                </c:pt>
                <c:pt idx="330">
                  <c:v>1.6698501820043163E-2</c:v>
                </c:pt>
                <c:pt idx="331">
                  <c:v>4.9969749149952634E-2</c:v>
                </c:pt>
                <c:pt idx="332">
                  <c:v>3.2821553118065019E-2</c:v>
                </c:pt>
                <c:pt idx="333">
                  <c:v>7.259069495089493E-2</c:v>
                </c:pt>
                <c:pt idx="334">
                  <c:v>2.3831631158472026E-2</c:v>
                </c:pt>
                <c:pt idx="335">
                  <c:v>2.0681021895072704E-2</c:v>
                </c:pt>
                <c:pt idx="336">
                  <c:v>2.1558145985535977E-2</c:v>
                </c:pt>
                <c:pt idx="337">
                  <c:v>3.154830867720327E-2</c:v>
                </c:pt>
                <c:pt idx="338">
                  <c:v>6.5691394259406205E-2</c:v>
                </c:pt>
                <c:pt idx="339">
                  <c:v>2.0698753354678353E-2</c:v>
                </c:pt>
                <c:pt idx="340">
                  <c:v>1.9846582736644462E-2</c:v>
                </c:pt>
                <c:pt idx="341">
                  <c:v>2.2468651140408549E-2</c:v>
                </c:pt>
                <c:pt idx="342">
                  <c:v>2.247004766044591E-2</c:v>
                </c:pt>
                <c:pt idx="343">
                  <c:v>1.8755525681069495E-2</c:v>
                </c:pt>
                <c:pt idx="344">
                  <c:v>2.797179452987579E-2</c:v>
                </c:pt>
                <c:pt idx="345">
                  <c:v>6.6303970774692772E-2</c:v>
                </c:pt>
                <c:pt idx="346">
                  <c:v>1.8420692058915642E-2</c:v>
                </c:pt>
                <c:pt idx="347">
                  <c:v>2.6247985289313918E-2</c:v>
                </c:pt>
                <c:pt idx="348">
                  <c:v>0.13288571122547677</c:v>
                </c:pt>
                <c:pt idx="349">
                  <c:v>3.0252203409515236E-2</c:v>
                </c:pt>
                <c:pt idx="350">
                  <c:v>2.7029299523006374E-2</c:v>
                </c:pt>
                <c:pt idx="351">
                  <c:v>7.6468900122924274E-2</c:v>
                </c:pt>
                <c:pt idx="352">
                  <c:v>7.1484074630695504E-2</c:v>
                </c:pt>
                <c:pt idx="353">
                  <c:v>0.10651797627545012</c:v>
                </c:pt>
                <c:pt idx="354">
                  <c:v>3.0156991272828441E-2</c:v>
                </c:pt>
                <c:pt idx="355">
                  <c:v>3.9885430512631617E-2</c:v>
                </c:pt>
                <c:pt idx="356">
                  <c:v>2.681485257735363E-2</c:v>
                </c:pt>
                <c:pt idx="357">
                  <c:v>4.0419143132708155E-2</c:v>
                </c:pt>
                <c:pt idx="358">
                  <c:v>4.2547713946623031E-2</c:v>
                </c:pt>
                <c:pt idx="359">
                  <c:v>2.3065439634193476E-2</c:v>
                </c:pt>
                <c:pt idx="360">
                  <c:v>0.12451788785565715</c:v>
                </c:pt>
                <c:pt idx="361">
                  <c:v>2.1116059020351668E-2</c:v>
                </c:pt>
                <c:pt idx="362">
                  <c:v>2.0270389379323316E-2</c:v>
                </c:pt>
                <c:pt idx="363">
                  <c:v>2.3205035471957559E-2</c:v>
                </c:pt>
                <c:pt idx="364">
                  <c:v>1.8346598231721641E-2</c:v>
                </c:pt>
                <c:pt idx="365">
                  <c:v>0.27416945709672003</c:v>
                </c:pt>
                <c:pt idx="366">
                  <c:v>7.250733018916973E-2</c:v>
                </c:pt>
                <c:pt idx="367">
                  <c:v>0.10048873196936145</c:v>
                </c:pt>
                <c:pt idx="368">
                  <c:v>4.847726391515824E-2</c:v>
                </c:pt>
                <c:pt idx="369">
                  <c:v>0.81515775881478325</c:v>
                </c:pt>
                <c:pt idx="370">
                  <c:v>3.0634119344723227E-2</c:v>
                </c:pt>
                <c:pt idx="371">
                  <c:v>2.2373520211975466E-2</c:v>
                </c:pt>
                <c:pt idx="372">
                  <c:v>7.4532719064776792E-2</c:v>
                </c:pt>
                <c:pt idx="373">
                  <c:v>4.4395956899198979E-2</c:v>
                </c:pt>
                <c:pt idx="374">
                  <c:v>0.50927389066718631</c:v>
                </c:pt>
                <c:pt idx="375">
                  <c:v>1.8186672717535914E-2</c:v>
                </c:pt>
                <c:pt idx="376">
                  <c:v>5.4909820507981932E-2</c:v>
                </c:pt>
                <c:pt idx="377">
                  <c:v>2.1487458163992064E-2</c:v>
                </c:pt>
                <c:pt idx="378">
                  <c:v>3.1411709114468306E-2</c:v>
                </c:pt>
                <c:pt idx="379">
                  <c:v>5.0276071907234973E-2</c:v>
                </c:pt>
                <c:pt idx="380">
                  <c:v>1.6742713578967904E-2</c:v>
                </c:pt>
                <c:pt idx="381">
                  <c:v>0.23325330052883</c:v>
                </c:pt>
                <c:pt idx="382">
                  <c:v>0.40657677057674235</c:v>
                </c:pt>
                <c:pt idx="383">
                  <c:v>9.5274768525874701E-2</c:v>
                </c:pt>
                <c:pt idx="384">
                  <c:v>5.062231999834764E-2</c:v>
                </c:pt>
                <c:pt idx="385">
                  <c:v>5.8778499738467944E-2</c:v>
                </c:pt>
                <c:pt idx="386">
                  <c:v>7.3863127306904461E-2</c:v>
                </c:pt>
                <c:pt idx="387">
                  <c:v>2.0285513980123834E-2</c:v>
                </c:pt>
                <c:pt idx="388">
                  <c:v>2.9504203537382545</c:v>
                </c:pt>
                <c:pt idx="389">
                  <c:v>1.8227692834475784E-2</c:v>
                </c:pt>
                <c:pt idx="390">
                  <c:v>4.4779966895325519E-2</c:v>
                </c:pt>
                <c:pt idx="391">
                  <c:v>3.4439678193617956E-2</c:v>
                </c:pt>
                <c:pt idx="392">
                  <c:v>0.13870874619180604</c:v>
                </c:pt>
                <c:pt idx="393">
                  <c:v>0.1103201269780239</c:v>
                </c:pt>
                <c:pt idx="394">
                  <c:v>2.4383514905267033E-2</c:v>
                </c:pt>
                <c:pt idx="395">
                  <c:v>1.5982232699752359E-2</c:v>
                </c:pt>
                <c:pt idx="396">
                  <c:v>3.693248702064536E-2</c:v>
                </c:pt>
                <c:pt idx="397">
                  <c:v>6.0073379044634709E-2</c:v>
                </c:pt>
                <c:pt idx="398">
                  <c:v>0.14332633946337484</c:v>
                </c:pt>
                <c:pt idx="399">
                  <c:v>1.7519982230568415E-2</c:v>
                </c:pt>
                <c:pt idx="400">
                  <c:v>4.1270326696994673E-2</c:v>
                </c:pt>
                <c:pt idx="401">
                  <c:v>1.9542099198084837E-2</c:v>
                </c:pt>
                <c:pt idx="402">
                  <c:v>5.1899020900211895E-2</c:v>
                </c:pt>
                <c:pt idx="403">
                  <c:v>3.3362953817660995E-2</c:v>
                </c:pt>
                <c:pt idx="404">
                  <c:v>2.4110626913834053E-2</c:v>
                </c:pt>
                <c:pt idx="405">
                  <c:v>2.5973353032214E-2</c:v>
                </c:pt>
                <c:pt idx="406">
                  <c:v>1.86006774947759E-2</c:v>
                </c:pt>
                <c:pt idx="407">
                  <c:v>0.12099591498777021</c:v>
                </c:pt>
                <c:pt idx="408">
                  <c:v>8.3590364867768288E-2</c:v>
                </c:pt>
                <c:pt idx="409">
                  <c:v>1.9580713667050095E-2</c:v>
                </c:pt>
                <c:pt idx="410">
                  <c:v>1.6498730498774594E-2</c:v>
                </c:pt>
                <c:pt idx="411">
                  <c:v>2.3882761586274767E-2</c:v>
                </c:pt>
                <c:pt idx="412">
                  <c:v>3.4858485019977015E-2</c:v>
                </c:pt>
                <c:pt idx="413">
                  <c:v>5.6381160104105939E-2</c:v>
                </c:pt>
                <c:pt idx="414">
                  <c:v>2.0073259825684635E-2</c:v>
                </c:pt>
                <c:pt idx="415">
                  <c:v>2.1478883992233397E-2</c:v>
                </c:pt>
                <c:pt idx="416">
                  <c:v>4.2284369925389718E-2</c:v>
                </c:pt>
                <c:pt idx="417">
                  <c:v>2.2198801757321543E-2</c:v>
                </c:pt>
                <c:pt idx="418">
                  <c:v>0.16846291473765698</c:v>
                </c:pt>
                <c:pt idx="419">
                  <c:v>1.6115833840406362</c:v>
                </c:pt>
                <c:pt idx="420">
                  <c:v>2.5524528839142573E-2</c:v>
                </c:pt>
                <c:pt idx="421">
                  <c:v>1.7700883302247283E-2</c:v>
                </c:pt>
                <c:pt idx="422">
                  <c:v>2.0584438168678588E-2</c:v>
                </c:pt>
                <c:pt idx="423">
                  <c:v>2.9096397015197922E-2</c:v>
                </c:pt>
                <c:pt idx="424">
                  <c:v>3.4263289344383635E-2</c:v>
                </c:pt>
                <c:pt idx="425">
                  <c:v>0.42169622795450901</c:v>
                </c:pt>
                <c:pt idx="426">
                  <c:v>3.5560693548399594E-2</c:v>
                </c:pt>
                <c:pt idx="427">
                  <c:v>9.907188811781073E-2</c:v>
                </c:pt>
                <c:pt idx="428">
                  <c:v>1.8278451109326691E-2</c:v>
                </c:pt>
                <c:pt idx="429">
                  <c:v>2.517047534999247E-2</c:v>
                </c:pt>
                <c:pt idx="430">
                  <c:v>1.8022047895051706E-2</c:v>
                </c:pt>
                <c:pt idx="431">
                  <c:v>2.4584944058690179E-2</c:v>
                </c:pt>
                <c:pt idx="432">
                  <c:v>6.201201247497256E-2</c:v>
                </c:pt>
                <c:pt idx="433">
                  <c:v>2.1841735025082864E-2</c:v>
                </c:pt>
                <c:pt idx="434">
                  <c:v>5.3377107755455261E-2</c:v>
                </c:pt>
                <c:pt idx="435">
                  <c:v>0.14381348113143083</c:v>
                </c:pt>
                <c:pt idx="436">
                  <c:v>0.34639688198392399</c:v>
                </c:pt>
                <c:pt idx="437">
                  <c:v>5.7289964723438093E-2</c:v>
                </c:pt>
                <c:pt idx="438">
                  <c:v>2.5234782126880323E-2</c:v>
                </c:pt>
                <c:pt idx="439">
                  <c:v>2.5005038229195111E-2</c:v>
                </c:pt>
                <c:pt idx="440">
                  <c:v>2.2794909958720147E-2</c:v>
                </c:pt>
                <c:pt idx="441">
                  <c:v>1.5855989572085626E-2</c:v>
                </c:pt>
                <c:pt idx="442">
                  <c:v>1.7177487394031309E-2</c:v>
                </c:pt>
                <c:pt idx="443">
                  <c:v>5.9878759914612202E-2</c:v>
                </c:pt>
                <c:pt idx="444">
                  <c:v>0.68421306981437535</c:v>
                </c:pt>
                <c:pt idx="445">
                  <c:v>2.3273183710761959E-2</c:v>
                </c:pt>
                <c:pt idx="446">
                  <c:v>1.9673986169682328E-2</c:v>
                </c:pt>
                <c:pt idx="447">
                  <c:v>2.2863905517959658E-2</c:v>
                </c:pt>
                <c:pt idx="448">
                  <c:v>4.6543601840175405E-2</c:v>
                </c:pt>
                <c:pt idx="449">
                  <c:v>0.50504729627448408</c:v>
                </c:pt>
                <c:pt idx="450">
                  <c:v>1.7599201600347922E-2</c:v>
                </c:pt>
                <c:pt idx="451">
                  <c:v>2.8038086190701684E-2</c:v>
                </c:pt>
                <c:pt idx="452">
                  <c:v>4.2831473451915132E-2</c:v>
                </c:pt>
                <c:pt idx="453">
                  <c:v>2.8797290964349298E-2</c:v>
                </c:pt>
                <c:pt idx="454">
                  <c:v>2.3722598206782672E-2</c:v>
                </c:pt>
                <c:pt idx="455">
                  <c:v>1.7734308983443522E-2</c:v>
                </c:pt>
                <c:pt idx="456">
                  <c:v>2.3161202768121648E-2</c:v>
                </c:pt>
                <c:pt idx="457">
                  <c:v>4.7967156125940345E-2</c:v>
                </c:pt>
                <c:pt idx="458">
                  <c:v>0.25038305267535438</c:v>
                </c:pt>
                <c:pt idx="459">
                  <c:v>2.7206318712238151E-2</c:v>
                </c:pt>
                <c:pt idx="460">
                  <c:v>0.11739453973118326</c:v>
                </c:pt>
                <c:pt idx="461">
                  <c:v>2.1458309877576093E-2</c:v>
                </c:pt>
                <c:pt idx="462">
                  <c:v>4.7337754755446111E-2</c:v>
                </c:pt>
                <c:pt idx="463">
                  <c:v>3.6734610174587616E-2</c:v>
                </c:pt>
                <c:pt idx="464">
                  <c:v>1.8731382566782747E-2</c:v>
                </c:pt>
                <c:pt idx="465">
                  <c:v>2.7347221585839326E-2</c:v>
                </c:pt>
                <c:pt idx="466">
                  <c:v>2.2150702383202513E-2</c:v>
                </c:pt>
                <c:pt idx="467">
                  <c:v>2.1866546325612229E-2</c:v>
                </c:pt>
                <c:pt idx="468">
                  <c:v>1.7262949793892111E-2</c:v>
                </c:pt>
                <c:pt idx="469">
                  <c:v>2.1845952200268304E-2</c:v>
                </c:pt>
                <c:pt idx="470">
                  <c:v>0.10192309273874957</c:v>
                </c:pt>
                <c:pt idx="471">
                  <c:v>1.7331056442616503E-2</c:v>
                </c:pt>
                <c:pt idx="472">
                  <c:v>3.3492091902444461E-2</c:v>
                </c:pt>
                <c:pt idx="473">
                  <c:v>2.0533023623831168E-2</c:v>
                </c:pt>
                <c:pt idx="474">
                  <c:v>6.8280870822642642E-2</c:v>
                </c:pt>
                <c:pt idx="475">
                  <c:v>7.5605182692978765E-2</c:v>
                </c:pt>
                <c:pt idx="476">
                  <c:v>2.8268610594426827E-2</c:v>
                </c:pt>
                <c:pt idx="477">
                  <c:v>1.7022206677128261E-2</c:v>
                </c:pt>
                <c:pt idx="478">
                  <c:v>1.734718224620644E-2</c:v>
                </c:pt>
                <c:pt idx="479">
                  <c:v>1.7970953407377005E-2</c:v>
                </c:pt>
                <c:pt idx="480">
                  <c:v>3.2666454358239845E-2</c:v>
                </c:pt>
                <c:pt idx="481">
                  <c:v>2.2579665331350047E-2</c:v>
                </c:pt>
                <c:pt idx="482">
                  <c:v>2.638737479174285E-2</c:v>
                </c:pt>
                <c:pt idx="483">
                  <c:v>3.2746993355794826E-2</c:v>
                </c:pt>
                <c:pt idx="484">
                  <c:v>5.6557410031569957E-2</c:v>
                </c:pt>
                <c:pt idx="485">
                  <c:v>0.11524585874663172</c:v>
                </c:pt>
                <c:pt idx="486">
                  <c:v>2.4333199272782696E-2</c:v>
                </c:pt>
                <c:pt idx="487">
                  <c:v>2.8830194860611325E-2</c:v>
                </c:pt>
                <c:pt idx="488">
                  <c:v>5.5118173698757038E-2</c:v>
                </c:pt>
                <c:pt idx="489">
                  <c:v>1.8701090928028415E-2</c:v>
                </c:pt>
                <c:pt idx="490">
                  <c:v>2.1901414457208675E-2</c:v>
                </c:pt>
                <c:pt idx="491">
                  <c:v>4.9537909167272222E-2</c:v>
                </c:pt>
                <c:pt idx="492">
                  <c:v>0.11476031331896834</c:v>
                </c:pt>
                <c:pt idx="493">
                  <c:v>5.3225457817751773E-2</c:v>
                </c:pt>
                <c:pt idx="494">
                  <c:v>0.85493211517100043</c:v>
                </c:pt>
                <c:pt idx="495">
                  <c:v>0.23914601582833672</c:v>
                </c:pt>
                <c:pt idx="496">
                  <c:v>0.11045763126363888</c:v>
                </c:pt>
                <c:pt idx="497">
                  <c:v>4.4479899754666236E-2</c:v>
                </c:pt>
                <c:pt idx="498">
                  <c:v>1.9773392387052825E-2</c:v>
                </c:pt>
                <c:pt idx="499">
                  <c:v>2.1202979866953259E-2</c:v>
                </c:pt>
                <c:pt idx="500">
                  <c:v>3.8480327625181533E-2</c:v>
                </c:pt>
                <c:pt idx="501">
                  <c:v>1.7421945555730768E-2</c:v>
                </c:pt>
                <c:pt idx="502">
                  <c:v>1.7708652845826272E-2</c:v>
                </c:pt>
                <c:pt idx="503">
                  <c:v>1.965156346973624E-2</c:v>
                </c:pt>
                <c:pt idx="504">
                  <c:v>0.12183578931613737</c:v>
                </c:pt>
                <c:pt idx="505">
                  <c:v>2.3088221949403468E-2</c:v>
                </c:pt>
                <c:pt idx="506">
                  <c:v>2.5372771081944873E-2</c:v>
                </c:pt>
                <c:pt idx="507">
                  <c:v>1.8827769986970267E-2</c:v>
                </c:pt>
                <c:pt idx="508">
                  <c:v>3.2557388537256447E-2</c:v>
                </c:pt>
                <c:pt idx="509">
                  <c:v>2.1662981200522607E-2</c:v>
                </c:pt>
                <c:pt idx="510">
                  <c:v>2.6333949495012048E-2</c:v>
                </c:pt>
                <c:pt idx="511">
                  <c:v>2.749274430066637E-2</c:v>
                </c:pt>
                <c:pt idx="512">
                  <c:v>1.9763566447254004E-2</c:v>
                </c:pt>
                <c:pt idx="513">
                  <c:v>2.8850129390114582E-2</c:v>
                </c:pt>
                <c:pt idx="514">
                  <c:v>1.7389792018665771E-2</c:v>
                </c:pt>
                <c:pt idx="515">
                  <c:v>2.1038345747267057E-2</c:v>
                </c:pt>
                <c:pt idx="516">
                  <c:v>3.0817078609413958E-2</c:v>
                </c:pt>
                <c:pt idx="517">
                  <c:v>1.7695982715326658E-2</c:v>
                </c:pt>
                <c:pt idx="518">
                  <c:v>1.9419913926684757E-2</c:v>
                </c:pt>
                <c:pt idx="519">
                  <c:v>1.0769049372917978</c:v>
                </c:pt>
                <c:pt idx="520">
                  <c:v>2.0661760537353482E-2</c:v>
                </c:pt>
                <c:pt idx="521">
                  <c:v>3.9734522919178415E-2</c:v>
                </c:pt>
                <c:pt idx="522">
                  <c:v>2.2109283131365318E-2</c:v>
                </c:pt>
                <c:pt idx="523">
                  <c:v>5.039175279317587E-2</c:v>
                </c:pt>
                <c:pt idx="524">
                  <c:v>0.17161089012754968</c:v>
                </c:pt>
                <c:pt idx="525">
                  <c:v>2.9008105081989893E-2</c:v>
                </c:pt>
                <c:pt idx="526">
                  <c:v>5.3577416308527977E-2</c:v>
                </c:pt>
                <c:pt idx="527">
                  <c:v>1.6918559037004628E-2</c:v>
                </c:pt>
                <c:pt idx="528">
                  <c:v>2.1456017109050325E-2</c:v>
                </c:pt>
                <c:pt idx="529">
                  <c:v>2.2397709145660395E-2</c:v>
                </c:pt>
                <c:pt idx="530">
                  <c:v>2.178879731030069E-2</c:v>
                </c:pt>
                <c:pt idx="531">
                  <c:v>0.23696961717918724</c:v>
                </c:pt>
                <c:pt idx="532">
                  <c:v>2.1670737930454716E-2</c:v>
                </c:pt>
                <c:pt idx="533">
                  <c:v>1.9973493018687227E-2</c:v>
                </c:pt>
                <c:pt idx="534">
                  <c:v>0.30423710720040287</c:v>
                </c:pt>
                <c:pt idx="535">
                  <c:v>6.3935509699431209E-2</c:v>
                </c:pt>
                <c:pt idx="536">
                  <c:v>3.4623037897278434E-2</c:v>
                </c:pt>
                <c:pt idx="537">
                  <c:v>4.1279858441969602E-2</c:v>
                </c:pt>
                <c:pt idx="538">
                  <c:v>1.9378590754471247E-2</c:v>
                </c:pt>
                <c:pt idx="539">
                  <c:v>3.7844212521512197E-2</c:v>
                </c:pt>
                <c:pt idx="540">
                  <c:v>2.1556280634789367E-2</c:v>
                </c:pt>
                <c:pt idx="541">
                  <c:v>5.8099420331811633E-2</c:v>
                </c:pt>
                <c:pt idx="542">
                  <c:v>8.021285899229115E-2</c:v>
                </c:pt>
                <c:pt idx="543">
                  <c:v>6.5603312038582759E-2</c:v>
                </c:pt>
                <c:pt idx="544">
                  <c:v>1.6618251843255761E-2</c:v>
                </c:pt>
                <c:pt idx="545">
                  <c:v>2.7627615092253959E-2</c:v>
                </c:pt>
                <c:pt idx="546">
                  <c:v>2.2371970674213645E-2</c:v>
                </c:pt>
                <c:pt idx="547">
                  <c:v>3.0981085742874784E-2</c:v>
                </c:pt>
                <c:pt idx="548">
                  <c:v>3.9131858101587466E-2</c:v>
                </c:pt>
                <c:pt idx="549">
                  <c:v>1.9109765005905582E-2</c:v>
                </c:pt>
                <c:pt idx="550">
                  <c:v>4.8144790688285637E-2</c:v>
                </c:pt>
                <c:pt idx="551">
                  <c:v>2.0964705666015839</c:v>
                </c:pt>
                <c:pt idx="552">
                  <c:v>1.966529458507682E-2</c:v>
                </c:pt>
                <c:pt idx="553">
                  <c:v>2.7191127606502916E-2</c:v>
                </c:pt>
                <c:pt idx="554">
                  <c:v>1.8720277280432053E-2</c:v>
                </c:pt>
                <c:pt idx="555">
                  <c:v>3.2323614179136269E-2</c:v>
                </c:pt>
                <c:pt idx="556">
                  <c:v>3.4519657940086566E-2</c:v>
                </c:pt>
                <c:pt idx="557">
                  <c:v>2.2990886401129437E-2</c:v>
                </c:pt>
                <c:pt idx="558">
                  <c:v>8.4193848315195857E-2</c:v>
                </c:pt>
                <c:pt idx="559">
                  <c:v>0.34170907201031769</c:v>
                </c:pt>
                <c:pt idx="560">
                  <c:v>9.1795902269020097E-2</c:v>
                </c:pt>
                <c:pt idx="561">
                  <c:v>1.990705931003138E-2</c:v>
                </c:pt>
                <c:pt idx="562">
                  <c:v>3.2665849829563401E-2</c:v>
                </c:pt>
                <c:pt idx="563">
                  <c:v>3.3721747254088184E-2</c:v>
                </c:pt>
                <c:pt idx="564">
                  <c:v>2.9902460034962271E-2</c:v>
                </c:pt>
                <c:pt idx="565">
                  <c:v>1.9186316907907019E-2</c:v>
                </c:pt>
                <c:pt idx="566">
                  <c:v>1.897660053999262E-2</c:v>
                </c:pt>
                <c:pt idx="567">
                  <c:v>0.17468844132783043</c:v>
                </c:pt>
                <c:pt idx="568">
                  <c:v>3.1437815379667354E-2</c:v>
                </c:pt>
                <c:pt idx="569">
                  <c:v>7.738514410890325E-2</c:v>
                </c:pt>
                <c:pt idx="570">
                  <c:v>2.0677390286436451E-2</c:v>
                </c:pt>
                <c:pt idx="571">
                  <c:v>4.2990941876917092E-2</c:v>
                </c:pt>
                <c:pt idx="572">
                  <c:v>2.9813486104923032E-2</c:v>
                </c:pt>
                <c:pt idx="573">
                  <c:v>0.11495440605157779</c:v>
                </c:pt>
                <c:pt idx="574">
                  <c:v>6.0954792996622667E-2</c:v>
                </c:pt>
                <c:pt idx="575">
                  <c:v>2.7147522737614328E-2</c:v>
                </c:pt>
                <c:pt idx="576">
                  <c:v>3.2530640044238938E-2</c:v>
                </c:pt>
                <c:pt idx="577">
                  <c:v>2.2303219593226144E-2</c:v>
                </c:pt>
                <c:pt idx="578">
                  <c:v>1.6722016993655157E-2</c:v>
                </c:pt>
                <c:pt idx="579">
                  <c:v>6.3868586391524484E-2</c:v>
                </c:pt>
                <c:pt idx="580">
                  <c:v>3.0690095154230879E-2</c:v>
                </c:pt>
                <c:pt idx="581">
                  <c:v>0.16828343640083579</c:v>
                </c:pt>
                <c:pt idx="582">
                  <c:v>3.2744266774101985E-2</c:v>
                </c:pt>
                <c:pt idx="583">
                  <c:v>0.30970231923198244</c:v>
                </c:pt>
                <c:pt idx="584">
                  <c:v>3.6414955654546437E-2</c:v>
                </c:pt>
                <c:pt idx="585">
                  <c:v>1.9136925451518474E-2</c:v>
                </c:pt>
                <c:pt idx="586">
                  <c:v>2.791852562771709E-2</c:v>
                </c:pt>
                <c:pt idx="587">
                  <c:v>6.9270617253305841E-2</c:v>
                </c:pt>
                <c:pt idx="588">
                  <c:v>4.0952049206177198E-2</c:v>
                </c:pt>
                <c:pt idx="589">
                  <c:v>5.2348053137566554E-2</c:v>
                </c:pt>
                <c:pt idx="590">
                  <c:v>3.2885049075166567E-2</c:v>
                </c:pt>
                <c:pt idx="591">
                  <c:v>3.0417164831101049E-2</c:v>
                </c:pt>
                <c:pt idx="592">
                  <c:v>2.6703110048828256E-2</c:v>
                </c:pt>
                <c:pt idx="593">
                  <c:v>1.7014880015197423E-2</c:v>
                </c:pt>
                <c:pt idx="594">
                  <c:v>2.5435454449756181</c:v>
                </c:pt>
                <c:pt idx="595">
                  <c:v>1.7149224286162439E-2</c:v>
                </c:pt>
                <c:pt idx="596">
                  <c:v>8.0820816201134238E-2</c:v>
                </c:pt>
                <c:pt idx="597">
                  <c:v>1.825362707528954E-2</c:v>
                </c:pt>
                <c:pt idx="598">
                  <c:v>2.0778759481791323E-2</c:v>
                </c:pt>
                <c:pt idx="599">
                  <c:v>3.1363358528398923E-2</c:v>
                </c:pt>
                <c:pt idx="600">
                  <c:v>1.9240952235719165E-2</c:v>
                </c:pt>
                <c:pt idx="601">
                  <c:v>2.0753465857660539E-2</c:v>
                </c:pt>
                <c:pt idx="602">
                  <c:v>2.2393480423127596E-2</c:v>
                </c:pt>
                <c:pt idx="603">
                  <c:v>16.963376694652066</c:v>
                </c:pt>
                <c:pt idx="604">
                  <c:v>2.7802762372810857E-2</c:v>
                </c:pt>
                <c:pt idx="605">
                  <c:v>6.6002170627684417E-2</c:v>
                </c:pt>
                <c:pt idx="606">
                  <c:v>3.1721739441003698E-2</c:v>
                </c:pt>
                <c:pt idx="607">
                  <c:v>3.2793458952199893E-2</c:v>
                </c:pt>
                <c:pt idx="608">
                  <c:v>3.3316353633435207E-2</c:v>
                </c:pt>
                <c:pt idx="609">
                  <c:v>3.2195416434000153E-2</c:v>
                </c:pt>
                <c:pt idx="610">
                  <c:v>1.6939010890994921E-2</c:v>
                </c:pt>
                <c:pt idx="611">
                  <c:v>4.5473568217204788E-2</c:v>
                </c:pt>
                <c:pt idx="612">
                  <c:v>1.9108183927739317E-2</c:v>
                </c:pt>
                <c:pt idx="613">
                  <c:v>2.918131891107581E-2</c:v>
                </c:pt>
                <c:pt idx="614">
                  <c:v>2.0145581325964928E-2</c:v>
                </c:pt>
                <c:pt idx="615">
                  <c:v>3.2714478724738469E-2</c:v>
                </c:pt>
                <c:pt idx="616">
                  <c:v>6.0955092983426037E-2</c:v>
                </c:pt>
                <c:pt idx="617">
                  <c:v>5.2310652439037778E-2</c:v>
                </c:pt>
                <c:pt idx="618">
                  <c:v>2.2624347614228959E-2</c:v>
                </c:pt>
                <c:pt idx="619">
                  <c:v>5.8022434356209414E-2</c:v>
                </c:pt>
                <c:pt idx="620">
                  <c:v>2.6213152964823083E-2</c:v>
                </c:pt>
                <c:pt idx="621">
                  <c:v>4.3604676573076234E-2</c:v>
                </c:pt>
                <c:pt idx="622">
                  <c:v>2.7029359900050967E-2</c:v>
                </c:pt>
                <c:pt idx="623">
                  <c:v>2.2070614101145823E-2</c:v>
                </c:pt>
                <c:pt idx="624">
                  <c:v>2.0016100625120568E-2</c:v>
                </c:pt>
                <c:pt idx="625">
                  <c:v>3.038498743342501E-2</c:v>
                </c:pt>
                <c:pt idx="626">
                  <c:v>2.8011596502091122E-2</c:v>
                </c:pt>
                <c:pt idx="627">
                  <c:v>3.0267434875997354E-2</c:v>
                </c:pt>
                <c:pt idx="628">
                  <c:v>3.5327996170967747E-2</c:v>
                </c:pt>
                <c:pt idx="629">
                  <c:v>5.3063602952827103E-2</c:v>
                </c:pt>
                <c:pt idx="630">
                  <c:v>3.6447048538582674E-2</c:v>
                </c:pt>
                <c:pt idx="631">
                  <c:v>1.9662840994595122E-2</c:v>
                </c:pt>
                <c:pt idx="632">
                  <c:v>2.0082461383280507E-2</c:v>
                </c:pt>
                <c:pt idx="633">
                  <c:v>1.8739678690661756E-2</c:v>
                </c:pt>
                <c:pt idx="634">
                  <c:v>2.3818272134316976E-2</c:v>
                </c:pt>
                <c:pt idx="635">
                  <c:v>0.20282329211619612</c:v>
                </c:pt>
                <c:pt idx="636">
                  <c:v>2.0818715983342711E-2</c:v>
                </c:pt>
                <c:pt idx="637">
                  <c:v>1.955864057507737E-2</c:v>
                </c:pt>
                <c:pt idx="638">
                  <c:v>1.8136970202148724E-2</c:v>
                </c:pt>
                <c:pt idx="639">
                  <c:v>1.9732576273148641E-2</c:v>
                </c:pt>
                <c:pt idx="640">
                  <c:v>3.6557800529232701E-2</c:v>
                </c:pt>
                <c:pt idx="641">
                  <c:v>0.15163521061886251</c:v>
                </c:pt>
                <c:pt idx="642">
                  <c:v>1.5656526948037014E-2</c:v>
                </c:pt>
                <c:pt idx="643">
                  <c:v>0.10025564741546664</c:v>
                </c:pt>
                <c:pt idx="644">
                  <c:v>1.7597030290940924E-2</c:v>
                </c:pt>
                <c:pt idx="645">
                  <c:v>0.23604657860055236</c:v>
                </c:pt>
                <c:pt idx="646">
                  <c:v>8.4163076157384248E-2</c:v>
                </c:pt>
                <c:pt idx="647">
                  <c:v>9.3803832388504968E-2</c:v>
                </c:pt>
                <c:pt idx="648">
                  <c:v>0.82557983323669026</c:v>
                </c:pt>
                <c:pt idx="649">
                  <c:v>4.3625800580961965E-2</c:v>
                </c:pt>
                <c:pt idx="650">
                  <c:v>5.3080618827581603E-2</c:v>
                </c:pt>
                <c:pt idx="651">
                  <c:v>3.1332837915119705E-2</c:v>
                </c:pt>
                <c:pt idx="652">
                  <c:v>3.189525037614762E-2</c:v>
                </c:pt>
                <c:pt idx="653">
                  <c:v>2.7304956554776806E-2</c:v>
                </c:pt>
                <c:pt idx="654">
                  <c:v>2.6710146998148183E-2</c:v>
                </c:pt>
                <c:pt idx="655">
                  <c:v>2.2295568240418756E-2</c:v>
                </c:pt>
                <c:pt idx="656">
                  <c:v>2.8452862741540116E-2</c:v>
                </c:pt>
                <c:pt idx="657">
                  <c:v>5.7672558024494495E-2</c:v>
                </c:pt>
                <c:pt idx="658">
                  <c:v>3.7632609652286923E-2</c:v>
                </c:pt>
                <c:pt idx="659">
                  <c:v>0.60068607431831833</c:v>
                </c:pt>
                <c:pt idx="660">
                  <c:v>2.962323322967866E-2</c:v>
                </c:pt>
                <c:pt idx="661">
                  <c:v>2.0457214140553095E-2</c:v>
                </c:pt>
                <c:pt idx="662">
                  <c:v>0.25767967162371802</c:v>
                </c:pt>
                <c:pt idx="663">
                  <c:v>4.8287371464757617E-2</c:v>
                </c:pt>
                <c:pt idx="664">
                  <c:v>1.6942862570474854E-2</c:v>
                </c:pt>
                <c:pt idx="665">
                  <c:v>5.2223046485069605E-2</c:v>
                </c:pt>
                <c:pt idx="666">
                  <c:v>2.9602383240487889E-2</c:v>
                </c:pt>
                <c:pt idx="667">
                  <c:v>0.20612291215976872</c:v>
                </c:pt>
                <c:pt idx="668">
                  <c:v>2.8887849604801806E-2</c:v>
                </c:pt>
                <c:pt idx="669">
                  <c:v>2.38572596883482E-2</c:v>
                </c:pt>
                <c:pt idx="670">
                  <c:v>2.2369670538108323E-2</c:v>
                </c:pt>
                <c:pt idx="671">
                  <c:v>1.8381201419479493E-2</c:v>
                </c:pt>
                <c:pt idx="672">
                  <c:v>2.3450181107715157E-2</c:v>
                </c:pt>
                <c:pt idx="673">
                  <c:v>1.6496983457282392E-2</c:v>
                </c:pt>
                <c:pt idx="674">
                  <c:v>2.1485148347999476E-2</c:v>
                </c:pt>
                <c:pt idx="675">
                  <c:v>4.7236943579498751E-2</c:v>
                </c:pt>
                <c:pt idx="676">
                  <c:v>2.4698866439115109E-2</c:v>
                </c:pt>
                <c:pt idx="677">
                  <c:v>2.0771816749627341E-2</c:v>
                </c:pt>
                <c:pt idx="678">
                  <c:v>1.6997524012969115E-2</c:v>
                </c:pt>
                <c:pt idx="679">
                  <c:v>0.19576615922938048</c:v>
                </c:pt>
                <c:pt idx="680">
                  <c:v>2.1664771243058045E-2</c:v>
                </c:pt>
                <c:pt idx="681">
                  <c:v>3.4770497382070074E-2</c:v>
                </c:pt>
                <c:pt idx="682">
                  <c:v>1.9067334695623789E-2</c:v>
                </c:pt>
                <c:pt idx="683">
                  <c:v>1.8301254144008027E-2</c:v>
                </c:pt>
                <c:pt idx="684">
                  <c:v>1.7984759332716729E-2</c:v>
                </c:pt>
                <c:pt idx="685">
                  <c:v>1.8220059652259223E-2</c:v>
                </c:pt>
                <c:pt idx="686">
                  <c:v>4.3713013322175379E-2</c:v>
                </c:pt>
                <c:pt idx="687">
                  <c:v>1.7790064050708147E-2</c:v>
                </c:pt>
                <c:pt idx="688">
                  <c:v>1.9499618156038057E-2</c:v>
                </c:pt>
                <c:pt idx="689">
                  <c:v>0.1080631387737464</c:v>
                </c:pt>
                <c:pt idx="690">
                  <c:v>9.4511117545992326E-2</c:v>
                </c:pt>
                <c:pt idx="691">
                  <c:v>3.8702901337620402E-2</c:v>
                </c:pt>
                <c:pt idx="692">
                  <c:v>0.15886766430487129</c:v>
                </c:pt>
                <c:pt idx="693">
                  <c:v>6.002192303999411E-2</c:v>
                </c:pt>
                <c:pt idx="694">
                  <c:v>1.8265431311274345E-2</c:v>
                </c:pt>
                <c:pt idx="695">
                  <c:v>2.7749869873016173E-2</c:v>
                </c:pt>
                <c:pt idx="696">
                  <c:v>4.4063209522081405E-2</c:v>
                </c:pt>
                <c:pt idx="697">
                  <c:v>4.3599443756871803E-2</c:v>
                </c:pt>
                <c:pt idx="698">
                  <c:v>0.14719343042262922</c:v>
                </c:pt>
                <c:pt idx="699">
                  <c:v>5.5141609542237957E-2</c:v>
                </c:pt>
                <c:pt idx="700">
                  <c:v>2.0337557021725249E-2</c:v>
                </c:pt>
                <c:pt idx="701">
                  <c:v>1.8202550697895638E-2</c:v>
                </c:pt>
                <c:pt idx="702">
                  <c:v>1.839551020881821E-2</c:v>
                </c:pt>
                <c:pt idx="703">
                  <c:v>0.33905190955382064</c:v>
                </c:pt>
                <c:pt idx="704">
                  <c:v>2.2518639099866636E-2</c:v>
                </c:pt>
                <c:pt idx="705">
                  <c:v>1.8064177889450986E-2</c:v>
                </c:pt>
                <c:pt idx="706">
                  <c:v>2.2470733087543427E-2</c:v>
                </c:pt>
                <c:pt idx="707">
                  <c:v>5.5318326640501105</c:v>
                </c:pt>
                <c:pt idx="708">
                  <c:v>1.6729212709182248E-2</c:v>
                </c:pt>
                <c:pt idx="709">
                  <c:v>2.398769123597129E-2</c:v>
                </c:pt>
                <c:pt idx="710">
                  <c:v>1.9254009251499633E-2</c:v>
                </c:pt>
                <c:pt idx="711">
                  <c:v>1.7561198289194741E-2</c:v>
                </c:pt>
                <c:pt idx="712">
                  <c:v>1.7665170564146272E-2</c:v>
                </c:pt>
                <c:pt idx="713">
                  <c:v>2.0044964746782995E-2</c:v>
                </c:pt>
                <c:pt idx="714">
                  <c:v>4.475639747403639E-2</c:v>
                </c:pt>
                <c:pt idx="715">
                  <c:v>2.3211949279691162E-2</c:v>
                </c:pt>
                <c:pt idx="716">
                  <c:v>2.7521670856202836E-2</c:v>
                </c:pt>
                <c:pt idx="717">
                  <c:v>1.7322873153189828E-2</c:v>
                </c:pt>
                <c:pt idx="718">
                  <c:v>2.3863833803926354E-2</c:v>
                </c:pt>
                <c:pt idx="719">
                  <c:v>1.9456371216411E-2</c:v>
                </c:pt>
                <c:pt idx="720">
                  <c:v>6.1910016968979249E-2</c:v>
                </c:pt>
                <c:pt idx="721">
                  <c:v>2.2083070196353308E-2</c:v>
                </c:pt>
                <c:pt idx="722">
                  <c:v>1.8827351945562287E-2</c:v>
                </c:pt>
                <c:pt idx="723">
                  <c:v>5.0736864280676808E-2</c:v>
                </c:pt>
                <c:pt idx="724">
                  <c:v>3.0530420917750378E-2</c:v>
                </c:pt>
                <c:pt idx="725">
                  <c:v>3.5072654821053408E-2</c:v>
                </c:pt>
                <c:pt idx="726">
                  <c:v>3.4464247400255998E-2</c:v>
                </c:pt>
                <c:pt idx="727">
                  <c:v>7.5591022870013638E-2</c:v>
                </c:pt>
                <c:pt idx="728">
                  <c:v>3.7815054857776517E-2</c:v>
                </c:pt>
                <c:pt idx="729">
                  <c:v>21.451538042420868</c:v>
                </c:pt>
                <c:pt idx="730">
                  <c:v>2.9502763797385093E-2</c:v>
                </c:pt>
                <c:pt idx="731">
                  <c:v>2.1590381244613842E-2</c:v>
                </c:pt>
                <c:pt idx="732">
                  <c:v>2.224583309104956E-2</c:v>
                </c:pt>
                <c:pt idx="733">
                  <c:v>2.5187744959609949E-2</c:v>
                </c:pt>
                <c:pt idx="734">
                  <c:v>2.3629297843646084E-2</c:v>
                </c:pt>
                <c:pt idx="735">
                  <c:v>4.5761995155888996E-2</c:v>
                </c:pt>
                <c:pt idx="736">
                  <c:v>5.5542307734444976E-2</c:v>
                </c:pt>
                <c:pt idx="737">
                  <c:v>1.7449398331426249E-2</c:v>
                </c:pt>
                <c:pt idx="738">
                  <c:v>1.6336152017408213E-2</c:v>
                </c:pt>
                <c:pt idx="739">
                  <c:v>1.7221805898263221E-2</c:v>
                </c:pt>
                <c:pt idx="740">
                  <c:v>2.25507893686205E-2</c:v>
                </c:pt>
                <c:pt idx="741">
                  <c:v>1.7277829779352528E-2</c:v>
                </c:pt>
                <c:pt idx="742">
                  <c:v>3.1168205533116933E-2</c:v>
                </c:pt>
                <c:pt idx="743">
                  <c:v>5.1750436403828669E-2</c:v>
                </c:pt>
                <c:pt idx="744">
                  <c:v>2.6532742874459898E-2</c:v>
                </c:pt>
                <c:pt idx="745">
                  <c:v>5.6664571500471807E-2</c:v>
                </c:pt>
                <c:pt idx="746">
                  <c:v>7.9804157289144279E-2</c:v>
                </c:pt>
                <c:pt idx="747">
                  <c:v>2.2260485397958631E-2</c:v>
                </c:pt>
                <c:pt idx="748">
                  <c:v>2.0051954679101158E-2</c:v>
                </c:pt>
                <c:pt idx="749">
                  <c:v>5.6387408508487717E-2</c:v>
                </c:pt>
                <c:pt idx="750">
                  <c:v>2.1746852059080522E-2</c:v>
                </c:pt>
                <c:pt idx="751">
                  <c:v>3.7533793177507227E-2</c:v>
                </c:pt>
                <c:pt idx="752">
                  <c:v>2.1039660032008103E-2</c:v>
                </c:pt>
                <c:pt idx="753">
                  <c:v>3.6729485362398555E-2</c:v>
                </c:pt>
                <c:pt idx="754">
                  <c:v>4.0236057519814614E-2</c:v>
                </c:pt>
                <c:pt idx="755">
                  <c:v>3.731519195257197E-2</c:v>
                </c:pt>
                <c:pt idx="756">
                  <c:v>4.3681330406379247E-2</c:v>
                </c:pt>
                <c:pt idx="757">
                  <c:v>1.6393696098533157E-2</c:v>
                </c:pt>
                <c:pt idx="758">
                  <c:v>1.604693053353496E-2</c:v>
                </c:pt>
                <c:pt idx="759">
                  <c:v>3.7695720863959649E-2</c:v>
                </c:pt>
                <c:pt idx="760">
                  <c:v>2.0283485986213177E-2</c:v>
                </c:pt>
                <c:pt idx="761">
                  <c:v>0.35397147870407114</c:v>
                </c:pt>
                <c:pt idx="762">
                  <c:v>3.4824948591008806E-2</c:v>
                </c:pt>
                <c:pt idx="763">
                  <c:v>3.7031349456866716E-2</c:v>
                </c:pt>
                <c:pt idx="764">
                  <c:v>1.9305691049657136E-2</c:v>
                </c:pt>
                <c:pt idx="765">
                  <c:v>1.6118631627305407E-2</c:v>
                </c:pt>
                <c:pt idx="766">
                  <c:v>5.6329240934452109E-2</c:v>
                </c:pt>
                <c:pt idx="767">
                  <c:v>4.7831510908629749E-2</c:v>
                </c:pt>
                <c:pt idx="768">
                  <c:v>4.003065436556244E-2</c:v>
                </c:pt>
                <c:pt idx="769">
                  <c:v>2.8044576487432808E-2</c:v>
                </c:pt>
                <c:pt idx="770">
                  <c:v>0.18210347327292586</c:v>
                </c:pt>
                <c:pt idx="771">
                  <c:v>4.3172278431087577E-2</c:v>
                </c:pt>
                <c:pt idx="772">
                  <c:v>2.3566917906808097E-2</c:v>
                </c:pt>
                <c:pt idx="773">
                  <c:v>2.1496378489193335E-2</c:v>
                </c:pt>
                <c:pt idx="774">
                  <c:v>1.8953682383996907E-2</c:v>
                </c:pt>
                <c:pt idx="775">
                  <c:v>0.18003401608759007</c:v>
                </c:pt>
                <c:pt idx="776">
                  <c:v>0.18365096396851543</c:v>
                </c:pt>
                <c:pt idx="777">
                  <c:v>2.3272082102413914E-2</c:v>
                </c:pt>
                <c:pt idx="778">
                  <c:v>2.747585975644137E-2</c:v>
                </c:pt>
                <c:pt idx="779">
                  <c:v>1.8359530880378103E-2</c:v>
                </c:pt>
                <c:pt idx="780">
                  <c:v>1.8813235805637783E-2</c:v>
                </c:pt>
                <c:pt idx="781">
                  <c:v>1.5945726369935635E-2</c:v>
                </c:pt>
                <c:pt idx="782">
                  <c:v>0.11437571424401977</c:v>
                </c:pt>
                <c:pt idx="783">
                  <c:v>1.9869382147300114E-2</c:v>
                </c:pt>
                <c:pt idx="784">
                  <c:v>0.23175755485672145</c:v>
                </c:pt>
                <c:pt idx="785">
                  <c:v>2.360814210063859E-2</c:v>
                </c:pt>
                <c:pt idx="786">
                  <c:v>1.9331322187497939E-2</c:v>
                </c:pt>
                <c:pt idx="787">
                  <c:v>306.63264364425027</c:v>
                </c:pt>
                <c:pt idx="788">
                  <c:v>4.0352170676984989E-2</c:v>
                </c:pt>
                <c:pt idx="789">
                  <c:v>1.8460202639157149E-2</c:v>
                </c:pt>
                <c:pt idx="790">
                  <c:v>1.9428619815264943E-2</c:v>
                </c:pt>
                <c:pt idx="791">
                  <c:v>1.7437692714996164E-2</c:v>
                </c:pt>
                <c:pt idx="792">
                  <c:v>8.468240250679103E-2</c:v>
                </c:pt>
                <c:pt idx="793">
                  <c:v>1.8103059941290415E-2</c:v>
                </c:pt>
                <c:pt idx="794">
                  <c:v>1.6676447749100688E-2</c:v>
                </c:pt>
                <c:pt idx="795">
                  <c:v>2.7458745590675789E-2</c:v>
                </c:pt>
                <c:pt idx="796">
                  <c:v>0.16202986472699549</c:v>
                </c:pt>
                <c:pt idx="797">
                  <c:v>1.9355571169229792E-2</c:v>
                </c:pt>
                <c:pt idx="798">
                  <c:v>1.9087002327440972E-2</c:v>
                </c:pt>
                <c:pt idx="799">
                  <c:v>2.2355974961075126E-2</c:v>
                </c:pt>
                <c:pt idx="800">
                  <c:v>9.5854326370205342E-2</c:v>
                </c:pt>
                <c:pt idx="801">
                  <c:v>3.9847974523868034E-2</c:v>
                </c:pt>
                <c:pt idx="802">
                  <c:v>2.496822030695002E-2</c:v>
                </c:pt>
                <c:pt idx="803">
                  <c:v>1.8570532434422762E-2</c:v>
                </c:pt>
                <c:pt idx="804">
                  <c:v>3.1005435757721151E-2</c:v>
                </c:pt>
                <c:pt idx="805">
                  <c:v>1.8164840967193299E-2</c:v>
                </c:pt>
                <c:pt idx="806">
                  <c:v>5.4895243799574951E-2</c:v>
                </c:pt>
                <c:pt idx="807">
                  <c:v>2.7715634638403517E-2</c:v>
                </c:pt>
                <c:pt idx="808">
                  <c:v>6.549639393275021E-2</c:v>
                </c:pt>
                <c:pt idx="809">
                  <c:v>1.3355355026065596</c:v>
                </c:pt>
                <c:pt idx="810">
                  <c:v>2.1068399694997193E-2</c:v>
                </c:pt>
                <c:pt idx="811">
                  <c:v>3.0387596278418839E-2</c:v>
                </c:pt>
                <c:pt idx="812">
                  <c:v>2.5043529076140873E-2</c:v>
                </c:pt>
                <c:pt idx="813">
                  <c:v>0.18481851676895483</c:v>
                </c:pt>
                <c:pt idx="814">
                  <c:v>6.2398022587430241E-2</c:v>
                </c:pt>
                <c:pt idx="815">
                  <c:v>9.6163086529397798E-2</c:v>
                </c:pt>
                <c:pt idx="816">
                  <c:v>2.7790741003670287E-2</c:v>
                </c:pt>
                <c:pt idx="817">
                  <c:v>2.0492753861080137E-2</c:v>
                </c:pt>
                <c:pt idx="818">
                  <c:v>1.6503324364962817E-2</c:v>
                </c:pt>
                <c:pt idx="819">
                  <c:v>2.3039539331903721E-2</c:v>
                </c:pt>
                <c:pt idx="820">
                  <c:v>5.0088009502239711E-2</c:v>
                </c:pt>
                <c:pt idx="821">
                  <c:v>3.7513215256192806E-2</c:v>
                </c:pt>
                <c:pt idx="822">
                  <c:v>0.11856407599030452</c:v>
                </c:pt>
                <c:pt idx="823">
                  <c:v>3.9294749770291786E-2</c:v>
                </c:pt>
                <c:pt idx="824">
                  <c:v>6.6946308455576364E-2</c:v>
                </c:pt>
                <c:pt idx="825">
                  <c:v>1.8928679211699211E-2</c:v>
                </c:pt>
                <c:pt idx="826">
                  <c:v>2.4769309453579916E-2</c:v>
                </c:pt>
                <c:pt idx="827">
                  <c:v>2.3168399577395922E-2</c:v>
                </c:pt>
                <c:pt idx="828">
                  <c:v>8.5627993620860779E-2</c:v>
                </c:pt>
                <c:pt idx="829">
                  <c:v>2.1821027697883928E-2</c:v>
                </c:pt>
                <c:pt idx="830">
                  <c:v>4.6632923700450052E-2</c:v>
                </c:pt>
                <c:pt idx="831">
                  <c:v>2.1457640424328215E-2</c:v>
                </c:pt>
                <c:pt idx="832">
                  <c:v>2.2751936772423886E-2</c:v>
                </c:pt>
                <c:pt idx="833">
                  <c:v>3.01932536778532E-2</c:v>
                </c:pt>
                <c:pt idx="834">
                  <c:v>0.2345414776052954</c:v>
                </c:pt>
                <c:pt idx="835">
                  <c:v>5.6786053573128485E-2</c:v>
                </c:pt>
                <c:pt idx="836">
                  <c:v>2.9514508591749648E-2</c:v>
                </c:pt>
                <c:pt idx="837">
                  <c:v>2.4553892918048013E-2</c:v>
                </c:pt>
                <c:pt idx="838">
                  <c:v>2.7453276740160883E-2</c:v>
                </c:pt>
                <c:pt idx="839">
                  <c:v>3.6953726080188071E-2</c:v>
                </c:pt>
                <c:pt idx="840">
                  <c:v>2.1442031243426182E-2</c:v>
                </c:pt>
                <c:pt idx="841">
                  <c:v>5.5061466192384508E-2</c:v>
                </c:pt>
                <c:pt idx="842">
                  <c:v>3.5131692672355094E-2</c:v>
                </c:pt>
                <c:pt idx="843">
                  <c:v>3.0804098561071327E-2</c:v>
                </c:pt>
                <c:pt idx="844">
                  <c:v>2.748232466791372E-2</c:v>
                </c:pt>
                <c:pt idx="845">
                  <c:v>1.9917094245402164E-2</c:v>
                </c:pt>
                <c:pt idx="846">
                  <c:v>1.3214494608252423</c:v>
                </c:pt>
                <c:pt idx="847">
                  <c:v>0.16635803033618971</c:v>
                </c:pt>
                <c:pt idx="848">
                  <c:v>5.5303192492442511E-2</c:v>
                </c:pt>
                <c:pt idx="849">
                  <c:v>2.7198111375984282E-2</c:v>
                </c:pt>
                <c:pt idx="850">
                  <c:v>8.0838625532063543E-2</c:v>
                </c:pt>
                <c:pt idx="851">
                  <c:v>2.9886494065002208E-2</c:v>
                </c:pt>
                <c:pt idx="852">
                  <c:v>2.5042924940181874E-2</c:v>
                </c:pt>
                <c:pt idx="853">
                  <c:v>1.6617182351303036E-2</c:v>
                </c:pt>
                <c:pt idx="854">
                  <c:v>0.12540006725655897</c:v>
                </c:pt>
                <c:pt idx="855">
                  <c:v>3.0201570727299031E-2</c:v>
                </c:pt>
                <c:pt idx="856">
                  <c:v>1.8984909112498463E-2</c:v>
                </c:pt>
                <c:pt idx="857">
                  <c:v>7.1458609694209863E-2</c:v>
                </c:pt>
                <c:pt idx="858">
                  <c:v>1.8169029328570056E-2</c:v>
                </c:pt>
                <c:pt idx="859">
                  <c:v>1.716284973211735E-2</c:v>
                </c:pt>
                <c:pt idx="860">
                  <c:v>7.0561445532559844E-2</c:v>
                </c:pt>
                <c:pt idx="861">
                  <c:v>3.6420552761577213E-2</c:v>
                </c:pt>
                <c:pt idx="862">
                  <c:v>0.12396229283861721</c:v>
                </c:pt>
                <c:pt idx="863">
                  <c:v>3.1619122468590923E-2</c:v>
                </c:pt>
                <c:pt idx="864">
                  <c:v>8.3903583427053938E-2</c:v>
                </c:pt>
                <c:pt idx="865">
                  <c:v>0.27596030178537517</c:v>
                </c:pt>
                <c:pt idx="866">
                  <c:v>3.6399589484318089E-2</c:v>
                </c:pt>
                <c:pt idx="867">
                  <c:v>2.0829046320104558E-2</c:v>
                </c:pt>
                <c:pt idx="868">
                  <c:v>0.28588355340131016</c:v>
                </c:pt>
                <c:pt idx="869">
                  <c:v>4.5177684754032908E-2</c:v>
                </c:pt>
                <c:pt idx="870">
                  <c:v>0.24937312494587033</c:v>
                </c:pt>
                <c:pt idx="871">
                  <c:v>0.1158135214312823</c:v>
                </c:pt>
                <c:pt idx="872">
                  <c:v>0.34037199175123911</c:v>
                </c:pt>
                <c:pt idx="873">
                  <c:v>2.1310318785610276E-2</c:v>
                </c:pt>
                <c:pt idx="874">
                  <c:v>4.0776571660202238E-2</c:v>
                </c:pt>
                <c:pt idx="875">
                  <c:v>3.4483865275636759E-2</c:v>
                </c:pt>
                <c:pt idx="876">
                  <c:v>1.9373831264513919E-2</c:v>
                </c:pt>
                <c:pt idx="877">
                  <c:v>1.6649460916291724E-2</c:v>
                </c:pt>
                <c:pt idx="878">
                  <c:v>2.210861151151149E-2</c:v>
                </c:pt>
                <c:pt idx="879">
                  <c:v>1.8257780948398569E-2</c:v>
                </c:pt>
                <c:pt idx="880">
                  <c:v>4.5490147423527291E-2</c:v>
                </c:pt>
                <c:pt idx="881">
                  <c:v>0.36899683103189795</c:v>
                </c:pt>
                <c:pt idx="882">
                  <c:v>1.6859424965431739E-2</c:v>
                </c:pt>
                <c:pt idx="883">
                  <c:v>2.264945590983574E-2</c:v>
                </c:pt>
                <c:pt idx="884">
                  <c:v>0.60419884645005972</c:v>
                </c:pt>
                <c:pt idx="885">
                  <c:v>6.4970038828909019E-2</c:v>
                </c:pt>
                <c:pt idx="886">
                  <c:v>5.1743182662197684E-2</c:v>
                </c:pt>
                <c:pt idx="887">
                  <c:v>0.14500509145305365</c:v>
                </c:pt>
                <c:pt idx="888">
                  <c:v>3.325036518407274E-2</c:v>
                </c:pt>
                <c:pt idx="889">
                  <c:v>8.1589846220711262E-2</c:v>
                </c:pt>
                <c:pt idx="890">
                  <c:v>1.6370244062110015</c:v>
                </c:pt>
                <c:pt idx="891">
                  <c:v>1.628821741471383E-2</c:v>
                </c:pt>
                <c:pt idx="892">
                  <c:v>1.7401942768025987E-2</c:v>
                </c:pt>
                <c:pt idx="893">
                  <c:v>2.9101390809551975E-2</c:v>
                </c:pt>
                <c:pt idx="894">
                  <c:v>1.7224235795976314E-2</c:v>
                </c:pt>
                <c:pt idx="895">
                  <c:v>1.8403631938194599E-2</c:v>
                </c:pt>
                <c:pt idx="896">
                  <c:v>1.7707710318313488E-2</c:v>
                </c:pt>
                <c:pt idx="897">
                  <c:v>2.4492058175902044E-2</c:v>
                </c:pt>
                <c:pt idx="898">
                  <c:v>1.6734903660257566E-2</c:v>
                </c:pt>
                <c:pt idx="899">
                  <c:v>2.0507893284859219E-2</c:v>
                </c:pt>
                <c:pt idx="900">
                  <c:v>0.5593034689917098</c:v>
                </c:pt>
                <c:pt idx="901">
                  <c:v>2.2889521356911073E-2</c:v>
                </c:pt>
                <c:pt idx="902">
                  <c:v>4.3159615736037243E-2</c:v>
                </c:pt>
                <c:pt idx="903">
                  <c:v>2.3118894945680202E-2</c:v>
                </c:pt>
                <c:pt idx="904">
                  <c:v>3.2814009040290255E-2</c:v>
                </c:pt>
                <c:pt idx="905">
                  <c:v>0.18196883563540556</c:v>
                </c:pt>
                <c:pt idx="906">
                  <c:v>2.6845720956389589E-2</c:v>
                </c:pt>
                <c:pt idx="907">
                  <c:v>6.1968729039628259E-2</c:v>
                </c:pt>
                <c:pt idx="908">
                  <c:v>1.9946801857899585E-2</c:v>
                </c:pt>
                <c:pt idx="909">
                  <c:v>2.5835657478016073E-2</c:v>
                </c:pt>
                <c:pt idx="910">
                  <c:v>2.0762479923703496E-2</c:v>
                </c:pt>
                <c:pt idx="911">
                  <c:v>3.9790305598612304E-2</c:v>
                </c:pt>
                <c:pt idx="912">
                  <c:v>1.6796047231863356E-2</c:v>
                </c:pt>
                <c:pt idx="913">
                  <c:v>1.8335071879341018E-2</c:v>
                </c:pt>
                <c:pt idx="914">
                  <c:v>3.2743000608200533E-2</c:v>
                </c:pt>
                <c:pt idx="915">
                  <c:v>0.38599317881685058</c:v>
                </c:pt>
                <c:pt idx="916">
                  <c:v>1.9275149364203891E-2</c:v>
                </c:pt>
                <c:pt idx="917">
                  <c:v>4.1979876295930432E-2</c:v>
                </c:pt>
                <c:pt idx="918">
                  <c:v>1.7142158853393791E-2</c:v>
                </c:pt>
                <c:pt idx="919">
                  <c:v>2.1037065444159297E-2</c:v>
                </c:pt>
                <c:pt idx="920">
                  <c:v>0.27232449072764869</c:v>
                </c:pt>
                <c:pt idx="921">
                  <c:v>1.8460671248909152E-2</c:v>
                </c:pt>
                <c:pt idx="922">
                  <c:v>1.892360125693195E-2</c:v>
                </c:pt>
                <c:pt idx="923">
                  <c:v>1.7679232195252963E-2</c:v>
                </c:pt>
                <c:pt idx="924">
                  <c:v>2.227478418441901E-2</c:v>
                </c:pt>
                <c:pt idx="925">
                  <c:v>2.5658279032425516E-2</c:v>
                </c:pt>
                <c:pt idx="926">
                  <c:v>1.826057050717135E-2</c:v>
                </c:pt>
                <c:pt idx="927">
                  <c:v>1.6686635120138061E-2</c:v>
                </c:pt>
                <c:pt idx="928">
                  <c:v>0.1361102669362074</c:v>
                </c:pt>
                <c:pt idx="929">
                  <c:v>2.49744058003822E-2</c:v>
                </c:pt>
                <c:pt idx="930">
                  <c:v>2.3965534417914588E-2</c:v>
                </c:pt>
                <c:pt idx="931">
                  <c:v>9.2197661707309891E-2</c:v>
                </c:pt>
                <c:pt idx="932">
                  <c:v>0.73642764158471319</c:v>
                </c:pt>
                <c:pt idx="933">
                  <c:v>2.6978525386979559E-2</c:v>
                </c:pt>
                <c:pt idx="934">
                  <c:v>1.8627396160691683E-2</c:v>
                </c:pt>
                <c:pt idx="935">
                  <c:v>2.2843086620814426E-2</c:v>
                </c:pt>
                <c:pt idx="936">
                  <c:v>2.3698680152045057E-2</c:v>
                </c:pt>
                <c:pt idx="937">
                  <c:v>1.9332058904895481E-2</c:v>
                </c:pt>
                <c:pt idx="938">
                  <c:v>2.0455044900768663E-2</c:v>
                </c:pt>
                <c:pt idx="939">
                  <c:v>3.6063930965839125E-2</c:v>
                </c:pt>
                <c:pt idx="940">
                  <c:v>1.7000369131799208E-2</c:v>
                </c:pt>
                <c:pt idx="941">
                  <c:v>2.9652126296010828E-2</c:v>
                </c:pt>
                <c:pt idx="942">
                  <c:v>4.0658534249111603E-2</c:v>
                </c:pt>
                <c:pt idx="943">
                  <c:v>2.11451051882224E-2</c:v>
                </c:pt>
                <c:pt idx="944">
                  <c:v>1.6390095914882549E-2</c:v>
                </c:pt>
                <c:pt idx="945">
                  <c:v>1.8777094218208445E-2</c:v>
                </c:pt>
                <c:pt idx="946">
                  <c:v>5.7420622163501932E-2</c:v>
                </c:pt>
                <c:pt idx="947">
                  <c:v>1.7560258815275256E-2</c:v>
                </c:pt>
                <c:pt idx="948">
                  <c:v>4.1869705920466717E-2</c:v>
                </c:pt>
                <c:pt idx="949">
                  <c:v>2.2917777817462799E-2</c:v>
                </c:pt>
                <c:pt idx="950">
                  <c:v>3.1535943024963674E-2</c:v>
                </c:pt>
                <c:pt idx="951">
                  <c:v>1.6503374279702068E-2</c:v>
                </c:pt>
                <c:pt idx="952">
                  <c:v>5.3960007574503734E-2</c:v>
                </c:pt>
                <c:pt idx="953">
                  <c:v>1.9328848114418044E-2</c:v>
                </c:pt>
                <c:pt idx="954">
                  <c:v>2.1971761669713982E-2</c:v>
                </c:pt>
                <c:pt idx="955">
                  <c:v>2.5129125590890099E-2</c:v>
                </c:pt>
                <c:pt idx="956">
                  <c:v>2.0154678177647152</c:v>
                </c:pt>
                <c:pt idx="957">
                  <c:v>3.3566545731456655E-2</c:v>
                </c:pt>
                <c:pt idx="958">
                  <c:v>1.7527279558871862E-2</c:v>
                </c:pt>
                <c:pt idx="959">
                  <c:v>3.7371972238226428E-2</c:v>
                </c:pt>
                <c:pt idx="960">
                  <c:v>0.11371743703831538</c:v>
                </c:pt>
                <c:pt idx="961">
                  <c:v>7.1414126290302915E-2</c:v>
                </c:pt>
                <c:pt idx="962">
                  <c:v>2.0360906405537837E-2</c:v>
                </c:pt>
                <c:pt idx="963">
                  <c:v>1.8177573969732994E-2</c:v>
                </c:pt>
                <c:pt idx="964">
                  <c:v>3.8737682284734856E-2</c:v>
                </c:pt>
                <c:pt idx="965">
                  <c:v>0.10966761791141824</c:v>
                </c:pt>
                <c:pt idx="966">
                  <c:v>4.6998427800567359</c:v>
                </c:pt>
                <c:pt idx="967">
                  <c:v>1.8917865815452548E-2</c:v>
                </c:pt>
                <c:pt idx="968">
                  <c:v>3.3268718175034094E-2</c:v>
                </c:pt>
                <c:pt idx="969">
                  <c:v>1.6821661040185874E-2</c:v>
                </c:pt>
                <c:pt idx="970">
                  <c:v>7.6982962450424436E-2</c:v>
                </c:pt>
                <c:pt idx="971">
                  <c:v>4.5370538560264781E-2</c:v>
                </c:pt>
                <c:pt idx="972">
                  <c:v>3.4969468598187829E-2</c:v>
                </c:pt>
                <c:pt idx="973">
                  <c:v>1.9548457248552316E-2</c:v>
                </c:pt>
                <c:pt idx="974">
                  <c:v>4.017025593453305E-2</c:v>
                </c:pt>
                <c:pt idx="975">
                  <c:v>2.5167144314128597E-2</c:v>
                </c:pt>
                <c:pt idx="976">
                  <c:v>1.7760808304082738E-2</c:v>
                </c:pt>
                <c:pt idx="977">
                  <c:v>1.6962172584687973E-2</c:v>
                </c:pt>
                <c:pt idx="978">
                  <c:v>1.9800746272420202E-2</c:v>
                </c:pt>
                <c:pt idx="979">
                  <c:v>2.2646201064597079E-2</c:v>
                </c:pt>
                <c:pt idx="980">
                  <c:v>0.63214378882389655</c:v>
                </c:pt>
                <c:pt idx="981">
                  <c:v>1.9221223836213674E-2</c:v>
                </c:pt>
                <c:pt idx="982">
                  <c:v>3.8749639716629307E-2</c:v>
                </c:pt>
                <c:pt idx="983">
                  <c:v>1.7726550823959908E-2</c:v>
                </c:pt>
                <c:pt idx="984">
                  <c:v>2.8778875811303298E-2</c:v>
                </c:pt>
                <c:pt idx="985">
                  <c:v>2.7034734030475738E-2</c:v>
                </c:pt>
                <c:pt idx="986">
                  <c:v>8.6736542429166646E-2</c:v>
                </c:pt>
                <c:pt idx="987">
                  <c:v>1.992415844112301E-2</c:v>
                </c:pt>
                <c:pt idx="988">
                  <c:v>1.6155673593331171E-2</c:v>
                </c:pt>
                <c:pt idx="989">
                  <c:v>2.8559421439842723E-2</c:v>
                </c:pt>
                <c:pt idx="990">
                  <c:v>2.0918434268425525E-2</c:v>
                </c:pt>
                <c:pt idx="991">
                  <c:v>2.1354306266538742E-2</c:v>
                </c:pt>
                <c:pt idx="992">
                  <c:v>1.9356531917282739E-2</c:v>
                </c:pt>
                <c:pt idx="993">
                  <c:v>3.0796755114043409E-2</c:v>
                </c:pt>
                <c:pt idx="994">
                  <c:v>3.1786152038855736E-2</c:v>
                </c:pt>
                <c:pt idx="995">
                  <c:v>1.7718407831213954E-2</c:v>
                </c:pt>
                <c:pt idx="996">
                  <c:v>2.5318854107791552E-2</c:v>
                </c:pt>
                <c:pt idx="997">
                  <c:v>9.0594009864105415E-2</c:v>
                </c:pt>
                <c:pt idx="998">
                  <c:v>8.9126265610019129E-2</c:v>
                </c:pt>
                <c:pt idx="999">
                  <c:v>6.7761659085665102E-2</c:v>
                </c:pt>
              </c:numCache>
            </c:numRef>
          </c:xVal>
          <c:yVal>
            <c:numRef>
              <c:f>'Mandatory Assigment '!$AM$23:$AM$1022</c:f>
              <c:numCache>
                <c:formatCode>General</c:formatCode>
                <c:ptCount val="1000"/>
                <c:pt idx="0">
                  <c:v>9.3475451267714226E-4</c:v>
                </c:pt>
                <c:pt idx="1">
                  <c:v>-3.7433608211381343E-4</c:v>
                </c:pt>
                <c:pt idx="2">
                  <c:v>1.4423559138151457E-3</c:v>
                </c:pt>
                <c:pt idx="3">
                  <c:v>6.5083412473960697E-4</c:v>
                </c:pt>
                <c:pt idx="4">
                  <c:v>1.4321704149478352E-3</c:v>
                </c:pt>
                <c:pt idx="5">
                  <c:v>2.7926605865163294E-4</c:v>
                </c:pt>
                <c:pt idx="6">
                  <c:v>1.5326292365933597E-3</c:v>
                </c:pt>
                <c:pt idx="7">
                  <c:v>2.5735031260745627E-3</c:v>
                </c:pt>
                <c:pt idx="8">
                  <c:v>2.0258622283994437E-3</c:v>
                </c:pt>
                <c:pt idx="9">
                  <c:v>-2.1020152508052191E-3</c:v>
                </c:pt>
                <c:pt idx="10">
                  <c:v>9.6915253247028925E-4</c:v>
                </c:pt>
                <c:pt idx="11">
                  <c:v>7.7132958393407542E-4</c:v>
                </c:pt>
                <c:pt idx="12">
                  <c:v>1.1665919081429253E-3</c:v>
                </c:pt>
                <c:pt idx="13">
                  <c:v>1.574449133813973E-3</c:v>
                </c:pt>
                <c:pt idx="14">
                  <c:v>-9.2747066033956114E-4</c:v>
                </c:pt>
                <c:pt idx="15">
                  <c:v>2.0976443777328841E-3</c:v>
                </c:pt>
                <c:pt idx="16">
                  <c:v>9.8492688471676438E-4</c:v>
                </c:pt>
                <c:pt idx="17">
                  <c:v>-3.7107524816751454E-3</c:v>
                </c:pt>
                <c:pt idx="18">
                  <c:v>2.143009696800053E-4</c:v>
                </c:pt>
                <c:pt idx="19">
                  <c:v>9.4467046894238394E-4</c:v>
                </c:pt>
                <c:pt idx="20">
                  <c:v>9.5616412268598736E-4</c:v>
                </c:pt>
                <c:pt idx="21">
                  <c:v>1.1505521201609647E-3</c:v>
                </c:pt>
                <c:pt idx="22">
                  <c:v>-8.6445561542868726E-4</c:v>
                </c:pt>
                <c:pt idx="23">
                  <c:v>1.1343042416187476E-3</c:v>
                </c:pt>
                <c:pt idx="24">
                  <c:v>1.0506801089533388E-3</c:v>
                </c:pt>
                <c:pt idx="25">
                  <c:v>3.927001193913745E-4</c:v>
                </c:pt>
                <c:pt idx="26">
                  <c:v>2.3356724454060723E-4</c:v>
                </c:pt>
                <c:pt idx="27">
                  <c:v>1.6480655319438256E-3</c:v>
                </c:pt>
                <c:pt idx="28">
                  <c:v>6.1559298274253642E-4</c:v>
                </c:pt>
                <c:pt idx="29">
                  <c:v>2.1195982494267994E-3</c:v>
                </c:pt>
                <c:pt idx="30">
                  <c:v>7.062088613469103E-4</c:v>
                </c:pt>
                <c:pt idx="31">
                  <c:v>4.505171265533737E-3</c:v>
                </c:pt>
                <c:pt idx="32">
                  <c:v>7.0755437750340744E-4</c:v>
                </c:pt>
                <c:pt idx="33">
                  <c:v>4.0022200297441617E-4</c:v>
                </c:pt>
                <c:pt idx="34">
                  <c:v>1.0169778097535245E-3</c:v>
                </c:pt>
                <c:pt idx="35">
                  <c:v>1.2127704720509831E-3</c:v>
                </c:pt>
                <c:pt idx="36">
                  <c:v>-8.5107310768300828E-4</c:v>
                </c:pt>
                <c:pt idx="37">
                  <c:v>1.3441046943145187E-3</c:v>
                </c:pt>
                <c:pt idx="38">
                  <c:v>1.6525336170195959E-3</c:v>
                </c:pt>
                <c:pt idx="39">
                  <c:v>1.8289862057595369E-3</c:v>
                </c:pt>
                <c:pt idx="40">
                  <c:v>1.2119238326425393E-3</c:v>
                </c:pt>
                <c:pt idx="41">
                  <c:v>8.3779976256742736E-4</c:v>
                </c:pt>
                <c:pt idx="42">
                  <c:v>3.8133360386848481E-4</c:v>
                </c:pt>
                <c:pt idx="43">
                  <c:v>7.5324371940531116E-4</c:v>
                </c:pt>
                <c:pt idx="44">
                  <c:v>1.1512376949166903E-2</c:v>
                </c:pt>
                <c:pt idx="45">
                  <c:v>-1.3641865902448745E-4</c:v>
                </c:pt>
                <c:pt idx="46">
                  <c:v>-1.5194401562885736E-4</c:v>
                </c:pt>
                <c:pt idx="47">
                  <c:v>1.729098415662537E-3</c:v>
                </c:pt>
                <c:pt idx="48">
                  <c:v>3.3208546749325047E-3</c:v>
                </c:pt>
                <c:pt idx="49">
                  <c:v>9.9322690419384116E-4</c:v>
                </c:pt>
                <c:pt idx="50">
                  <c:v>9.3793743377094941E-4</c:v>
                </c:pt>
                <c:pt idx="51">
                  <c:v>1.3445144029626472E-3</c:v>
                </c:pt>
                <c:pt idx="52">
                  <c:v>7.7735481809073346E-4</c:v>
                </c:pt>
                <c:pt idx="53">
                  <c:v>-8.1132852963825659E-4</c:v>
                </c:pt>
                <c:pt idx="54">
                  <c:v>1.2561673963241804E-3</c:v>
                </c:pt>
                <c:pt idx="55">
                  <c:v>1.3019372993315899E-3</c:v>
                </c:pt>
                <c:pt idx="56">
                  <c:v>2.1318615430531928E-3</c:v>
                </c:pt>
                <c:pt idx="57">
                  <c:v>2.2060943403062985E-4</c:v>
                </c:pt>
                <c:pt idx="58">
                  <c:v>5.0381184705898096E-5</c:v>
                </c:pt>
                <c:pt idx="59">
                  <c:v>1.3922567365471884E-3</c:v>
                </c:pt>
                <c:pt idx="60">
                  <c:v>8.7144993756546455E-4</c:v>
                </c:pt>
                <c:pt idx="61">
                  <c:v>1.0279484989165302E-3</c:v>
                </c:pt>
                <c:pt idx="62">
                  <c:v>-3.8020919492827475E-4</c:v>
                </c:pt>
                <c:pt idx="63">
                  <c:v>2.2757658162488024E-3</c:v>
                </c:pt>
                <c:pt idx="64">
                  <c:v>-9.3485769320636545E-3</c:v>
                </c:pt>
                <c:pt idx="65">
                  <c:v>1.2678593829307044E-3</c:v>
                </c:pt>
                <c:pt idx="66">
                  <c:v>1.2571625321554127E-3</c:v>
                </c:pt>
                <c:pt idx="67">
                  <c:v>1.1690340209050828E-3</c:v>
                </c:pt>
                <c:pt idx="68">
                  <c:v>8.7912485994193755E-4</c:v>
                </c:pt>
                <c:pt idx="69">
                  <c:v>-1.1318341880300099E-3</c:v>
                </c:pt>
                <c:pt idx="70">
                  <c:v>1.0911546845947951E-3</c:v>
                </c:pt>
                <c:pt idx="71">
                  <c:v>1.0606404672494488E-3</c:v>
                </c:pt>
                <c:pt idx="72">
                  <c:v>1.1199689975365428E-3</c:v>
                </c:pt>
                <c:pt idx="73">
                  <c:v>9.750080026871325E-4</c:v>
                </c:pt>
                <c:pt idx="74">
                  <c:v>-3.3147576853848119E-4</c:v>
                </c:pt>
                <c:pt idx="75">
                  <c:v>-3.4100017883225233E-3</c:v>
                </c:pt>
                <c:pt idx="76">
                  <c:v>1.6145335381287185E-3</c:v>
                </c:pt>
                <c:pt idx="77">
                  <c:v>1.0887801747209919E-3</c:v>
                </c:pt>
                <c:pt idx="78">
                  <c:v>1.5754429421626056E-3</c:v>
                </c:pt>
                <c:pt idx="79">
                  <c:v>1.2536401659983473E-3</c:v>
                </c:pt>
                <c:pt idx="80">
                  <c:v>1.1258742295249479E-3</c:v>
                </c:pt>
                <c:pt idx="81">
                  <c:v>1.6129235499025968E-3</c:v>
                </c:pt>
                <c:pt idx="82">
                  <c:v>9.8853534005637696E-4</c:v>
                </c:pt>
                <c:pt idx="83">
                  <c:v>2.9845587758235757E-4</c:v>
                </c:pt>
                <c:pt idx="84">
                  <c:v>7.108829086994806E-4</c:v>
                </c:pt>
                <c:pt idx="85">
                  <c:v>1.9312272111471104E-3</c:v>
                </c:pt>
                <c:pt idx="86">
                  <c:v>-9.114626039894028E-4</c:v>
                </c:pt>
                <c:pt idx="87">
                  <c:v>-1.5997832845691339E-3</c:v>
                </c:pt>
                <c:pt idx="88">
                  <c:v>3.7104600945837604E-2</c:v>
                </c:pt>
                <c:pt idx="89">
                  <c:v>9.2473557638184654E-4</c:v>
                </c:pt>
                <c:pt idx="90">
                  <c:v>9.5860993012083996E-4</c:v>
                </c:pt>
                <c:pt idx="91">
                  <c:v>-4.9469459909666121E-3</c:v>
                </c:pt>
                <c:pt idx="92">
                  <c:v>1.2949157875625516E-3</c:v>
                </c:pt>
                <c:pt idx="93">
                  <c:v>3.3742329387866079E-3</c:v>
                </c:pt>
                <c:pt idx="94">
                  <c:v>-2.4780447859456124E-4</c:v>
                </c:pt>
                <c:pt idx="95">
                  <c:v>-1.3968936158999033E-3</c:v>
                </c:pt>
                <c:pt idx="96">
                  <c:v>7.3752660929040249E-4</c:v>
                </c:pt>
                <c:pt idx="97">
                  <c:v>1.5256435231695972E-3</c:v>
                </c:pt>
                <c:pt idx="98">
                  <c:v>1.2165564402177491E-3</c:v>
                </c:pt>
                <c:pt idx="99">
                  <c:v>-8.5981324057508477E-5</c:v>
                </c:pt>
                <c:pt idx="100">
                  <c:v>8.390671150892105E-4</c:v>
                </c:pt>
                <c:pt idx="101">
                  <c:v>1.8033529732027326E-3</c:v>
                </c:pt>
                <c:pt idx="102">
                  <c:v>6.8732462552242868E-4</c:v>
                </c:pt>
                <c:pt idx="103">
                  <c:v>-7.3489471863122918E-3</c:v>
                </c:pt>
                <c:pt idx="104">
                  <c:v>4.0830174155612815E-4</c:v>
                </c:pt>
                <c:pt idx="105">
                  <c:v>4.9114578655639804E-4</c:v>
                </c:pt>
                <c:pt idx="106">
                  <c:v>1.0961420940619696E-3</c:v>
                </c:pt>
                <c:pt idx="107">
                  <c:v>1.0171468552827682E-3</c:v>
                </c:pt>
                <c:pt idx="108">
                  <c:v>1.0092248848174734E-3</c:v>
                </c:pt>
                <c:pt idx="109">
                  <c:v>1.0794787123228299E-3</c:v>
                </c:pt>
                <c:pt idx="110">
                  <c:v>2.245219685503912E-3</c:v>
                </c:pt>
                <c:pt idx="111">
                  <c:v>1.196087283603211E-3</c:v>
                </c:pt>
                <c:pt idx="112">
                  <c:v>1.3674032266611834E-3</c:v>
                </c:pt>
                <c:pt idx="113">
                  <c:v>4.6486644955307682E-4</c:v>
                </c:pt>
                <c:pt idx="114">
                  <c:v>1.6004297900671634E-3</c:v>
                </c:pt>
                <c:pt idx="115">
                  <c:v>8.0719921659628451E-4</c:v>
                </c:pt>
                <c:pt idx="116">
                  <c:v>9.3967485366520877E-4</c:v>
                </c:pt>
                <c:pt idx="117">
                  <c:v>-5.9623206014975186E-4</c:v>
                </c:pt>
                <c:pt idx="118">
                  <c:v>1.2951499453770091E-3</c:v>
                </c:pt>
                <c:pt idx="119">
                  <c:v>4.9013143692147503E-3</c:v>
                </c:pt>
                <c:pt idx="120">
                  <c:v>-1.7747449823915019E-5</c:v>
                </c:pt>
                <c:pt idx="121">
                  <c:v>9.4814733863869606E-4</c:v>
                </c:pt>
                <c:pt idx="122">
                  <c:v>-4.884879086109377E-4</c:v>
                </c:pt>
                <c:pt idx="123">
                  <c:v>4.0871481267136904E-3</c:v>
                </c:pt>
                <c:pt idx="124">
                  <c:v>2.3600940374396218E-3</c:v>
                </c:pt>
                <c:pt idx="125">
                  <c:v>9.6285690466008404E-4</c:v>
                </c:pt>
                <c:pt idx="126">
                  <c:v>1.2618176711721898E-3</c:v>
                </c:pt>
                <c:pt idx="127">
                  <c:v>1.1990269502167434E-3</c:v>
                </c:pt>
                <c:pt idx="128">
                  <c:v>4.8198829164396899E-4</c:v>
                </c:pt>
                <c:pt idx="129">
                  <c:v>1.0925436118305045E-3</c:v>
                </c:pt>
                <c:pt idx="130">
                  <c:v>9.7127862210297472E-4</c:v>
                </c:pt>
                <c:pt idx="131">
                  <c:v>4.7627607922781298E-4</c:v>
                </c:pt>
                <c:pt idx="132">
                  <c:v>9.4408851820136338E-4</c:v>
                </c:pt>
                <c:pt idx="133">
                  <c:v>8.8315496620957744E-4</c:v>
                </c:pt>
                <c:pt idx="134">
                  <c:v>8.9669075140408534E-4</c:v>
                </c:pt>
                <c:pt idx="135">
                  <c:v>1.4300776490431292E-3</c:v>
                </c:pt>
                <c:pt idx="136">
                  <c:v>3.6835514578218865E-3</c:v>
                </c:pt>
                <c:pt idx="137">
                  <c:v>-2.0784701050240765E-3</c:v>
                </c:pt>
                <c:pt idx="138">
                  <c:v>7.6579310791647683E-4</c:v>
                </c:pt>
                <c:pt idx="139">
                  <c:v>9.0794348829941829E-4</c:v>
                </c:pt>
                <c:pt idx="140">
                  <c:v>-5.6454360699556309E-3</c:v>
                </c:pt>
                <c:pt idx="141">
                  <c:v>1.1687927446300088E-3</c:v>
                </c:pt>
                <c:pt idx="142">
                  <c:v>1.0270088206294282E-3</c:v>
                </c:pt>
                <c:pt idx="143">
                  <c:v>5.6586473445428321E-4</c:v>
                </c:pt>
                <c:pt idx="144">
                  <c:v>3.1707799302726109E-4</c:v>
                </c:pt>
                <c:pt idx="145">
                  <c:v>1.6188850509556967E-3</c:v>
                </c:pt>
                <c:pt idx="146">
                  <c:v>8.8921404492367431E-4</c:v>
                </c:pt>
                <c:pt idx="147">
                  <c:v>-2.3001045840136168E-4</c:v>
                </c:pt>
                <c:pt idx="148">
                  <c:v>1.4510729870293678E-3</c:v>
                </c:pt>
                <c:pt idx="149">
                  <c:v>8.9703717888907223E-4</c:v>
                </c:pt>
                <c:pt idx="150">
                  <c:v>1.3602665798360645E-3</c:v>
                </c:pt>
                <c:pt idx="151">
                  <c:v>2.7674890642755275E-4</c:v>
                </c:pt>
                <c:pt idx="152">
                  <c:v>1.1528596353337855E-4</c:v>
                </c:pt>
                <c:pt idx="153">
                  <c:v>7.5264266968913425E-3</c:v>
                </c:pt>
                <c:pt idx="154">
                  <c:v>4.8949552540985207E-4</c:v>
                </c:pt>
                <c:pt idx="155">
                  <c:v>1.1708176712206251E-3</c:v>
                </c:pt>
                <c:pt idx="156">
                  <c:v>1.296704481570825E-3</c:v>
                </c:pt>
                <c:pt idx="157">
                  <c:v>2.1235407757088853E-3</c:v>
                </c:pt>
                <c:pt idx="158">
                  <c:v>1.6632788907416348E-3</c:v>
                </c:pt>
                <c:pt idx="159">
                  <c:v>1.9527137842887234E-3</c:v>
                </c:pt>
                <c:pt idx="160">
                  <c:v>-1.5180609275520238E-4</c:v>
                </c:pt>
                <c:pt idx="161">
                  <c:v>6.9933986507761262E-4</c:v>
                </c:pt>
                <c:pt idx="162">
                  <c:v>1.4217846716207015E-3</c:v>
                </c:pt>
                <c:pt idx="163">
                  <c:v>-1.2855798038859609E-3</c:v>
                </c:pt>
                <c:pt idx="164">
                  <c:v>-1.0608341715789148E-3</c:v>
                </c:pt>
                <c:pt idx="165">
                  <c:v>1.8229273587884039E-3</c:v>
                </c:pt>
                <c:pt idx="166">
                  <c:v>2.3324968608231167E-4</c:v>
                </c:pt>
                <c:pt idx="167">
                  <c:v>9.2392012582797201E-4</c:v>
                </c:pt>
                <c:pt idx="168">
                  <c:v>1.9750710997001827E-3</c:v>
                </c:pt>
                <c:pt idx="169">
                  <c:v>1.0127810406068002E-3</c:v>
                </c:pt>
                <c:pt idx="170">
                  <c:v>2.8000941610830622E-3</c:v>
                </c:pt>
                <c:pt idx="171">
                  <c:v>1.115845299588462E-4</c:v>
                </c:pt>
                <c:pt idx="172">
                  <c:v>3.3501878915278248E-2</c:v>
                </c:pt>
                <c:pt idx="173">
                  <c:v>1.0851254701891649E-3</c:v>
                </c:pt>
                <c:pt idx="174">
                  <c:v>6.4360906032430811E-4</c:v>
                </c:pt>
                <c:pt idx="175">
                  <c:v>1.0408067386575813E-3</c:v>
                </c:pt>
                <c:pt idx="176">
                  <c:v>9.9423616214745531E-4</c:v>
                </c:pt>
                <c:pt idx="177">
                  <c:v>9.5590484528125367E-4</c:v>
                </c:pt>
                <c:pt idx="178">
                  <c:v>1.0824861837950229E-3</c:v>
                </c:pt>
                <c:pt idx="179">
                  <c:v>3.4018981499534993E-5</c:v>
                </c:pt>
                <c:pt idx="180">
                  <c:v>1.144637948222036E-3</c:v>
                </c:pt>
                <c:pt idx="181">
                  <c:v>4.5645207883573827E-5</c:v>
                </c:pt>
                <c:pt idx="182">
                  <c:v>1.0054630123286343E-3</c:v>
                </c:pt>
                <c:pt idx="183">
                  <c:v>8.0774265586771145E-4</c:v>
                </c:pt>
                <c:pt idx="184">
                  <c:v>1.730086438159002E-3</c:v>
                </c:pt>
                <c:pt idx="185">
                  <c:v>9.3825081855658304E-4</c:v>
                </c:pt>
                <c:pt idx="186">
                  <c:v>2.142293744534716E-3</c:v>
                </c:pt>
                <c:pt idx="187">
                  <c:v>6.6657749327928256E-4</c:v>
                </c:pt>
                <c:pt idx="188">
                  <c:v>5.7611619810934512E-4</c:v>
                </c:pt>
                <c:pt idx="189">
                  <c:v>-8.5842032508249427E-4</c:v>
                </c:pt>
                <c:pt idx="190">
                  <c:v>-1.7810666262416071E-4</c:v>
                </c:pt>
                <c:pt idx="191">
                  <c:v>1.0267570059935215E-3</c:v>
                </c:pt>
                <c:pt idx="192">
                  <c:v>8.7601923149140766E-4</c:v>
                </c:pt>
                <c:pt idx="193">
                  <c:v>1.1824282705023728E-3</c:v>
                </c:pt>
                <c:pt idx="194">
                  <c:v>5.3043252289943681E-4</c:v>
                </c:pt>
                <c:pt idx="195">
                  <c:v>1.5362233525378361E-3</c:v>
                </c:pt>
                <c:pt idx="196">
                  <c:v>1.036039435544674E-3</c:v>
                </c:pt>
                <c:pt idx="197">
                  <c:v>6.7926686112197276E-5</c:v>
                </c:pt>
                <c:pt idx="198">
                  <c:v>2.7047885473716262E-5</c:v>
                </c:pt>
                <c:pt idx="199">
                  <c:v>-2.2287289968358909E-3</c:v>
                </c:pt>
                <c:pt idx="200">
                  <c:v>8.6770641776647342E-4</c:v>
                </c:pt>
                <c:pt idx="201">
                  <c:v>9.3889115614145683E-4</c:v>
                </c:pt>
                <c:pt idx="202">
                  <c:v>4.5303482727222821E-4</c:v>
                </c:pt>
                <c:pt idx="203">
                  <c:v>5.1921592509809227E-4</c:v>
                </c:pt>
                <c:pt idx="204">
                  <c:v>-1.1485420901000999E-4</c:v>
                </c:pt>
                <c:pt idx="205">
                  <c:v>6.3814482356777018E-4</c:v>
                </c:pt>
                <c:pt idx="206">
                  <c:v>4.6630130050651945E-3</c:v>
                </c:pt>
                <c:pt idx="207">
                  <c:v>1.5461932481372611E-3</c:v>
                </c:pt>
                <c:pt idx="208">
                  <c:v>6.6903764469917993E-4</c:v>
                </c:pt>
                <c:pt idx="209">
                  <c:v>-5.1169057987639883E-4</c:v>
                </c:pt>
                <c:pt idx="210">
                  <c:v>1.5031770320095793E-4</c:v>
                </c:pt>
                <c:pt idx="211">
                  <c:v>9.5780045405606251E-3</c:v>
                </c:pt>
                <c:pt idx="212">
                  <c:v>1.0822533322125923E-3</c:v>
                </c:pt>
                <c:pt idx="213">
                  <c:v>1.2352006133663407E-3</c:v>
                </c:pt>
                <c:pt idx="214">
                  <c:v>8.9274745292152911E-4</c:v>
                </c:pt>
                <c:pt idx="215">
                  <c:v>1.6304407862241807E-3</c:v>
                </c:pt>
                <c:pt idx="216">
                  <c:v>2.5945470324127771E-4</c:v>
                </c:pt>
                <c:pt idx="217">
                  <c:v>9.4329241720947962E-4</c:v>
                </c:pt>
                <c:pt idx="218">
                  <c:v>7.3509395654477257E-4</c:v>
                </c:pt>
                <c:pt idx="219">
                  <c:v>6.6874521050710903E-4</c:v>
                </c:pt>
                <c:pt idx="220">
                  <c:v>4.7627228031534605E-4</c:v>
                </c:pt>
                <c:pt idx="221">
                  <c:v>2.2180213572646414E-4</c:v>
                </c:pt>
                <c:pt idx="222">
                  <c:v>6.6269475488965081E-4</c:v>
                </c:pt>
                <c:pt idx="223">
                  <c:v>1.0441078725219278E-3</c:v>
                </c:pt>
                <c:pt idx="224">
                  <c:v>1.3836847067705067E-2</c:v>
                </c:pt>
                <c:pt idx="225">
                  <c:v>-5.0591632868214934E-4</c:v>
                </c:pt>
                <c:pt idx="226">
                  <c:v>1.2686626291341652E-3</c:v>
                </c:pt>
                <c:pt idx="227">
                  <c:v>5.7956635725419769E-4</c:v>
                </c:pt>
                <c:pt idx="228">
                  <c:v>9.3860933061466853E-4</c:v>
                </c:pt>
                <c:pt idx="229">
                  <c:v>9.7497544325695349E-4</c:v>
                </c:pt>
                <c:pt idx="230">
                  <c:v>9.0766463537722162E-4</c:v>
                </c:pt>
                <c:pt idx="231">
                  <c:v>3.3744268039949231E-4</c:v>
                </c:pt>
                <c:pt idx="232">
                  <c:v>7.7563370102464307E-3</c:v>
                </c:pt>
                <c:pt idx="233">
                  <c:v>1.1269260210536099E-3</c:v>
                </c:pt>
                <c:pt idx="234">
                  <c:v>9.6784805597547078E-4</c:v>
                </c:pt>
                <c:pt idx="235">
                  <c:v>-1.5397126252101158E-4</c:v>
                </c:pt>
                <c:pt idx="236">
                  <c:v>3.1186545563897613E-4</c:v>
                </c:pt>
                <c:pt idx="237">
                  <c:v>9.6234374713696444E-4</c:v>
                </c:pt>
                <c:pt idx="238">
                  <c:v>9.96730066639963E-4</c:v>
                </c:pt>
                <c:pt idx="239">
                  <c:v>1.6774333959973867E-3</c:v>
                </c:pt>
                <c:pt idx="240">
                  <c:v>6.8893425105457436E-4</c:v>
                </c:pt>
                <c:pt idx="241">
                  <c:v>-2.1990415893736594E-2</c:v>
                </c:pt>
                <c:pt idx="242">
                  <c:v>1.0712210770765314E-3</c:v>
                </c:pt>
                <c:pt idx="243">
                  <c:v>1.7866833325109663E-4</c:v>
                </c:pt>
                <c:pt idx="244">
                  <c:v>7.8220899813115558E-4</c:v>
                </c:pt>
                <c:pt idx="245">
                  <c:v>8.7727513141775554E-4</c:v>
                </c:pt>
                <c:pt idx="246">
                  <c:v>-8.1522433851941023E-5</c:v>
                </c:pt>
                <c:pt idx="247">
                  <c:v>1.060392259478099E-3</c:v>
                </c:pt>
                <c:pt idx="248">
                  <c:v>5.3423167526681428E-4</c:v>
                </c:pt>
                <c:pt idx="249">
                  <c:v>-5.5016743945919509E-3</c:v>
                </c:pt>
                <c:pt idx="250">
                  <c:v>3.2006560829578789E-4</c:v>
                </c:pt>
                <c:pt idx="251">
                  <c:v>4.2274735168841847E-4</c:v>
                </c:pt>
                <c:pt idx="252">
                  <c:v>8.6319731069861788E-4</c:v>
                </c:pt>
                <c:pt idx="253">
                  <c:v>-1.3417684348407204E-3</c:v>
                </c:pt>
                <c:pt idx="254">
                  <c:v>8.6279783254033203E-4</c:v>
                </c:pt>
                <c:pt idx="255">
                  <c:v>8.9635686085263739E-4</c:v>
                </c:pt>
                <c:pt idx="256">
                  <c:v>6.8619817184271774E-4</c:v>
                </c:pt>
                <c:pt idx="257">
                  <c:v>-8.0814072103757963E-4</c:v>
                </c:pt>
                <c:pt idx="258">
                  <c:v>1.1492526571480659E-3</c:v>
                </c:pt>
                <c:pt idx="259">
                  <c:v>2.5817215426992245E-4</c:v>
                </c:pt>
                <c:pt idx="260">
                  <c:v>5.5872199610247078E-4</c:v>
                </c:pt>
                <c:pt idx="261">
                  <c:v>3.6938782568793392E-3</c:v>
                </c:pt>
                <c:pt idx="262">
                  <c:v>1.0748353270677315E-3</c:v>
                </c:pt>
                <c:pt idx="263">
                  <c:v>6.6560464973320678E-4</c:v>
                </c:pt>
                <c:pt idx="264">
                  <c:v>1.1616964825072493E-3</c:v>
                </c:pt>
                <c:pt idx="265">
                  <c:v>1.333995985778047E-3</c:v>
                </c:pt>
                <c:pt idx="266">
                  <c:v>1.9533615248497089E-4</c:v>
                </c:pt>
                <c:pt idx="267">
                  <c:v>7.5983051855463019E-4</c:v>
                </c:pt>
                <c:pt idx="268">
                  <c:v>9.6918771400110774E-4</c:v>
                </c:pt>
                <c:pt idx="269">
                  <c:v>1.4204273748010033E-3</c:v>
                </c:pt>
                <c:pt idx="270">
                  <c:v>1.2247901169896672E-3</c:v>
                </c:pt>
                <c:pt idx="271">
                  <c:v>-2.3990689923177417E-3</c:v>
                </c:pt>
                <c:pt idx="272">
                  <c:v>1.098897356935544E-3</c:v>
                </c:pt>
                <c:pt idx="273">
                  <c:v>4.0362041487874672E-2</c:v>
                </c:pt>
                <c:pt idx="274">
                  <c:v>-2.0619111499168338E-5</c:v>
                </c:pt>
                <c:pt idx="275">
                  <c:v>1.1650804728583228E-3</c:v>
                </c:pt>
                <c:pt idx="276">
                  <c:v>8.4037228699518362E-4</c:v>
                </c:pt>
                <c:pt idx="277">
                  <c:v>7.3206512478084045E-4</c:v>
                </c:pt>
                <c:pt idx="278">
                  <c:v>8.9574282474580251E-4</c:v>
                </c:pt>
                <c:pt idx="279">
                  <c:v>2.7193503725408902E-3</c:v>
                </c:pt>
                <c:pt idx="280">
                  <c:v>3.8437114954433548E-3</c:v>
                </c:pt>
                <c:pt idx="281">
                  <c:v>8.1905020913614003E-4</c:v>
                </c:pt>
                <c:pt idx="282">
                  <c:v>5.3664975219888233E-4</c:v>
                </c:pt>
                <c:pt idx="283">
                  <c:v>2.9011252479603377E-3</c:v>
                </c:pt>
                <c:pt idx="284">
                  <c:v>1.7143348293025642E-3</c:v>
                </c:pt>
                <c:pt idx="285">
                  <c:v>1.4183050669728386E-3</c:v>
                </c:pt>
                <c:pt idx="286">
                  <c:v>1.7501121973650716E-3</c:v>
                </c:pt>
                <c:pt idx="287">
                  <c:v>9.1982762663385116E-4</c:v>
                </c:pt>
                <c:pt idx="288">
                  <c:v>5.7816386858529454E-4</c:v>
                </c:pt>
                <c:pt idx="289">
                  <c:v>-8.6631723780234956E-5</c:v>
                </c:pt>
                <c:pt idx="290">
                  <c:v>-5.148315092307087E-5</c:v>
                </c:pt>
                <c:pt idx="291">
                  <c:v>7.3738041625005509E-4</c:v>
                </c:pt>
                <c:pt idx="292">
                  <c:v>7.6826725967930106E-4</c:v>
                </c:pt>
                <c:pt idx="293">
                  <c:v>8.9286076978731667E-4</c:v>
                </c:pt>
                <c:pt idx="294">
                  <c:v>1.0045911556361383E-3</c:v>
                </c:pt>
                <c:pt idx="295">
                  <c:v>5.4575216175722094E-4</c:v>
                </c:pt>
                <c:pt idx="296">
                  <c:v>1.0745432579778655E-3</c:v>
                </c:pt>
                <c:pt idx="297">
                  <c:v>8.6744543159018818E-4</c:v>
                </c:pt>
                <c:pt idx="298">
                  <c:v>1.8669388399296417E-3</c:v>
                </c:pt>
                <c:pt idx="299">
                  <c:v>7.2627870863299659E-4</c:v>
                </c:pt>
                <c:pt idx="300">
                  <c:v>1.1815884730448729E-3</c:v>
                </c:pt>
                <c:pt idx="301">
                  <c:v>2.0512702565715409E-3</c:v>
                </c:pt>
                <c:pt idx="302">
                  <c:v>3.1060661547244081E-4</c:v>
                </c:pt>
                <c:pt idx="303">
                  <c:v>9.1414323740912976E-3</c:v>
                </c:pt>
                <c:pt idx="304">
                  <c:v>1.1899250475720827E-3</c:v>
                </c:pt>
                <c:pt idx="305">
                  <c:v>7.3884023262168455E-4</c:v>
                </c:pt>
                <c:pt idx="306">
                  <c:v>5.1914822844187835E-4</c:v>
                </c:pt>
                <c:pt idx="307">
                  <c:v>1.6789412793795269E-4</c:v>
                </c:pt>
                <c:pt idx="308">
                  <c:v>5.169543985312833E-4</c:v>
                </c:pt>
                <c:pt idx="309">
                  <c:v>1.1725628776161567E-3</c:v>
                </c:pt>
                <c:pt idx="310">
                  <c:v>8.7543187183436195E-4</c:v>
                </c:pt>
                <c:pt idx="311">
                  <c:v>1.6573071250257003E-3</c:v>
                </c:pt>
                <c:pt idx="312">
                  <c:v>2.4724116350486568E-3</c:v>
                </c:pt>
                <c:pt idx="313">
                  <c:v>1.1064419136047115E-3</c:v>
                </c:pt>
                <c:pt idx="314">
                  <c:v>-1.4161495535424864E-3</c:v>
                </c:pt>
                <c:pt idx="315">
                  <c:v>5.8707963686431674E-3</c:v>
                </c:pt>
                <c:pt idx="316">
                  <c:v>1.8028460671611012E-3</c:v>
                </c:pt>
                <c:pt idx="317">
                  <c:v>3.8704710993267376E-4</c:v>
                </c:pt>
                <c:pt idx="318">
                  <c:v>1.4974462657834392E-4</c:v>
                </c:pt>
                <c:pt idx="319">
                  <c:v>-9.117605391788118E-4</c:v>
                </c:pt>
                <c:pt idx="320">
                  <c:v>2.2008884561642069E-3</c:v>
                </c:pt>
                <c:pt idx="321">
                  <c:v>1.4076769790408749E-3</c:v>
                </c:pt>
                <c:pt idx="322">
                  <c:v>1.0764227570413754E-3</c:v>
                </c:pt>
                <c:pt idx="323">
                  <c:v>-5.1334197045585874E-4</c:v>
                </c:pt>
                <c:pt idx="324">
                  <c:v>1.2276532728229166E-3</c:v>
                </c:pt>
                <c:pt idx="325">
                  <c:v>8.9836304735089806E-4</c:v>
                </c:pt>
                <c:pt idx="326">
                  <c:v>2.4985517051122823E-3</c:v>
                </c:pt>
                <c:pt idx="327">
                  <c:v>1.5595704220077815E-3</c:v>
                </c:pt>
                <c:pt idx="328">
                  <c:v>-5.4484768896572149E-4</c:v>
                </c:pt>
                <c:pt idx="329">
                  <c:v>-4.1009145317426072E-3</c:v>
                </c:pt>
                <c:pt idx="330">
                  <c:v>8.9225896440591097E-4</c:v>
                </c:pt>
                <c:pt idx="331">
                  <c:v>-5.0856489007980823E-4</c:v>
                </c:pt>
                <c:pt idx="332">
                  <c:v>6.6835285436612287E-4</c:v>
                </c:pt>
                <c:pt idx="333">
                  <c:v>2.4428977509003305E-3</c:v>
                </c:pt>
                <c:pt idx="334">
                  <c:v>1.09593658186466E-3</c:v>
                </c:pt>
                <c:pt idx="335">
                  <c:v>1.0854632689841982E-3</c:v>
                </c:pt>
                <c:pt idx="336">
                  <c:v>3.2852662060502553E-4</c:v>
                </c:pt>
                <c:pt idx="337">
                  <c:v>1.311776126124156E-3</c:v>
                </c:pt>
                <c:pt idx="338">
                  <c:v>2.1081427551353248E-3</c:v>
                </c:pt>
                <c:pt idx="339">
                  <c:v>1.1663519807802564E-3</c:v>
                </c:pt>
                <c:pt idx="340">
                  <c:v>6.0262557201232224E-4</c:v>
                </c:pt>
                <c:pt idx="341">
                  <c:v>1.2902301894900084E-3</c:v>
                </c:pt>
                <c:pt idx="342">
                  <c:v>1.3005105988453756E-3</c:v>
                </c:pt>
                <c:pt idx="343">
                  <c:v>1.1046867254968179E-3</c:v>
                </c:pt>
                <c:pt idx="344">
                  <c:v>5.8684887573916625E-4</c:v>
                </c:pt>
                <c:pt idx="345">
                  <c:v>6.5704179976400798E-4</c:v>
                </c:pt>
                <c:pt idx="346">
                  <c:v>9.7383665474452255E-4</c:v>
                </c:pt>
                <c:pt idx="347">
                  <c:v>9.9990722389979581E-4</c:v>
                </c:pt>
                <c:pt idx="348">
                  <c:v>-2.7268236172757641E-3</c:v>
                </c:pt>
                <c:pt idx="349">
                  <c:v>1.0925841836111924E-3</c:v>
                </c:pt>
                <c:pt idx="350">
                  <c:v>1.5159225685527087E-3</c:v>
                </c:pt>
                <c:pt idx="351">
                  <c:v>-2.2022181660129488E-4</c:v>
                </c:pt>
                <c:pt idx="352">
                  <c:v>2.4132596393514039E-3</c:v>
                </c:pt>
                <c:pt idx="353">
                  <c:v>-2.8895514683442984E-3</c:v>
                </c:pt>
                <c:pt idx="354">
                  <c:v>1.0910423165234684E-3</c:v>
                </c:pt>
                <c:pt idx="355">
                  <c:v>1.6995261042261605E-3</c:v>
                </c:pt>
                <c:pt idx="356">
                  <c:v>1.4230827836113312E-3</c:v>
                </c:pt>
                <c:pt idx="357">
                  <c:v>2.0649603546984562E-4</c:v>
                </c:pt>
                <c:pt idx="358">
                  <c:v>2.2022019668932417E-3</c:v>
                </c:pt>
                <c:pt idx="359">
                  <c:v>1.1467414490754699E-3</c:v>
                </c:pt>
                <c:pt idx="360">
                  <c:v>6.0118873951800944E-4</c:v>
                </c:pt>
                <c:pt idx="361">
                  <c:v>1.2979839506909491E-3</c:v>
                </c:pt>
                <c:pt idx="362">
                  <c:v>1.2386339296510587E-3</c:v>
                </c:pt>
                <c:pt idx="363">
                  <c:v>6.2056458764289408E-4</c:v>
                </c:pt>
                <c:pt idx="364">
                  <c:v>1.0834963118583052E-3</c:v>
                </c:pt>
                <c:pt idx="365">
                  <c:v>-3.0510386860469856E-3</c:v>
                </c:pt>
                <c:pt idx="366">
                  <c:v>1.5105673741431581E-3</c:v>
                </c:pt>
                <c:pt idx="367">
                  <c:v>-1.2747549619851674E-3</c:v>
                </c:pt>
                <c:pt idx="368">
                  <c:v>1.9767837248122846E-3</c:v>
                </c:pt>
                <c:pt idx="369">
                  <c:v>5.971615898664363E-3</c:v>
                </c:pt>
                <c:pt idx="370">
                  <c:v>1.3799909819975265E-3</c:v>
                </c:pt>
                <c:pt idx="371">
                  <c:v>6.0944158315889103E-4</c:v>
                </c:pt>
                <c:pt idx="372">
                  <c:v>4.1300521020654264E-4</c:v>
                </c:pt>
                <c:pt idx="373">
                  <c:v>9.4468418515124774E-4</c:v>
                </c:pt>
                <c:pt idx="374">
                  <c:v>9.9998456940784235E-3</c:v>
                </c:pt>
                <c:pt idx="375">
                  <c:v>1.0285745188135279E-3</c:v>
                </c:pt>
                <c:pt idx="376">
                  <c:v>1.8442881265313812E-3</c:v>
                </c:pt>
                <c:pt idx="377">
                  <c:v>9.726208896495308E-4</c:v>
                </c:pt>
                <c:pt idx="378">
                  <c:v>6.9142793775878631E-4</c:v>
                </c:pt>
                <c:pt idx="379">
                  <c:v>1.3208100764234389E-3</c:v>
                </c:pt>
                <c:pt idx="380">
                  <c:v>6.7903274187875395E-4</c:v>
                </c:pt>
                <c:pt idx="381">
                  <c:v>-7.3947376109410627E-3</c:v>
                </c:pt>
                <c:pt idx="382">
                  <c:v>-4.9827975557971416E-3</c:v>
                </c:pt>
                <c:pt idx="383">
                  <c:v>1.088442688141086E-3</c:v>
                </c:pt>
                <c:pt idx="384">
                  <c:v>1.8091241494948944E-3</c:v>
                </c:pt>
                <c:pt idx="385">
                  <c:v>-5.085736585203381E-4</c:v>
                </c:pt>
                <c:pt idx="386">
                  <c:v>3.5050585792085146E-3</c:v>
                </c:pt>
                <c:pt idx="387">
                  <c:v>5.4595047096225771E-4</c:v>
                </c:pt>
                <c:pt idx="388">
                  <c:v>-7.1476200663543571E-2</c:v>
                </c:pt>
                <c:pt idx="389">
                  <c:v>8.0250153653571772E-4</c:v>
                </c:pt>
                <c:pt idx="390">
                  <c:v>2.2558066467575936E-3</c:v>
                </c:pt>
                <c:pt idx="391">
                  <c:v>-4.4964825454041975E-4</c:v>
                </c:pt>
                <c:pt idx="392">
                  <c:v>4.0453491545496293E-3</c:v>
                </c:pt>
                <c:pt idx="393">
                  <c:v>2.4673567356149392E-3</c:v>
                </c:pt>
                <c:pt idx="394">
                  <c:v>1.5239520442839193E-3</c:v>
                </c:pt>
                <c:pt idx="395">
                  <c:v>7.7560328352615864E-4</c:v>
                </c:pt>
                <c:pt idx="396">
                  <c:v>2.0132106866618082E-3</c:v>
                </c:pt>
                <c:pt idx="397">
                  <c:v>-7.2999431646374158E-4</c:v>
                </c:pt>
                <c:pt idx="398">
                  <c:v>3.3204325285072856E-3</c:v>
                </c:pt>
                <c:pt idx="399">
                  <c:v>8.4881338799088998E-4</c:v>
                </c:pt>
                <c:pt idx="400">
                  <c:v>1.1508634977927213E-3</c:v>
                </c:pt>
                <c:pt idx="401">
                  <c:v>4.1414458893439113E-4</c:v>
                </c:pt>
                <c:pt idx="402">
                  <c:v>1.6933400783011427E-3</c:v>
                </c:pt>
                <c:pt idx="403">
                  <c:v>9.2407774445086481E-5</c:v>
                </c:pt>
                <c:pt idx="404">
                  <c:v>7.1112881183975026E-4</c:v>
                </c:pt>
                <c:pt idx="405">
                  <c:v>9.3594456409512073E-4</c:v>
                </c:pt>
                <c:pt idx="406">
                  <c:v>7.9798913547323238E-4</c:v>
                </c:pt>
                <c:pt idx="407">
                  <c:v>2.6289826458385538E-3</c:v>
                </c:pt>
                <c:pt idx="408">
                  <c:v>-3.6370174458274325E-4</c:v>
                </c:pt>
                <c:pt idx="409">
                  <c:v>1.1120516716847048E-3</c:v>
                </c:pt>
                <c:pt idx="410">
                  <c:v>8.4762686104486679E-4</c:v>
                </c:pt>
                <c:pt idx="411">
                  <c:v>1.3581385173613075E-3</c:v>
                </c:pt>
                <c:pt idx="412">
                  <c:v>6.5023925289180216E-4</c:v>
                </c:pt>
                <c:pt idx="413">
                  <c:v>-9.8863858152094231E-4</c:v>
                </c:pt>
                <c:pt idx="414">
                  <c:v>1.1024670819975561E-3</c:v>
                </c:pt>
                <c:pt idx="415">
                  <c:v>1.2746001576167904E-3</c:v>
                </c:pt>
                <c:pt idx="416">
                  <c:v>2.2461135661165951E-3</c:v>
                </c:pt>
                <c:pt idx="417">
                  <c:v>3.9997937739352383E-4</c:v>
                </c:pt>
                <c:pt idx="418">
                  <c:v>4.1867866547184232E-3</c:v>
                </c:pt>
                <c:pt idx="419">
                  <c:v>7.238627750291101E-3</c:v>
                </c:pt>
                <c:pt idx="420">
                  <c:v>1.0190345475099732E-3</c:v>
                </c:pt>
                <c:pt idx="421">
                  <c:v>9.9375092753140634E-4</c:v>
                </c:pt>
                <c:pt idx="422">
                  <c:v>1.2296227600787856E-3</c:v>
                </c:pt>
                <c:pt idx="423">
                  <c:v>-2.22740282254006E-4</c:v>
                </c:pt>
                <c:pt idx="424">
                  <c:v>1.8222023700365461E-3</c:v>
                </c:pt>
                <c:pt idx="425">
                  <c:v>-1.1896538790366515E-2</c:v>
                </c:pt>
                <c:pt idx="426">
                  <c:v>1.5164427128019243E-3</c:v>
                </c:pt>
                <c:pt idx="427">
                  <c:v>1.8888954153586093E-3</c:v>
                </c:pt>
                <c:pt idx="428">
                  <c:v>8.9381357143787751E-4</c:v>
                </c:pt>
                <c:pt idx="429">
                  <c:v>1.5351984565684133E-3</c:v>
                </c:pt>
                <c:pt idx="430">
                  <c:v>7.6240480472228853E-4</c:v>
                </c:pt>
                <c:pt idx="431">
                  <c:v>8.4783119990177868E-4</c:v>
                </c:pt>
                <c:pt idx="432">
                  <c:v>1.3897165043166098E-3</c:v>
                </c:pt>
                <c:pt idx="433">
                  <c:v>1.3489734666171762E-3</c:v>
                </c:pt>
                <c:pt idx="434">
                  <c:v>1.3445812642603329E-3</c:v>
                </c:pt>
                <c:pt idx="435">
                  <c:v>-1.4033399091618552E-3</c:v>
                </c:pt>
                <c:pt idx="436">
                  <c:v>9.1207446097438336E-3</c:v>
                </c:pt>
                <c:pt idx="437">
                  <c:v>1.483980028431379E-3</c:v>
                </c:pt>
                <c:pt idx="438">
                  <c:v>1.4845460456475758E-3</c:v>
                </c:pt>
                <c:pt idx="439">
                  <c:v>1.1669336143542868E-3</c:v>
                </c:pt>
                <c:pt idx="440">
                  <c:v>1.3077104535437177E-3</c:v>
                </c:pt>
                <c:pt idx="441">
                  <c:v>7.9605613820206325E-4</c:v>
                </c:pt>
                <c:pt idx="442">
                  <c:v>1.0271573979466532E-3</c:v>
                </c:pt>
                <c:pt idx="443">
                  <c:v>-4.8285738889849322E-4</c:v>
                </c:pt>
                <c:pt idx="444">
                  <c:v>1.8058255987289124E-2</c:v>
                </c:pt>
                <c:pt idx="445">
                  <c:v>7.7147360647675158E-4</c:v>
                </c:pt>
                <c:pt idx="446">
                  <c:v>1.2361385758474627E-3</c:v>
                </c:pt>
                <c:pt idx="447">
                  <c:v>9.9446349555222784E-4</c:v>
                </c:pt>
                <c:pt idx="448">
                  <c:v>-9.1083943754060204E-4</c:v>
                </c:pt>
                <c:pt idx="449">
                  <c:v>1.6975503340841101E-3</c:v>
                </c:pt>
                <c:pt idx="450">
                  <c:v>9.1242165739551461E-4</c:v>
                </c:pt>
                <c:pt idx="451">
                  <c:v>1.1046512623749932E-3</c:v>
                </c:pt>
                <c:pt idx="452">
                  <c:v>1.6586339466451302E-4</c:v>
                </c:pt>
                <c:pt idx="453">
                  <c:v>1.1275450450122506E-3</c:v>
                </c:pt>
                <c:pt idx="454">
                  <c:v>1.2508756843906624E-3</c:v>
                </c:pt>
                <c:pt idx="455">
                  <c:v>9.8459031903183158E-4</c:v>
                </c:pt>
                <c:pt idx="456">
                  <c:v>5.4758212927310276E-4</c:v>
                </c:pt>
                <c:pt idx="457">
                  <c:v>2.0897103192258747E-5</c:v>
                </c:pt>
                <c:pt idx="458">
                  <c:v>-7.4199398462878969E-3</c:v>
                </c:pt>
                <c:pt idx="459">
                  <c:v>6.8441363387645006E-4</c:v>
                </c:pt>
                <c:pt idx="460">
                  <c:v>-2.5137605315130387E-3</c:v>
                </c:pt>
                <c:pt idx="461">
                  <c:v>5.5373372618689788E-4</c:v>
                </c:pt>
                <c:pt idx="462">
                  <c:v>1.0948397904064289E-3</c:v>
                </c:pt>
                <c:pt idx="463">
                  <c:v>1.621039886217934E-3</c:v>
                </c:pt>
                <c:pt idx="464">
                  <c:v>1.114806737264529E-3</c:v>
                </c:pt>
                <c:pt idx="465">
                  <c:v>4.3463474388757972E-5</c:v>
                </c:pt>
                <c:pt idx="466">
                  <c:v>9.8778588445316839E-4</c:v>
                </c:pt>
                <c:pt idx="467">
                  <c:v>1.4207286234663127E-3</c:v>
                </c:pt>
                <c:pt idx="468">
                  <c:v>6.1321995023346659E-4</c:v>
                </c:pt>
                <c:pt idx="469">
                  <c:v>1.2211056791695E-3</c:v>
                </c:pt>
                <c:pt idx="470">
                  <c:v>-1.2472384044315743E-3</c:v>
                </c:pt>
                <c:pt idx="471">
                  <c:v>9.6951556761830523E-4</c:v>
                </c:pt>
                <c:pt idx="472">
                  <c:v>1.8015263612015959E-3</c:v>
                </c:pt>
                <c:pt idx="473">
                  <c:v>3.2703902456997452E-4</c:v>
                </c:pt>
                <c:pt idx="474">
                  <c:v>-9.3456199272878393E-4</c:v>
                </c:pt>
                <c:pt idx="475">
                  <c:v>-7.1301892117571855E-4</c:v>
                </c:pt>
                <c:pt idx="476">
                  <c:v>5.81794687238424E-6</c:v>
                </c:pt>
                <c:pt idx="477">
                  <c:v>7.5223198837558452E-4</c:v>
                </c:pt>
                <c:pt idx="478">
                  <c:v>9.9357195907824234E-4</c:v>
                </c:pt>
                <c:pt idx="479">
                  <c:v>5.2248047784025876E-4</c:v>
                </c:pt>
                <c:pt idx="480">
                  <c:v>1.1312363179889671E-3</c:v>
                </c:pt>
                <c:pt idx="481">
                  <c:v>9.5210755490993039E-4</c:v>
                </c:pt>
                <c:pt idx="482">
                  <c:v>1.4710660706051181E-3</c:v>
                </c:pt>
                <c:pt idx="483">
                  <c:v>7.4087786585793161E-4</c:v>
                </c:pt>
                <c:pt idx="484">
                  <c:v>2.0388074336287246E-3</c:v>
                </c:pt>
                <c:pt idx="485">
                  <c:v>5.3551197300304694E-3</c:v>
                </c:pt>
                <c:pt idx="486">
                  <c:v>1.1089752328525132E-3</c:v>
                </c:pt>
                <c:pt idx="487">
                  <c:v>8.6111482278915718E-4</c:v>
                </c:pt>
                <c:pt idx="488">
                  <c:v>1.4380258610290312E-3</c:v>
                </c:pt>
                <c:pt idx="489">
                  <c:v>4.1641013591465592E-4</c:v>
                </c:pt>
                <c:pt idx="490">
                  <c:v>1.0921939987055373E-3</c:v>
                </c:pt>
                <c:pt idx="491">
                  <c:v>-2.1269122911112643E-4</c:v>
                </c:pt>
                <c:pt idx="492">
                  <c:v>4.9458695907609795E-3</c:v>
                </c:pt>
                <c:pt idx="493">
                  <c:v>8.2243486966734913E-4</c:v>
                </c:pt>
                <c:pt idx="494">
                  <c:v>1.7220171627245297E-2</c:v>
                </c:pt>
                <c:pt idx="495">
                  <c:v>3.2746175607929725E-3</c:v>
                </c:pt>
                <c:pt idx="496">
                  <c:v>-1.9218142060853914E-3</c:v>
                </c:pt>
                <c:pt idx="497">
                  <c:v>1.9017947102970265E-3</c:v>
                </c:pt>
                <c:pt idx="498">
                  <c:v>1.0595135735647239E-3</c:v>
                </c:pt>
                <c:pt idx="499">
                  <c:v>4.9876702440159555E-4</c:v>
                </c:pt>
                <c:pt idx="500">
                  <c:v>1.7475556626762329E-3</c:v>
                </c:pt>
                <c:pt idx="501">
                  <c:v>8.9983595611889703E-4</c:v>
                </c:pt>
                <c:pt idx="502">
                  <c:v>1.0260343368025989E-3</c:v>
                </c:pt>
                <c:pt idx="503">
                  <c:v>2.8693266958612027E-4</c:v>
                </c:pt>
                <c:pt idx="504">
                  <c:v>2.6927742327927111E-3</c:v>
                </c:pt>
                <c:pt idx="505">
                  <c:v>4.1193830467599487E-4</c:v>
                </c:pt>
                <c:pt idx="506">
                  <c:v>1.1603764024995245E-3</c:v>
                </c:pt>
                <c:pt idx="507">
                  <c:v>8.7369151712530656E-4</c:v>
                </c:pt>
                <c:pt idx="508">
                  <c:v>-3.4746538408525073E-4</c:v>
                </c:pt>
                <c:pt idx="509">
                  <c:v>1.2690724951195725E-3</c:v>
                </c:pt>
                <c:pt idx="510">
                  <c:v>1.1822503211256618E-3</c:v>
                </c:pt>
                <c:pt idx="511">
                  <c:v>1.7009704231398502E-4</c:v>
                </c:pt>
                <c:pt idx="512">
                  <c:v>1.0784218778414783E-3</c:v>
                </c:pt>
                <c:pt idx="513">
                  <c:v>9.9486160704900578E-4</c:v>
                </c:pt>
                <c:pt idx="514">
                  <c:v>8.7776718197122628E-4</c:v>
                </c:pt>
                <c:pt idx="515">
                  <c:v>8.0713103261394604E-4</c:v>
                </c:pt>
                <c:pt idx="516">
                  <c:v>1.1062074342334828E-3</c:v>
                </c:pt>
                <c:pt idx="517">
                  <c:v>8.6613693217562455E-4</c:v>
                </c:pt>
                <c:pt idx="518">
                  <c:v>1.0335119296007898E-3</c:v>
                </c:pt>
                <c:pt idx="519">
                  <c:v>2.9066559710619708E-2</c:v>
                </c:pt>
                <c:pt idx="520">
                  <c:v>6.7267784795683712E-4</c:v>
                </c:pt>
                <c:pt idx="521">
                  <c:v>1.7237274906044744E-4</c:v>
                </c:pt>
                <c:pt idx="522">
                  <c:v>4.9783638728866575E-4</c:v>
                </c:pt>
                <c:pt idx="523">
                  <c:v>-2.2503389371497239E-4</c:v>
                </c:pt>
                <c:pt idx="524">
                  <c:v>-3.0039323008522606E-3</c:v>
                </c:pt>
                <c:pt idx="525">
                  <c:v>1.0698535637583876E-3</c:v>
                </c:pt>
                <c:pt idx="526">
                  <c:v>1.1878557434688874E-3</c:v>
                </c:pt>
                <c:pt idx="527">
                  <c:v>8.7790705944906799E-4</c:v>
                </c:pt>
                <c:pt idx="528">
                  <c:v>1.2248622004168326E-3</c:v>
                </c:pt>
                <c:pt idx="529">
                  <c:v>1.6133545475642124E-4</c:v>
                </c:pt>
                <c:pt idx="530">
                  <c:v>7.668260564756684E-4</c:v>
                </c:pt>
                <c:pt idx="531">
                  <c:v>6.9885770388845849E-3</c:v>
                </c:pt>
                <c:pt idx="532">
                  <c:v>1.1885230674865196E-3</c:v>
                </c:pt>
                <c:pt idx="533">
                  <c:v>3.9720645700673849E-4</c:v>
                </c:pt>
                <c:pt idx="534">
                  <c:v>5.8555731428362586E-3</c:v>
                </c:pt>
                <c:pt idx="535">
                  <c:v>1.9320026283081294E-3</c:v>
                </c:pt>
                <c:pt idx="536">
                  <c:v>1.7804270609441306E-3</c:v>
                </c:pt>
                <c:pt idx="537">
                  <c:v>1.9794946342667832E-3</c:v>
                </c:pt>
                <c:pt idx="538">
                  <c:v>4.470951408786204E-4</c:v>
                </c:pt>
                <c:pt idx="539">
                  <c:v>6.5810102664144818E-4</c:v>
                </c:pt>
                <c:pt idx="540">
                  <c:v>5.2275121244888651E-4</c:v>
                </c:pt>
                <c:pt idx="541">
                  <c:v>-1.4298648101170753E-3</c:v>
                </c:pt>
                <c:pt idx="542">
                  <c:v>-1.6884158873025404E-3</c:v>
                </c:pt>
                <c:pt idx="543">
                  <c:v>9.8741190695651824E-5</c:v>
                </c:pt>
                <c:pt idx="544">
                  <c:v>8.3236923309404831E-4</c:v>
                </c:pt>
                <c:pt idx="545">
                  <c:v>8.22803182010835E-4</c:v>
                </c:pt>
                <c:pt idx="546">
                  <c:v>5.6938136887499185E-4</c:v>
                </c:pt>
                <c:pt idx="547">
                  <c:v>1.2151318485510755E-3</c:v>
                </c:pt>
                <c:pt idx="548">
                  <c:v>1.5746139096178987E-3</c:v>
                </c:pt>
                <c:pt idx="549">
                  <c:v>1.0152150439639949E-3</c:v>
                </c:pt>
                <c:pt idx="550">
                  <c:v>1.7827448498825525E-3</c:v>
                </c:pt>
                <c:pt idx="551">
                  <c:v>-3.8439491293135467E-2</c:v>
                </c:pt>
                <c:pt idx="552">
                  <c:v>1.1173354823719595E-3</c:v>
                </c:pt>
                <c:pt idx="553">
                  <c:v>1.4418465394594277E-3</c:v>
                </c:pt>
                <c:pt idx="554">
                  <c:v>1.0580628774962246E-3</c:v>
                </c:pt>
                <c:pt idx="555">
                  <c:v>1.6232061343059169E-3</c:v>
                </c:pt>
                <c:pt idx="556">
                  <c:v>1.3507838839550595E-3</c:v>
                </c:pt>
                <c:pt idx="557">
                  <c:v>1.0984496875229345E-3</c:v>
                </c:pt>
                <c:pt idx="558">
                  <c:v>-1.6019613229129662E-3</c:v>
                </c:pt>
                <c:pt idx="559">
                  <c:v>1.212618537013053E-2</c:v>
                </c:pt>
                <c:pt idx="560">
                  <c:v>3.0542933104021016E-3</c:v>
                </c:pt>
                <c:pt idx="561">
                  <c:v>1.090133551236069E-3</c:v>
                </c:pt>
                <c:pt idx="562">
                  <c:v>6.9610762570958089E-4</c:v>
                </c:pt>
                <c:pt idx="563">
                  <c:v>1.3486153978022183E-3</c:v>
                </c:pt>
                <c:pt idx="564">
                  <c:v>1.105183637394808E-3</c:v>
                </c:pt>
                <c:pt idx="565">
                  <c:v>8.5701022917878094E-4</c:v>
                </c:pt>
                <c:pt idx="566">
                  <c:v>1.0876934562480559E-3</c:v>
                </c:pt>
                <c:pt idx="567">
                  <c:v>-5.4229590698782193E-3</c:v>
                </c:pt>
                <c:pt idx="568">
                  <c:v>1.1450234970686092E-3</c:v>
                </c:pt>
                <c:pt idx="569">
                  <c:v>-9.6777634987067827E-4</c:v>
                </c:pt>
                <c:pt idx="570">
                  <c:v>7.434537554265317E-4</c:v>
                </c:pt>
                <c:pt idx="571">
                  <c:v>1.0146306141996457E-3</c:v>
                </c:pt>
                <c:pt idx="572">
                  <c:v>1.6687212279401726E-3</c:v>
                </c:pt>
                <c:pt idx="573">
                  <c:v>-2.879741902482507E-3</c:v>
                </c:pt>
                <c:pt idx="574">
                  <c:v>2.9691060085928491E-3</c:v>
                </c:pt>
                <c:pt idx="575">
                  <c:v>1.4128255327871435E-3</c:v>
                </c:pt>
                <c:pt idx="576">
                  <c:v>4.259882343484073E-4</c:v>
                </c:pt>
                <c:pt idx="577">
                  <c:v>1.3730635712916218E-3</c:v>
                </c:pt>
                <c:pt idx="578">
                  <c:v>9.1846086383405383E-4</c:v>
                </c:pt>
                <c:pt idx="579">
                  <c:v>2.4069299130546188E-3</c:v>
                </c:pt>
                <c:pt idx="580">
                  <c:v>1.2992600103793371E-3</c:v>
                </c:pt>
                <c:pt idx="581">
                  <c:v>4.7932954819430431E-3</c:v>
                </c:pt>
                <c:pt idx="582">
                  <c:v>4.2123237156394813E-4</c:v>
                </c:pt>
                <c:pt idx="583">
                  <c:v>1.2890416717700838E-2</c:v>
                </c:pt>
                <c:pt idx="584">
                  <c:v>1.9959389790547111E-3</c:v>
                </c:pt>
                <c:pt idx="585">
                  <c:v>1.2266776915968785E-3</c:v>
                </c:pt>
                <c:pt idx="586">
                  <c:v>5.2564949668992226E-4</c:v>
                </c:pt>
                <c:pt idx="587">
                  <c:v>3.2398828878635252E-3</c:v>
                </c:pt>
                <c:pt idx="588">
                  <c:v>-4.8742364359683139E-4</c:v>
                </c:pt>
                <c:pt idx="589">
                  <c:v>1.4211098544968889E-3</c:v>
                </c:pt>
                <c:pt idx="590">
                  <c:v>1.4589045434018444E-3</c:v>
                </c:pt>
                <c:pt idx="591">
                  <c:v>-1.4933801985499032E-4</c:v>
                </c:pt>
                <c:pt idx="592">
                  <c:v>1.3532996147751228E-3</c:v>
                </c:pt>
                <c:pt idx="593">
                  <c:v>9.7334370401546506E-4</c:v>
                </c:pt>
                <c:pt idx="594">
                  <c:v>-7.7921938848061381E-2</c:v>
                </c:pt>
                <c:pt idx="595">
                  <c:v>9.2491048077178331E-4</c:v>
                </c:pt>
                <c:pt idx="596">
                  <c:v>2.0322003341219199E-3</c:v>
                </c:pt>
                <c:pt idx="597">
                  <c:v>1.1300980545403121E-3</c:v>
                </c:pt>
                <c:pt idx="598">
                  <c:v>1.2714366733404209E-3</c:v>
                </c:pt>
                <c:pt idx="599">
                  <c:v>1.7446395460071359E-3</c:v>
                </c:pt>
                <c:pt idx="600">
                  <c:v>4.4358221612668196E-4</c:v>
                </c:pt>
                <c:pt idx="601">
                  <c:v>1.057042129595099E-3</c:v>
                </c:pt>
                <c:pt idx="602">
                  <c:v>3.7220145972440824E-4</c:v>
                </c:pt>
                <c:pt idx="603">
                  <c:v>-0.60837163924499083</c:v>
                </c:pt>
                <c:pt idx="604">
                  <c:v>1.3893274410909273E-3</c:v>
                </c:pt>
                <c:pt idx="605">
                  <c:v>-1.2854641739032113E-3</c:v>
                </c:pt>
                <c:pt idx="606">
                  <c:v>1.5038452668060507E-3</c:v>
                </c:pt>
                <c:pt idx="607">
                  <c:v>4.9976812383849939E-5</c:v>
                </c:pt>
                <c:pt idx="608">
                  <c:v>1.1401988176760781E-3</c:v>
                </c:pt>
                <c:pt idx="609">
                  <c:v>9.8263537582964728E-4</c:v>
                </c:pt>
                <c:pt idx="610">
                  <c:v>7.2538497288270141E-4</c:v>
                </c:pt>
                <c:pt idx="611">
                  <c:v>8.4198049395060241E-4</c:v>
                </c:pt>
                <c:pt idx="612">
                  <c:v>1.2363760224551313E-3</c:v>
                </c:pt>
                <c:pt idx="613">
                  <c:v>-1.4921011575096284E-4</c:v>
                </c:pt>
                <c:pt idx="614">
                  <c:v>1.2393940687921226E-3</c:v>
                </c:pt>
                <c:pt idx="615">
                  <c:v>1.563474421641367E-3</c:v>
                </c:pt>
                <c:pt idx="616">
                  <c:v>2.6849752826594376E-3</c:v>
                </c:pt>
                <c:pt idx="617">
                  <c:v>1.1250448774843759E-3</c:v>
                </c:pt>
                <c:pt idx="618">
                  <c:v>1.4115956601935399E-3</c:v>
                </c:pt>
                <c:pt idx="619">
                  <c:v>2.559446653250775E-3</c:v>
                </c:pt>
                <c:pt idx="620">
                  <c:v>1.1218597131140244E-3</c:v>
                </c:pt>
                <c:pt idx="621">
                  <c:v>-4.699333590225959E-4</c:v>
                </c:pt>
                <c:pt idx="622">
                  <c:v>8.1728747495754843E-4</c:v>
                </c:pt>
                <c:pt idx="623">
                  <c:v>1.2338353848625097E-3</c:v>
                </c:pt>
                <c:pt idx="624">
                  <c:v>1.2330573807411991E-3</c:v>
                </c:pt>
                <c:pt idx="625">
                  <c:v>1.3137478758699203E-3</c:v>
                </c:pt>
                <c:pt idx="626">
                  <c:v>-4.0398049431219563E-5</c:v>
                </c:pt>
                <c:pt idx="627">
                  <c:v>1.9434076329176203E-4</c:v>
                </c:pt>
                <c:pt idx="628">
                  <c:v>1.6850399577834944E-3</c:v>
                </c:pt>
                <c:pt idx="629">
                  <c:v>4.0281977403026957E-4</c:v>
                </c:pt>
                <c:pt idx="630">
                  <c:v>1.4162351007210847E-3</c:v>
                </c:pt>
                <c:pt idx="631">
                  <c:v>5.4152578050644426E-4</c:v>
                </c:pt>
                <c:pt idx="632">
                  <c:v>8.3695950315821265E-4</c:v>
                </c:pt>
                <c:pt idx="633">
                  <c:v>9.2437422730137634E-4</c:v>
                </c:pt>
                <c:pt idx="634">
                  <c:v>1.4507566829006747E-3</c:v>
                </c:pt>
                <c:pt idx="635">
                  <c:v>-3.4629212817105992E-3</c:v>
                </c:pt>
                <c:pt idx="636">
                  <c:v>3.4948724466315209E-4</c:v>
                </c:pt>
                <c:pt idx="637">
                  <c:v>1.0038564116197674E-3</c:v>
                </c:pt>
                <c:pt idx="638">
                  <c:v>6.8523612113132479E-4</c:v>
                </c:pt>
                <c:pt idx="639">
                  <c:v>5.5839115368954361E-4</c:v>
                </c:pt>
                <c:pt idx="640">
                  <c:v>-1.1130142301457471E-4</c:v>
                </c:pt>
                <c:pt idx="641">
                  <c:v>-1.4376216531437423E-3</c:v>
                </c:pt>
                <c:pt idx="642">
                  <c:v>7.8448854599973161E-4</c:v>
                </c:pt>
                <c:pt idx="643">
                  <c:v>8.6072301845961869E-4</c:v>
                </c:pt>
                <c:pt idx="644">
                  <c:v>6.8985402140907097E-4</c:v>
                </c:pt>
                <c:pt idx="645">
                  <c:v>3.8950466364831371E-3</c:v>
                </c:pt>
                <c:pt idx="646">
                  <c:v>-2.4499540801070818E-3</c:v>
                </c:pt>
                <c:pt idx="647">
                  <c:v>-2.1482506033712145E-3</c:v>
                </c:pt>
                <c:pt idx="648">
                  <c:v>-2.8013768175772086E-3</c:v>
                </c:pt>
                <c:pt idx="649">
                  <c:v>2.1335488236119199E-3</c:v>
                </c:pt>
                <c:pt idx="650">
                  <c:v>-7.9332655072829902E-4</c:v>
                </c:pt>
                <c:pt idx="651">
                  <c:v>1.8053769088064121E-3</c:v>
                </c:pt>
                <c:pt idx="652">
                  <c:v>1.7657126341439236E-3</c:v>
                </c:pt>
                <c:pt idx="653">
                  <c:v>1.0334125634605318E-3</c:v>
                </c:pt>
                <c:pt idx="654">
                  <c:v>1.6679061797890723E-3</c:v>
                </c:pt>
                <c:pt idx="655">
                  <c:v>7.2215786008069098E-4</c:v>
                </c:pt>
                <c:pt idx="656">
                  <c:v>1.713989809722063E-3</c:v>
                </c:pt>
                <c:pt idx="657">
                  <c:v>3.0222186752997494E-3</c:v>
                </c:pt>
                <c:pt idx="658">
                  <c:v>-3.4933430803440704E-5</c:v>
                </c:pt>
                <c:pt idx="659">
                  <c:v>6.8382777310176078E-3</c:v>
                </c:pt>
                <c:pt idx="660">
                  <c:v>1.1337456791733265E-3</c:v>
                </c:pt>
                <c:pt idx="661">
                  <c:v>1.2504085443348924E-3</c:v>
                </c:pt>
                <c:pt idx="662">
                  <c:v>1.0307388254019374E-2</c:v>
                </c:pt>
                <c:pt idx="663">
                  <c:v>4.1562607667298469E-4</c:v>
                </c:pt>
                <c:pt idx="664">
                  <c:v>1.0312148348872721E-3</c:v>
                </c:pt>
                <c:pt idx="665">
                  <c:v>1.9187201694919921E-3</c:v>
                </c:pt>
                <c:pt idx="666">
                  <c:v>6.2434651114585743E-4</c:v>
                </c:pt>
                <c:pt idx="667">
                  <c:v>-1.9988049881947446E-3</c:v>
                </c:pt>
                <c:pt idx="668">
                  <c:v>1.4336092104259908E-3</c:v>
                </c:pt>
                <c:pt idx="669">
                  <c:v>1.1420855355157131E-3</c:v>
                </c:pt>
                <c:pt idx="670">
                  <c:v>4.8531804661615152E-4</c:v>
                </c:pt>
                <c:pt idx="671">
                  <c:v>6.5488410379517916E-4</c:v>
                </c:pt>
                <c:pt idx="672">
                  <c:v>1.3338718652743222E-3</c:v>
                </c:pt>
                <c:pt idx="673">
                  <c:v>7.2710422933445215E-4</c:v>
                </c:pt>
                <c:pt idx="674">
                  <c:v>4.6115112354578821E-4</c:v>
                </c:pt>
                <c:pt idx="675">
                  <c:v>1.0273814029979056E-3</c:v>
                </c:pt>
                <c:pt idx="676">
                  <c:v>1.3114912092773937E-3</c:v>
                </c:pt>
                <c:pt idx="677">
                  <c:v>1.050480961679809E-3</c:v>
                </c:pt>
                <c:pt idx="678">
                  <c:v>1.060623815834753E-3</c:v>
                </c:pt>
                <c:pt idx="679">
                  <c:v>-3.9482649112115107E-3</c:v>
                </c:pt>
                <c:pt idx="680">
                  <c:v>1.4018682824153458E-3</c:v>
                </c:pt>
                <c:pt idx="681">
                  <c:v>2.9151114958129282E-4</c:v>
                </c:pt>
                <c:pt idx="682">
                  <c:v>1.0368650341547672E-3</c:v>
                </c:pt>
                <c:pt idx="683">
                  <c:v>6.2332118252381294E-4</c:v>
                </c:pt>
                <c:pt idx="684">
                  <c:v>8.5664803208809303E-4</c:v>
                </c:pt>
                <c:pt idx="685">
                  <c:v>1.0032191495693503E-3</c:v>
                </c:pt>
                <c:pt idx="686">
                  <c:v>-8.5025944199262416E-5</c:v>
                </c:pt>
                <c:pt idx="687">
                  <c:v>9.138990087342191E-4</c:v>
                </c:pt>
                <c:pt idx="688">
                  <c:v>1.00982581392897E-3</c:v>
                </c:pt>
                <c:pt idx="689">
                  <c:v>3.3310610752368078E-3</c:v>
                </c:pt>
                <c:pt idx="690">
                  <c:v>-6.4083706384051534E-4</c:v>
                </c:pt>
                <c:pt idx="691">
                  <c:v>1.816658628874697E-3</c:v>
                </c:pt>
                <c:pt idx="692">
                  <c:v>-5.3797297441994935E-3</c:v>
                </c:pt>
                <c:pt idx="693">
                  <c:v>1.8115735835510134E-3</c:v>
                </c:pt>
                <c:pt idx="694">
                  <c:v>6.9752031458686706E-4</c:v>
                </c:pt>
                <c:pt idx="695">
                  <c:v>1.6473867691386571E-3</c:v>
                </c:pt>
                <c:pt idx="696">
                  <c:v>1.938169605211324E-3</c:v>
                </c:pt>
                <c:pt idx="697">
                  <c:v>1.273217307186507E-3</c:v>
                </c:pt>
                <c:pt idx="698">
                  <c:v>-4.7631944315765246E-3</c:v>
                </c:pt>
                <c:pt idx="699">
                  <c:v>4.0040749719224091E-4</c:v>
                </c:pt>
                <c:pt idx="700">
                  <c:v>1.197438410199432E-3</c:v>
                </c:pt>
                <c:pt idx="701">
                  <c:v>7.2726323589524205E-4</c:v>
                </c:pt>
                <c:pt idx="702">
                  <c:v>9.2554579905379096E-4</c:v>
                </c:pt>
                <c:pt idx="703">
                  <c:v>-4.8364293219200242E-3</c:v>
                </c:pt>
                <c:pt idx="704">
                  <c:v>1.2526151086312211E-3</c:v>
                </c:pt>
                <c:pt idx="705">
                  <c:v>8.0267088831897644E-4</c:v>
                </c:pt>
                <c:pt idx="706">
                  <c:v>8.5109127223820691E-4</c:v>
                </c:pt>
                <c:pt idx="707">
                  <c:v>0.11381409057943867</c:v>
                </c:pt>
                <c:pt idx="708">
                  <c:v>8.6291823004872948E-4</c:v>
                </c:pt>
                <c:pt idx="709">
                  <c:v>1.2455882508330716E-4</c:v>
                </c:pt>
                <c:pt idx="710">
                  <c:v>1.1069373610902706E-3</c:v>
                </c:pt>
                <c:pt idx="711">
                  <c:v>8.3066462418546205E-4</c:v>
                </c:pt>
                <c:pt idx="712">
                  <c:v>8.1730581879239743E-4</c:v>
                </c:pt>
                <c:pt idx="713">
                  <c:v>1.073958156136942E-3</c:v>
                </c:pt>
                <c:pt idx="714">
                  <c:v>1.1204096487493552E-3</c:v>
                </c:pt>
                <c:pt idx="715">
                  <c:v>1.2231929921788932E-3</c:v>
                </c:pt>
                <c:pt idx="716">
                  <c:v>1.4980905376791543E-3</c:v>
                </c:pt>
                <c:pt idx="717">
                  <c:v>9.307282867349121E-4</c:v>
                </c:pt>
                <c:pt idx="718">
                  <c:v>6.980051917929934E-5</c:v>
                </c:pt>
                <c:pt idx="719">
                  <c:v>3.5359970076658703E-4</c:v>
                </c:pt>
                <c:pt idx="720">
                  <c:v>-2.5747505708674382E-4</c:v>
                </c:pt>
                <c:pt idx="721">
                  <c:v>1.4050688142075573E-3</c:v>
                </c:pt>
                <c:pt idx="722">
                  <c:v>1.0318935281937709E-3</c:v>
                </c:pt>
                <c:pt idx="723">
                  <c:v>2.5556883826775129E-3</c:v>
                </c:pt>
                <c:pt idx="724">
                  <c:v>1.3727224650884086E-3</c:v>
                </c:pt>
                <c:pt idx="725">
                  <c:v>1.298217532164653E-3</c:v>
                </c:pt>
                <c:pt idx="726">
                  <c:v>4.3093820345789567E-4</c:v>
                </c:pt>
                <c:pt idx="727">
                  <c:v>3.7214942794893532E-3</c:v>
                </c:pt>
                <c:pt idx="728">
                  <c:v>2.0433079116088109E-3</c:v>
                </c:pt>
                <c:pt idx="729">
                  <c:v>-0.87359043470097253</c:v>
                </c:pt>
                <c:pt idx="730">
                  <c:v>1.1679303635192336E-3</c:v>
                </c:pt>
                <c:pt idx="731">
                  <c:v>1.0895551566196815E-3</c:v>
                </c:pt>
                <c:pt idx="732">
                  <c:v>1.2797019216553524E-3</c:v>
                </c:pt>
                <c:pt idx="733">
                  <c:v>1.527756089577131E-3</c:v>
                </c:pt>
                <c:pt idx="734">
                  <c:v>9.2044030365081046E-4</c:v>
                </c:pt>
                <c:pt idx="735">
                  <c:v>2.3719708186299613E-3</c:v>
                </c:pt>
                <c:pt idx="736">
                  <c:v>-5.989491027128135E-4</c:v>
                </c:pt>
                <c:pt idx="737">
                  <c:v>9.1684985866699316E-4</c:v>
                </c:pt>
                <c:pt idx="738">
                  <c:v>8.5600007258836131E-4</c:v>
                </c:pt>
                <c:pt idx="739">
                  <c:v>1.0395062255446356E-3</c:v>
                </c:pt>
                <c:pt idx="740">
                  <c:v>5.9396801089941348E-4</c:v>
                </c:pt>
                <c:pt idx="741">
                  <c:v>6.1783922131539084E-4</c:v>
                </c:pt>
                <c:pt idx="742">
                  <c:v>1.6639814567405106E-3</c:v>
                </c:pt>
                <c:pt idx="743">
                  <c:v>-1.1294535798578235E-3</c:v>
                </c:pt>
                <c:pt idx="744">
                  <c:v>1.0911717106284972E-3</c:v>
                </c:pt>
                <c:pt idx="745">
                  <c:v>-6.1874624669324297E-4</c:v>
                </c:pt>
                <c:pt idx="746">
                  <c:v>3.4575941525479895E-3</c:v>
                </c:pt>
                <c:pt idx="747">
                  <c:v>7.6638784489422229E-4</c:v>
                </c:pt>
                <c:pt idx="748">
                  <c:v>8.2536080186405695E-4</c:v>
                </c:pt>
                <c:pt idx="749">
                  <c:v>-1.2789199620553437E-3</c:v>
                </c:pt>
                <c:pt idx="750">
                  <c:v>1.013823261196662E-3</c:v>
                </c:pt>
                <c:pt idx="751">
                  <c:v>3.6804730760662987E-4</c:v>
                </c:pt>
                <c:pt idx="752">
                  <c:v>7.5689197769120543E-4</c:v>
                </c:pt>
                <c:pt idx="753">
                  <c:v>2.7752845309744322E-5</c:v>
                </c:pt>
                <c:pt idx="754">
                  <c:v>1.0777977374472969E-3</c:v>
                </c:pt>
                <c:pt idx="755">
                  <c:v>9.2516819265976767E-4</c:v>
                </c:pt>
                <c:pt idx="756">
                  <c:v>1.8140986810574675E-3</c:v>
                </c:pt>
                <c:pt idx="757">
                  <c:v>6.1262143072911474E-4</c:v>
                </c:pt>
                <c:pt idx="758">
                  <c:v>9.3874677967039461E-4</c:v>
                </c:pt>
                <c:pt idx="759">
                  <c:v>1.2697292783741387E-3</c:v>
                </c:pt>
                <c:pt idx="760">
                  <c:v>6.2150095404504304E-4</c:v>
                </c:pt>
                <c:pt idx="761">
                  <c:v>-8.6508822692812556E-4</c:v>
                </c:pt>
                <c:pt idx="762">
                  <c:v>7.1338024196873824E-4</c:v>
                </c:pt>
                <c:pt idx="763">
                  <c:v>9.0092820457232041E-4</c:v>
                </c:pt>
                <c:pt idx="764">
                  <c:v>9.9382309108388069E-4</c:v>
                </c:pt>
                <c:pt idx="765">
                  <c:v>8.0568525815043527E-4</c:v>
                </c:pt>
                <c:pt idx="766">
                  <c:v>1.8458914721194803E-3</c:v>
                </c:pt>
                <c:pt idx="767">
                  <c:v>-3.9007683092041304E-4</c:v>
                </c:pt>
                <c:pt idx="768">
                  <c:v>1.4444720991028713E-3</c:v>
                </c:pt>
                <c:pt idx="769">
                  <c:v>1.0578541701620489E-3</c:v>
                </c:pt>
                <c:pt idx="770">
                  <c:v>4.2657262648179992E-3</c:v>
                </c:pt>
                <c:pt idx="771">
                  <c:v>-1.2685015544375077E-5</c:v>
                </c:pt>
                <c:pt idx="772">
                  <c:v>1.3526634039310796E-3</c:v>
                </c:pt>
                <c:pt idx="773">
                  <c:v>6.5619106782374508E-4</c:v>
                </c:pt>
                <c:pt idx="774">
                  <c:v>9.1265020421399195E-4</c:v>
                </c:pt>
                <c:pt idx="775">
                  <c:v>-4.6684581461183955E-3</c:v>
                </c:pt>
                <c:pt idx="776">
                  <c:v>7.2431472536934466E-3</c:v>
                </c:pt>
                <c:pt idx="777">
                  <c:v>9.2994341387628516E-4</c:v>
                </c:pt>
                <c:pt idx="778">
                  <c:v>1.0424284733595664E-3</c:v>
                </c:pt>
                <c:pt idx="779">
                  <c:v>1.1190179498637251E-3</c:v>
                </c:pt>
                <c:pt idx="780">
                  <c:v>9.8862420536773672E-4</c:v>
                </c:pt>
                <c:pt idx="781">
                  <c:v>6.614062071766785E-4</c:v>
                </c:pt>
                <c:pt idx="782">
                  <c:v>4.4200807126086716E-3</c:v>
                </c:pt>
                <c:pt idx="783">
                  <c:v>1.2148545373322967E-3</c:v>
                </c:pt>
                <c:pt idx="784">
                  <c:v>-1.58626047676474E-3</c:v>
                </c:pt>
                <c:pt idx="785">
                  <c:v>1.2100839154027053E-3</c:v>
                </c:pt>
                <c:pt idx="786">
                  <c:v>8.2974803518989738E-4</c:v>
                </c:pt>
                <c:pt idx="787">
                  <c:v>-9.7617633906549646</c:v>
                </c:pt>
                <c:pt idx="788">
                  <c:v>1.2531962204060429E-3</c:v>
                </c:pt>
                <c:pt idx="789">
                  <c:v>1.0298012312670328E-3</c:v>
                </c:pt>
                <c:pt idx="790">
                  <c:v>7.0283619031217322E-4</c:v>
                </c:pt>
                <c:pt idx="791">
                  <c:v>1.0232461961236156E-3</c:v>
                </c:pt>
                <c:pt idx="792">
                  <c:v>3.1367384795511787E-3</c:v>
                </c:pt>
                <c:pt idx="793">
                  <c:v>6.9621618739821927E-4</c:v>
                </c:pt>
                <c:pt idx="794">
                  <c:v>9.0007157221827126E-4</c:v>
                </c:pt>
                <c:pt idx="795">
                  <c:v>1.1799852297916219E-3</c:v>
                </c:pt>
                <c:pt idx="796">
                  <c:v>4.9257546102194939E-3</c:v>
                </c:pt>
                <c:pt idx="797">
                  <c:v>1.2175458642443406E-3</c:v>
                </c:pt>
                <c:pt idx="798">
                  <c:v>1.2164166697961323E-3</c:v>
                </c:pt>
                <c:pt idx="799">
                  <c:v>1.4086002386358516E-3</c:v>
                </c:pt>
                <c:pt idx="800">
                  <c:v>1.3733293036238834E-3</c:v>
                </c:pt>
                <c:pt idx="801">
                  <c:v>1.1694985769264448E-4</c:v>
                </c:pt>
                <c:pt idx="802">
                  <c:v>1.4489703372043471E-3</c:v>
                </c:pt>
                <c:pt idx="803">
                  <c:v>6.9327492885369948E-4</c:v>
                </c:pt>
                <c:pt idx="804">
                  <c:v>6.7270171505395609E-4</c:v>
                </c:pt>
                <c:pt idx="805">
                  <c:v>8.3541790139808354E-4</c:v>
                </c:pt>
                <c:pt idx="806">
                  <c:v>1.0830212555951648E-3</c:v>
                </c:pt>
                <c:pt idx="807">
                  <c:v>6.2236243334798423E-4</c:v>
                </c:pt>
                <c:pt idx="808">
                  <c:v>2.7298984113565379E-3</c:v>
                </c:pt>
                <c:pt idx="809">
                  <c:v>-2.9410439005492166E-2</c:v>
                </c:pt>
                <c:pt idx="810">
                  <c:v>1.0636652372634167E-3</c:v>
                </c:pt>
                <c:pt idx="811">
                  <c:v>9.2876137234494021E-4</c:v>
                </c:pt>
                <c:pt idx="812">
                  <c:v>1.2509823791315418E-3</c:v>
                </c:pt>
                <c:pt idx="813">
                  <c:v>-3.8944748602548727E-3</c:v>
                </c:pt>
                <c:pt idx="814">
                  <c:v>6.6926220979224424E-4</c:v>
                </c:pt>
                <c:pt idx="815">
                  <c:v>9.9667402870269595E-4</c:v>
                </c:pt>
                <c:pt idx="816">
                  <c:v>1.3839826530874463E-3</c:v>
                </c:pt>
                <c:pt idx="817">
                  <c:v>1.2294406928983433E-3</c:v>
                </c:pt>
                <c:pt idx="818">
                  <c:v>8.5221132326287899E-4</c:v>
                </c:pt>
                <c:pt idx="819">
                  <c:v>3.7646399542654171E-4</c:v>
                </c:pt>
                <c:pt idx="820">
                  <c:v>1.4534423009190673E-4</c:v>
                </c:pt>
                <c:pt idx="821">
                  <c:v>9.857277247992814E-4</c:v>
                </c:pt>
                <c:pt idx="822">
                  <c:v>-1.0082399741376952E-4</c:v>
                </c:pt>
                <c:pt idx="823">
                  <c:v>9.8149572981596979E-4</c:v>
                </c:pt>
                <c:pt idx="824">
                  <c:v>-2.5732262567759159E-4</c:v>
                </c:pt>
                <c:pt idx="825">
                  <c:v>8.545885312678332E-4</c:v>
                </c:pt>
                <c:pt idx="826">
                  <c:v>1.4769782028730284E-3</c:v>
                </c:pt>
                <c:pt idx="827">
                  <c:v>1.2325816723574377E-3</c:v>
                </c:pt>
                <c:pt idx="828">
                  <c:v>-1.5776463477164802E-4</c:v>
                </c:pt>
                <c:pt idx="829">
                  <c:v>3.3115329935563538E-4</c:v>
                </c:pt>
                <c:pt idx="830">
                  <c:v>1.6876362688545941E-3</c:v>
                </c:pt>
                <c:pt idx="831">
                  <c:v>9.8409488022219334E-4</c:v>
                </c:pt>
                <c:pt idx="832">
                  <c:v>1.0910180593945095E-3</c:v>
                </c:pt>
                <c:pt idx="833">
                  <c:v>1.3815092318383276E-3</c:v>
                </c:pt>
                <c:pt idx="834">
                  <c:v>7.2503109044122762E-3</c:v>
                </c:pt>
                <c:pt idx="835">
                  <c:v>1.8258726753860768E-3</c:v>
                </c:pt>
                <c:pt idx="836">
                  <c:v>1.4410177662946269E-3</c:v>
                </c:pt>
                <c:pt idx="837">
                  <c:v>1.5428549336335621E-3</c:v>
                </c:pt>
                <c:pt idx="838">
                  <c:v>2.0563129059158252E-4</c:v>
                </c:pt>
                <c:pt idx="839">
                  <c:v>2.0544974253262037E-3</c:v>
                </c:pt>
                <c:pt idx="840">
                  <c:v>1.7379886919377985E-4</c:v>
                </c:pt>
                <c:pt idx="841">
                  <c:v>-9.3802272881428556E-4</c:v>
                </c:pt>
                <c:pt idx="842">
                  <c:v>1.8023972294895782E-3</c:v>
                </c:pt>
                <c:pt idx="843">
                  <c:v>1.3859309425172026E-3</c:v>
                </c:pt>
                <c:pt idx="844">
                  <c:v>4.2231930017578841E-4</c:v>
                </c:pt>
                <c:pt idx="845">
                  <c:v>5.4882020385434258E-4</c:v>
                </c:pt>
                <c:pt idx="846">
                  <c:v>-2.8923451008842395E-2</c:v>
                </c:pt>
                <c:pt idx="847">
                  <c:v>-2.1844106648063718E-3</c:v>
                </c:pt>
                <c:pt idx="848">
                  <c:v>1.1893615100192949E-3</c:v>
                </c:pt>
                <c:pt idx="849">
                  <c:v>8.6482796886693035E-4</c:v>
                </c:pt>
                <c:pt idx="850">
                  <c:v>2.3902966429789076E-3</c:v>
                </c:pt>
                <c:pt idx="851">
                  <c:v>1.4714940331934899E-3</c:v>
                </c:pt>
                <c:pt idx="852">
                  <c:v>6.8827778328741252E-4</c:v>
                </c:pt>
                <c:pt idx="853">
                  <c:v>6.8360436937406083E-4</c:v>
                </c:pt>
                <c:pt idx="854">
                  <c:v>-1.9824638499726863E-3</c:v>
                </c:pt>
                <c:pt idx="855">
                  <c:v>1.5024765340008856E-3</c:v>
                </c:pt>
                <c:pt idx="856">
                  <c:v>1.0627182361612154E-3</c:v>
                </c:pt>
                <c:pt idx="857">
                  <c:v>-8.3546892165019086E-4</c:v>
                </c:pt>
                <c:pt idx="858">
                  <c:v>7.7952523867262158E-4</c:v>
                </c:pt>
                <c:pt idx="859">
                  <c:v>5.5470382764156436E-4</c:v>
                </c:pt>
                <c:pt idx="860">
                  <c:v>2.4255413507417662E-3</c:v>
                </c:pt>
                <c:pt idx="861">
                  <c:v>6.0481880938125768E-4</c:v>
                </c:pt>
                <c:pt idx="862">
                  <c:v>2.2281502551866192E-3</c:v>
                </c:pt>
                <c:pt idx="863">
                  <c:v>9.1866854487348431E-4</c:v>
                </c:pt>
                <c:pt idx="864">
                  <c:v>3.1108120715626292E-3</c:v>
                </c:pt>
                <c:pt idx="865">
                  <c:v>7.742095851812231E-3</c:v>
                </c:pt>
                <c:pt idx="866">
                  <c:v>7.4091949947137814E-4</c:v>
                </c:pt>
                <c:pt idx="867">
                  <c:v>1.3550521294325606E-3</c:v>
                </c:pt>
                <c:pt idx="868">
                  <c:v>-1.0775607755839701E-2</c:v>
                </c:pt>
                <c:pt idx="869">
                  <c:v>1.5148348424949523E-3</c:v>
                </c:pt>
                <c:pt idx="870">
                  <c:v>7.1030083090492819E-3</c:v>
                </c:pt>
                <c:pt idx="871">
                  <c:v>-3.9047698867676628E-4</c:v>
                </c:pt>
                <c:pt idx="872">
                  <c:v>9.4053786516792286E-3</c:v>
                </c:pt>
                <c:pt idx="873">
                  <c:v>6.8845930856716649E-4</c:v>
                </c:pt>
                <c:pt idx="874">
                  <c:v>-1.4240084081379326E-4</c:v>
                </c:pt>
                <c:pt idx="875">
                  <c:v>1.3970531017959732E-3</c:v>
                </c:pt>
                <c:pt idx="876">
                  <c:v>1.1310195516583946E-3</c:v>
                </c:pt>
                <c:pt idx="877">
                  <c:v>9.5115301413396835E-4</c:v>
                </c:pt>
                <c:pt idx="878">
                  <c:v>9.3274704503848763E-4</c:v>
                </c:pt>
                <c:pt idx="879">
                  <c:v>9.6547917368258285E-4</c:v>
                </c:pt>
                <c:pt idx="880">
                  <c:v>9.2355886858610224E-4</c:v>
                </c:pt>
                <c:pt idx="881">
                  <c:v>1.1020379859919282E-2</c:v>
                </c:pt>
                <c:pt idx="882">
                  <c:v>5.8621085284459853E-4</c:v>
                </c:pt>
                <c:pt idx="883">
                  <c:v>1.0015645666888203E-4</c:v>
                </c:pt>
                <c:pt idx="884">
                  <c:v>1.2937909885519017E-2</c:v>
                </c:pt>
                <c:pt idx="885">
                  <c:v>9.3381402563280256E-5</c:v>
                </c:pt>
                <c:pt idx="886">
                  <c:v>1.5237316051709276E-3</c:v>
                </c:pt>
                <c:pt idx="887">
                  <c:v>-3.9605072737931481E-3</c:v>
                </c:pt>
                <c:pt idx="888">
                  <c:v>1.4747830230876064E-3</c:v>
                </c:pt>
                <c:pt idx="889">
                  <c:v>-1.0832350281792633E-3</c:v>
                </c:pt>
                <c:pt idx="890">
                  <c:v>-2.649058959298152E-2</c:v>
                </c:pt>
                <c:pt idx="891">
                  <c:v>9.4300063985177989E-4</c:v>
                </c:pt>
                <c:pt idx="892">
                  <c:v>7.4171914889734232E-4</c:v>
                </c:pt>
                <c:pt idx="893">
                  <c:v>1.3736202167022465E-3</c:v>
                </c:pt>
                <c:pt idx="894">
                  <c:v>9.7357785718784609E-4</c:v>
                </c:pt>
                <c:pt idx="895">
                  <c:v>6.879038155578487E-4</c:v>
                </c:pt>
                <c:pt idx="896">
                  <c:v>9.0247405263945172E-4</c:v>
                </c:pt>
                <c:pt idx="897">
                  <c:v>7.9131883077541889E-4</c:v>
                </c:pt>
                <c:pt idx="898">
                  <c:v>8.3380532818762461E-4</c:v>
                </c:pt>
                <c:pt idx="899">
                  <c:v>1.029585983246111E-3</c:v>
                </c:pt>
                <c:pt idx="900">
                  <c:v>-5.6106094086364553E-3</c:v>
                </c:pt>
                <c:pt idx="901">
                  <c:v>9.3188620603881181E-4</c:v>
                </c:pt>
                <c:pt idx="902">
                  <c:v>2.1095458623965535E-3</c:v>
                </c:pt>
                <c:pt idx="903">
                  <c:v>9.0620383715412365E-4</c:v>
                </c:pt>
                <c:pt idx="904">
                  <c:v>1.7558943510929783E-3</c:v>
                </c:pt>
                <c:pt idx="905">
                  <c:v>-5.5432160735443912E-3</c:v>
                </c:pt>
                <c:pt idx="906">
                  <c:v>2.018290718006123E-4</c:v>
                </c:pt>
                <c:pt idx="907">
                  <c:v>2.6591671213747232E-3</c:v>
                </c:pt>
                <c:pt idx="908">
                  <c:v>8.8957214675601916E-4</c:v>
                </c:pt>
                <c:pt idx="909">
                  <c:v>1.5791834262012376E-3</c:v>
                </c:pt>
                <c:pt idx="910">
                  <c:v>9.5266401557325675E-4</c:v>
                </c:pt>
                <c:pt idx="911">
                  <c:v>-1.7700549106755185E-4</c:v>
                </c:pt>
                <c:pt idx="912">
                  <c:v>9.5402560356932977E-4</c:v>
                </c:pt>
                <c:pt idx="913">
                  <c:v>8.0256110244199068E-4</c:v>
                </c:pt>
                <c:pt idx="914">
                  <c:v>1.0785952286483298E-3</c:v>
                </c:pt>
                <c:pt idx="915">
                  <c:v>1.3618846202593474E-2</c:v>
                </c:pt>
                <c:pt idx="916">
                  <c:v>1.0926458262314554E-3</c:v>
                </c:pt>
                <c:pt idx="917">
                  <c:v>3.752223859986106E-4</c:v>
                </c:pt>
                <c:pt idx="918">
                  <c:v>8.6075091341475147E-4</c:v>
                </c:pt>
                <c:pt idx="919">
                  <c:v>6.2359140308153272E-4</c:v>
                </c:pt>
                <c:pt idx="920">
                  <c:v>-4.3103660876897976E-4</c:v>
                </c:pt>
                <c:pt idx="921">
                  <c:v>1.0284989679330819E-3</c:v>
                </c:pt>
                <c:pt idx="922">
                  <c:v>1.184607256568047E-3</c:v>
                </c:pt>
                <c:pt idx="923">
                  <c:v>1.0487511023923263E-3</c:v>
                </c:pt>
                <c:pt idx="924">
                  <c:v>9.4602154742982143E-4</c:v>
                </c:pt>
                <c:pt idx="925">
                  <c:v>7.6907373441415308E-4</c:v>
                </c:pt>
                <c:pt idx="926">
                  <c:v>9.896507145254526E-4</c:v>
                </c:pt>
                <c:pt idx="927">
                  <c:v>9.6716688731813389E-4</c:v>
                </c:pt>
                <c:pt idx="928">
                  <c:v>-4.1040817506169192E-3</c:v>
                </c:pt>
                <c:pt idx="929">
                  <c:v>1.2183363710252379E-3</c:v>
                </c:pt>
                <c:pt idx="930">
                  <c:v>1.4223809104618934E-3</c:v>
                </c:pt>
                <c:pt idx="931">
                  <c:v>-2.7626570071757161E-3</c:v>
                </c:pt>
                <c:pt idx="932">
                  <c:v>1.4343146063380696E-2</c:v>
                </c:pt>
                <c:pt idx="933">
                  <c:v>3.8429694343723524E-4</c:v>
                </c:pt>
                <c:pt idx="934">
                  <c:v>7.7720276674437389E-4</c:v>
                </c:pt>
                <c:pt idx="935">
                  <c:v>6.5347720860557126E-4</c:v>
                </c:pt>
                <c:pt idx="936">
                  <c:v>7.4253555378701018E-5</c:v>
                </c:pt>
                <c:pt idx="937">
                  <c:v>1.1201980735564281E-3</c:v>
                </c:pt>
                <c:pt idx="938">
                  <c:v>1.0062208932430105E-3</c:v>
                </c:pt>
                <c:pt idx="939">
                  <c:v>1.520280950448711E-3</c:v>
                </c:pt>
                <c:pt idx="940">
                  <c:v>9.6328876907922725E-4</c:v>
                </c:pt>
                <c:pt idx="941">
                  <c:v>7.2366800704938171E-4</c:v>
                </c:pt>
                <c:pt idx="942">
                  <c:v>9.3499087767267013E-4</c:v>
                </c:pt>
                <c:pt idx="943">
                  <c:v>3.3100018001086274E-4</c:v>
                </c:pt>
                <c:pt idx="944">
                  <c:v>7.603805454958314E-4</c:v>
                </c:pt>
                <c:pt idx="945">
                  <c:v>1.0004111156323421E-3</c:v>
                </c:pt>
                <c:pt idx="946">
                  <c:v>1.8334363955717057E-3</c:v>
                </c:pt>
                <c:pt idx="947">
                  <c:v>1.0370990529605364E-3</c:v>
                </c:pt>
                <c:pt idx="948">
                  <c:v>1.110976361789182E-3</c:v>
                </c:pt>
                <c:pt idx="949">
                  <c:v>1.0898634777042017E-3</c:v>
                </c:pt>
                <c:pt idx="950">
                  <c:v>1.1196844381615248E-3</c:v>
                </c:pt>
                <c:pt idx="951">
                  <c:v>7.9635627483442151E-4</c:v>
                </c:pt>
                <c:pt idx="952">
                  <c:v>1.4269037487832834E-3</c:v>
                </c:pt>
                <c:pt idx="953">
                  <c:v>6.6698537825007388E-4</c:v>
                </c:pt>
                <c:pt idx="954">
                  <c:v>5.582192014478586E-4</c:v>
                </c:pt>
                <c:pt idx="955">
                  <c:v>1.1553076872839341E-3</c:v>
                </c:pt>
                <c:pt idx="956">
                  <c:v>-7.1918625039029266E-2</c:v>
                </c:pt>
                <c:pt idx="957">
                  <c:v>5.0553127346359219E-4</c:v>
                </c:pt>
                <c:pt idx="958">
                  <c:v>5.9779599180134952E-4</c:v>
                </c:pt>
                <c:pt idx="959">
                  <c:v>7.283726490473093E-4</c:v>
                </c:pt>
                <c:pt idx="960">
                  <c:v>-8.3167581850894479E-4</c:v>
                </c:pt>
                <c:pt idx="961">
                  <c:v>-1.9015513400055884E-3</c:v>
                </c:pt>
                <c:pt idx="962">
                  <c:v>9.3883658839385498E-4</c:v>
                </c:pt>
                <c:pt idx="963">
                  <c:v>1.152758539866744E-3</c:v>
                </c:pt>
                <c:pt idx="964">
                  <c:v>8.4456215822002268E-4</c:v>
                </c:pt>
                <c:pt idx="965">
                  <c:v>-3.57827632889836E-3</c:v>
                </c:pt>
                <c:pt idx="966">
                  <c:v>-2.9649351752252494E-2</c:v>
                </c:pt>
                <c:pt idx="967">
                  <c:v>9.726429218670468E-4</c:v>
                </c:pt>
                <c:pt idx="968">
                  <c:v>1.5225475200802414E-3</c:v>
                </c:pt>
                <c:pt idx="969">
                  <c:v>8.7800189529591097E-4</c:v>
                </c:pt>
                <c:pt idx="970">
                  <c:v>3.8189418431349023E-3</c:v>
                </c:pt>
                <c:pt idx="971">
                  <c:v>-3.23181896734831E-4</c:v>
                </c:pt>
                <c:pt idx="972">
                  <c:v>9.2149345334650141E-4</c:v>
                </c:pt>
                <c:pt idx="973">
                  <c:v>1.031170217277352E-3</c:v>
                </c:pt>
                <c:pt idx="974">
                  <c:v>1.9830147734506923E-3</c:v>
                </c:pt>
                <c:pt idx="975">
                  <c:v>1.5790943218560174E-3</c:v>
                </c:pt>
                <c:pt idx="976">
                  <c:v>9.949155888824199E-4</c:v>
                </c:pt>
                <c:pt idx="977">
                  <c:v>7.4529753744240624E-4</c:v>
                </c:pt>
                <c:pt idx="978">
                  <c:v>1.1386936533330906E-3</c:v>
                </c:pt>
                <c:pt idx="979">
                  <c:v>1.0575165581085822E-3</c:v>
                </c:pt>
                <c:pt idx="980">
                  <c:v>-1.4696678470358628E-2</c:v>
                </c:pt>
                <c:pt idx="981">
                  <c:v>5.0323572971441508E-4</c:v>
                </c:pt>
                <c:pt idx="982">
                  <c:v>3.2250893301866206E-4</c:v>
                </c:pt>
                <c:pt idx="983">
                  <c:v>1.0943044042852567E-3</c:v>
                </c:pt>
                <c:pt idx="984">
                  <c:v>1.6208351522612669E-3</c:v>
                </c:pt>
                <c:pt idx="985">
                  <c:v>1.1530027569671033E-3</c:v>
                </c:pt>
                <c:pt idx="986">
                  <c:v>3.4582862354969601E-3</c:v>
                </c:pt>
                <c:pt idx="987">
                  <c:v>1.2828727899476464E-3</c:v>
                </c:pt>
                <c:pt idx="988">
                  <c:v>9.0780593040813858E-4</c:v>
                </c:pt>
                <c:pt idx="989">
                  <c:v>1.0368001184035049E-3</c:v>
                </c:pt>
                <c:pt idx="990">
                  <c:v>1.0924908351508742E-3</c:v>
                </c:pt>
                <c:pt idx="991">
                  <c:v>9.4926715632487899E-4</c:v>
                </c:pt>
                <c:pt idx="992">
                  <c:v>6.410187566082507E-4</c:v>
                </c:pt>
                <c:pt idx="993">
                  <c:v>-1.0231331344354953E-5</c:v>
                </c:pt>
                <c:pt idx="994">
                  <c:v>1.5384298939722344E-3</c:v>
                </c:pt>
                <c:pt idx="995">
                  <c:v>7.0874249184296485E-4</c:v>
                </c:pt>
                <c:pt idx="996">
                  <c:v>1.4816671230867442E-4</c:v>
                </c:pt>
                <c:pt idx="997">
                  <c:v>-2.1854507640979536E-3</c:v>
                </c:pt>
                <c:pt idx="998">
                  <c:v>-7.2645962934367141E-4</c:v>
                </c:pt>
                <c:pt idx="999">
                  <c:v>3.2205165434244587E-3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16-48F8-A5B9-F6019FA57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02112"/>
        <c:axId val="2103297520"/>
      </c:scatterChart>
      <c:valAx>
        <c:axId val="472021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2103297520"/>
        <c:crosses val="autoZero"/>
        <c:crossBetween val="midCat"/>
      </c:valAx>
      <c:valAx>
        <c:axId val="2103297520"/>
        <c:scaling>
          <c:orientation val="minMax"/>
          <c:max val="1.0000000000000002E-2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720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Diagram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'Mandatory Assigment '!$AA$23</c:f>
              <c:strCache>
                <c:ptCount val="1"/>
                <c:pt idx="0">
                  <c:v>Mean Abs Dev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'Mandatory Assigment '!$Z$24:$Z$1023</c:f>
              <c:numCache>
                <c:formatCode>General</c:formatCode>
                <c:ptCount val="1000"/>
                <c:pt idx="0">
                  <c:v>7.6545332474571147E-4</c:v>
                </c:pt>
                <c:pt idx="1">
                  <c:v>8.7114013780695688E-4</c:v>
                </c:pt>
                <c:pt idx="2">
                  <c:v>8.6775175334168997E-4</c:v>
                </c:pt>
                <c:pt idx="3">
                  <c:v>8.5113642022109528E-4</c:v>
                </c:pt>
                <c:pt idx="4">
                  <c:v>8.0127354782245799E-4</c:v>
                </c:pt>
                <c:pt idx="5">
                  <c:v>9.2373126173441345E-4</c:v>
                </c:pt>
                <c:pt idx="6">
                  <c:v>1.0182194184835715E-3</c:v>
                </c:pt>
                <c:pt idx="7">
                  <c:v>1.0397402798507256E-3</c:v>
                </c:pt>
                <c:pt idx="8">
                  <c:v>8.3077859257197511E-4</c:v>
                </c:pt>
                <c:pt idx="9">
                  <c:v>1.1163545805234869E-3</c:v>
                </c:pt>
                <c:pt idx="10">
                  <c:v>8.2442585080853533E-4</c:v>
                </c:pt>
                <c:pt idx="11">
                  <c:v>9.4724664173351442E-4</c:v>
                </c:pt>
                <c:pt idx="12">
                  <c:v>9.4019316571181295E-4</c:v>
                </c:pt>
                <c:pt idx="13">
                  <c:v>9.590033721829219E-4</c:v>
                </c:pt>
                <c:pt idx="14">
                  <c:v>9.1215641695177574E-4</c:v>
                </c:pt>
                <c:pt idx="15">
                  <c:v>7.9610779402728294E-4</c:v>
                </c:pt>
                <c:pt idx="16">
                  <c:v>1.028705196179313E-3</c:v>
                </c:pt>
                <c:pt idx="17">
                  <c:v>9.411451895096764E-4</c:v>
                </c:pt>
                <c:pt idx="18">
                  <c:v>7.3599555342639166E-4</c:v>
                </c:pt>
                <c:pt idx="19">
                  <c:v>1.171838658478794E-3</c:v>
                </c:pt>
                <c:pt idx="20">
                  <c:v>9.6452693142545331E-4</c:v>
                </c:pt>
                <c:pt idx="21">
                  <c:v>1.0465877801435937E-3</c:v>
                </c:pt>
                <c:pt idx="22">
                  <c:v>1.2060013978611407E-3</c:v>
                </c:pt>
                <c:pt idx="23">
                  <c:v>8.2751437603675458E-4</c:v>
                </c:pt>
                <c:pt idx="24">
                  <c:v>1.1440935807871047E-3</c:v>
                </c:pt>
                <c:pt idx="25">
                  <c:v>7.1731202074732465E-4</c:v>
                </c:pt>
                <c:pt idx="26">
                  <c:v>8.9244323353580672E-4</c:v>
                </c:pt>
                <c:pt idx="27">
                  <c:v>9.1364283539114286E-4</c:v>
                </c:pt>
                <c:pt idx="28">
                  <c:v>9.1109461085681271E-4</c:v>
                </c:pt>
                <c:pt idx="29">
                  <c:v>8.5145129042319789E-4</c:v>
                </c:pt>
                <c:pt idx="30">
                  <c:v>9.0769585843103267E-4</c:v>
                </c:pt>
                <c:pt idx="31">
                  <c:v>6.9791638938661814E-4</c:v>
                </c:pt>
                <c:pt idx="32">
                  <c:v>9.5025067862202308E-4</c:v>
                </c:pt>
                <c:pt idx="33">
                  <c:v>8.2050210805704603E-4</c:v>
                </c:pt>
                <c:pt idx="34">
                  <c:v>9.8700726237068684E-4</c:v>
                </c:pt>
                <c:pt idx="35">
                  <c:v>8.7445312461257403E-4</c:v>
                </c:pt>
                <c:pt idx="36">
                  <c:v>8.1970740141909602E-4</c:v>
                </c:pt>
                <c:pt idx="37">
                  <c:v>9.4357583813709119E-4</c:v>
                </c:pt>
                <c:pt idx="38">
                  <c:v>1.0084503673442025E-3</c:v>
                </c:pt>
                <c:pt idx="39">
                  <c:v>9.9695383288983205E-4</c:v>
                </c:pt>
                <c:pt idx="40">
                  <c:v>9.3557221873214781E-4</c:v>
                </c:pt>
                <c:pt idx="41">
                  <c:v>8.4008338080477491E-4</c:v>
                </c:pt>
                <c:pt idx="42">
                  <c:v>6.8946077163531861E-4</c:v>
                </c:pt>
                <c:pt idx="43">
                  <c:v>8.5424551366786432E-4</c:v>
                </c:pt>
                <c:pt idx="44">
                  <c:v>1.0555042426169837E-3</c:v>
                </c:pt>
                <c:pt idx="45">
                  <c:v>7.0922768671849998E-4</c:v>
                </c:pt>
                <c:pt idx="46">
                  <c:v>1.0458741802014694E-3</c:v>
                </c:pt>
                <c:pt idx="47">
                  <c:v>9.2278106197918298E-4</c:v>
                </c:pt>
                <c:pt idx="48">
                  <c:v>8.7225161678919057E-4</c:v>
                </c:pt>
                <c:pt idx="49">
                  <c:v>8.0923992185662045E-4</c:v>
                </c:pt>
                <c:pt idx="50">
                  <c:v>1.0343509840691175E-3</c:v>
                </c:pt>
                <c:pt idx="51">
                  <c:v>9.496149473065831E-4</c:v>
                </c:pt>
                <c:pt idx="52">
                  <c:v>1.0545027293851752E-3</c:v>
                </c:pt>
                <c:pt idx="53">
                  <c:v>7.9641615016331981E-4</c:v>
                </c:pt>
                <c:pt idx="54">
                  <c:v>1.0367421405024827E-3</c:v>
                </c:pt>
                <c:pt idx="55">
                  <c:v>8.6213875223696123E-4</c:v>
                </c:pt>
                <c:pt idx="56">
                  <c:v>9.3984363309669778E-4</c:v>
                </c:pt>
                <c:pt idx="57">
                  <c:v>9.7859366530264635E-4</c:v>
                </c:pt>
                <c:pt idx="58">
                  <c:v>8.4198849942715166E-4</c:v>
                </c:pt>
                <c:pt idx="59">
                  <c:v>8.3288627989787378E-4</c:v>
                </c:pt>
                <c:pt idx="60">
                  <c:v>8.3159852342763784E-4</c:v>
                </c:pt>
                <c:pt idx="61">
                  <c:v>1.0378486355974556E-3</c:v>
                </c:pt>
                <c:pt idx="62">
                  <c:v>9.5160249178389785E-4</c:v>
                </c:pt>
                <c:pt idx="63">
                  <c:v>9.3046017829912235E-4</c:v>
                </c:pt>
                <c:pt idx="64">
                  <c:v>9.9777231339560641E-4</c:v>
                </c:pt>
                <c:pt idx="65">
                  <c:v>8.5759808033638999E-4</c:v>
                </c:pt>
                <c:pt idx="66">
                  <c:v>7.8183914619814245E-4</c:v>
                </c:pt>
                <c:pt idx="67">
                  <c:v>9.1305602641858637E-4</c:v>
                </c:pt>
                <c:pt idx="68">
                  <c:v>9.2227780907807872E-4</c:v>
                </c:pt>
                <c:pt idx="69">
                  <c:v>9.6861122641349491E-4</c:v>
                </c:pt>
                <c:pt idx="70">
                  <c:v>9.1269496692402102E-4</c:v>
                </c:pt>
                <c:pt idx="71">
                  <c:v>9.0103970762751709E-4</c:v>
                </c:pt>
                <c:pt idx="72">
                  <c:v>8.1554369748274708E-4</c:v>
                </c:pt>
                <c:pt idx="73">
                  <c:v>8.9470090482548852E-4</c:v>
                </c:pt>
                <c:pt idx="74">
                  <c:v>1.0525335593151446E-3</c:v>
                </c:pt>
                <c:pt idx="75">
                  <c:v>8.8785073089591544E-4</c:v>
                </c:pt>
                <c:pt idx="76">
                  <c:v>7.4795214933951718E-4</c:v>
                </c:pt>
                <c:pt idx="77">
                  <c:v>1.0022099483042845E-3</c:v>
                </c:pt>
                <c:pt idx="78">
                  <c:v>9.678481098114285E-4</c:v>
                </c:pt>
                <c:pt idx="79">
                  <c:v>1.0615590478126424E-3</c:v>
                </c:pt>
                <c:pt idx="80">
                  <c:v>1.0852504815639782E-3</c:v>
                </c:pt>
                <c:pt idx="81">
                  <c:v>1.0173360703439461E-3</c:v>
                </c:pt>
                <c:pt idx="82">
                  <c:v>8.8206213862573901E-4</c:v>
                </c:pt>
                <c:pt idx="83">
                  <c:v>1.0369583300288117E-3</c:v>
                </c:pt>
                <c:pt idx="84">
                  <c:v>9.3779227697883701E-4</c:v>
                </c:pt>
                <c:pt idx="85">
                  <c:v>7.8329254162677196E-4</c:v>
                </c:pt>
                <c:pt idx="86">
                  <c:v>7.9153294155210989E-4</c:v>
                </c:pt>
                <c:pt idx="87">
                  <c:v>9.7775714580618364E-4</c:v>
                </c:pt>
                <c:pt idx="88">
                  <c:v>9.8830385889487607E-4</c:v>
                </c:pt>
                <c:pt idx="89">
                  <c:v>9.0602115976209908E-4</c:v>
                </c:pt>
                <c:pt idx="90">
                  <c:v>9.8825526790418533E-4</c:v>
                </c:pt>
                <c:pt idx="91">
                  <c:v>8.8574718426930531E-4</c:v>
                </c:pt>
                <c:pt idx="92">
                  <c:v>8.9159149785035595E-4</c:v>
                </c:pt>
                <c:pt idx="93">
                  <c:v>8.5804277812247969E-4</c:v>
                </c:pt>
                <c:pt idx="94">
                  <c:v>7.8963954895431687E-4</c:v>
                </c:pt>
                <c:pt idx="95">
                  <c:v>7.4656272579772388E-4</c:v>
                </c:pt>
                <c:pt idx="96">
                  <c:v>9.8637385469519875E-4</c:v>
                </c:pt>
                <c:pt idx="97">
                  <c:v>1.0011304418911559E-3</c:v>
                </c:pt>
                <c:pt idx="98">
                  <c:v>1.2335896560298578E-3</c:v>
                </c:pt>
                <c:pt idx="99">
                  <c:v>9.3938823584383468E-4</c:v>
                </c:pt>
                <c:pt idx="100">
                  <c:v>6.4244406714267081E-4</c:v>
                </c:pt>
                <c:pt idx="101">
                  <c:v>8.9281414037462416E-4</c:v>
                </c:pt>
                <c:pt idx="102">
                  <c:v>8.1833571061890097E-4</c:v>
                </c:pt>
                <c:pt idx="103">
                  <c:v>9.7153114905469662E-4</c:v>
                </c:pt>
                <c:pt idx="104">
                  <c:v>9.3762550546718317E-4</c:v>
                </c:pt>
                <c:pt idx="105">
                  <c:v>1.1391165749447261E-3</c:v>
                </c:pt>
                <c:pt idx="106">
                  <c:v>1.0598703212107814E-3</c:v>
                </c:pt>
                <c:pt idx="107">
                  <c:v>9.3012179111920325E-4</c:v>
                </c:pt>
                <c:pt idx="108">
                  <c:v>1.0247374538014833E-3</c:v>
                </c:pt>
                <c:pt idx="109">
                  <c:v>1.059628346744551E-3</c:v>
                </c:pt>
                <c:pt idx="110">
                  <c:v>8.2513491883843811E-4</c:v>
                </c:pt>
                <c:pt idx="111">
                  <c:v>9.2175637551050564E-4</c:v>
                </c:pt>
                <c:pt idx="112">
                  <c:v>1.0318271895814941E-3</c:v>
                </c:pt>
                <c:pt idx="113">
                  <c:v>1.0047944074731098E-3</c:v>
                </c:pt>
                <c:pt idx="114">
                  <c:v>9.9277110913913928E-4</c:v>
                </c:pt>
                <c:pt idx="115">
                  <c:v>1.0925383841494172E-3</c:v>
                </c:pt>
                <c:pt idx="116">
                  <c:v>9.1218590681487713E-4</c:v>
                </c:pt>
                <c:pt idx="117">
                  <c:v>8.7868881322292918E-4</c:v>
                </c:pt>
                <c:pt idx="118">
                  <c:v>8.1530448635764804E-4</c:v>
                </c:pt>
                <c:pt idx="119">
                  <c:v>1.0097489459496161E-3</c:v>
                </c:pt>
                <c:pt idx="120">
                  <c:v>8.1747143132045825E-4</c:v>
                </c:pt>
                <c:pt idx="121">
                  <c:v>7.2371739100348222E-4</c:v>
                </c:pt>
                <c:pt idx="122">
                  <c:v>9.7946731191991647E-4</c:v>
                </c:pt>
                <c:pt idx="123">
                  <c:v>9.5352321977547837E-4</c:v>
                </c:pt>
                <c:pt idx="124">
                  <c:v>1.1202904399791516E-3</c:v>
                </c:pt>
                <c:pt idx="125">
                  <c:v>9.8452576204963215E-4</c:v>
                </c:pt>
                <c:pt idx="126">
                  <c:v>1.0944046795759367E-3</c:v>
                </c:pt>
                <c:pt idx="127">
                  <c:v>8.3145678194877998E-4</c:v>
                </c:pt>
                <c:pt idx="128">
                  <c:v>8.1335629996731433E-4</c:v>
                </c:pt>
                <c:pt idx="129">
                  <c:v>7.8284835516288938E-4</c:v>
                </c:pt>
                <c:pt idx="130">
                  <c:v>8.7620097087957015E-4</c:v>
                </c:pt>
                <c:pt idx="131">
                  <c:v>8.8466628406283466E-4</c:v>
                </c:pt>
                <c:pt idx="132">
                  <c:v>9.9109051080988422E-4</c:v>
                </c:pt>
                <c:pt idx="133">
                  <c:v>1.0847991658355961E-3</c:v>
                </c:pt>
                <c:pt idx="134">
                  <c:v>9.6956433677046028E-4</c:v>
                </c:pt>
                <c:pt idx="135">
                  <c:v>8.7061768978413971E-4</c:v>
                </c:pt>
                <c:pt idx="136">
                  <c:v>9.8212040085247313E-4</c:v>
                </c:pt>
                <c:pt idx="137">
                  <c:v>1.0439948472022263E-3</c:v>
                </c:pt>
                <c:pt idx="138">
                  <c:v>9.8459976183756705E-4</c:v>
                </c:pt>
                <c:pt idx="139">
                  <c:v>9.4942188156927178E-4</c:v>
                </c:pt>
                <c:pt idx="140">
                  <c:v>1.0112294799406358E-3</c:v>
                </c:pt>
                <c:pt idx="141">
                  <c:v>1.1447547791189209E-3</c:v>
                </c:pt>
                <c:pt idx="142">
                  <c:v>8.3791819014654044E-4</c:v>
                </c:pt>
                <c:pt idx="143">
                  <c:v>8.517280139504602E-4</c:v>
                </c:pt>
                <c:pt idx="144">
                  <c:v>1.0304621061021885E-3</c:v>
                </c:pt>
                <c:pt idx="145">
                  <c:v>1.1324913382843049E-3</c:v>
                </c:pt>
                <c:pt idx="146">
                  <c:v>9.2884608294089947E-4</c:v>
                </c:pt>
                <c:pt idx="147">
                  <c:v>9.1555597852154284E-4</c:v>
                </c:pt>
                <c:pt idx="148">
                  <c:v>8.0127604967177566E-4</c:v>
                </c:pt>
                <c:pt idx="149">
                  <c:v>1.0040813320484601E-3</c:v>
                </c:pt>
                <c:pt idx="150">
                  <c:v>9.8696197874690748E-4</c:v>
                </c:pt>
                <c:pt idx="151">
                  <c:v>1.018172434801849E-3</c:v>
                </c:pt>
                <c:pt idx="152">
                  <c:v>1.017706860987072E-3</c:v>
                </c:pt>
                <c:pt idx="153">
                  <c:v>9.0432608594185769E-4</c:v>
                </c:pt>
                <c:pt idx="154">
                  <c:v>9.6239981729516412E-4</c:v>
                </c:pt>
                <c:pt idx="155">
                  <c:v>1.09127536108667E-3</c:v>
                </c:pt>
                <c:pt idx="156">
                  <c:v>1.1074979888772664E-3</c:v>
                </c:pt>
                <c:pt idx="157">
                  <c:v>9.8651682716739274E-4</c:v>
                </c:pt>
                <c:pt idx="158">
                  <c:v>9.041024880584173E-4</c:v>
                </c:pt>
                <c:pt idx="159">
                  <c:v>9.3302791284131925E-4</c:v>
                </c:pt>
                <c:pt idx="160">
                  <c:v>8.3195260922773505E-4</c:v>
                </c:pt>
                <c:pt idx="161">
                  <c:v>9.0201863593907829E-4</c:v>
                </c:pt>
                <c:pt idx="162">
                  <c:v>8.5091985233401207E-4</c:v>
                </c:pt>
                <c:pt idx="163">
                  <c:v>1.0242622023808867E-3</c:v>
                </c:pt>
                <c:pt idx="164">
                  <c:v>1.0947948906303469E-3</c:v>
                </c:pt>
                <c:pt idx="165">
                  <c:v>9.9791539680626259E-4</c:v>
                </c:pt>
                <c:pt idx="166">
                  <c:v>1.0314142625430761E-3</c:v>
                </c:pt>
                <c:pt idx="167">
                  <c:v>6.5266420960716372E-4</c:v>
                </c:pt>
                <c:pt idx="168">
                  <c:v>1.1081654622847462E-3</c:v>
                </c:pt>
                <c:pt idx="169">
                  <c:v>1.0128969480214535E-3</c:v>
                </c:pt>
                <c:pt idx="170">
                  <c:v>1.150529756401969E-3</c:v>
                </c:pt>
                <c:pt idx="171">
                  <c:v>9.2541553115695107E-4</c:v>
                </c:pt>
                <c:pt idx="172">
                  <c:v>7.7325105049111983E-4</c:v>
                </c:pt>
                <c:pt idx="173">
                  <c:v>1.0644515864685318E-3</c:v>
                </c:pt>
                <c:pt idx="174">
                  <c:v>9.3669619804571101E-4</c:v>
                </c:pt>
                <c:pt idx="175">
                  <c:v>8.68463055641521E-4</c:v>
                </c:pt>
                <c:pt idx="176">
                  <c:v>9.1956685799905302E-4</c:v>
                </c:pt>
                <c:pt idx="177">
                  <c:v>9.2866912556140407E-4</c:v>
                </c:pt>
                <c:pt idx="178">
                  <c:v>8.5232082829784692E-4</c:v>
                </c:pt>
                <c:pt idx="179">
                  <c:v>9.8061829743401182E-4</c:v>
                </c:pt>
                <c:pt idx="180">
                  <c:v>8.4059881906069288E-4</c:v>
                </c:pt>
                <c:pt idx="181">
                  <c:v>1.0595496250906172E-3</c:v>
                </c:pt>
                <c:pt idx="182">
                  <c:v>8.1920952979253818E-4</c:v>
                </c:pt>
                <c:pt idx="183">
                  <c:v>1.0243204708256983E-3</c:v>
                </c:pt>
                <c:pt idx="184">
                  <c:v>8.6062671688166283E-4</c:v>
                </c:pt>
                <c:pt idx="185">
                  <c:v>8.3937871879313309E-4</c:v>
                </c:pt>
                <c:pt idx="186">
                  <c:v>1.0042151046251776E-3</c:v>
                </c:pt>
                <c:pt idx="187">
                  <c:v>8.9893386827962461E-4</c:v>
                </c:pt>
                <c:pt idx="188">
                  <c:v>8.5571934057744191E-4</c:v>
                </c:pt>
                <c:pt idx="189">
                  <c:v>9.4602550896196261E-4</c:v>
                </c:pt>
                <c:pt idx="190">
                  <c:v>8.6189193466585528E-4</c:v>
                </c:pt>
                <c:pt idx="191">
                  <c:v>1.03118578776778E-3</c:v>
                </c:pt>
                <c:pt idx="192">
                  <c:v>1.1915406038926235E-3</c:v>
                </c:pt>
                <c:pt idx="193">
                  <c:v>9.5748746766241512E-4</c:v>
                </c:pt>
                <c:pt idx="194">
                  <c:v>8.5063870641886212E-4</c:v>
                </c:pt>
                <c:pt idx="195">
                  <c:v>7.8804822526926381E-4</c:v>
                </c:pt>
                <c:pt idx="196">
                  <c:v>9.5624573516067722E-4</c:v>
                </c:pt>
                <c:pt idx="197">
                  <c:v>1.0331293736399606E-3</c:v>
                </c:pt>
                <c:pt idx="198">
                  <c:v>1.0292055657350617E-3</c:v>
                </c:pt>
                <c:pt idx="199">
                  <c:v>8.7183920285732546E-4</c:v>
                </c:pt>
                <c:pt idx="200">
                  <c:v>8.3055280427154501E-4</c:v>
                </c:pt>
                <c:pt idx="201">
                  <c:v>7.0250631140574059E-4</c:v>
                </c:pt>
                <c:pt idx="202">
                  <c:v>8.2767707091456412E-4</c:v>
                </c:pt>
                <c:pt idx="203">
                  <c:v>9.9647631485953107E-4</c:v>
                </c:pt>
                <c:pt idx="204">
                  <c:v>9.2862898523481303E-4</c:v>
                </c:pt>
                <c:pt idx="205">
                  <c:v>9.7428138725154259E-4</c:v>
                </c:pt>
                <c:pt idx="206">
                  <c:v>9.9771347801771797E-4</c:v>
                </c:pt>
                <c:pt idx="207">
                  <c:v>9.0865308887262653E-4</c:v>
                </c:pt>
                <c:pt idx="208">
                  <c:v>1.0125882776082186E-3</c:v>
                </c:pt>
                <c:pt idx="209">
                  <c:v>9.776276475685615E-4</c:v>
                </c:pt>
                <c:pt idx="210">
                  <c:v>1.0994210729311014E-3</c:v>
                </c:pt>
                <c:pt idx="211">
                  <c:v>9.6138463437082944E-4</c:v>
                </c:pt>
                <c:pt idx="212">
                  <c:v>9.8597019519470748E-4</c:v>
                </c:pt>
                <c:pt idx="213">
                  <c:v>7.9438667565105161E-4</c:v>
                </c:pt>
                <c:pt idx="214">
                  <c:v>1.103355509289214E-3</c:v>
                </c:pt>
                <c:pt idx="215">
                  <c:v>1.0667707150737906E-3</c:v>
                </c:pt>
                <c:pt idx="216">
                  <c:v>1.0313410361732652E-3</c:v>
                </c:pt>
                <c:pt idx="217">
                  <c:v>1.0585548465415237E-3</c:v>
                </c:pt>
                <c:pt idx="218">
                  <c:v>8.9492013094669978E-4</c:v>
                </c:pt>
                <c:pt idx="219">
                  <c:v>9.3319476487140909E-4</c:v>
                </c:pt>
                <c:pt idx="220">
                  <c:v>9.490688568954583E-4</c:v>
                </c:pt>
                <c:pt idx="221">
                  <c:v>1.0339784962312634E-3</c:v>
                </c:pt>
                <c:pt idx="222">
                  <c:v>9.1141061033772977E-4</c:v>
                </c:pt>
                <c:pt idx="223">
                  <c:v>9.9978220348795007E-4</c:v>
                </c:pt>
                <c:pt idx="224">
                  <c:v>9.9345286922662311E-4</c:v>
                </c:pt>
                <c:pt idx="225">
                  <c:v>8.379052831725541E-4</c:v>
                </c:pt>
                <c:pt idx="226">
                  <c:v>9.3526945525762302E-4</c:v>
                </c:pt>
                <c:pt idx="227">
                  <c:v>7.6005373700394031E-4</c:v>
                </c:pt>
                <c:pt idx="228">
                  <c:v>9.4622924203957158E-4</c:v>
                </c:pt>
                <c:pt idx="229">
                  <c:v>9.2239014375657515E-4</c:v>
                </c:pt>
                <c:pt idx="230">
                  <c:v>9.9771195783633073E-4</c:v>
                </c:pt>
                <c:pt idx="231">
                  <c:v>8.6143263594900784E-4</c:v>
                </c:pt>
                <c:pt idx="232">
                  <c:v>1.0178562564372162E-3</c:v>
                </c:pt>
                <c:pt idx="233">
                  <c:v>1.0096516428765323E-3</c:v>
                </c:pt>
                <c:pt idx="234">
                  <c:v>7.6878593966030011E-4</c:v>
                </c:pt>
                <c:pt idx="235">
                  <c:v>9.5242162144654739E-4</c:v>
                </c:pt>
                <c:pt idx="236">
                  <c:v>1.140870429913251E-3</c:v>
                </c:pt>
                <c:pt idx="237">
                  <c:v>1.0358399773846968E-3</c:v>
                </c:pt>
                <c:pt idx="238">
                  <c:v>1.1760926526911955E-3</c:v>
                </c:pt>
                <c:pt idx="239">
                  <c:v>1.0579253172730849E-3</c:v>
                </c:pt>
                <c:pt idx="240">
                  <c:v>9.3237433631556928E-4</c:v>
                </c:pt>
                <c:pt idx="241">
                  <c:v>1.1338743332511131E-3</c:v>
                </c:pt>
                <c:pt idx="242">
                  <c:v>9.4487709094167433E-4</c:v>
                </c:pt>
                <c:pt idx="243">
                  <c:v>9.1307551920129216E-4</c:v>
                </c:pt>
                <c:pt idx="244">
                  <c:v>8.9678136262082229E-4</c:v>
                </c:pt>
                <c:pt idx="245">
                  <c:v>9.7540333572430611E-4</c:v>
                </c:pt>
                <c:pt idx="246">
                  <c:v>7.6856405631210213E-4</c:v>
                </c:pt>
                <c:pt idx="247">
                  <c:v>1.0791831651412733E-3</c:v>
                </c:pt>
                <c:pt idx="248">
                  <c:v>8.8082416177463405E-4</c:v>
                </c:pt>
                <c:pt idx="249">
                  <c:v>7.9828988138381791E-4</c:v>
                </c:pt>
                <c:pt idx="250">
                  <c:v>1.0826465559352124E-3</c:v>
                </c:pt>
                <c:pt idx="251">
                  <c:v>9.5797010575928441E-4</c:v>
                </c:pt>
                <c:pt idx="252">
                  <c:v>9.5027382470794437E-4</c:v>
                </c:pt>
                <c:pt idx="253">
                  <c:v>1.0087154836723252E-3</c:v>
                </c:pt>
                <c:pt idx="254">
                  <c:v>9.5973167818693718E-4</c:v>
                </c:pt>
                <c:pt idx="255">
                  <c:v>1.0232237181559409E-3</c:v>
                </c:pt>
                <c:pt idx="256">
                  <c:v>9.3030137244195339E-4</c:v>
                </c:pt>
                <c:pt idx="257">
                  <c:v>1.054454791998114E-3</c:v>
                </c:pt>
                <c:pt idx="258">
                  <c:v>1.0835497777329744E-3</c:v>
                </c:pt>
                <c:pt idx="259">
                  <c:v>1.0514361319205539E-3</c:v>
                </c:pt>
                <c:pt idx="260">
                  <c:v>7.3192201163408224E-4</c:v>
                </c:pt>
                <c:pt idx="261">
                  <c:v>9.1916326240941209E-4</c:v>
                </c:pt>
                <c:pt idx="262">
                  <c:v>1.114874932472627E-3</c:v>
                </c:pt>
                <c:pt idx="263">
                  <c:v>9.4495889923192891E-4</c:v>
                </c:pt>
                <c:pt idx="264">
                  <c:v>1.0920697935236235E-3</c:v>
                </c:pt>
                <c:pt idx="265">
                  <c:v>9.5460129758882968E-4</c:v>
                </c:pt>
                <c:pt idx="266">
                  <c:v>8.275929269136225E-4</c:v>
                </c:pt>
                <c:pt idx="267">
                  <c:v>9.8536119018322261E-4</c:v>
                </c:pt>
                <c:pt idx="268">
                  <c:v>7.8108460152138308E-4</c:v>
                </c:pt>
                <c:pt idx="269">
                  <c:v>8.0246253245345013E-4</c:v>
                </c:pt>
                <c:pt idx="270">
                  <c:v>9.5829485458190236E-4</c:v>
                </c:pt>
                <c:pt idx="271">
                  <c:v>8.4700380852267224E-4</c:v>
                </c:pt>
                <c:pt idx="272">
                  <c:v>8.6416858565668169E-4</c:v>
                </c:pt>
                <c:pt idx="273">
                  <c:v>8.2594919517402557E-4</c:v>
                </c:pt>
                <c:pt idx="274">
                  <c:v>1.0764809224705972E-3</c:v>
                </c:pt>
                <c:pt idx="275">
                  <c:v>8.8199196031834778E-4</c:v>
                </c:pt>
                <c:pt idx="276">
                  <c:v>9.4653341970549524E-4</c:v>
                </c:pt>
                <c:pt idx="277">
                  <c:v>8.2227188625991383E-4</c:v>
                </c:pt>
                <c:pt idx="278">
                  <c:v>8.1692356215301337E-4</c:v>
                </c:pt>
                <c:pt idx="279">
                  <c:v>9.2705311995190719E-4</c:v>
                </c:pt>
                <c:pt idx="280">
                  <c:v>8.8226878157943937E-4</c:v>
                </c:pt>
                <c:pt idx="281">
                  <c:v>8.2375679057973094E-4</c:v>
                </c:pt>
                <c:pt idx="282">
                  <c:v>8.5529049754322947E-4</c:v>
                </c:pt>
                <c:pt idx="283">
                  <c:v>9.0494563763051381E-4</c:v>
                </c:pt>
                <c:pt idx="284">
                  <c:v>9.0591970907727653E-4</c:v>
                </c:pt>
                <c:pt idx="285">
                  <c:v>8.6386069024684355E-4</c:v>
                </c:pt>
                <c:pt idx="286">
                  <c:v>1.0838798585158628E-3</c:v>
                </c:pt>
                <c:pt idx="287">
                  <c:v>8.9020697229713662E-4</c:v>
                </c:pt>
                <c:pt idx="288">
                  <c:v>9.417888723133208E-4</c:v>
                </c:pt>
                <c:pt idx="289">
                  <c:v>8.5809206996894185E-4</c:v>
                </c:pt>
                <c:pt idx="290">
                  <c:v>1.089289688542617E-3</c:v>
                </c:pt>
                <c:pt idx="291">
                  <c:v>8.6642799699777006E-4</c:v>
                </c:pt>
                <c:pt idx="292">
                  <c:v>8.0769341068823424E-4</c:v>
                </c:pt>
                <c:pt idx="293">
                  <c:v>9.2525085954992328E-4</c:v>
                </c:pt>
                <c:pt idx="294">
                  <c:v>9.5716538547934305E-4</c:v>
                </c:pt>
                <c:pt idx="295">
                  <c:v>1.0395599528036032E-3</c:v>
                </c:pt>
                <c:pt idx="296">
                  <c:v>7.3622571510786709E-4</c:v>
                </c:pt>
                <c:pt idx="297">
                  <c:v>8.5943204536377126E-4</c:v>
                </c:pt>
                <c:pt idx="298">
                  <c:v>7.1812250283619615E-4</c:v>
                </c:pt>
                <c:pt idx="299">
                  <c:v>8.5859775813231052E-4</c:v>
                </c:pt>
                <c:pt idx="300">
                  <c:v>1.0250071372923553E-3</c:v>
                </c:pt>
                <c:pt idx="301">
                  <c:v>9.5227013174129188E-4</c:v>
                </c:pt>
                <c:pt idx="302">
                  <c:v>9.4653657524628885E-4</c:v>
                </c:pt>
                <c:pt idx="303">
                  <c:v>9.7058564389775699E-4</c:v>
                </c:pt>
                <c:pt idx="304">
                  <c:v>8.3399667711310077E-4</c:v>
                </c:pt>
                <c:pt idx="305">
                  <c:v>1.1072948008414782E-3</c:v>
                </c:pt>
                <c:pt idx="306">
                  <c:v>8.7677116781269054E-4</c:v>
                </c:pt>
                <c:pt idx="307">
                  <c:v>1.0345585222606116E-3</c:v>
                </c:pt>
                <c:pt idx="308">
                  <c:v>9.0860040483702682E-4</c:v>
                </c:pt>
                <c:pt idx="309">
                  <c:v>1.1446353512436938E-3</c:v>
                </c:pt>
                <c:pt idx="310">
                  <c:v>8.3776782119075592E-4</c:v>
                </c:pt>
                <c:pt idx="311">
                  <c:v>9.9265157637368879E-4</c:v>
                </c:pt>
                <c:pt idx="312">
                  <c:v>9.420943821276264E-4</c:v>
                </c:pt>
                <c:pt idx="313">
                  <c:v>8.515557836773249E-4</c:v>
                </c:pt>
                <c:pt idx="314">
                  <c:v>1.1425662006345023E-3</c:v>
                </c:pt>
                <c:pt idx="315">
                  <c:v>8.2660763629513001E-4</c:v>
                </c:pt>
                <c:pt idx="316">
                  <c:v>1.0568368443424027E-3</c:v>
                </c:pt>
                <c:pt idx="317">
                  <c:v>1.0205916769231019E-3</c:v>
                </c:pt>
                <c:pt idx="318">
                  <c:v>9.5132173066764703E-4</c:v>
                </c:pt>
                <c:pt idx="319">
                  <c:v>9.6118206550194576E-4</c:v>
                </c:pt>
                <c:pt idx="320">
                  <c:v>8.5334437767894597E-4</c:v>
                </c:pt>
                <c:pt idx="321">
                  <c:v>1.0175959561924063E-3</c:v>
                </c:pt>
                <c:pt idx="322">
                  <c:v>1.0694716646874715E-3</c:v>
                </c:pt>
                <c:pt idx="323">
                  <c:v>9.2521230348678607E-4</c:v>
                </c:pt>
                <c:pt idx="324">
                  <c:v>9.599133820705029E-4</c:v>
                </c:pt>
                <c:pt idx="325">
                  <c:v>7.5534598248651352E-4</c:v>
                </c:pt>
                <c:pt idx="326">
                  <c:v>9.8934871585998297E-4</c:v>
                </c:pt>
                <c:pt idx="327">
                  <c:v>7.6993159729281955E-4</c:v>
                </c:pt>
                <c:pt idx="328">
                  <c:v>7.3164616491023713E-4</c:v>
                </c:pt>
                <c:pt idx="329">
                  <c:v>9.4242384137561139E-4</c:v>
                </c:pt>
                <c:pt idx="330">
                  <c:v>8.5380555060558241E-4</c:v>
                </c:pt>
                <c:pt idx="331">
                  <c:v>1.035423840489608E-3</c:v>
                </c:pt>
                <c:pt idx="332">
                  <c:v>9.2174160348064155E-4</c:v>
                </c:pt>
                <c:pt idx="333">
                  <c:v>8.3070674892275775E-4</c:v>
                </c:pt>
                <c:pt idx="334">
                  <c:v>8.9565089923848565E-4</c:v>
                </c:pt>
                <c:pt idx="335">
                  <c:v>8.9626799862632255E-4</c:v>
                </c:pt>
                <c:pt idx="336">
                  <c:v>1.0292129135600864E-3</c:v>
                </c:pt>
                <c:pt idx="337">
                  <c:v>9.3722184621446668E-4</c:v>
                </c:pt>
                <c:pt idx="338">
                  <c:v>9.1692324695235032E-4</c:v>
                </c:pt>
                <c:pt idx="339">
                  <c:v>8.6905259447677839E-4</c:v>
                </c:pt>
                <c:pt idx="340">
                  <c:v>1.1064865018638682E-3</c:v>
                </c:pt>
                <c:pt idx="341">
                  <c:v>9.439631792900235E-4</c:v>
                </c:pt>
                <c:pt idx="342">
                  <c:v>8.2917360781313706E-4</c:v>
                </c:pt>
                <c:pt idx="343">
                  <c:v>9.9822418290733753E-4</c:v>
                </c:pt>
                <c:pt idx="344">
                  <c:v>8.4989739086043501E-4</c:v>
                </c:pt>
                <c:pt idx="345">
                  <c:v>8.6294950809021162E-4</c:v>
                </c:pt>
                <c:pt idx="346">
                  <c:v>9.6270947104474408E-4</c:v>
                </c:pt>
                <c:pt idx="347">
                  <c:v>9.5097679099807983E-4</c:v>
                </c:pt>
                <c:pt idx="348">
                  <c:v>1.0290491033381659E-3</c:v>
                </c:pt>
                <c:pt idx="349">
                  <c:v>1.0235781508724311E-3</c:v>
                </c:pt>
                <c:pt idx="350">
                  <c:v>7.8377763998599989E-4</c:v>
                </c:pt>
                <c:pt idx="351">
                  <c:v>9.4001359054100917E-4</c:v>
                </c:pt>
                <c:pt idx="352">
                  <c:v>7.3946378901952961E-4</c:v>
                </c:pt>
                <c:pt idx="353">
                  <c:v>1.0149483070428938E-3</c:v>
                </c:pt>
                <c:pt idx="354">
                  <c:v>9.6077437047185617E-4</c:v>
                </c:pt>
                <c:pt idx="355">
                  <c:v>1.0012530076783286E-3</c:v>
                </c:pt>
                <c:pt idx="356">
                  <c:v>9.90812906382373E-4</c:v>
                </c:pt>
                <c:pt idx="357">
                  <c:v>7.9235882708498227E-4</c:v>
                </c:pt>
                <c:pt idx="358">
                  <c:v>7.7897871147390057E-4</c:v>
                </c:pt>
                <c:pt idx="359">
                  <c:v>9.121483773853775E-4</c:v>
                </c:pt>
                <c:pt idx="360">
                  <c:v>9.03518004016531E-4</c:v>
                </c:pt>
                <c:pt idx="361">
                  <c:v>8.3897658609250825E-4</c:v>
                </c:pt>
                <c:pt idx="362">
                  <c:v>1.0080798384375174E-3</c:v>
                </c:pt>
                <c:pt idx="363">
                  <c:v>1.0213760781943634E-3</c:v>
                </c:pt>
                <c:pt idx="364">
                  <c:v>9.978166718538164E-4</c:v>
                </c:pt>
                <c:pt idx="365">
                  <c:v>8.8002784921559348E-4</c:v>
                </c:pt>
                <c:pt idx="366">
                  <c:v>9.2090058768504385E-4</c:v>
                </c:pt>
                <c:pt idx="367">
                  <c:v>1.0245771664132478E-3</c:v>
                </c:pt>
                <c:pt idx="368">
                  <c:v>1.03015832782937E-3</c:v>
                </c:pt>
                <c:pt idx="369">
                  <c:v>9.3027579931307747E-4</c:v>
                </c:pt>
                <c:pt idx="370">
                  <c:v>8.356023139936236E-4</c:v>
                </c:pt>
                <c:pt idx="371">
                  <c:v>9.5986776379218552E-4</c:v>
                </c:pt>
                <c:pt idx="372">
                  <c:v>9.5140570589420062E-4</c:v>
                </c:pt>
                <c:pt idx="373">
                  <c:v>9.2558569938733107E-4</c:v>
                </c:pt>
                <c:pt idx="374">
                  <c:v>9.8212395036180325E-4</c:v>
                </c:pt>
                <c:pt idx="375">
                  <c:v>8.3898206642667107E-4</c:v>
                </c:pt>
                <c:pt idx="376">
                  <c:v>9.740585935713226E-4</c:v>
                </c:pt>
                <c:pt idx="377">
                  <c:v>1.0385931388482872E-3</c:v>
                </c:pt>
                <c:pt idx="378">
                  <c:v>9.6225878960282238E-4</c:v>
                </c:pt>
                <c:pt idx="379">
                  <c:v>1.0509851798984264E-3</c:v>
                </c:pt>
                <c:pt idx="380">
                  <c:v>8.3996159578826699E-4</c:v>
                </c:pt>
                <c:pt idx="381">
                  <c:v>8.4446690237964224E-4</c:v>
                </c:pt>
                <c:pt idx="382">
                  <c:v>9.3698503975274752E-4</c:v>
                </c:pt>
                <c:pt idx="383">
                  <c:v>9.830308699418876E-4</c:v>
                </c:pt>
                <c:pt idx="384">
                  <c:v>9.2738620521863027E-4</c:v>
                </c:pt>
                <c:pt idx="385">
                  <c:v>8.3364245200483796E-4</c:v>
                </c:pt>
                <c:pt idx="386">
                  <c:v>7.9573290898283123E-4</c:v>
                </c:pt>
                <c:pt idx="387">
                  <c:v>9.1758539919621575E-4</c:v>
                </c:pt>
                <c:pt idx="388">
                  <c:v>7.8272951965570586E-4</c:v>
                </c:pt>
                <c:pt idx="389">
                  <c:v>8.3327325944717462E-4</c:v>
                </c:pt>
                <c:pt idx="390">
                  <c:v>9.3489705581583607E-4</c:v>
                </c:pt>
                <c:pt idx="391">
                  <c:v>1.0384098637343437E-3</c:v>
                </c:pt>
                <c:pt idx="392">
                  <c:v>8.7751561462814096E-4</c:v>
                </c:pt>
                <c:pt idx="393">
                  <c:v>9.4243967213574528E-4</c:v>
                </c:pt>
                <c:pt idx="394">
                  <c:v>8.825089422832491E-4</c:v>
                </c:pt>
                <c:pt idx="395">
                  <c:v>1.041874647078582E-3</c:v>
                </c:pt>
                <c:pt idx="396">
                  <c:v>1.0729999694783592E-3</c:v>
                </c:pt>
                <c:pt idx="397">
                  <c:v>8.501555075765561E-4</c:v>
                </c:pt>
                <c:pt idx="398">
                  <c:v>7.1019717157999173E-4</c:v>
                </c:pt>
                <c:pt idx="399">
                  <c:v>9.8507041407202146E-4</c:v>
                </c:pt>
                <c:pt idx="400">
                  <c:v>1.01436002237049E-3</c:v>
                </c:pt>
                <c:pt idx="401">
                  <c:v>7.3087311023176701E-4</c:v>
                </c:pt>
                <c:pt idx="402">
                  <c:v>1.0139024232053912E-3</c:v>
                </c:pt>
                <c:pt idx="403">
                  <c:v>7.9552138301292714E-4</c:v>
                </c:pt>
                <c:pt idx="404">
                  <c:v>8.2217972743937418E-4</c:v>
                </c:pt>
                <c:pt idx="405">
                  <c:v>9.5426476530669543E-4</c:v>
                </c:pt>
                <c:pt idx="406">
                  <c:v>7.7762707158503068E-4</c:v>
                </c:pt>
                <c:pt idx="407">
                  <c:v>8.0998967809291114E-4</c:v>
                </c:pt>
                <c:pt idx="408">
                  <c:v>9.9467058556368003E-4</c:v>
                </c:pt>
                <c:pt idx="409">
                  <c:v>8.0558237629685273E-4</c:v>
                </c:pt>
                <c:pt idx="410">
                  <c:v>9.2031847842808886E-4</c:v>
                </c:pt>
                <c:pt idx="411">
                  <c:v>8.9834826308174615E-4</c:v>
                </c:pt>
                <c:pt idx="412">
                  <c:v>9.4252318065949172E-4</c:v>
                </c:pt>
                <c:pt idx="413">
                  <c:v>9.6885015020502718E-4</c:v>
                </c:pt>
                <c:pt idx="414">
                  <c:v>9.8311683660588572E-4</c:v>
                </c:pt>
                <c:pt idx="415">
                  <c:v>9.0917219505612791E-4</c:v>
                </c:pt>
                <c:pt idx="416">
                  <c:v>8.4232098914929169E-4</c:v>
                </c:pt>
                <c:pt idx="417">
                  <c:v>1.106794027082399E-3</c:v>
                </c:pt>
                <c:pt idx="418">
                  <c:v>7.9177020195450956E-4</c:v>
                </c:pt>
                <c:pt idx="419">
                  <c:v>8.8229978477165805E-4</c:v>
                </c:pt>
                <c:pt idx="420">
                  <c:v>8.3526703094849561E-4</c:v>
                </c:pt>
                <c:pt idx="421">
                  <c:v>9.7559274815498518E-4</c:v>
                </c:pt>
                <c:pt idx="422">
                  <c:v>9.1657150852031768E-4</c:v>
                </c:pt>
                <c:pt idx="423">
                  <c:v>8.9674033572915198E-4</c:v>
                </c:pt>
                <c:pt idx="424">
                  <c:v>1.0348981232584694E-3</c:v>
                </c:pt>
                <c:pt idx="425">
                  <c:v>8.2937804400019842E-4</c:v>
                </c:pt>
                <c:pt idx="426">
                  <c:v>8.3173904880690292E-4</c:v>
                </c:pt>
                <c:pt idx="427">
                  <c:v>8.2173927899166098E-4</c:v>
                </c:pt>
                <c:pt idx="428">
                  <c:v>9.194311890056866E-4</c:v>
                </c:pt>
                <c:pt idx="429">
                  <c:v>1.2295853110851796E-3</c:v>
                </c:pt>
                <c:pt idx="430">
                  <c:v>1.0347933574625821E-3</c:v>
                </c:pt>
                <c:pt idx="431">
                  <c:v>1.205131403350909E-3</c:v>
                </c:pt>
                <c:pt idx="432">
                  <c:v>8.1068935483750288E-4</c:v>
                </c:pt>
                <c:pt idx="433">
                  <c:v>8.5080700876698505E-4</c:v>
                </c:pt>
                <c:pt idx="434">
                  <c:v>1.2490329726824274E-3</c:v>
                </c:pt>
                <c:pt idx="435">
                  <c:v>9.4359290305749948E-4</c:v>
                </c:pt>
                <c:pt idx="436">
                  <c:v>9.9469533986282568E-4</c:v>
                </c:pt>
                <c:pt idx="437">
                  <c:v>7.6120309409643584E-4</c:v>
                </c:pt>
                <c:pt idx="438">
                  <c:v>6.6147903508814222E-4</c:v>
                </c:pt>
                <c:pt idx="439">
                  <c:v>9.864857948485785E-4</c:v>
                </c:pt>
                <c:pt idx="440">
                  <c:v>9.5713237923018043E-4</c:v>
                </c:pt>
                <c:pt idx="441">
                  <c:v>7.8143690152410205E-4</c:v>
                </c:pt>
                <c:pt idx="442">
                  <c:v>9.5067491445358023E-4</c:v>
                </c:pt>
                <c:pt idx="443">
                  <c:v>1.0574907777504703E-3</c:v>
                </c:pt>
                <c:pt idx="444">
                  <c:v>1.227312632264868E-3</c:v>
                </c:pt>
                <c:pt idx="445">
                  <c:v>1.1704959291098977E-3</c:v>
                </c:pt>
                <c:pt idx="446">
                  <c:v>8.7519919438484059E-4</c:v>
                </c:pt>
                <c:pt idx="447">
                  <c:v>9.8845700742256157E-4</c:v>
                </c:pt>
                <c:pt idx="448">
                  <c:v>1.036449796416721E-3</c:v>
                </c:pt>
                <c:pt idx="449">
                  <c:v>1.0616534593963617E-3</c:v>
                </c:pt>
                <c:pt idx="450">
                  <c:v>1.0353591611889303E-3</c:v>
                </c:pt>
                <c:pt idx="451">
                  <c:v>8.4231420427330187E-4</c:v>
                </c:pt>
                <c:pt idx="452">
                  <c:v>9.0725812675731838E-4</c:v>
                </c:pt>
                <c:pt idx="453">
                  <c:v>1.0232944911304019E-3</c:v>
                </c:pt>
                <c:pt idx="454">
                  <c:v>9.3759411722881751E-4</c:v>
                </c:pt>
                <c:pt idx="455">
                  <c:v>9.054253389085159E-4</c:v>
                </c:pt>
                <c:pt idx="456">
                  <c:v>8.4042152379960595E-4</c:v>
                </c:pt>
                <c:pt idx="457">
                  <c:v>8.9585116516051702E-4</c:v>
                </c:pt>
                <c:pt idx="458">
                  <c:v>8.7493229894678132E-4</c:v>
                </c:pt>
                <c:pt idx="459">
                  <c:v>8.6922762100074429E-4</c:v>
                </c:pt>
                <c:pt idx="460">
                  <c:v>9.9074886025500358E-4</c:v>
                </c:pt>
                <c:pt idx="461">
                  <c:v>9.2905844542159649E-4</c:v>
                </c:pt>
                <c:pt idx="462">
                  <c:v>9.6656467875719557E-4</c:v>
                </c:pt>
                <c:pt idx="463">
                  <c:v>9.5620505474790967E-4</c:v>
                </c:pt>
                <c:pt idx="464">
                  <c:v>9.4354989034708655E-4</c:v>
                </c:pt>
                <c:pt idx="465">
                  <c:v>1.1360901709725143E-3</c:v>
                </c:pt>
                <c:pt idx="466">
                  <c:v>1.001356394080138E-3</c:v>
                </c:pt>
                <c:pt idx="467">
                  <c:v>1.1442928302210194E-3</c:v>
                </c:pt>
                <c:pt idx="468">
                  <c:v>1.0198439937135757E-3</c:v>
                </c:pt>
                <c:pt idx="469">
                  <c:v>8.8015871123045238E-4</c:v>
                </c:pt>
                <c:pt idx="470">
                  <c:v>9.6248551448291548E-4</c:v>
                </c:pt>
                <c:pt idx="471">
                  <c:v>9.8992527989969609E-4</c:v>
                </c:pt>
                <c:pt idx="472">
                  <c:v>8.3046580631801275E-4</c:v>
                </c:pt>
                <c:pt idx="473">
                  <c:v>8.9482826758681216E-4</c:v>
                </c:pt>
                <c:pt idx="474">
                  <c:v>1.0332990863537921E-3</c:v>
                </c:pt>
                <c:pt idx="475">
                  <c:v>7.7290207220589622E-4</c:v>
                </c:pt>
                <c:pt idx="476">
                  <c:v>9.144361649805903E-4</c:v>
                </c:pt>
                <c:pt idx="477">
                  <c:v>7.9585661043726742E-4</c:v>
                </c:pt>
                <c:pt idx="478">
                  <c:v>8.1412238154468205E-4</c:v>
                </c:pt>
                <c:pt idx="479">
                  <c:v>9.5093150057738826E-4</c:v>
                </c:pt>
                <c:pt idx="480">
                  <c:v>9.2089126283153926E-4</c:v>
                </c:pt>
                <c:pt idx="481">
                  <c:v>1.0268681193268787E-3</c:v>
                </c:pt>
                <c:pt idx="482">
                  <c:v>1.1368446262060565E-3</c:v>
                </c:pt>
                <c:pt idx="483">
                  <c:v>8.8491555652074627E-4</c:v>
                </c:pt>
                <c:pt idx="484">
                  <c:v>8.4783017604913745E-4</c:v>
                </c:pt>
                <c:pt idx="485">
                  <c:v>9.262563088503255E-4</c:v>
                </c:pt>
                <c:pt idx="486">
                  <c:v>7.892920457448488E-4</c:v>
                </c:pt>
                <c:pt idx="487">
                  <c:v>1.0014312053270873E-3</c:v>
                </c:pt>
                <c:pt idx="488">
                  <c:v>9.393161541579086E-4</c:v>
                </c:pt>
                <c:pt idx="489">
                  <c:v>7.8194674762289192E-4</c:v>
                </c:pt>
                <c:pt idx="490">
                  <c:v>8.7418914174980399E-4</c:v>
                </c:pt>
                <c:pt idx="491">
                  <c:v>7.1813781676573533E-4</c:v>
                </c:pt>
                <c:pt idx="492">
                  <c:v>1.1214225766536367E-3</c:v>
                </c:pt>
                <c:pt idx="493">
                  <c:v>1.0620359196399265E-3</c:v>
                </c:pt>
                <c:pt idx="494">
                  <c:v>1.043397535331657E-3</c:v>
                </c:pt>
                <c:pt idx="495">
                  <c:v>7.813936086272028E-4</c:v>
                </c:pt>
                <c:pt idx="496">
                  <c:v>8.5583726537287127E-4</c:v>
                </c:pt>
                <c:pt idx="497">
                  <c:v>9.7800662574803435E-4</c:v>
                </c:pt>
                <c:pt idx="498">
                  <c:v>7.4923960475140093E-4</c:v>
                </c:pt>
                <c:pt idx="499">
                  <c:v>9.277742615353443E-4</c:v>
                </c:pt>
                <c:pt idx="500">
                  <c:v>9.9688529069586851E-4</c:v>
                </c:pt>
                <c:pt idx="501">
                  <c:v>9.988305519207472E-4</c:v>
                </c:pt>
                <c:pt idx="502">
                  <c:v>8.1041320653869257E-4</c:v>
                </c:pt>
                <c:pt idx="503">
                  <c:v>9.8802894771369437E-4</c:v>
                </c:pt>
                <c:pt idx="504">
                  <c:v>1.0409421060817354E-3</c:v>
                </c:pt>
                <c:pt idx="505">
                  <c:v>8.6524456620779011E-4</c:v>
                </c:pt>
                <c:pt idx="506">
                  <c:v>7.5353304302705048E-4</c:v>
                </c:pt>
                <c:pt idx="507">
                  <c:v>1.0246335499776772E-3</c:v>
                </c:pt>
                <c:pt idx="508">
                  <c:v>1.0599795493826661E-3</c:v>
                </c:pt>
                <c:pt idx="509">
                  <c:v>9.817583410400765E-4</c:v>
                </c:pt>
                <c:pt idx="510">
                  <c:v>9.3314116066823692E-4</c:v>
                </c:pt>
                <c:pt idx="511">
                  <c:v>9.0079035968946078E-4</c:v>
                </c:pt>
                <c:pt idx="512">
                  <c:v>1.0313252461051112E-3</c:v>
                </c:pt>
                <c:pt idx="513">
                  <c:v>8.9270014133829129E-4</c:v>
                </c:pt>
                <c:pt idx="514">
                  <c:v>1.0496304970778259E-3</c:v>
                </c:pt>
                <c:pt idx="515">
                  <c:v>1.0668518686694729E-3</c:v>
                </c:pt>
                <c:pt idx="516">
                  <c:v>1.0011243867441709E-3</c:v>
                </c:pt>
                <c:pt idx="517">
                  <c:v>9.0772778504983004E-4</c:v>
                </c:pt>
                <c:pt idx="518">
                  <c:v>9.2865051838452806E-4</c:v>
                </c:pt>
                <c:pt idx="519">
                  <c:v>8.7663729117939829E-4</c:v>
                </c:pt>
                <c:pt idx="520">
                  <c:v>8.3667307323942268E-4</c:v>
                </c:pt>
                <c:pt idx="521">
                  <c:v>9.4673768112110983E-4</c:v>
                </c:pt>
                <c:pt idx="522">
                  <c:v>8.682866435011776E-4</c:v>
                </c:pt>
                <c:pt idx="523">
                  <c:v>8.3763826660348368E-4</c:v>
                </c:pt>
                <c:pt idx="524">
                  <c:v>9.5343067011453993E-4</c:v>
                </c:pt>
                <c:pt idx="525">
                  <c:v>9.9990046753687376E-4</c:v>
                </c:pt>
                <c:pt idx="526">
                  <c:v>9.7115782426141308E-4</c:v>
                </c:pt>
                <c:pt idx="527">
                  <c:v>9.9377803904879053E-4</c:v>
                </c:pt>
                <c:pt idx="528">
                  <c:v>1.0300290016578241E-3</c:v>
                </c:pt>
                <c:pt idx="529">
                  <c:v>7.6878930072446115E-4</c:v>
                </c:pt>
                <c:pt idx="530">
                  <c:v>9.844416326808777E-4</c:v>
                </c:pt>
                <c:pt idx="531">
                  <c:v>8.670996128170344E-4</c:v>
                </c:pt>
                <c:pt idx="532">
                  <c:v>8.9135027141178374E-4</c:v>
                </c:pt>
                <c:pt idx="533">
                  <c:v>8.4962041707702064E-4</c:v>
                </c:pt>
                <c:pt idx="534">
                  <c:v>9.5977508044825402E-4</c:v>
                </c:pt>
                <c:pt idx="535">
                  <c:v>9.2674210047756793E-4</c:v>
                </c:pt>
                <c:pt idx="536">
                  <c:v>9.2601044429728387E-4</c:v>
                </c:pt>
                <c:pt idx="537">
                  <c:v>1.101008027753421E-3</c:v>
                </c:pt>
                <c:pt idx="538">
                  <c:v>1.0266133342433331E-3</c:v>
                </c:pt>
                <c:pt idx="539">
                  <c:v>9.2123587169907052E-4</c:v>
                </c:pt>
                <c:pt idx="540">
                  <c:v>9.6628049152162041E-4</c:v>
                </c:pt>
                <c:pt idx="541">
                  <c:v>7.4685965549833985E-4</c:v>
                </c:pt>
                <c:pt idx="542">
                  <c:v>7.7499007233534597E-4</c:v>
                </c:pt>
                <c:pt idx="543">
                  <c:v>9.7909990529966356E-4</c:v>
                </c:pt>
                <c:pt idx="544">
                  <c:v>9.2389985510185776E-4</c:v>
                </c:pt>
                <c:pt idx="545">
                  <c:v>8.6332161805002339E-4</c:v>
                </c:pt>
                <c:pt idx="546">
                  <c:v>9.6759605335385458E-4</c:v>
                </c:pt>
                <c:pt idx="547">
                  <c:v>1.0344225563555154E-3</c:v>
                </c:pt>
                <c:pt idx="548">
                  <c:v>1.0931033568803484E-3</c:v>
                </c:pt>
                <c:pt idx="549">
                  <c:v>8.9742588080481893E-4</c:v>
                </c:pt>
                <c:pt idx="550">
                  <c:v>1.0688959426087593E-3</c:v>
                </c:pt>
                <c:pt idx="551">
                  <c:v>1.1228532689380117E-3</c:v>
                </c:pt>
                <c:pt idx="552">
                  <c:v>6.8366181710069929E-4</c:v>
                </c:pt>
                <c:pt idx="553">
                  <c:v>9.2284779102298081E-4</c:v>
                </c:pt>
                <c:pt idx="554">
                  <c:v>9.4721937251050184E-4</c:v>
                </c:pt>
                <c:pt idx="555">
                  <c:v>1.0446417712250192E-3</c:v>
                </c:pt>
                <c:pt idx="556">
                  <c:v>9.8375676053970794E-4</c:v>
                </c:pt>
                <c:pt idx="557">
                  <c:v>8.6244044768383338E-4</c:v>
                </c:pt>
                <c:pt idx="558">
                  <c:v>9.571654543730154E-4</c:v>
                </c:pt>
                <c:pt idx="559">
                  <c:v>7.555517900056743E-4</c:v>
                </c:pt>
                <c:pt idx="560">
                  <c:v>9.0530208305566822E-4</c:v>
                </c:pt>
                <c:pt idx="561">
                  <c:v>1.0062492643552283E-3</c:v>
                </c:pt>
                <c:pt idx="562">
                  <c:v>8.9760016977115864E-4</c:v>
                </c:pt>
                <c:pt idx="563">
                  <c:v>7.9526100878286464E-4</c:v>
                </c:pt>
                <c:pt idx="564">
                  <c:v>8.0572048753798091E-4</c:v>
                </c:pt>
                <c:pt idx="565">
                  <c:v>8.5099872428566654E-4</c:v>
                </c:pt>
                <c:pt idx="566">
                  <c:v>9.4184884027774269E-4</c:v>
                </c:pt>
                <c:pt idx="567">
                  <c:v>9.3227428871064185E-4</c:v>
                </c:pt>
                <c:pt idx="568">
                  <c:v>9.0953316767096318E-4</c:v>
                </c:pt>
                <c:pt idx="569">
                  <c:v>1.0385594316522804E-3</c:v>
                </c:pt>
                <c:pt idx="570">
                  <c:v>9.1507580873550283E-4</c:v>
                </c:pt>
                <c:pt idx="571">
                  <c:v>1.1709713373580424E-3</c:v>
                </c:pt>
                <c:pt idx="572">
                  <c:v>8.0174067176707014E-4</c:v>
                </c:pt>
                <c:pt idx="573">
                  <c:v>1.1735804098057484E-3</c:v>
                </c:pt>
                <c:pt idx="574">
                  <c:v>8.8921999817551296E-4</c:v>
                </c:pt>
                <c:pt idx="575">
                  <c:v>8.1839957233453917E-4</c:v>
                </c:pt>
                <c:pt idx="576">
                  <c:v>8.6299189210852336E-4</c:v>
                </c:pt>
                <c:pt idx="577">
                  <c:v>1.0164001379381899E-3</c:v>
                </c:pt>
                <c:pt idx="578">
                  <c:v>8.6421821460663285E-4</c:v>
                </c:pt>
                <c:pt idx="579">
                  <c:v>8.7309638060856665E-4</c:v>
                </c:pt>
                <c:pt idx="580">
                  <c:v>1.0040843795088921E-3</c:v>
                </c:pt>
                <c:pt idx="581">
                  <c:v>9.43272342041909E-4</c:v>
                </c:pt>
                <c:pt idx="582">
                  <c:v>8.834624708384095E-4</c:v>
                </c:pt>
                <c:pt idx="583">
                  <c:v>1.0407924085825257E-3</c:v>
                </c:pt>
                <c:pt idx="584">
                  <c:v>1.0120454066024596E-3</c:v>
                </c:pt>
                <c:pt idx="585">
                  <c:v>7.6601055032012185E-4</c:v>
                </c:pt>
                <c:pt idx="586">
                  <c:v>8.3002747527606666E-4</c:v>
                </c:pt>
                <c:pt idx="587">
                  <c:v>1.0943784737144603E-3</c:v>
                </c:pt>
                <c:pt idx="588">
                  <c:v>9.0283519832851068E-4</c:v>
                </c:pt>
                <c:pt idx="589">
                  <c:v>1.0601006569596145E-3</c:v>
                </c:pt>
                <c:pt idx="590">
                  <c:v>1.1274790649082064E-3</c:v>
                </c:pt>
                <c:pt idx="591">
                  <c:v>1.0136090511311798E-3</c:v>
                </c:pt>
                <c:pt idx="592">
                  <c:v>1.069399483394642E-3</c:v>
                </c:pt>
                <c:pt idx="593">
                  <c:v>8.5050245648197131E-4</c:v>
                </c:pt>
                <c:pt idx="594">
                  <c:v>9.6778928723531121E-4</c:v>
                </c:pt>
                <c:pt idx="595">
                  <c:v>9.3149807565420187E-4</c:v>
                </c:pt>
                <c:pt idx="596">
                  <c:v>9.5230466139972954E-4</c:v>
                </c:pt>
                <c:pt idx="597">
                  <c:v>9.2831906254274815E-4</c:v>
                </c:pt>
                <c:pt idx="598">
                  <c:v>9.2612993013002892E-4</c:v>
                </c:pt>
                <c:pt idx="599">
                  <c:v>8.4481113817539159E-4</c:v>
                </c:pt>
                <c:pt idx="600">
                  <c:v>9.481011829269065E-4</c:v>
                </c:pt>
                <c:pt idx="601">
                  <c:v>8.9956513727281124E-4</c:v>
                </c:pt>
                <c:pt idx="602">
                  <c:v>9.0751381515709524E-4</c:v>
                </c:pt>
                <c:pt idx="603">
                  <c:v>6.7478957791590184E-4</c:v>
                </c:pt>
                <c:pt idx="604">
                  <c:v>8.5482026600874059E-4</c:v>
                </c:pt>
                <c:pt idx="605">
                  <c:v>9.5894103528845753E-4</c:v>
                </c:pt>
                <c:pt idx="606">
                  <c:v>9.682673811716243E-4</c:v>
                </c:pt>
                <c:pt idx="607">
                  <c:v>1.099310225243869E-3</c:v>
                </c:pt>
                <c:pt idx="608">
                  <c:v>8.3248770677028664E-4</c:v>
                </c:pt>
                <c:pt idx="609">
                  <c:v>9.2336832302158554E-4</c:v>
                </c:pt>
                <c:pt idx="610">
                  <c:v>9.4380221553665448E-4</c:v>
                </c:pt>
                <c:pt idx="611">
                  <c:v>1.0601357897080828E-3</c:v>
                </c:pt>
                <c:pt idx="612">
                  <c:v>9.6466224365003431E-4</c:v>
                </c:pt>
                <c:pt idx="613">
                  <c:v>8.7330206943773449E-4</c:v>
                </c:pt>
                <c:pt idx="614">
                  <c:v>9.9961737365854612E-4</c:v>
                </c:pt>
                <c:pt idx="615">
                  <c:v>7.0243648832576965E-4</c:v>
                </c:pt>
                <c:pt idx="616">
                  <c:v>1.0073774115896719E-3</c:v>
                </c:pt>
                <c:pt idx="617">
                  <c:v>8.719075559249093E-4</c:v>
                </c:pt>
                <c:pt idx="618">
                  <c:v>1.0896662137690322E-3</c:v>
                </c:pt>
                <c:pt idx="619">
                  <c:v>9.4732839951562901E-4</c:v>
                </c:pt>
                <c:pt idx="620">
                  <c:v>9.3618514670638572E-4</c:v>
                </c:pt>
                <c:pt idx="621">
                  <c:v>1.1132364672107908E-3</c:v>
                </c:pt>
                <c:pt idx="622">
                  <c:v>1.0760239003265418E-3</c:v>
                </c:pt>
                <c:pt idx="623">
                  <c:v>7.3803037829315795E-4</c:v>
                </c:pt>
                <c:pt idx="624">
                  <c:v>9.9673583436566348E-4</c:v>
                </c:pt>
                <c:pt idx="625">
                  <c:v>7.8201779257158321E-4</c:v>
                </c:pt>
                <c:pt idx="626">
                  <c:v>9.6265560564124178E-4</c:v>
                </c:pt>
                <c:pt idx="627">
                  <c:v>9.5377111704184417E-4</c:v>
                </c:pt>
                <c:pt idx="628">
                  <c:v>1.1121956634639538E-3</c:v>
                </c:pt>
                <c:pt idx="629">
                  <c:v>9.593856012210044E-4</c:v>
                </c:pt>
                <c:pt idx="630">
                  <c:v>7.9276341042832776E-4</c:v>
                </c:pt>
                <c:pt idx="631">
                  <c:v>9.567951999697881E-4</c:v>
                </c:pt>
                <c:pt idx="632">
                  <c:v>9.7736795037989634E-4</c:v>
                </c:pt>
                <c:pt idx="633">
                  <c:v>7.4268921957980198E-4</c:v>
                </c:pt>
                <c:pt idx="634">
                  <c:v>1.0863102411051977E-3</c:v>
                </c:pt>
                <c:pt idx="635">
                  <c:v>8.5622159796557441E-4</c:v>
                </c:pt>
                <c:pt idx="636">
                  <c:v>1.0797928891552529E-3</c:v>
                </c:pt>
                <c:pt idx="637">
                  <c:v>9.2603508468360666E-4</c:v>
                </c:pt>
                <c:pt idx="638">
                  <c:v>1.0059107194549685E-3</c:v>
                </c:pt>
                <c:pt idx="639">
                  <c:v>8.2827009186923995E-4</c:v>
                </c:pt>
                <c:pt idx="640">
                  <c:v>8.5796478217182624E-4</c:v>
                </c:pt>
                <c:pt idx="641">
                  <c:v>1.033409104117548E-3</c:v>
                </c:pt>
                <c:pt idx="642">
                  <c:v>9.5910958402654217E-4</c:v>
                </c:pt>
                <c:pt idx="643">
                  <c:v>9.3672531644278182E-4</c:v>
                </c:pt>
                <c:pt idx="644">
                  <c:v>7.7188105621284078E-4</c:v>
                </c:pt>
                <c:pt idx="645">
                  <c:v>7.9679849313697433E-4</c:v>
                </c:pt>
                <c:pt idx="646">
                  <c:v>8.9482572680212372E-4</c:v>
                </c:pt>
                <c:pt idx="647">
                  <c:v>9.2478769248823781E-4</c:v>
                </c:pt>
                <c:pt idx="648">
                  <c:v>9.8808953545398166E-4</c:v>
                </c:pt>
                <c:pt idx="649">
                  <c:v>8.3734570504720885E-4</c:v>
                </c:pt>
                <c:pt idx="650">
                  <c:v>9.1887919777886517E-4</c:v>
                </c:pt>
                <c:pt idx="651">
                  <c:v>9.785465730857213E-4</c:v>
                </c:pt>
                <c:pt idx="652">
                  <c:v>9.0935174015922609E-4</c:v>
                </c:pt>
                <c:pt idx="653">
                  <c:v>8.8427969262036121E-4</c:v>
                </c:pt>
                <c:pt idx="654">
                  <c:v>1.0475911153880954E-3</c:v>
                </c:pt>
                <c:pt idx="655">
                  <c:v>9.5490712145522539E-4</c:v>
                </c:pt>
                <c:pt idx="656">
                  <c:v>9.4004797539316051E-4</c:v>
                </c:pt>
                <c:pt idx="657">
                  <c:v>1.0043708766819047E-3</c:v>
                </c:pt>
                <c:pt idx="658">
                  <c:v>7.5652860095690329E-4</c:v>
                </c:pt>
                <c:pt idx="659">
                  <c:v>9.6083012339273177E-4</c:v>
                </c:pt>
                <c:pt idx="660">
                  <c:v>8.3059743394037417E-4</c:v>
                </c:pt>
                <c:pt idx="661">
                  <c:v>1.0737268090781267E-3</c:v>
                </c:pt>
                <c:pt idx="662">
                  <c:v>8.2912814195416928E-4</c:v>
                </c:pt>
                <c:pt idx="663">
                  <c:v>8.7638129421974045E-4</c:v>
                </c:pt>
                <c:pt idx="664">
                  <c:v>9.2199996618339778E-4</c:v>
                </c:pt>
                <c:pt idx="665">
                  <c:v>1.1427511328594053E-3</c:v>
                </c:pt>
                <c:pt idx="666">
                  <c:v>1.0590226326397582E-3</c:v>
                </c:pt>
                <c:pt idx="667">
                  <c:v>1.0214022602050719E-3</c:v>
                </c:pt>
                <c:pt idx="668">
                  <c:v>1.0791706563750638E-3</c:v>
                </c:pt>
                <c:pt idx="669">
                  <c:v>1.0521452663091561E-3</c:v>
                </c:pt>
                <c:pt idx="670">
                  <c:v>9.9721953427912846E-4</c:v>
                </c:pt>
                <c:pt idx="671">
                  <c:v>9.8536295035342274E-4</c:v>
                </c:pt>
                <c:pt idx="672">
                  <c:v>1.2039403120050758E-3</c:v>
                </c:pt>
                <c:pt idx="673">
                  <c:v>9.6557139105087324E-4</c:v>
                </c:pt>
                <c:pt idx="674">
                  <c:v>7.6143504323145106E-4</c:v>
                </c:pt>
                <c:pt idx="675">
                  <c:v>7.9973135316117091E-4</c:v>
                </c:pt>
                <c:pt idx="676">
                  <c:v>9.5747839749694291E-4</c:v>
                </c:pt>
                <c:pt idx="677">
                  <c:v>7.6575852853418144E-4</c:v>
                </c:pt>
                <c:pt idx="678">
                  <c:v>9.6479118191084327E-4</c:v>
                </c:pt>
                <c:pt idx="679">
                  <c:v>8.088624526591049E-4</c:v>
                </c:pt>
                <c:pt idx="680">
                  <c:v>9.4715697546495447E-4</c:v>
                </c:pt>
                <c:pt idx="681">
                  <c:v>9.2159090406795897E-4</c:v>
                </c:pt>
                <c:pt idx="682">
                  <c:v>8.4270428488619764E-4</c:v>
                </c:pt>
                <c:pt idx="683">
                  <c:v>8.3749798962400696E-4</c:v>
                </c:pt>
                <c:pt idx="684">
                  <c:v>9.8419493206999245E-4</c:v>
                </c:pt>
                <c:pt idx="685">
                  <c:v>9.3213410628053769E-4</c:v>
                </c:pt>
                <c:pt idx="686">
                  <c:v>1.0253179408235883E-3</c:v>
                </c:pt>
                <c:pt idx="687">
                  <c:v>6.8477955396577901E-4</c:v>
                </c:pt>
                <c:pt idx="688">
                  <c:v>8.5290526144953926E-4</c:v>
                </c:pt>
                <c:pt idx="689">
                  <c:v>9.9507561325634284E-4</c:v>
                </c:pt>
                <c:pt idx="690">
                  <c:v>7.6947415161525347E-4</c:v>
                </c:pt>
                <c:pt idx="691">
                  <c:v>7.1725288466186973E-4</c:v>
                </c:pt>
                <c:pt idx="692">
                  <c:v>8.9276570330528934E-4</c:v>
                </c:pt>
                <c:pt idx="693">
                  <c:v>9.9665530743066116E-4</c:v>
                </c:pt>
                <c:pt idx="694">
                  <c:v>9.0280446638460097E-4</c:v>
                </c:pt>
                <c:pt idx="695">
                  <c:v>6.6647184469318082E-4</c:v>
                </c:pt>
                <c:pt idx="696">
                  <c:v>8.2322077119618368E-4</c:v>
                </c:pt>
                <c:pt idx="697">
                  <c:v>1.0142512543154165E-3</c:v>
                </c:pt>
                <c:pt idx="698">
                  <c:v>9.8638649610550966E-4</c:v>
                </c:pt>
                <c:pt idx="699">
                  <c:v>9.5002694611394357E-4</c:v>
                </c:pt>
                <c:pt idx="700">
                  <c:v>1.0259505672483196E-3</c:v>
                </c:pt>
                <c:pt idx="701">
                  <c:v>9.0118444494942667E-4</c:v>
                </c:pt>
                <c:pt idx="702">
                  <c:v>8.6139416024672228E-4</c:v>
                </c:pt>
                <c:pt idx="703">
                  <c:v>1.0213870794393799E-3</c:v>
                </c:pt>
                <c:pt idx="704">
                  <c:v>8.8366470441062406E-4</c:v>
                </c:pt>
                <c:pt idx="705">
                  <c:v>7.8916934141474288E-4</c:v>
                </c:pt>
                <c:pt idx="706">
                  <c:v>8.0144277609968753E-4</c:v>
                </c:pt>
                <c:pt idx="707">
                  <c:v>9.5442786588850444E-4</c:v>
                </c:pt>
                <c:pt idx="708">
                  <c:v>7.828955125636297E-4</c:v>
                </c:pt>
                <c:pt idx="709">
                  <c:v>9.4354674423097261E-4</c:v>
                </c:pt>
                <c:pt idx="710">
                  <c:v>8.3445482078569548E-4</c:v>
                </c:pt>
                <c:pt idx="711">
                  <c:v>8.6628312952483999E-4</c:v>
                </c:pt>
                <c:pt idx="712">
                  <c:v>9.4585351728941136E-4</c:v>
                </c:pt>
                <c:pt idx="713">
                  <c:v>9.5341878544741103E-4</c:v>
                </c:pt>
                <c:pt idx="714">
                  <c:v>1.0135382557304952E-3</c:v>
                </c:pt>
                <c:pt idx="715">
                  <c:v>9.2167126012590486E-4</c:v>
                </c:pt>
                <c:pt idx="716">
                  <c:v>8.3813003983492396E-4</c:v>
                </c:pt>
                <c:pt idx="717">
                  <c:v>9.0877521277782066E-4</c:v>
                </c:pt>
                <c:pt idx="718">
                  <c:v>9.9734136761664123E-4</c:v>
                </c:pt>
                <c:pt idx="719">
                  <c:v>9.1529357904345844E-4</c:v>
                </c:pt>
                <c:pt idx="720">
                  <c:v>9.5164820756149277E-4</c:v>
                </c:pt>
                <c:pt idx="721">
                  <c:v>8.9262359345874996E-4</c:v>
                </c:pt>
                <c:pt idx="722">
                  <c:v>1.0680308918046609E-3</c:v>
                </c:pt>
                <c:pt idx="723">
                  <c:v>9.2107516014928938E-4</c:v>
                </c:pt>
                <c:pt idx="724">
                  <c:v>1.0144609655170687E-3</c:v>
                </c:pt>
                <c:pt idx="725">
                  <c:v>1.0639060419375065E-3</c:v>
                </c:pt>
                <c:pt idx="726">
                  <c:v>9.2642599010051756E-4</c:v>
                </c:pt>
                <c:pt idx="727">
                  <c:v>1.0955219714561949E-3</c:v>
                </c:pt>
                <c:pt idx="728">
                  <c:v>8.020506673465553E-4</c:v>
                </c:pt>
                <c:pt idx="729">
                  <c:v>8.5532602743377715E-4</c:v>
                </c:pt>
                <c:pt idx="730">
                  <c:v>7.7130073142673097E-4</c:v>
                </c:pt>
                <c:pt idx="731">
                  <c:v>1.0930515897985976E-3</c:v>
                </c:pt>
                <c:pt idx="732">
                  <c:v>1.0048348458050658E-3</c:v>
                </c:pt>
                <c:pt idx="733">
                  <c:v>1.02236232318064E-3</c:v>
                </c:pt>
                <c:pt idx="734">
                  <c:v>9.5661939492955046E-4</c:v>
                </c:pt>
                <c:pt idx="735">
                  <c:v>1.0613671472841123E-3</c:v>
                </c:pt>
                <c:pt idx="736">
                  <c:v>9.3347765552275808E-4</c:v>
                </c:pt>
                <c:pt idx="737">
                  <c:v>8.7664390574446692E-4</c:v>
                </c:pt>
                <c:pt idx="738">
                  <c:v>7.8441800766059725E-4</c:v>
                </c:pt>
                <c:pt idx="739">
                  <c:v>9.8343389435310473E-4</c:v>
                </c:pt>
                <c:pt idx="740">
                  <c:v>9.6421752187338529E-4</c:v>
                </c:pt>
                <c:pt idx="741">
                  <c:v>1.0838154069693197E-3</c:v>
                </c:pt>
                <c:pt idx="742">
                  <c:v>1.101555042609321E-3</c:v>
                </c:pt>
                <c:pt idx="743">
                  <c:v>1.0235975886417514E-3</c:v>
                </c:pt>
                <c:pt idx="744">
                  <c:v>9.0176286285661425E-4</c:v>
                </c:pt>
                <c:pt idx="745">
                  <c:v>8.359756861466899E-4</c:v>
                </c:pt>
                <c:pt idx="746">
                  <c:v>9.7826717761215079E-4</c:v>
                </c:pt>
                <c:pt idx="747">
                  <c:v>1.0955443569393227E-3</c:v>
                </c:pt>
                <c:pt idx="748">
                  <c:v>1.0173732613625573E-3</c:v>
                </c:pt>
                <c:pt idx="749">
                  <c:v>9.4778719485207681E-4</c:v>
                </c:pt>
                <c:pt idx="750">
                  <c:v>8.2335140421692962E-4</c:v>
                </c:pt>
                <c:pt idx="751">
                  <c:v>8.6661262173495161E-4</c:v>
                </c:pt>
                <c:pt idx="752">
                  <c:v>9.9571620233126004E-4</c:v>
                </c:pt>
                <c:pt idx="753">
                  <c:v>1.1082920611612476E-3</c:v>
                </c:pt>
                <c:pt idx="754">
                  <c:v>1.2054669476044371E-3</c:v>
                </c:pt>
                <c:pt idx="755">
                  <c:v>8.5164695143257927E-4</c:v>
                </c:pt>
                <c:pt idx="756">
                  <c:v>6.9517675952551717E-4</c:v>
                </c:pt>
                <c:pt idx="757">
                  <c:v>1.0348327672437126E-3</c:v>
                </c:pt>
                <c:pt idx="758">
                  <c:v>8.2683304955938569E-4</c:v>
                </c:pt>
                <c:pt idx="759">
                  <c:v>9.3330963955349437E-4</c:v>
                </c:pt>
                <c:pt idx="760">
                  <c:v>8.787068784174431E-4</c:v>
                </c:pt>
                <c:pt idx="761">
                  <c:v>1.0556645448391005E-3</c:v>
                </c:pt>
                <c:pt idx="762">
                  <c:v>9.4807507924906417E-4</c:v>
                </c:pt>
                <c:pt idx="763">
                  <c:v>9.1736719674414071E-4</c:v>
                </c:pt>
                <c:pt idx="764">
                  <c:v>9.4729702626603106E-4</c:v>
                </c:pt>
                <c:pt idx="765">
                  <c:v>1.0004911662037281E-3</c:v>
                </c:pt>
                <c:pt idx="766">
                  <c:v>8.7116339189992971E-4</c:v>
                </c:pt>
                <c:pt idx="767">
                  <c:v>7.6791678732236778E-4</c:v>
                </c:pt>
                <c:pt idx="768">
                  <c:v>7.7855735684134188E-4</c:v>
                </c:pt>
                <c:pt idx="769">
                  <c:v>8.7157847099881875E-4</c:v>
                </c:pt>
                <c:pt idx="770">
                  <c:v>9.8328935575857086E-4</c:v>
                </c:pt>
                <c:pt idx="771">
                  <c:v>1.012745578118349E-3</c:v>
                </c:pt>
                <c:pt idx="772">
                  <c:v>9.3023488372873065E-4</c:v>
                </c:pt>
                <c:pt idx="773">
                  <c:v>8.9751886530423845E-4</c:v>
                </c:pt>
                <c:pt idx="774">
                  <c:v>1.1309403602501498E-3</c:v>
                </c:pt>
                <c:pt idx="775">
                  <c:v>9.397567250066949E-4</c:v>
                </c:pt>
                <c:pt idx="776">
                  <c:v>7.9265193227126118E-4</c:v>
                </c:pt>
                <c:pt idx="777">
                  <c:v>9.7186212785942009E-4</c:v>
                </c:pt>
                <c:pt idx="778">
                  <c:v>9.7256340710699023E-4</c:v>
                </c:pt>
                <c:pt idx="779">
                  <c:v>8.5400005170933608E-4</c:v>
                </c:pt>
                <c:pt idx="780">
                  <c:v>7.5259930133834572E-4</c:v>
                </c:pt>
                <c:pt idx="781">
                  <c:v>9.3088793194323507E-4</c:v>
                </c:pt>
                <c:pt idx="782">
                  <c:v>9.7812300279447972E-4</c:v>
                </c:pt>
                <c:pt idx="783">
                  <c:v>9.4829085723257623E-4</c:v>
                </c:pt>
                <c:pt idx="784">
                  <c:v>9.5806880230530278E-4</c:v>
                </c:pt>
                <c:pt idx="785">
                  <c:v>9.9528863743610736E-4</c:v>
                </c:pt>
                <c:pt idx="786">
                  <c:v>9.7611946269179602E-4</c:v>
                </c:pt>
                <c:pt idx="787">
                  <c:v>9.0089776038592426E-4</c:v>
                </c:pt>
                <c:pt idx="788">
                  <c:v>1.1633172540843097E-3</c:v>
                </c:pt>
                <c:pt idx="789">
                  <c:v>7.4617382834970376E-4</c:v>
                </c:pt>
                <c:pt idx="790">
                  <c:v>1.074285924315287E-3</c:v>
                </c:pt>
                <c:pt idx="791">
                  <c:v>7.7746644800655762E-4</c:v>
                </c:pt>
                <c:pt idx="792">
                  <c:v>9.9319878500600664E-4</c:v>
                </c:pt>
                <c:pt idx="793">
                  <c:v>8.801141346338647E-4</c:v>
                </c:pt>
                <c:pt idx="794">
                  <c:v>7.7940497852638344E-4</c:v>
                </c:pt>
                <c:pt idx="795">
                  <c:v>9.4692096154584725E-4</c:v>
                </c:pt>
                <c:pt idx="796">
                  <c:v>7.6792661024080455E-4</c:v>
                </c:pt>
                <c:pt idx="797">
                  <c:v>8.229424190459427E-4</c:v>
                </c:pt>
                <c:pt idx="798">
                  <c:v>9.5657009539690989E-4</c:v>
                </c:pt>
                <c:pt idx="799">
                  <c:v>8.5918978856977459E-4</c:v>
                </c:pt>
                <c:pt idx="800">
                  <c:v>7.4035198942533549E-4</c:v>
                </c:pt>
                <c:pt idx="801">
                  <c:v>8.047733921854658E-4</c:v>
                </c:pt>
                <c:pt idx="802">
                  <c:v>8.6664671394960213E-4</c:v>
                </c:pt>
                <c:pt idx="803">
                  <c:v>9.6413622756978126E-4</c:v>
                </c:pt>
                <c:pt idx="804">
                  <c:v>9.0498938160953524E-4</c:v>
                </c:pt>
                <c:pt idx="805">
                  <c:v>7.2633561047746799E-4</c:v>
                </c:pt>
                <c:pt idx="806">
                  <c:v>9.4821728063789195E-4</c:v>
                </c:pt>
                <c:pt idx="807">
                  <c:v>9.3928395381800641E-4</c:v>
                </c:pt>
                <c:pt idx="808">
                  <c:v>9.2689984318584245E-4</c:v>
                </c:pt>
                <c:pt idx="809">
                  <c:v>9.340780087251832E-4</c:v>
                </c:pt>
                <c:pt idx="810">
                  <c:v>7.5937681333669246E-4</c:v>
                </c:pt>
                <c:pt idx="811">
                  <c:v>6.8661922628318638E-4</c:v>
                </c:pt>
                <c:pt idx="812">
                  <c:v>9.7142805322926072E-4</c:v>
                </c:pt>
                <c:pt idx="813">
                  <c:v>1.075010116815607E-3</c:v>
                </c:pt>
                <c:pt idx="814">
                  <c:v>7.2134018834336131E-4</c:v>
                </c:pt>
                <c:pt idx="815">
                  <c:v>8.7035869363680165E-4</c:v>
                </c:pt>
                <c:pt idx="816">
                  <c:v>9.1400415636695015E-4</c:v>
                </c:pt>
                <c:pt idx="817">
                  <c:v>9.2052353520065747E-4</c:v>
                </c:pt>
                <c:pt idx="818">
                  <c:v>9.0788905082990739E-4</c:v>
                </c:pt>
                <c:pt idx="819">
                  <c:v>1.0063197548474763E-3</c:v>
                </c:pt>
                <c:pt idx="820">
                  <c:v>1.1049119462325438E-3</c:v>
                </c:pt>
                <c:pt idx="821">
                  <c:v>8.583304648970883E-4</c:v>
                </c:pt>
                <c:pt idx="822">
                  <c:v>9.0650576258579014E-4</c:v>
                </c:pt>
                <c:pt idx="823">
                  <c:v>9.32585722701177E-4</c:v>
                </c:pt>
                <c:pt idx="824">
                  <c:v>1.0822375785237083E-3</c:v>
                </c:pt>
                <c:pt idx="825">
                  <c:v>9.5268032806309299E-4</c:v>
                </c:pt>
                <c:pt idx="826">
                  <c:v>9.8305521727203807E-4</c:v>
                </c:pt>
                <c:pt idx="827">
                  <c:v>1.0891910583957687E-3</c:v>
                </c:pt>
                <c:pt idx="828">
                  <c:v>9.7320471785147333E-4</c:v>
                </c:pt>
                <c:pt idx="829">
                  <c:v>7.8064384430691477E-4</c:v>
                </c:pt>
                <c:pt idx="830">
                  <c:v>1.0872104902789142E-3</c:v>
                </c:pt>
                <c:pt idx="831">
                  <c:v>6.8102773653895196E-4</c:v>
                </c:pt>
                <c:pt idx="832">
                  <c:v>1.0152862512540345E-3</c:v>
                </c:pt>
                <c:pt idx="833">
                  <c:v>8.2836702114106502E-4</c:v>
                </c:pt>
                <c:pt idx="834">
                  <c:v>8.659656172767228E-4</c:v>
                </c:pt>
                <c:pt idx="835">
                  <c:v>9.3673934678708344E-4</c:v>
                </c:pt>
                <c:pt idx="836">
                  <c:v>1.0265390892852803E-3</c:v>
                </c:pt>
                <c:pt idx="837">
                  <c:v>8.562249337391157E-4</c:v>
                </c:pt>
                <c:pt idx="838">
                  <c:v>9.6281611725346412E-4</c:v>
                </c:pt>
                <c:pt idx="839">
                  <c:v>8.4288427708569436E-4</c:v>
                </c:pt>
                <c:pt idx="840">
                  <c:v>8.6501444554822765E-4</c:v>
                </c:pt>
                <c:pt idx="841">
                  <c:v>1.0465259440979988E-3</c:v>
                </c:pt>
                <c:pt idx="842">
                  <c:v>1.1399861167514821E-3</c:v>
                </c:pt>
                <c:pt idx="843">
                  <c:v>9.7480031535025487E-4</c:v>
                </c:pt>
                <c:pt idx="844">
                  <c:v>9.6145159570134491E-4</c:v>
                </c:pt>
                <c:pt idx="845">
                  <c:v>1.0430014106870111E-3</c:v>
                </c:pt>
                <c:pt idx="846">
                  <c:v>1.0760493719226623E-3</c:v>
                </c:pt>
                <c:pt idx="847">
                  <c:v>1.0827381838526497E-3</c:v>
                </c:pt>
                <c:pt idx="848">
                  <c:v>1.135580442171097E-3</c:v>
                </c:pt>
                <c:pt idx="849">
                  <c:v>1.0469192711331482E-3</c:v>
                </c:pt>
                <c:pt idx="850">
                  <c:v>9.5724984454424516E-4</c:v>
                </c:pt>
                <c:pt idx="851">
                  <c:v>8.169110068399839E-4</c:v>
                </c:pt>
                <c:pt idx="852">
                  <c:v>9.3375424074285725E-4</c:v>
                </c:pt>
                <c:pt idx="853">
                  <c:v>7.8714943673264073E-4</c:v>
                </c:pt>
                <c:pt idx="854">
                  <c:v>1.0197166746501042E-3</c:v>
                </c:pt>
                <c:pt idx="855">
                  <c:v>9.7004265291689867E-4</c:v>
                </c:pt>
                <c:pt idx="856">
                  <c:v>7.7880584683438802E-4</c:v>
                </c:pt>
                <c:pt idx="857">
                  <c:v>7.7234212666256951E-4</c:v>
                </c:pt>
                <c:pt idx="858">
                  <c:v>8.8045429305950507E-4</c:v>
                </c:pt>
                <c:pt idx="859">
                  <c:v>7.5808536230237032E-4</c:v>
                </c:pt>
                <c:pt idx="860">
                  <c:v>9.4799742837623315E-4</c:v>
                </c:pt>
                <c:pt idx="861">
                  <c:v>8.349048057701453E-4</c:v>
                </c:pt>
                <c:pt idx="862">
                  <c:v>6.9516740242929844E-4</c:v>
                </c:pt>
                <c:pt idx="863">
                  <c:v>1.0086307522062313E-3</c:v>
                </c:pt>
                <c:pt idx="864">
                  <c:v>1.0110337799419098E-3</c:v>
                </c:pt>
                <c:pt idx="865">
                  <c:v>1.0600200965046702E-3</c:v>
                </c:pt>
                <c:pt idx="866">
                  <c:v>9.9388995885818098E-4</c:v>
                </c:pt>
                <c:pt idx="867">
                  <c:v>8.7886445401918166E-4</c:v>
                </c:pt>
                <c:pt idx="868">
                  <c:v>1.0627680701868663E-3</c:v>
                </c:pt>
                <c:pt idx="869">
                  <c:v>7.289387229294401E-4</c:v>
                </c:pt>
                <c:pt idx="870">
                  <c:v>8.1703041424402271E-4</c:v>
                </c:pt>
                <c:pt idx="871">
                  <c:v>7.29940655036669E-4</c:v>
                </c:pt>
                <c:pt idx="872">
                  <c:v>8.1920004852734302E-4</c:v>
                </c:pt>
                <c:pt idx="873">
                  <c:v>9.5748534922385654E-4</c:v>
                </c:pt>
                <c:pt idx="874">
                  <c:v>1.0622684248746909E-3</c:v>
                </c:pt>
                <c:pt idx="875">
                  <c:v>1.0753595319351183E-3</c:v>
                </c:pt>
                <c:pt idx="876">
                  <c:v>9.9980918617702296E-4</c:v>
                </c:pt>
                <c:pt idx="877">
                  <c:v>8.8292960912319108E-4</c:v>
                </c:pt>
                <c:pt idx="878">
                  <c:v>9.8296805221598249E-4</c:v>
                </c:pt>
                <c:pt idx="879">
                  <c:v>9.8684089040198728E-4</c:v>
                </c:pt>
                <c:pt idx="880">
                  <c:v>7.388760608329516E-4</c:v>
                </c:pt>
                <c:pt idx="881">
                  <c:v>7.8378169927568824E-4</c:v>
                </c:pt>
                <c:pt idx="882">
                  <c:v>9.6829751189902741E-4</c:v>
                </c:pt>
                <c:pt idx="883">
                  <c:v>1.0376444238700733E-3</c:v>
                </c:pt>
                <c:pt idx="884">
                  <c:v>1.0008580803991182E-3</c:v>
                </c:pt>
                <c:pt idx="885">
                  <c:v>8.6883132860808153E-4</c:v>
                </c:pt>
                <c:pt idx="886">
                  <c:v>8.5069079114657195E-4</c:v>
                </c:pt>
                <c:pt idx="887">
                  <c:v>9.7996359395913181E-4</c:v>
                </c:pt>
                <c:pt idx="888">
                  <c:v>9.7218118944694361E-4</c:v>
                </c:pt>
                <c:pt idx="889">
                  <c:v>7.3337442481921135E-4</c:v>
                </c:pt>
                <c:pt idx="890">
                  <c:v>9.8428186969281022E-4</c:v>
                </c:pt>
                <c:pt idx="891">
                  <c:v>9.0777782398472357E-4</c:v>
                </c:pt>
                <c:pt idx="892">
                  <c:v>8.2017897319126029E-4</c:v>
                </c:pt>
                <c:pt idx="893">
                  <c:v>9.5604917033088128E-4</c:v>
                </c:pt>
                <c:pt idx="894">
                  <c:v>8.838217867318173E-4</c:v>
                </c:pt>
                <c:pt idx="895">
                  <c:v>9.8595405091170978E-4</c:v>
                </c:pt>
                <c:pt idx="896">
                  <c:v>1.0127236421844407E-3</c:v>
                </c:pt>
                <c:pt idx="897">
                  <c:v>9.0110470761532485E-4</c:v>
                </c:pt>
                <c:pt idx="898">
                  <c:v>9.4907028777357243E-4</c:v>
                </c:pt>
                <c:pt idx="899">
                  <c:v>1.0782589264864216E-3</c:v>
                </c:pt>
                <c:pt idx="900">
                  <c:v>9.0051524423628946E-4</c:v>
                </c:pt>
                <c:pt idx="901">
                  <c:v>1.0204740443402764E-3</c:v>
                </c:pt>
                <c:pt idx="902">
                  <c:v>8.0728308825555608E-4</c:v>
                </c:pt>
                <c:pt idx="903">
                  <c:v>1.031907858518842E-3</c:v>
                </c:pt>
                <c:pt idx="904">
                  <c:v>8.8000105725641862E-4</c:v>
                </c:pt>
                <c:pt idx="905">
                  <c:v>1.1809099417224732E-3</c:v>
                </c:pt>
                <c:pt idx="906">
                  <c:v>9.047607739291108E-4</c:v>
                </c:pt>
                <c:pt idx="907">
                  <c:v>8.6071707722734268E-4</c:v>
                </c:pt>
                <c:pt idx="908">
                  <c:v>9.4604933175068413E-4</c:v>
                </c:pt>
                <c:pt idx="909">
                  <c:v>1.2110629329395008E-3</c:v>
                </c:pt>
                <c:pt idx="910">
                  <c:v>1.0835138884143884E-3</c:v>
                </c:pt>
                <c:pt idx="911">
                  <c:v>1.0221378565018419E-3</c:v>
                </c:pt>
                <c:pt idx="912">
                  <c:v>7.7265837538872397E-4</c:v>
                </c:pt>
                <c:pt idx="913">
                  <c:v>7.2304704572981522E-4</c:v>
                </c:pt>
                <c:pt idx="914">
                  <c:v>8.9431135749478547E-4</c:v>
                </c:pt>
                <c:pt idx="915">
                  <c:v>9.5792446665962541E-4</c:v>
                </c:pt>
                <c:pt idx="916">
                  <c:v>8.3888927353378048E-4</c:v>
                </c:pt>
                <c:pt idx="917">
                  <c:v>9.2916245369347209E-4</c:v>
                </c:pt>
                <c:pt idx="918">
                  <c:v>9.6214552027705101E-4</c:v>
                </c:pt>
                <c:pt idx="919">
                  <c:v>1.0042536055022309E-3</c:v>
                </c:pt>
                <c:pt idx="920">
                  <c:v>9.7308471792445722E-4</c:v>
                </c:pt>
                <c:pt idx="921">
                  <c:v>1.0727149026336117E-3</c:v>
                </c:pt>
                <c:pt idx="922">
                  <c:v>8.2532241470672726E-4</c:v>
                </c:pt>
                <c:pt idx="923">
                  <c:v>9.6596975758438727E-4</c:v>
                </c:pt>
                <c:pt idx="924">
                  <c:v>7.1824873555265698E-4</c:v>
                </c:pt>
                <c:pt idx="925">
                  <c:v>8.046850589717631E-4</c:v>
                </c:pt>
                <c:pt idx="926">
                  <c:v>7.8269468657390148E-4</c:v>
                </c:pt>
                <c:pt idx="927">
                  <c:v>9.0346429659521311E-4</c:v>
                </c:pt>
                <c:pt idx="928">
                  <c:v>1.2859446915649236E-3</c:v>
                </c:pt>
                <c:pt idx="929">
                  <c:v>8.5964957678303039E-4</c:v>
                </c:pt>
                <c:pt idx="930">
                  <c:v>9.4224595643641669E-4</c:v>
                </c:pt>
                <c:pt idx="931">
                  <c:v>8.2147490241876481E-4</c:v>
                </c:pt>
                <c:pt idx="932">
                  <c:v>9.0276235737077131E-4</c:v>
                </c:pt>
                <c:pt idx="933">
                  <c:v>9.4133953913249388E-4</c:v>
                </c:pt>
                <c:pt idx="934">
                  <c:v>9.9837889063817808E-4</c:v>
                </c:pt>
                <c:pt idx="935">
                  <c:v>7.885074352097848E-4</c:v>
                </c:pt>
                <c:pt idx="936">
                  <c:v>8.2723502992960041E-4</c:v>
                </c:pt>
                <c:pt idx="937">
                  <c:v>9.1850143750674769E-4</c:v>
                </c:pt>
                <c:pt idx="938">
                  <c:v>1.0344446353251365E-3</c:v>
                </c:pt>
                <c:pt idx="939">
                  <c:v>8.3961724626058665E-4</c:v>
                </c:pt>
                <c:pt idx="940">
                  <c:v>9.0799070127829673E-4</c:v>
                </c:pt>
                <c:pt idx="941">
                  <c:v>9.3803685815854764E-4</c:v>
                </c:pt>
                <c:pt idx="942">
                  <c:v>8.7337334492620673E-4</c:v>
                </c:pt>
                <c:pt idx="943">
                  <c:v>9.9443739854434415E-4</c:v>
                </c:pt>
                <c:pt idx="944">
                  <c:v>9.9226143892012803E-4</c:v>
                </c:pt>
                <c:pt idx="945">
                  <c:v>9.6078014913373775E-4</c:v>
                </c:pt>
                <c:pt idx="946">
                  <c:v>8.1733293549997158E-4</c:v>
                </c:pt>
                <c:pt idx="947">
                  <c:v>9.3984711556730611E-4</c:v>
                </c:pt>
                <c:pt idx="948">
                  <c:v>9.2341635942533523E-4</c:v>
                </c:pt>
                <c:pt idx="949">
                  <c:v>9.7703726525018319E-4</c:v>
                </c:pt>
                <c:pt idx="950">
                  <c:v>8.2374523485964797E-4</c:v>
                </c:pt>
                <c:pt idx="951">
                  <c:v>9.902932698188443E-4</c:v>
                </c:pt>
                <c:pt idx="952">
                  <c:v>8.4687977922532352E-4</c:v>
                </c:pt>
                <c:pt idx="953">
                  <c:v>7.1749389415096869E-4</c:v>
                </c:pt>
                <c:pt idx="954">
                  <c:v>9.7102767831827022E-4</c:v>
                </c:pt>
                <c:pt idx="955">
                  <c:v>1.1159079926400853E-3</c:v>
                </c:pt>
                <c:pt idx="956">
                  <c:v>7.6505533375935788E-4</c:v>
                </c:pt>
                <c:pt idx="957">
                  <c:v>1.012984299915008E-3</c:v>
                </c:pt>
                <c:pt idx="958">
                  <c:v>7.5578148870252644E-4</c:v>
                </c:pt>
                <c:pt idx="959">
                  <c:v>8.3784838842388483E-4</c:v>
                </c:pt>
                <c:pt idx="960">
                  <c:v>1.0051430627101854E-3</c:v>
                </c:pt>
                <c:pt idx="961">
                  <c:v>8.8879633404665521E-4</c:v>
                </c:pt>
                <c:pt idx="962">
                  <c:v>9.7748951722936113E-4</c:v>
                </c:pt>
                <c:pt idx="963">
                  <c:v>7.3952053645799361E-4</c:v>
                </c:pt>
                <c:pt idx="964">
                  <c:v>9.0377607651847105E-4</c:v>
                </c:pt>
                <c:pt idx="965">
                  <c:v>7.0081929573166007E-4</c:v>
                </c:pt>
                <c:pt idx="966">
                  <c:v>1.08494559618105E-3</c:v>
                </c:pt>
                <c:pt idx="967">
                  <c:v>9.7732427812129629E-4</c:v>
                </c:pt>
                <c:pt idx="968">
                  <c:v>1.025008985164568E-3</c:v>
                </c:pt>
                <c:pt idx="969">
                  <c:v>9.0465927024878433E-4</c:v>
                </c:pt>
                <c:pt idx="970">
                  <c:v>9.092560410850646E-4</c:v>
                </c:pt>
                <c:pt idx="971">
                  <c:v>9.7475118915721208E-4</c:v>
                </c:pt>
                <c:pt idx="972">
                  <c:v>8.2990643762504801E-4</c:v>
                </c:pt>
                <c:pt idx="973">
                  <c:v>9.9227373213825118E-4</c:v>
                </c:pt>
                <c:pt idx="974">
                  <c:v>8.8428489726532751E-4</c:v>
                </c:pt>
                <c:pt idx="975">
                  <c:v>9.2036555238165162E-4</c:v>
                </c:pt>
                <c:pt idx="976">
                  <c:v>9.2241896237582448E-4</c:v>
                </c:pt>
                <c:pt idx="977">
                  <c:v>9.9163745236324698E-4</c:v>
                </c:pt>
                <c:pt idx="978">
                  <c:v>7.471854113986436E-4</c:v>
                </c:pt>
                <c:pt idx="979">
                  <c:v>9.7424818887626829E-4</c:v>
                </c:pt>
                <c:pt idx="980">
                  <c:v>8.1408305399634771E-4</c:v>
                </c:pt>
                <c:pt idx="981">
                  <c:v>9.5902853669716306E-4</c:v>
                </c:pt>
                <c:pt idx="982">
                  <c:v>1.0015578765314274E-3</c:v>
                </c:pt>
                <c:pt idx="983">
                  <c:v>1.0239707159186411E-3</c:v>
                </c:pt>
                <c:pt idx="984">
                  <c:v>9.5786752567453217E-4</c:v>
                </c:pt>
                <c:pt idx="985">
                  <c:v>8.5232033932466607E-4</c:v>
                </c:pt>
                <c:pt idx="986">
                  <c:v>9.8537727058745864E-4</c:v>
                </c:pt>
                <c:pt idx="987">
                  <c:v>1.0645143540466877E-3</c:v>
                </c:pt>
                <c:pt idx="988">
                  <c:v>8.6502953466081097E-4</c:v>
                </c:pt>
                <c:pt idx="989">
                  <c:v>1.0353956569552826E-3</c:v>
                </c:pt>
                <c:pt idx="990">
                  <c:v>8.9031068786636983E-4</c:v>
                </c:pt>
                <c:pt idx="991">
                  <c:v>8.3304874143943358E-4</c:v>
                </c:pt>
                <c:pt idx="992">
                  <c:v>9.9368271857270076E-4</c:v>
                </c:pt>
                <c:pt idx="993">
                  <c:v>8.5981569589856457E-4</c:v>
                </c:pt>
                <c:pt idx="994">
                  <c:v>9.0250160309983168E-4</c:v>
                </c:pt>
                <c:pt idx="995">
                  <c:v>9.0379013699258299E-4</c:v>
                </c:pt>
                <c:pt idx="996">
                  <c:v>1.0539067878532614E-3</c:v>
                </c:pt>
                <c:pt idx="997">
                  <c:v>1.0643852992015305E-3</c:v>
                </c:pt>
                <c:pt idx="998">
                  <c:v>8.8634292228329881E-4</c:v>
                </c:pt>
                <c:pt idx="999">
                  <c:v>9.6649220777759092E-4</c:v>
                </c:pt>
              </c:numCache>
            </c:numRef>
          </c:xVal>
          <c:yVal>
            <c:numRef>
              <c:f>'Mandatory Assigment '!$AA$24:$AA$1023</c:f>
              <c:numCache>
                <c:formatCode>0.00000\ %</c:formatCode>
                <c:ptCount val="1000"/>
                <c:pt idx="0">
                  <c:v>8.2003384692328184E-5</c:v>
                </c:pt>
                <c:pt idx="1">
                  <c:v>4.3871091920274364E-5</c:v>
                </c:pt>
                <c:pt idx="2">
                  <c:v>4.5885592881743244E-5</c:v>
                </c:pt>
                <c:pt idx="3">
                  <c:v>5.2398047866280474E-5</c:v>
                </c:pt>
                <c:pt idx="4">
                  <c:v>7.4153707543238726E-5</c:v>
                </c:pt>
                <c:pt idx="5">
                  <c:v>1.193796915073615E-4</c:v>
                </c:pt>
                <c:pt idx="6">
                  <c:v>1.2479944910741321E-4</c:v>
                </c:pt>
                <c:pt idx="7">
                  <c:v>1.2724559702018064E-4</c:v>
                </c:pt>
                <c:pt idx="8">
                  <c:v>2.7328540980072889E-5</c:v>
                </c:pt>
                <c:pt idx="9">
                  <c:v>1.9876446412709693E-4</c:v>
                </c:pt>
                <c:pt idx="10">
                  <c:v>1.7819088859882702E-5</c:v>
                </c:pt>
                <c:pt idx="11">
                  <c:v>1.2261656101190079E-4</c:v>
                </c:pt>
                <c:pt idx="12">
                  <c:v>9.021056215846067E-5</c:v>
                </c:pt>
                <c:pt idx="13">
                  <c:v>9.7929157726543012E-5</c:v>
                </c:pt>
                <c:pt idx="14">
                  <c:v>8.6553973445829623E-5</c:v>
                </c:pt>
                <c:pt idx="15">
                  <c:v>7.0157924261470973E-5</c:v>
                </c:pt>
                <c:pt idx="16">
                  <c:v>1.155887160284695E-4</c:v>
                </c:pt>
                <c:pt idx="17">
                  <c:v>7.2427755211573971E-5</c:v>
                </c:pt>
                <c:pt idx="18">
                  <c:v>4.9082036269301278E-5</c:v>
                </c:pt>
                <c:pt idx="19">
                  <c:v>2.5210970028213743E-4</c:v>
                </c:pt>
                <c:pt idx="20">
                  <c:v>1.3205586945760979E-4</c:v>
                </c:pt>
                <c:pt idx="21">
                  <c:v>1.6232669458145839E-4</c:v>
                </c:pt>
                <c:pt idx="22">
                  <c:v>2.6168446669481868E-4</c:v>
                </c:pt>
                <c:pt idx="23">
                  <c:v>1.0400490103660298E-4</c:v>
                </c:pt>
                <c:pt idx="24">
                  <c:v>2.1895696064295626E-4</c:v>
                </c:pt>
                <c:pt idx="25">
                  <c:v>7.2225501588044679E-5</c:v>
                </c:pt>
                <c:pt idx="26">
                  <c:v>6.310957742947493E-5</c:v>
                </c:pt>
                <c:pt idx="27">
                  <c:v>9.1484618342357426E-5</c:v>
                </c:pt>
                <c:pt idx="28">
                  <c:v>6.6228905628323896E-5</c:v>
                </c:pt>
                <c:pt idx="29">
                  <c:v>8.25725965025624E-5</c:v>
                </c:pt>
                <c:pt idx="30">
                  <c:v>6.4332624119425473E-5</c:v>
                </c:pt>
                <c:pt idx="31">
                  <c:v>5.5446089249885325E-5</c:v>
                </c:pt>
                <c:pt idx="32">
                  <c:v>8.3836507655448632E-5</c:v>
                </c:pt>
                <c:pt idx="33">
                  <c:v>1.487043372809214E-5</c:v>
                </c:pt>
                <c:pt idx="34">
                  <c:v>1.3416509331991085E-4</c:v>
                </c:pt>
                <c:pt idx="35">
                  <c:v>4.6544443466577012E-5</c:v>
                </c:pt>
                <c:pt idx="36">
                  <c:v>7.2280365967181397E-5</c:v>
                </c:pt>
                <c:pt idx="37">
                  <c:v>1.1627986998408632E-4</c:v>
                </c:pt>
                <c:pt idx="38">
                  <c:v>1.2551709844867029E-4</c:v>
                </c:pt>
                <c:pt idx="39">
                  <c:v>1.0713331526131115E-4</c:v>
                </c:pt>
                <c:pt idx="40">
                  <c:v>1.307907747382179E-4</c:v>
                </c:pt>
                <c:pt idx="41">
                  <c:v>7.5346526578787281E-5</c:v>
                </c:pt>
                <c:pt idx="42">
                  <c:v>5.0856417434354738E-5</c:v>
                </c:pt>
                <c:pt idx="43">
                  <c:v>2.5088173204402109E-5</c:v>
                </c:pt>
                <c:pt idx="44">
                  <c:v>1.7336024937035266E-4</c:v>
                </c:pt>
                <c:pt idx="45">
                  <c:v>8.2901928369175532E-5</c:v>
                </c:pt>
                <c:pt idx="46">
                  <c:v>1.5179578665745769E-4</c:v>
                </c:pt>
                <c:pt idx="47">
                  <c:v>1.226653960665984E-4</c:v>
                </c:pt>
                <c:pt idx="48">
                  <c:v>4.6116868760335213E-5</c:v>
                </c:pt>
                <c:pt idx="49">
                  <c:v>8.6258932529430059E-5</c:v>
                </c:pt>
                <c:pt idx="50">
                  <c:v>1.2866263082205544E-4</c:v>
                </c:pt>
                <c:pt idx="51">
                  <c:v>1.0810408611550177E-4</c:v>
                </c:pt>
                <c:pt idx="52">
                  <c:v>1.8099788960659085E-4</c:v>
                </c:pt>
                <c:pt idx="53">
                  <c:v>5.8358389942672159E-5</c:v>
                </c:pt>
                <c:pt idx="54">
                  <c:v>1.2108921497669762E-4</c:v>
                </c:pt>
                <c:pt idx="55">
                  <c:v>9.2624679416091298E-5</c:v>
                </c:pt>
                <c:pt idx="56">
                  <c:v>1.0193339886972199E-4</c:v>
                </c:pt>
                <c:pt idx="57">
                  <c:v>8.2156019466151663E-5</c:v>
                </c:pt>
                <c:pt idx="58">
                  <c:v>7.0975141199043144E-5</c:v>
                </c:pt>
                <c:pt idx="59">
                  <c:v>2.4134912337325035E-5</c:v>
                </c:pt>
                <c:pt idx="60">
                  <c:v>7.2047360817857576E-5</c:v>
                </c:pt>
                <c:pt idx="61">
                  <c:v>1.6892130834955007E-4</c:v>
                </c:pt>
                <c:pt idx="62">
                  <c:v>8.2051942185486359E-5</c:v>
                </c:pt>
                <c:pt idx="63">
                  <c:v>7.9051267284585279E-5</c:v>
                </c:pt>
                <c:pt idx="64">
                  <c:v>1.583017031917244E-4</c:v>
                </c:pt>
                <c:pt idx="65">
                  <c:v>3.5352478497072161E-5</c:v>
                </c:pt>
                <c:pt idx="66">
                  <c:v>8.16886406464582E-5</c:v>
                </c:pt>
                <c:pt idx="67">
                  <c:v>7.8909244579095434E-5</c:v>
                </c:pt>
                <c:pt idx="68">
                  <c:v>1.2595523430728077E-4</c:v>
                </c:pt>
                <c:pt idx="69">
                  <c:v>7.6468694096318724E-5</c:v>
                </c:pt>
                <c:pt idx="70">
                  <c:v>6.7559388551712568E-5</c:v>
                </c:pt>
                <c:pt idx="71">
                  <c:v>7.4219457249835192E-5</c:v>
                </c:pt>
                <c:pt idx="72">
                  <c:v>1.2099232040170347E-4</c:v>
                </c:pt>
                <c:pt idx="73">
                  <c:v>6.4689390086768433E-5</c:v>
                </c:pt>
                <c:pt idx="74">
                  <c:v>1.3245704784528041E-4</c:v>
                </c:pt>
                <c:pt idx="75">
                  <c:v>5.0159421201956633E-5</c:v>
                </c:pt>
                <c:pt idx="76">
                  <c:v>3.8375761816901437E-5</c:v>
                </c:pt>
                <c:pt idx="77">
                  <c:v>1.4977190954797943E-4</c:v>
                </c:pt>
                <c:pt idx="78">
                  <c:v>9.3013204115078083E-5</c:v>
                </c:pt>
                <c:pt idx="79">
                  <c:v>1.4905584810217146E-4</c:v>
                </c:pt>
                <c:pt idx="80">
                  <c:v>2.101404933335535E-4</c:v>
                </c:pt>
                <c:pt idx="81">
                  <c:v>1.0975959203179111E-4</c:v>
                </c:pt>
                <c:pt idx="82">
                  <c:v>1.0671019438608282E-4</c:v>
                </c:pt>
                <c:pt idx="83">
                  <c:v>1.6451595861577111E-4</c:v>
                </c:pt>
                <c:pt idx="84">
                  <c:v>1.3862877038236767E-4</c:v>
                </c:pt>
                <c:pt idx="85">
                  <c:v>7.3828401311059523E-5</c:v>
                </c:pt>
                <c:pt idx="86">
                  <c:v>3.7523862348059402E-5</c:v>
                </c:pt>
                <c:pt idx="87">
                  <c:v>9.7204847684610466E-5</c:v>
                </c:pt>
                <c:pt idx="88">
                  <c:v>2.1059999214903833E-4</c:v>
                </c:pt>
                <c:pt idx="89">
                  <c:v>1.3660297216059542E-4</c:v>
                </c:pt>
                <c:pt idx="90">
                  <c:v>1.454417757569377E-4</c:v>
                </c:pt>
                <c:pt idx="91">
                  <c:v>6.0974026138056986E-5</c:v>
                </c:pt>
                <c:pt idx="92">
                  <c:v>8.3896503515639296E-5</c:v>
                </c:pt>
                <c:pt idx="93">
                  <c:v>7.3686738551608324E-5</c:v>
                </c:pt>
                <c:pt idx="94">
                  <c:v>1.8294047328440579E-5</c:v>
                </c:pt>
                <c:pt idx="95">
                  <c:v>8.4897907378731909E-5</c:v>
                </c:pt>
                <c:pt idx="96">
                  <c:v>9.7679571922711566E-5</c:v>
                </c:pt>
                <c:pt idx="97">
                  <c:v>8.9754898901444892E-5</c:v>
                </c:pt>
                <c:pt idx="98">
                  <c:v>2.4166010164096023E-4</c:v>
                </c:pt>
                <c:pt idx="99">
                  <c:v>8.3265005491548835E-5</c:v>
                </c:pt>
                <c:pt idx="100">
                  <c:v>9.676326768449307E-5</c:v>
                </c:pt>
                <c:pt idx="101">
                  <c:v>6.2765818946684365E-5</c:v>
                </c:pt>
                <c:pt idx="102">
                  <c:v>2.8030290162547721E-5</c:v>
                </c:pt>
                <c:pt idx="103">
                  <c:v>9.3135313363184544E-5</c:v>
                </c:pt>
                <c:pt idx="104">
                  <c:v>6.2544010413007021E-5</c:v>
                </c:pt>
                <c:pt idx="105">
                  <c:v>1.6628514535488173E-4</c:v>
                </c:pt>
                <c:pt idx="106">
                  <c:v>1.6793362153818587E-4</c:v>
                </c:pt>
                <c:pt idx="107">
                  <c:v>1.0473755220063814E-4</c:v>
                </c:pt>
                <c:pt idx="108">
                  <c:v>1.3369490219662558E-4</c:v>
                </c:pt>
                <c:pt idx="109">
                  <c:v>1.5197013750028663E-4</c:v>
                </c:pt>
                <c:pt idx="110">
                  <c:v>8.3893551425126797E-5</c:v>
                </c:pt>
                <c:pt idx="111">
                  <c:v>1.7191795278954626E-4</c:v>
                </c:pt>
                <c:pt idx="112">
                  <c:v>1.3581242896642959E-4</c:v>
                </c:pt>
                <c:pt idx="113">
                  <c:v>1.2471190334178306E-4</c:v>
                </c:pt>
                <c:pt idx="114">
                  <c:v>1.2725965864617727E-4</c:v>
                </c:pt>
                <c:pt idx="115">
                  <c:v>1.8362094686718582E-4</c:v>
                </c:pt>
                <c:pt idx="116">
                  <c:v>6.3978047307017342E-5</c:v>
                </c:pt>
                <c:pt idx="117">
                  <c:v>8.6105698934875013E-5</c:v>
                </c:pt>
                <c:pt idx="118">
                  <c:v>4.8214577968605094E-5</c:v>
                </c:pt>
                <c:pt idx="119">
                  <c:v>1.1631436243078344E-4</c:v>
                </c:pt>
                <c:pt idx="120">
                  <c:v>2.1815171050244719E-5</c:v>
                </c:pt>
                <c:pt idx="121">
                  <c:v>1.089911550003487E-4</c:v>
                </c:pt>
                <c:pt idx="122">
                  <c:v>9.9759314951568533E-5</c:v>
                </c:pt>
                <c:pt idx="123">
                  <c:v>1.7146965490225254E-4</c:v>
                </c:pt>
                <c:pt idx="124">
                  <c:v>2.100737427455193E-4</c:v>
                </c:pt>
                <c:pt idx="125">
                  <c:v>9.527118877328947E-5</c:v>
                </c:pt>
                <c:pt idx="126">
                  <c:v>2.0696113347347563E-4</c:v>
                </c:pt>
                <c:pt idx="127">
                  <c:v>6.7763604470122483E-5</c:v>
                </c:pt>
                <c:pt idx="128">
                  <c:v>7.9094385585400847E-5</c:v>
                </c:pt>
                <c:pt idx="129">
                  <c:v>2.1515805782632536E-5</c:v>
                </c:pt>
                <c:pt idx="130">
                  <c:v>6.6398791446224337E-5</c:v>
                </c:pt>
                <c:pt idx="131">
                  <c:v>6.4656157234737748E-5</c:v>
                </c:pt>
                <c:pt idx="132">
                  <c:v>1.5124399142335009E-4</c:v>
                </c:pt>
                <c:pt idx="133">
                  <c:v>1.5246279667314821E-4</c:v>
                </c:pt>
                <c:pt idx="134">
                  <c:v>1.1380583107288636E-4</c:v>
                </c:pt>
                <c:pt idx="135">
                  <c:v>1.0690269320160698E-4</c:v>
                </c:pt>
                <c:pt idx="136">
                  <c:v>1.0952892852406451E-4</c:v>
                </c:pt>
                <c:pt idx="137">
                  <c:v>1.1431844521187548E-4</c:v>
                </c:pt>
                <c:pt idx="138">
                  <c:v>1.0049286194729122E-4</c:v>
                </c:pt>
                <c:pt idx="139">
                  <c:v>1.0960917178453956E-4</c:v>
                </c:pt>
                <c:pt idx="140">
                  <c:v>1.0303564051047833E-4</c:v>
                </c:pt>
                <c:pt idx="141">
                  <c:v>2.3419814935704227E-4</c:v>
                </c:pt>
                <c:pt idx="142">
                  <c:v>9.9327782374068139E-5</c:v>
                </c:pt>
                <c:pt idx="143">
                  <c:v>1.1634953512454653E-4</c:v>
                </c:pt>
                <c:pt idx="144">
                  <c:v>1.4003214460734645E-4</c:v>
                </c:pt>
                <c:pt idx="145">
                  <c:v>1.7810975877402595E-4</c:v>
                </c:pt>
                <c:pt idx="146">
                  <c:v>9.1250121850665959E-5</c:v>
                </c:pt>
                <c:pt idx="147">
                  <c:v>5.911456658121649E-5</c:v>
                </c:pt>
                <c:pt idx="148">
                  <c:v>1.2387810034557431E-4</c:v>
                </c:pt>
                <c:pt idx="149">
                  <c:v>1.2444968946169721E-4</c:v>
                </c:pt>
                <c:pt idx="150">
                  <c:v>8.9798613462958773E-5</c:v>
                </c:pt>
                <c:pt idx="151">
                  <c:v>1.1933229431616576E-4</c:v>
                </c:pt>
                <c:pt idx="152">
                  <c:v>9.414070231687736E-5</c:v>
                </c:pt>
                <c:pt idx="153">
                  <c:v>7.1659457516960284E-5</c:v>
                </c:pt>
                <c:pt idx="154">
                  <c:v>9.3124905523226536E-5</c:v>
                </c:pt>
                <c:pt idx="155">
                  <c:v>1.6631892460948028E-4</c:v>
                </c:pt>
                <c:pt idx="156">
                  <c:v>1.6683282477639687E-4</c:v>
                </c:pt>
                <c:pt idx="157">
                  <c:v>1.0413633217484779E-4</c:v>
                </c:pt>
                <c:pt idx="158">
                  <c:v>1.3409810017118361E-4</c:v>
                </c:pt>
                <c:pt idx="159">
                  <c:v>9.3660552917829124E-5</c:v>
                </c:pt>
                <c:pt idx="160">
                  <c:v>5.1573872344000234E-5</c:v>
                </c:pt>
                <c:pt idx="161">
                  <c:v>8.2351101954596592E-5</c:v>
                </c:pt>
                <c:pt idx="162">
                  <c:v>1.0811184270989611E-4</c:v>
                </c:pt>
                <c:pt idx="163">
                  <c:v>2.2700317265149104E-4</c:v>
                </c:pt>
                <c:pt idx="164">
                  <c:v>1.6526802725954081E-4</c:v>
                </c:pt>
                <c:pt idx="165">
                  <c:v>1.1808643462764423E-4</c:v>
                </c:pt>
                <c:pt idx="166">
                  <c:v>1.3714950120528592E-4</c:v>
                </c:pt>
                <c:pt idx="167">
                  <c:v>1.1117747533293435E-4</c:v>
                </c:pt>
                <c:pt idx="168">
                  <c:v>1.7689467569156607E-4</c:v>
                </c:pt>
                <c:pt idx="169">
                  <c:v>1.3712072180896212E-4</c:v>
                </c:pt>
                <c:pt idx="170">
                  <c:v>1.9487275121127191E-4</c:v>
                </c:pt>
                <c:pt idx="171">
                  <c:v>8.9142719026926305E-5</c:v>
                </c:pt>
                <c:pt idx="172">
                  <c:v>6.3656226023087929E-5</c:v>
                </c:pt>
                <c:pt idx="173">
                  <c:v>1.6714468110785521E-4</c:v>
                </c:pt>
                <c:pt idx="174">
                  <c:v>1.9813736622832043E-4</c:v>
                </c:pt>
                <c:pt idx="175">
                  <c:v>5.8187449974583179E-5</c:v>
                </c:pt>
                <c:pt idx="176">
                  <c:v>7.7297860223324256E-5</c:v>
                </c:pt>
                <c:pt idx="177">
                  <c:v>7.1420755634190802E-5</c:v>
                </c:pt>
                <c:pt idx="178">
                  <c:v>1.2557091297713999E-4</c:v>
                </c:pt>
                <c:pt idx="179">
                  <c:v>7.8528123387350485E-5</c:v>
                </c:pt>
                <c:pt idx="180">
                  <c:v>7.0091831348413427E-5</c:v>
                </c:pt>
                <c:pt idx="181">
                  <c:v>1.9042031129710789E-4</c:v>
                </c:pt>
                <c:pt idx="182">
                  <c:v>6.28656300102468E-5</c:v>
                </c:pt>
                <c:pt idx="183">
                  <c:v>1.1989168065721521E-4</c:v>
                </c:pt>
                <c:pt idx="184">
                  <c:v>8.1084949982045717E-5</c:v>
                </c:pt>
                <c:pt idx="185">
                  <c:v>1.2649052395248585E-4</c:v>
                </c:pt>
                <c:pt idx="186">
                  <c:v>1.4214483306580712E-4</c:v>
                </c:pt>
                <c:pt idx="187">
                  <c:v>5.3473587494345532E-5</c:v>
                </c:pt>
                <c:pt idx="188">
                  <c:v>1.0386244369957437E-4</c:v>
                </c:pt>
                <c:pt idx="189">
                  <c:v>1.1067466344177803E-4</c:v>
                </c:pt>
                <c:pt idx="190">
                  <c:v>1.1024990569240651E-4</c:v>
                </c:pt>
                <c:pt idx="191">
                  <c:v>1.694822685922479E-4</c:v>
                </c:pt>
                <c:pt idx="192">
                  <c:v>2.2393580870226464E-4</c:v>
                </c:pt>
                <c:pt idx="193">
                  <c:v>7.5361901762481065E-5</c:v>
                </c:pt>
                <c:pt idx="194">
                  <c:v>3.1664775793492103E-5</c:v>
                </c:pt>
                <c:pt idx="195">
                  <c:v>8.2663818954848453E-5</c:v>
                </c:pt>
                <c:pt idx="196">
                  <c:v>1.8491467421526128E-4</c:v>
                </c:pt>
                <c:pt idx="197">
                  <c:v>1.5371100371403722E-4</c:v>
                </c:pt>
                <c:pt idx="198">
                  <c:v>1.7469390222927102E-4</c:v>
                </c:pt>
                <c:pt idx="199">
                  <c:v>9.4383676186869132E-5</c:v>
                </c:pt>
                <c:pt idx="200">
                  <c:v>9.8329362656778319E-5</c:v>
                </c:pt>
                <c:pt idx="201">
                  <c:v>5.8148286545413841E-5</c:v>
                </c:pt>
                <c:pt idx="202">
                  <c:v>1.4004176140012471E-4</c:v>
                </c:pt>
                <c:pt idx="203">
                  <c:v>1.3934678871725865E-4</c:v>
                </c:pt>
                <c:pt idx="204">
                  <c:v>7.5396597906072073E-5</c:v>
                </c:pt>
                <c:pt idx="205">
                  <c:v>8.4147953996572202E-5</c:v>
                </c:pt>
                <c:pt idx="206">
                  <c:v>1.0375225149708827E-4</c:v>
                </c:pt>
                <c:pt idx="207">
                  <c:v>8.746707207294346E-5</c:v>
                </c:pt>
                <c:pt idx="208">
                  <c:v>1.4955200458837721E-4</c:v>
                </c:pt>
                <c:pt idx="209">
                  <c:v>1.164443162571602E-4</c:v>
                </c:pt>
                <c:pt idx="210">
                  <c:v>1.9279001885082696E-4</c:v>
                </c:pt>
                <c:pt idx="211">
                  <c:v>9.578997462398544E-5</c:v>
                </c:pt>
                <c:pt idx="212">
                  <c:v>1.2976974750604297E-4</c:v>
                </c:pt>
                <c:pt idx="213">
                  <c:v>1.0802213335759349E-4</c:v>
                </c:pt>
                <c:pt idx="214">
                  <c:v>2.0437892296552366E-4</c:v>
                </c:pt>
                <c:pt idx="215">
                  <c:v>1.59703198505663E-4</c:v>
                </c:pt>
                <c:pt idx="216">
                  <c:v>1.3972712067530045E-4</c:v>
                </c:pt>
                <c:pt idx="217">
                  <c:v>1.6307490534045246E-4</c:v>
                </c:pt>
                <c:pt idx="218">
                  <c:v>5.531731146888655E-5</c:v>
                </c:pt>
                <c:pt idx="219">
                  <c:v>1.4482690386769667E-4</c:v>
                </c:pt>
                <c:pt idx="220">
                  <c:v>9.3567120038847508E-5</c:v>
                </c:pt>
                <c:pt idx="221">
                  <c:v>1.2681611369832747E-4</c:v>
                </c:pt>
                <c:pt idx="222">
                  <c:v>9.4632072154941376E-5</c:v>
                </c:pt>
                <c:pt idx="223">
                  <c:v>1.1816117406863674E-4</c:v>
                </c:pt>
                <c:pt idx="224">
                  <c:v>1.0888738030511072E-4</c:v>
                </c:pt>
                <c:pt idx="225">
                  <c:v>3.3282958964868991E-5</c:v>
                </c:pt>
                <c:pt idx="226">
                  <c:v>6.8017034843944796E-5</c:v>
                </c:pt>
                <c:pt idx="227">
                  <c:v>7.2568070240158037E-5</c:v>
                </c:pt>
                <c:pt idx="228">
                  <c:v>7.2008713309267331E-5</c:v>
                </c:pt>
                <c:pt idx="229">
                  <c:v>9.8126393627411728E-5</c:v>
                </c:pt>
                <c:pt idx="230">
                  <c:v>1.5575251271282282E-4</c:v>
                </c:pt>
                <c:pt idx="231">
                  <c:v>9.1596187067717133E-5</c:v>
                </c:pt>
                <c:pt idx="232">
                  <c:v>1.8010359306743897E-4</c:v>
                </c:pt>
                <c:pt idx="233">
                  <c:v>8.8054500574468304E-5</c:v>
                </c:pt>
                <c:pt idx="234">
                  <c:v>1.104227406849194E-4</c:v>
                </c:pt>
                <c:pt idx="235">
                  <c:v>1.0013672383635535E-4</c:v>
                </c:pt>
                <c:pt idx="236">
                  <c:v>2.0495809428877718E-4</c:v>
                </c:pt>
                <c:pt idx="237">
                  <c:v>1.2789484102023182E-4</c:v>
                </c:pt>
                <c:pt idx="238">
                  <c:v>2.0151572526840017E-4</c:v>
                </c:pt>
                <c:pt idx="239">
                  <c:v>1.5566405143194236E-4</c:v>
                </c:pt>
                <c:pt idx="240">
                  <c:v>6.1074219611690912E-5</c:v>
                </c:pt>
                <c:pt idx="241">
                  <c:v>1.7285545773476572E-4</c:v>
                </c:pt>
                <c:pt idx="242">
                  <c:v>8.8118484472018193E-5</c:v>
                </c:pt>
                <c:pt idx="243">
                  <c:v>7.6609750040402031E-5</c:v>
                </c:pt>
                <c:pt idx="244">
                  <c:v>5.8254465381560899E-5</c:v>
                </c:pt>
                <c:pt idx="245">
                  <c:v>1.1124957204467484E-4</c:v>
                </c:pt>
                <c:pt idx="246">
                  <c:v>1.0376254470394562E-4</c:v>
                </c:pt>
                <c:pt idx="247">
                  <c:v>1.647317901996357E-4</c:v>
                </c:pt>
                <c:pt idx="248">
                  <c:v>7.8138358055263379E-5</c:v>
                </c:pt>
                <c:pt idx="249">
                  <c:v>1.9155623787060446E-5</c:v>
                </c:pt>
                <c:pt idx="250">
                  <c:v>1.5981514382247268E-4</c:v>
                </c:pt>
                <c:pt idx="251">
                  <c:v>1.5615109095876021E-4</c:v>
                </c:pt>
                <c:pt idx="252">
                  <c:v>8.7059812162499384E-5</c:v>
                </c:pt>
                <c:pt idx="253">
                  <c:v>1.2605396930196315E-4</c:v>
                </c:pt>
                <c:pt idx="254">
                  <c:v>9.1380750650669806E-5</c:v>
                </c:pt>
                <c:pt idx="255">
                  <c:v>1.3614554843114558E-4</c:v>
                </c:pt>
                <c:pt idx="256">
                  <c:v>1.05194270190191E-4</c:v>
                </c:pt>
                <c:pt idx="257">
                  <c:v>1.7397195372004511E-4</c:v>
                </c:pt>
                <c:pt idx="258">
                  <c:v>1.2332191963688275E-4</c:v>
                </c:pt>
                <c:pt idx="259">
                  <c:v>1.1773701934286256E-4</c:v>
                </c:pt>
                <c:pt idx="260">
                  <c:v>4.0585166793753829E-5</c:v>
                </c:pt>
                <c:pt idx="261">
                  <c:v>6.7726857199047795E-5</c:v>
                </c:pt>
                <c:pt idx="262">
                  <c:v>1.8140063593734563E-4</c:v>
                </c:pt>
                <c:pt idx="263">
                  <c:v>6.673713463092637E-5</c:v>
                </c:pt>
                <c:pt idx="264">
                  <c:v>1.5571979840718058E-4</c:v>
                </c:pt>
                <c:pt idx="265">
                  <c:v>1.3720691982049756E-4</c:v>
                </c:pt>
                <c:pt idx="266">
                  <c:v>3.0050303368787511E-5</c:v>
                </c:pt>
                <c:pt idx="267">
                  <c:v>1.4184756591651006E-4</c:v>
                </c:pt>
                <c:pt idx="268">
                  <c:v>4.4644080904831196E-5</c:v>
                </c:pt>
                <c:pt idx="269">
                  <c:v>8.7644017178598797E-5</c:v>
                </c:pt>
                <c:pt idx="270">
                  <c:v>1.0897115461535757E-4</c:v>
                </c:pt>
                <c:pt idx="271">
                  <c:v>1.0215308251826762E-4</c:v>
                </c:pt>
                <c:pt idx="272">
                  <c:v>9.1664526983265058E-5</c:v>
                </c:pt>
                <c:pt idx="273">
                  <c:v>7.2659778876446937E-5</c:v>
                </c:pt>
                <c:pt idx="274">
                  <c:v>1.4178062298690332E-4</c:v>
                </c:pt>
                <c:pt idx="275">
                  <c:v>9.3951331153301404E-5</c:v>
                </c:pt>
                <c:pt idx="276">
                  <c:v>8.3543752644444025E-5</c:v>
                </c:pt>
                <c:pt idx="277">
                  <c:v>3.0792025991711027E-5</c:v>
                </c:pt>
                <c:pt idx="278">
                  <c:v>5.0847354040925032E-5</c:v>
                </c:pt>
                <c:pt idx="279">
                  <c:v>9.0046095624945812E-5</c:v>
                </c:pt>
                <c:pt idx="280">
                  <c:v>1.3443943940868636E-4</c:v>
                </c:pt>
                <c:pt idx="281">
                  <c:v>9.965798028907028E-5</c:v>
                </c:pt>
                <c:pt idx="282">
                  <c:v>7.9795461064324555E-5</c:v>
                </c:pt>
                <c:pt idx="283">
                  <c:v>8.1263409709662529E-5</c:v>
                </c:pt>
                <c:pt idx="284">
                  <c:v>6.1552849998523833E-5</c:v>
                </c:pt>
                <c:pt idx="285">
                  <c:v>4.3199935802680583E-5</c:v>
                </c:pt>
                <c:pt idx="286">
                  <c:v>1.4990739292132052E-4</c:v>
                </c:pt>
                <c:pt idx="287">
                  <c:v>1.148839319472938E-4</c:v>
                </c:pt>
                <c:pt idx="288">
                  <c:v>1.090252168646033E-4</c:v>
                </c:pt>
                <c:pt idx="289">
                  <c:v>3.9534790783209E-5</c:v>
                </c:pt>
                <c:pt idx="290">
                  <c:v>2.100373449112204E-4</c:v>
                </c:pt>
                <c:pt idx="291">
                  <c:v>5.3997978936300042E-5</c:v>
                </c:pt>
                <c:pt idx="292">
                  <c:v>9.7009120095094587E-5</c:v>
                </c:pt>
                <c:pt idx="293">
                  <c:v>8.9777425108748067E-5</c:v>
                </c:pt>
                <c:pt idx="294">
                  <c:v>1.3285191605280926E-4</c:v>
                </c:pt>
                <c:pt idx="295">
                  <c:v>1.3914670464435362E-4</c:v>
                </c:pt>
                <c:pt idx="296">
                  <c:v>1.0059779242799296E-4</c:v>
                </c:pt>
                <c:pt idx="297">
                  <c:v>6.5282919484441402E-5</c:v>
                </c:pt>
                <c:pt idx="298">
                  <c:v>7.6434840700403804E-5</c:v>
                </c:pt>
                <c:pt idx="299">
                  <c:v>4.2840778935713107E-5</c:v>
                </c:pt>
                <c:pt idx="300">
                  <c:v>1.0781922151219131E-4</c:v>
                </c:pt>
                <c:pt idx="301">
                  <c:v>1.0872883396884024E-4</c:v>
                </c:pt>
                <c:pt idx="302">
                  <c:v>9.5728207878900497E-5</c:v>
                </c:pt>
                <c:pt idx="303">
                  <c:v>1.55352899163531E-4</c:v>
                </c:pt>
                <c:pt idx="304">
                  <c:v>3.1539782602558208E-5</c:v>
                </c:pt>
                <c:pt idx="305">
                  <c:v>1.6073960659758674E-4</c:v>
                </c:pt>
                <c:pt idx="306">
                  <c:v>8.5840569825565535E-5</c:v>
                </c:pt>
                <c:pt idx="307">
                  <c:v>1.1778318135896647E-4</c:v>
                </c:pt>
                <c:pt idx="308">
                  <c:v>8.7436617161611158E-5</c:v>
                </c:pt>
                <c:pt idx="309">
                  <c:v>2.2346916466347506E-4</c:v>
                </c:pt>
                <c:pt idx="310">
                  <c:v>5.3181617433308472E-5</c:v>
                </c:pt>
                <c:pt idx="311">
                  <c:v>9.2984310239817332E-5</c:v>
                </c:pt>
                <c:pt idx="312">
                  <c:v>9.5158355047019467E-5</c:v>
                </c:pt>
                <c:pt idx="313">
                  <c:v>7.9718789495814235E-5</c:v>
                </c:pt>
                <c:pt idx="314">
                  <c:v>1.8224880714727115E-4</c:v>
                </c:pt>
                <c:pt idx="315">
                  <c:v>3.2102509238918705E-5</c:v>
                </c:pt>
                <c:pt idx="316">
                  <c:v>1.5431846112131639E-4</c:v>
                </c:pt>
                <c:pt idx="317">
                  <c:v>1.3888649285912955E-4</c:v>
                </c:pt>
                <c:pt idx="318">
                  <c:v>1.0928226078730831E-4</c:v>
                </c:pt>
                <c:pt idx="319">
                  <c:v>1.0832131466914085E-4</c:v>
                </c:pt>
                <c:pt idx="320">
                  <c:v>8.1208734948726456E-5</c:v>
                </c:pt>
                <c:pt idx="321">
                  <c:v>1.0769504247177335E-4</c:v>
                </c:pt>
                <c:pt idx="322">
                  <c:v>1.4292859438667517E-4</c:v>
                </c:pt>
                <c:pt idx="323">
                  <c:v>6.092317727341553E-5</c:v>
                </c:pt>
                <c:pt idx="324">
                  <c:v>9.9406936866758803E-5</c:v>
                </c:pt>
                <c:pt idx="325">
                  <c:v>2.7069987282200059E-5</c:v>
                </c:pt>
                <c:pt idx="326">
                  <c:v>1.2221295201132162E-4</c:v>
                </c:pt>
                <c:pt idx="327">
                  <c:v>1.1268028606684606E-4</c:v>
                </c:pt>
                <c:pt idx="328">
                  <c:v>7.5126418348997668E-5</c:v>
                </c:pt>
                <c:pt idx="329">
                  <c:v>1.0699902251091317E-4</c:v>
                </c:pt>
                <c:pt idx="330">
                  <c:v>4.4923114488927795E-5</c:v>
                </c:pt>
                <c:pt idx="331">
                  <c:v>1.3374792213295878E-4</c:v>
                </c:pt>
                <c:pt idx="332">
                  <c:v>1.0683270418520919E-4</c:v>
                </c:pt>
                <c:pt idx="333">
                  <c:v>7.1702832130723105E-5</c:v>
                </c:pt>
                <c:pt idx="334">
                  <c:v>6.3419709364936444E-5</c:v>
                </c:pt>
                <c:pt idx="335">
                  <c:v>5.788230055129468E-5</c:v>
                </c:pt>
                <c:pt idx="336">
                  <c:v>1.7926501459126462E-4</c:v>
                </c:pt>
                <c:pt idx="337">
                  <c:v>1.4814784046243807E-4</c:v>
                </c:pt>
                <c:pt idx="338">
                  <c:v>7.8808115530678254E-5</c:v>
                </c:pt>
                <c:pt idx="339">
                  <c:v>1.1737444927086777E-4</c:v>
                </c:pt>
                <c:pt idx="340">
                  <c:v>2.1678791681114615E-4</c:v>
                </c:pt>
                <c:pt idx="341">
                  <c:v>1.301464474657853E-4</c:v>
                </c:pt>
                <c:pt idx="342">
                  <c:v>5.5940897943160856E-5</c:v>
                </c:pt>
                <c:pt idx="343">
                  <c:v>1.2956410040611637E-4</c:v>
                </c:pt>
                <c:pt idx="344">
                  <c:v>7.0265837762607989E-5</c:v>
                </c:pt>
                <c:pt idx="345">
                  <c:v>4.9442293393378154E-5</c:v>
                </c:pt>
                <c:pt idx="346">
                  <c:v>1.3027847570419056E-4</c:v>
                </c:pt>
                <c:pt idx="347">
                  <c:v>1.1742719707069161E-4</c:v>
                </c:pt>
                <c:pt idx="348">
                  <c:v>1.187027648320232E-4</c:v>
                </c:pt>
                <c:pt idx="349">
                  <c:v>1.3614526026881429E-4</c:v>
                </c:pt>
                <c:pt idx="350">
                  <c:v>7.9938391617708971E-5</c:v>
                </c:pt>
                <c:pt idx="351">
                  <c:v>9.4033869354235897E-5</c:v>
                </c:pt>
                <c:pt idx="352">
                  <c:v>8.6483300855751179E-5</c:v>
                </c:pt>
                <c:pt idx="353">
                  <c:v>1.2737466478053894E-4</c:v>
                </c:pt>
                <c:pt idx="354">
                  <c:v>9.3865643496407713E-5</c:v>
                </c:pt>
                <c:pt idx="355">
                  <c:v>9.6277535263495365E-5</c:v>
                </c:pt>
                <c:pt idx="356">
                  <c:v>1.2973317882693653E-4</c:v>
                </c:pt>
                <c:pt idx="357">
                  <c:v>6.9136054120506128E-5</c:v>
                </c:pt>
                <c:pt idx="358">
                  <c:v>1.2325099216695199E-4</c:v>
                </c:pt>
                <c:pt idx="359">
                  <c:v>8.5657325693626958E-5</c:v>
                </c:pt>
                <c:pt idx="360">
                  <c:v>5.9974904374318928E-5</c:v>
                </c:pt>
                <c:pt idx="361">
                  <c:v>7.7962528849982534E-5</c:v>
                </c:pt>
                <c:pt idx="362">
                  <c:v>1.0279276284142985E-4</c:v>
                </c:pt>
                <c:pt idx="363">
                  <c:v>1.1729675879439073E-4</c:v>
                </c:pt>
                <c:pt idx="364">
                  <c:v>1.2279114462460168E-4</c:v>
                </c:pt>
                <c:pt idx="365">
                  <c:v>6.1863743097249899E-5</c:v>
                </c:pt>
                <c:pt idx="366">
                  <c:v>1.0636900869374658E-4</c:v>
                </c:pt>
                <c:pt idx="367">
                  <c:v>1.8965140402618828E-4</c:v>
                </c:pt>
                <c:pt idx="368">
                  <c:v>1.2572207300753582E-4</c:v>
                </c:pt>
                <c:pt idx="369">
                  <c:v>1.019290663198961E-4</c:v>
                </c:pt>
                <c:pt idx="370">
                  <c:v>2.9512615874252568E-5</c:v>
                </c:pt>
                <c:pt idx="371">
                  <c:v>1.1972238737230391E-4</c:v>
                </c:pt>
                <c:pt idx="372">
                  <c:v>9.8997880432826919E-5</c:v>
                </c:pt>
                <c:pt idx="373">
                  <c:v>5.3217536138260783E-5</c:v>
                </c:pt>
                <c:pt idx="374">
                  <c:v>8.9165429310260604E-5</c:v>
                </c:pt>
                <c:pt idx="375">
                  <c:v>7.7802091940142712E-5</c:v>
                </c:pt>
                <c:pt idx="376">
                  <c:v>1.2732424610821877E-4</c:v>
                </c:pt>
                <c:pt idx="377">
                  <c:v>1.3412312352914063E-4</c:v>
                </c:pt>
                <c:pt idx="378">
                  <c:v>1.0134384658717238E-4</c:v>
                </c:pt>
                <c:pt idx="379">
                  <c:v>1.3841299323932025E-4</c:v>
                </c:pt>
                <c:pt idx="380">
                  <c:v>6.9119198308142707E-5</c:v>
                </c:pt>
                <c:pt idx="381">
                  <c:v>5.46813246473464E-5</c:v>
                </c:pt>
                <c:pt idx="382">
                  <c:v>1.2064534051931693E-4</c:v>
                </c:pt>
                <c:pt idx="383">
                  <c:v>1.6911357479041319E-4</c:v>
                </c:pt>
                <c:pt idx="384">
                  <c:v>9.825357727303254E-5</c:v>
                </c:pt>
                <c:pt idx="385">
                  <c:v>9.0310990807302544E-5</c:v>
                </c:pt>
                <c:pt idx="386">
                  <c:v>6.7449936997378014E-5</c:v>
                </c:pt>
                <c:pt idx="387">
                  <c:v>6.7630136986054147E-5</c:v>
                </c:pt>
                <c:pt idx="388">
                  <c:v>4.9315899194850562E-5</c:v>
                </c:pt>
                <c:pt idx="389">
                  <c:v>7.4343043912107501E-5</c:v>
                </c:pt>
                <c:pt idx="390">
                  <c:v>9.8982902789910315E-5</c:v>
                </c:pt>
                <c:pt idx="391">
                  <c:v>1.2421021809216464E-4</c:v>
                </c:pt>
                <c:pt idx="392">
                  <c:v>6.007301491224616E-5</c:v>
                </c:pt>
                <c:pt idx="393">
                  <c:v>1.117681664742156E-4</c:v>
                </c:pt>
                <c:pt idx="394">
                  <c:v>5.4404296972661844E-5</c:v>
                </c:pt>
                <c:pt idx="395">
                  <c:v>1.0966500242346836E-4</c:v>
                </c:pt>
                <c:pt idx="396">
                  <c:v>1.6990621146202283E-4</c:v>
                </c:pt>
                <c:pt idx="397">
                  <c:v>8.3215802694412006E-5</c:v>
                </c:pt>
                <c:pt idx="398">
                  <c:v>1.0267559335976965E-4</c:v>
                </c:pt>
                <c:pt idx="399">
                  <c:v>1.4560591403344172E-4</c:v>
                </c:pt>
                <c:pt idx="400">
                  <c:v>1.3328646237477647E-4</c:v>
                </c:pt>
                <c:pt idx="401">
                  <c:v>7.5252154697639319E-5</c:v>
                </c:pt>
                <c:pt idx="402">
                  <c:v>1.393492184232193E-4</c:v>
                </c:pt>
                <c:pt idx="403">
                  <c:v>1.3489722720768813E-5</c:v>
                </c:pt>
                <c:pt idx="404">
                  <c:v>5.1515122085749561E-5</c:v>
                </c:pt>
                <c:pt idx="405">
                  <c:v>1.1414499000972345E-4</c:v>
                </c:pt>
                <c:pt idx="406">
                  <c:v>4.0352667933846574E-5</c:v>
                </c:pt>
                <c:pt idx="407">
                  <c:v>4.9945711236541434E-5</c:v>
                </c:pt>
                <c:pt idx="408">
                  <c:v>1.2274483213598462E-4</c:v>
                </c:pt>
                <c:pt idx="409">
                  <c:v>5.7223882589857946E-5</c:v>
                </c:pt>
                <c:pt idx="410">
                  <c:v>6.5716912701875631E-5</c:v>
                </c:pt>
                <c:pt idx="411">
                  <c:v>7.2519029802109539E-5</c:v>
                </c:pt>
                <c:pt idx="412">
                  <c:v>8.583239841006232E-5</c:v>
                </c:pt>
                <c:pt idx="413">
                  <c:v>1.113477464629324E-4</c:v>
                </c:pt>
                <c:pt idx="414">
                  <c:v>1.1752124424410917E-4</c:v>
                </c:pt>
                <c:pt idx="415">
                  <c:v>8.7916125341096799E-5</c:v>
                </c:pt>
                <c:pt idx="416">
                  <c:v>7.2547004484559366E-5</c:v>
                </c:pt>
                <c:pt idx="417">
                  <c:v>1.4344295806072697E-4</c:v>
                </c:pt>
                <c:pt idx="418">
                  <c:v>4.3216136727348296E-5</c:v>
                </c:pt>
                <c:pt idx="419">
                  <c:v>9.9222216032316188E-5</c:v>
                </c:pt>
                <c:pt idx="420">
                  <c:v>7.0551615012947398E-5</c:v>
                </c:pt>
                <c:pt idx="421">
                  <c:v>1.0416198467207471E-4</c:v>
                </c:pt>
                <c:pt idx="422">
                  <c:v>9.7439141970189375E-5</c:v>
                </c:pt>
                <c:pt idx="423">
                  <c:v>1.2480133751586108E-4</c:v>
                </c:pt>
                <c:pt idx="424">
                  <c:v>1.1031644044058258E-4</c:v>
                </c:pt>
                <c:pt idx="425">
                  <c:v>3.2122241799548058E-5</c:v>
                </c:pt>
                <c:pt idx="426">
                  <c:v>2.4439674246043377E-5</c:v>
                </c:pt>
                <c:pt idx="427">
                  <c:v>4.8518636622587605E-5</c:v>
                </c:pt>
                <c:pt idx="428">
                  <c:v>7.2845935846201231E-5</c:v>
                </c:pt>
                <c:pt idx="429">
                  <c:v>2.7136396606607566E-4</c:v>
                </c:pt>
                <c:pt idx="430">
                  <c:v>1.1749918553489529E-4</c:v>
                </c:pt>
                <c:pt idx="431">
                  <c:v>2.3893233502502402E-4</c:v>
                </c:pt>
                <c:pt idx="432">
                  <c:v>2.8290974261984444E-5</c:v>
                </c:pt>
                <c:pt idx="433">
                  <c:v>3.4652929887540605E-5</c:v>
                </c:pt>
                <c:pt idx="434">
                  <c:v>2.8128225560066411E-4</c:v>
                </c:pt>
                <c:pt idx="435">
                  <c:v>1.0488908492877051E-4</c:v>
                </c:pt>
                <c:pt idx="436">
                  <c:v>9.3248483340376687E-5</c:v>
                </c:pt>
                <c:pt idx="437">
                  <c:v>8.872218855330083E-5</c:v>
                </c:pt>
                <c:pt idx="438">
                  <c:v>6.48509323019133E-5</c:v>
                </c:pt>
                <c:pt idx="439">
                  <c:v>1.0641664725857015E-4</c:v>
                </c:pt>
                <c:pt idx="440">
                  <c:v>9.0986428729025818E-5</c:v>
                </c:pt>
                <c:pt idx="441">
                  <c:v>6.2057885536838674E-5</c:v>
                </c:pt>
                <c:pt idx="442">
                  <c:v>9.3237445585345167E-5</c:v>
                </c:pt>
                <c:pt idx="443">
                  <c:v>1.6410279700596899E-4</c:v>
                </c:pt>
                <c:pt idx="444">
                  <c:v>2.4980894883980091E-4</c:v>
                </c:pt>
                <c:pt idx="445">
                  <c:v>1.9865133328301386E-4</c:v>
                </c:pt>
                <c:pt idx="446">
                  <c:v>6.8410808995082774E-5</c:v>
                </c:pt>
                <c:pt idx="447">
                  <c:v>7.9934497647388762E-5</c:v>
                </c:pt>
                <c:pt idx="448">
                  <c:v>1.2895632646122893E-4</c:v>
                </c:pt>
                <c:pt idx="449">
                  <c:v>1.495079891402321E-4</c:v>
                </c:pt>
                <c:pt idx="450">
                  <c:v>1.1846162130984602E-4</c:v>
                </c:pt>
                <c:pt idx="451">
                  <c:v>9.8509727852110466E-5</c:v>
                </c:pt>
                <c:pt idx="452">
                  <c:v>8.3412214548050516E-5</c:v>
                </c:pt>
                <c:pt idx="453">
                  <c:v>1.0279352176828418E-4</c:v>
                </c:pt>
                <c:pt idx="454">
                  <c:v>1.2431115814699148E-4</c:v>
                </c:pt>
                <c:pt idx="455">
                  <c:v>9.6694995035240895E-5</c:v>
                </c:pt>
                <c:pt idx="456">
                  <c:v>6.7977531701131301E-5</c:v>
                </c:pt>
                <c:pt idx="457">
                  <c:v>7.4591088316645573E-5</c:v>
                </c:pt>
                <c:pt idx="458">
                  <c:v>4.272755768036801E-5</c:v>
                </c:pt>
                <c:pt idx="459">
                  <c:v>1.8187185071315013E-4</c:v>
                </c:pt>
                <c:pt idx="460">
                  <c:v>1.1789529009512337E-4</c:v>
                </c:pt>
                <c:pt idx="461">
                  <c:v>6.8721947820917667E-5</c:v>
                </c:pt>
                <c:pt idx="462">
                  <c:v>9.2876046960275359E-5</c:v>
                </c:pt>
                <c:pt idx="463">
                  <c:v>8.4146790930886354E-5</c:v>
                </c:pt>
                <c:pt idx="464">
                  <c:v>9.7583190083987684E-5</c:v>
                </c:pt>
                <c:pt idx="465">
                  <c:v>1.8641213513498063E-4</c:v>
                </c:pt>
                <c:pt idx="466">
                  <c:v>1.2388197860268934E-4</c:v>
                </c:pt>
                <c:pt idx="467">
                  <c:v>1.7857334043836916E-4</c:v>
                </c:pt>
                <c:pt idx="468">
                  <c:v>1.3235045545540158E-4</c:v>
                </c:pt>
                <c:pt idx="469">
                  <c:v>4.0491751458379831E-5</c:v>
                </c:pt>
                <c:pt idx="470">
                  <c:v>8.9505794433611754E-5</c:v>
                </c:pt>
                <c:pt idx="471">
                  <c:v>1.240432565866727E-4</c:v>
                </c:pt>
                <c:pt idx="472">
                  <c:v>4.2010264824432782E-5</c:v>
                </c:pt>
                <c:pt idx="473">
                  <c:v>1.8199163016664947E-4</c:v>
                </c:pt>
                <c:pt idx="474">
                  <c:v>1.4352320873675396E-4</c:v>
                </c:pt>
                <c:pt idx="475">
                  <c:v>1.1156381010165939E-4</c:v>
                </c:pt>
                <c:pt idx="476">
                  <c:v>8.6019980082996332E-5</c:v>
                </c:pt>
                <c:pt idx="477">
                  <c:v>8.8908361827210754E-5</c:v>
                </c:pt>
                <c:pt idx="478">
                  <c:v>5.904028194980691E-5</c:v>
                </c:pt>
                <c:pt idx="479">
                  <c:v>7.1207881316212823E-5</c:v>
                </c:pt>
                <c:pt idx="480">
                  <c:v>5.0762966789506856E-5</c:v>
                </c:pt>
                <c:pt idx="481">
                  <c:v>1.5902190870351038E-4</c:v>
                </c:pt>
                <c:pt idx="482">
                  <c:v>1.9540777043705327E-4</c:v>
                </c:pt>
                <c:pt idx="483">
                  <c:v>6.7071895244924696E-5</c:v>
                </c:pt>
                <c:pt idx="484">
                  <c:v>1.0216875841872408E-4</c:v>
                </c:pt>
                <c:pt idx="485">
                  <c:v>9.5843296256970545E-5</c:v>
                </c:pt>
                <c:pt idx="486">
                  <c:v>5.0722120930522764E-5</c:v>
                </c:pt>
                <c:pt idx="487">
                  <c:v>1.7175795445033859E-4</c:v>
                </c:pt>
                <c:pt idx="488">
                  <c:v>6.3316210606989573E-5</c:v>
                </c:pt>
                <c:pt idx="489">
                  <c:v>4.0900918756258069E-5</c:v>
                </c:pt>
                <c:pt idx="490">
                  <c:v>7.0522288874809219E-5</c:v>
                </c:pt>
                <c:pt idx="491">
                  <c:v>7.4247135224523089E-5</c:v>
                </c:pt>
                <c:pt idx="492">
                  <c:v>1.8406915385134993E-4</c:v>
                </c:pt>
                <c:pt idx="493">
                  <c:v>1.3792558441920566E-4</c:v>
                </c:pt>
                <c:pt idx="494">
                  <c:v>1.2415694195687588E-4</c:v>
                </c:pt>
                <c:pt idx="495">
                  <c:v>4.6886640378503552E-5</c:v>
                </c:pt>
                <c:pt idx="496">
                  <c:v>9.3270036224952813E-5</c:v>
                </c:pt>
                <c:pt idx="497">
                  <c:v>1.2940279736666375E-4</c:v>
                </c:pt>
                <c:pt idx="498">
                  <c:v>4.1286116721902418E-5</c:v>
                </c:pt>
                <c:pt idx="499">
                  <c:v>5.9536805687088057E-5</c:v>
                </c:pt>
                <c:pt idx="500">
                  <c:v>1.3631355404449815E-4</c:v>
                </c:pt>
                <c:pt idx="501">
                  <c:v>1.0667462130302422E-4</c:v>
                </c:pt>
                <c:pt idx="502">
                  <c:v>5.8177856694995457E-5</c:v>
                </c:pt>
                <c:pt idx="503">
                  <c:v>1.5451591014487386E-4</c:v>
                </c:pt>
                <c:pt idx="504">
                  <c:v>1.4162686646021302E-4</c:v>
                </c:pt>
                <c:pt idx="505">
                  <c:v>5.5259743713667183E-5</c:v>
                </c:pt>
                <c:pt idx="506">
                  <c:v>1.0582513676270786E-4</c:v>
                </c:pt>
                <c:pt idx="507">
                  <c:v>1.4967367486350396E-4</c:v>
                </c:pt>
                <c:pt idx="508">
                  <c:v>1.4169766647981313E-4</c:v>
                </c:pt>
                <c:pt idx="509">
                  <c:v>1.0653387999623349E-4</c:v>
                </c:pt>
                <c:pt idx="510">
                  <c:v>1.0553231844120145E-4</c:v>
                </c:pt>
                <c:pt idx="511">
                  <c:v>6.3373537305642908E-5</c:v>
                </c:pt>
                <c:pt idx="512">
                  <c:v>1.3153528643299425E-4</c:v>
                </c:pt>
                <c:pt idx="513">
                  <c:v>5.9067264099033884E-5</c:v>
                </c:pt>
                <c:pt idx="514">
                  <c:v>1.5292171237447363E-4</c:v>
                </c:pt>
                <c:pt idx="515">
                  <c:v>1.6576930195085472E-4</c:v>
                </c:pt>
                <c:pt idx="516">
                  <c:v>1.6606221489399965E-4</c:v>
                </c:pt>
                <c:pt idx="517">
                  <c:v>5.6662283424233878E-5</c:v>
                </c:pt>
                <c:pt idx="518">
                  <c:v>8.427925059219322E-5</c:v>
                </c:pt>
                <c:pt idx="519">
                  <c:v>1.0867665378291392E-4</c:v>
                </c:pt>
                <c:pt idx="520">
                  <c:v>4.1489600397593847E-5</c:v>
                </c:pt>
                <c:pt idx="521">
                  <c:v>9.112441479177168E-5</c:v>
                </c:pt>
                <c:pt idx="522">
                  <c:v>7.3683210185644801E-5</c:v>
                </c:pt>
                <c:pt idx="523">
                  <c:v>5.5032448455831536E-5</c:v>
                </c:pt>
                <c:pt idx="524">
                  <c:v>1.2880844540835433E-4</c:v>
                </c:pt>
                <c:pt idx="525">
                  <c:v>1.5317952808697189E-4</c:v>
                </c:pt>
                <c:pt idx="526">
                  <c:v>9.9727165078521832E-5</c:v>
                </c:pt>
                <c:pt idx="527">
                  <c:v>9.9147644713844463E-5</c:v>
                </c:pt>
                <c:pt idx="528">
                  <c:v>9.7181351265075434E-5</c:v>
                </c:pt>
                <c:pt idx="529">
                  <c:v>9.0764671500956226E-5</c:v>
                </c:pt>
                <c:pt idx="530">
                  <c:v>1.000639960438436E-4</c:v>
                </c:pt>
                <c:pt idx="531">
                  <c:v>7.8040301371876095E-5</c:v>
                </c:pt>
                <c:pt idx="532">
                  <c:v>9.938639232187712E-5</c:v>
                </c:pt>
                <c:pt idx="533">
                  <c:v>1.0091962483793136E-4</c:v>
                </c:pt>
                <c:pt idx="534">
                  <c:v>1.195107684302199E-4</c:v>
                </c:pt>
                <c:pt idx="535">
                  <c:v>1.3048265375365179E-4</c:v>
                </c:pt>
                <c:pt idx="536">
                  <c:v>1.2730786959951995E-4</c:v>
                </c:pt>
                <c:pt idx="537">
                  <c:v>1.5761735774111422E-4</c:v>
                </c:pt>
                <c:pt idx="538">
                  <c:v>1.0228325654052897E-4</c:v>
                </c:pt>
                <c:pt idx="539">
                  <c:v>6.4103575941210298E-5</c:v>
                </c:pt>
                <c:pt idx="540">
                  <c:v>1.083218447150524E-4</c:v>
                </c:pt>
                <c:pt idx="541">
                  <c:v>8.7310388961693138E-5</c:v>
                </c:pt>
                <c:pt idx="542">
                  <c:v>4.1055578370740372E-5</c:v>
                </c:pt>
                <c:pt idx="543">
                  <c:v>8.9987985809300826E-5</c:v>
                </c:pt>
                <c:pt idx="544">
                  <c:v>6.0438257837058568E-5</c:v>
                </c:pt>
                <c:pt idx="545">
                  <c:v>3.585304799723017E-5</c:v>
                </c:pt>
                <c:pt idx="546">
                  <c:v>8.6058536941461056E-5</c:v>
                </c:pt>
                <c:pt idx="547">
                  <c:v>1.3382643873718702E-4</c:v>
                </c:pt>
                <c:pt idx="548">
                  <c:v>1.7191415736837512E-4</c:v>
                </c:pt>
                <c:pt idx="549">
                  <c:v>4.5335416085101688E-5</c:v>
                </c:pt>
                <c:pt idx="550">
                  <c:v>1.563696494279476E-4</c:v>
                </c:pt>
                <c:pt idx="551">
                  <c:v>1.7567362031168244E-4</c:v>
                </c:pt>
                <c:pt idx="552">
                  <c:v>8.0778123791675686E-5</c:v>
                </c:pt>
                <c:pt idx="553">
                  <c:v>7.8448898697705912E-5</c:v>
                </c:pt>
                <c:pt idx="554">
                  <c:v>1.4367905728868111E-4</c:v>
                </c:pt>
                <c:pt idx="555">
                  <c:v>1.5523118365622993E-4</c:v>
                </c:pt>
                <c:pt idx="556">
                  <c:v>1.4699174752431783E-4</c:v>
                </c:pt>
                <c:pt idx="557">
                  <c:v>5.1964807142744791E-5</c:v>
                </c:pt>
                <c:pt idx="558">
                  <c:v>1.0307170946147819E-4</c:v>
                </c:pt>
                <c:pt idx="559">
                  <c:v>5.038645124007348E-5</c:v>
                </c:pt>
                <c:pt idx="560">
                  <c:v>7.5752634853736708E-5</c:v>
                </c:pt>
                <c:pt idx="561">
                  <c:v>1.2632385965610866E-4</c:v>
                </c:pt>
                <c:pt idx="562">
                  <c:v>9.5688982254289932E-5</c:v>
                </c:pt>
                <c:pt idx="563">
                  <c:v>1.3647037661912854E-4</c:v>
                </c:pt>
                <c:pt idx="564">
                  <c:v>6.3011987326387609E-5</c:v>
                </c:pt>
                <c:pt idx="565">
                  <c:v>5.8218864146650501E-5</c:v>
                </c:pt>
                <c:pt idx="566">
                  <c:v>7.8633397304406745E-5</c:v>
                </c:pt>
                <c:pt idx="567">
                  <c:v>8.9057754161611034E-5</c:v>
                </c:pt>
                <c:pt idx="568">
                  <c:v>1.3036202153649201E-4</c:v>
                </c:pt>
                <c:pt idx="569">
                  <c:v>1.2301626457972634E-4</c:v>
                </c:pt>
                <c:pt idx="570">
                  <c:v>1.022298333908644E-4</c:v>
                </c:pt>
                <c:pt idx="571">
                  <c:v>2.0039967744251542E-4</c:v>
                </c:pt>
                <c:pt idx="572">
                  <c:v>8.9924561975481018E-5</c:v>
                </c:pt>
                <c:pt idx="573">
                  <c:v>2.1754210134170785E-4</c:v>
                </c:pt>
                <c:pt idx="574">
                  <c:v>1.0576655441864161E-4</c:v>
                </c:pt>
                <c:pt idx="575">
                  <c:v>8.9464765679354117E-5</c:v>
                </c:pt>
                <c:pt idx="576">
                  <c:v>7.7299906973203117E-5</c:v>
                </c:pt>
                <c:pt idx="577">
                  <c:v>1.4077612241203665E-4</c:v>
                </c:pt>
                <c:pt idx="578">
                  <c:v>4.8074828670496691E-5</c:v>
                </c:pt>
                <c:pt idx="579">
                  <c:v>9.6382195618096848E-5</c:v>
                </c:pt>
                <c:pt idx="580">
                  <c:v>1.1488276799762427E-4</c:v>
                </c:pt>
                <c:pt idx="581">
                  <c:v>7.4150693073708355E-5</c:v>
                </c:pt>
                <c:pt idx="582">
                  <c:v>6.7154170550692805E-5</c:v>
                </c:pt>
                <c:pt idx="583">
                  <c:v>1.2505360536309344E-4</c:v>
                </c:pt>
                <c:pt idx="584">
                  <c:v>1.0585149715487971E-4</c:v>
                </c:pt>
                <c:pt idx="585">
                  <c:v>7.5749754164419834E-5</c:v>
                </c:pt>
                <c:pt idx="586">
                  <c:v>8.187359899309813E-5</c:v>
                </c:pt>
                <c:pt idx="587">
                  <c:v>1.5120248857562437E-4</c:v>
                </c:pt>
                <c:pt idx="588">
                  <c:v>1.3738146534346806E-4</c:v>
                </c:pt>
                <c:pt idx="589">
                  <c:v>1.4327057867541315E-4</c:v>
                </c:pt>
                <c:pt idx="590">
                  <c:v>2.1128334756308583E-4</c:v>
                </c:pt>
                <c:pt idx="591">
                  <c:v>1.4057210667033817E-4</c:v>
                </c:pt>
                <c:pt idx="592">
                  <c:v>2.0458380256023313E-4</c:v>
                </c:pt>
                <c:pt idx="593">
                  <c:v>6.9395773063251376E-5</c:v>
                </c:pt>
                <c:pt idx="594">
                  <c:v>1.0852922528944578E-4</c:v>
                </c:pt>
                <c:pt idx="595">
                  <c:v>8.9510247870798907E-5</c:v>
                </c:pt>
                <c:pt idx="596">
                  <c:v>9.6826734497930804E-5</c:v>
                </c:pt>
                <c:pt idx="597">
                  <c:v>1.0785638441810784E-4</c:v>
                </c:pt>
                <c:pt idx="598">
                  <c:v>6.9339966268703974E-5</c:v>
                </c:pt>
                <c:pt idx="599">
                  <c:v>1.4828922524241965E-4</c:v>
                </c:pt>
                <c:pt idx="600">
                  <c:v>6.9545909705769291E-5</c:v>
                </c:pt>
                <c:pt idx="601">
                  <c:v>6.1017888245239814E-5</c:v>
                </c:pt>
                <c:pt idx="602">
                  <c:v>1.2393123091695093E-4</c:v>
                </c:pt>
                <c:pt idx="603">
                  <c:v>9.766309096515757E-5</c:v>
                </c:pt>
                <c:pt idx="604">
                  <c:v>6.3839165003777673E-5</c:v>
                </c:pt>
                <c:pt idx="605">
                  <c:v>8.8870497513834622E-5</c:v>
                </c:pt>
                <c:pt idx="606">
                  <c:v>8.3958290280794774E-5</c:v>
                </c:pt>
                <c:pt idx="607">
                  <c:v>1.4614182219635624E-4</c:v>
                </c:pt>
                <c:pt idx="608">
                  <c:v>9.9555415187927161E-5</c:v>
                </c:pt>
                <c:pt idx="609">
                  <c:v>1.011362493531807E-4</c:v>
                </c:pt>
                <c:pt idx="610">
                  <c:v>9.5981953154940868E-5</c:v>
                </c:pt>
                <c:pt idx="611">
                  <c:v>1.5707256893509686E-4</c:v>
                </c:pt>
                <c:pt idx="612">
                  <c:v>1.1269969029097993E-4</c:v>
                </c:pt>
                <c:pt idx="613">
                  <c:v>6.4532436037090046E-5</c:v>
                </c:pt>
                <c:pt idx="614">
                  <c:v>9.6827413581803177E-5</c:v>
                </c:pt>
                <c:pt idx="615">
                  <c:v>9.8849964880567224E-5</c:v>
                </c:pt>
                <c:pt idx="616">
                  <c:v>1.4301216327094939E-4</c:v>
                </c:pt>
                <c:pt idx="617">
                  <c:v>8.6346888098389943E-5</c:v>
                </c:pt>
                <c:pt idx="618">
                  <c:v>2.144015892468978E-4</c:v>
                </c:pt>
                <c:pt idx="619">
                  <c:v>8.6093693346761573E-5</c:v>
                </c:pt>
                <c:pt idx="620">
                  <c:v>1.1331633801472583E-4</c:v>
                </c:pt>
                <c:pt idx="621">
                  <c:v>1.7486332357158669E-4</c:v>
                </c:pt>
                <c:pt idx="622">
                  <c:v>1.60987386097662E-4</c:v>
                </c:pt>
                <c:pt idx="623">
                  <c:v>4.8880195119128855E-5</c:v>
                </c:pt>
                <c:pt idx="624">
                  <c:v>1.344302869835746E-4</c:v>
                </c:pt>
                <c:pt idx="625">
                  <c:v>7.6463131094667161E-5</c:v>
                </c:pt>
                <c:pt idx="626">
                  <c:v>1.1667480045361167E-4</c:v>
                </c:pt>
                <c:pt idx="627">
                  <c:v>7.9369912249532118E-5</c:v>
                </c:pt>
                <c:pt idx="628">
                  <c:v>1.6696075718056945E-4</c:v>
                </c:pt>
                <c:pt idx="629">
                  <c:v>7.1718091891924103E-5</c:v>
                </c:pt>
                <c:pt idx="630">
                  <c:v>4.2155902706785419E-5</c:v>
                </c:pt>
                <c:pt idx="631">
                  <c:v>1.2744094934963719E-4</c:v>
                </c:pt>
                <c:pt idx="632">
                  <c:v>1.1245945666362453E-4</c:v>
                </c:pt>
                <c:pt idx="633">
                  <c:v>6.2324495592457191E-5</c:v>
                </c:pt>
                <c:pt idx="634">
                  <c:v>1.407517597267792E-4</c:v>
                </c:pt>
                <c:pt idx="635">
                  <c:v>5.1533698014711389E-5</c:v>
                </c:pt>
                <c:pt idx="636">
                  <c:v>1.8137071562112625E-4</c:v>
                </c:pt>
                <c:pt idx="637">
                  <c:v>8.6395512453251602E-5</c:v>
                </c:pt>
                <c:pt idx="638">
                  <c:v>1.2092826570972845E-4</c:v>
                </c:pt>
                <c:pt idx="639">
                  <c:v>6.2317653250938281E-5</c:v>
                </c:pt>
                <c:pt idx="640">
                  <c:v>3.7855396204140767E-5</c:v>
                </c:pt>
                <c:pt idx="641">
                  <c:v>1.3301016831874414E-4</c:v>
                </c:pt>
                <c:pt idx="642">
                  <c:v>1.0987294020594588E-4</c:v>
                </c:pt>
                <c:pt idx="643">
                  <c:v>1.0424094846827349E-4</c:v>
                </c:pt>
                <c:pt idx="644">
                  <c:v>2.4136543147952969E-5</c:v>
                </c:pt>
                <c:pt idx="645">
                  <c:v>7.0063319778019355E-5</c:v>
                </c:pt>
                <c:pt idx="646">
                  <c:v>5.5810806133310207E-5</c:v>
                </c:pt>
                <c:pt idx="647">
                  <c:v>1.105689942344329E-4</c:v>
                </c:pt>
                <c:pt idx="648">
                  <c:v>1.221949363614874E-4</c:v>
                </c:pt>
                <c:pt idx="649">
                  <c:v>3.8023216806684529E-5</c:v>
                </c:pt>
                <c:pt idx="650">
                  <c:v>1.262473068481376E-4</c:v>
                </c:pt>
                <c:pt idx="651">
                  <c:v>1.1960320835835876E-4</c:v>
                </c:pt>
                <c:pt idx="652">
                  <c:v>7.7372879804586014E-5</c:v>
                </c:pt>
                <c:pt idx="653">
                  <c:v>1.0395732939165322E-4</c:v>
                </c:pt>
                <c:pt idx="654">
                  <c:v>1.1465561379119163E-4</c:v>
                </c:pt>
                <c:pt idx="655">
                  <c:v>8.5655513190801099E-5</c:v>
                </c:pt>
                <c:pt idx="656">
                  <c:v>8.6168606021626035E-5</c:v>
                </c:pt>
                <c:pt idx="657">
                  <c:v>1.147050333237675E-4</c:v>
                </c:pt>
                <c:pt idx="658">
                  <c:v>7.8157225812454026E-5</c:v>
                </c:pt>
                <c:pt idx="659">
                  <c:v>1.0133499783066189E-4</c:v>
                </c:pt>
                <c:pt idx="660">
                  <c:v>6.6881064053067428E-5</c:v>
                </c:pt>
                <c:pt idx="661">
                  <c:v>1.4433659243920897E-4</c:v>
                </c:pt>
                <c:pt idx="662">
                  <c:v>3.7660374875033774E-5</c:v>
                </c:pt>
                <c:pt idx="663">
                  <c:v>5.2995863930003874E-5</c:v>
                </c:pt>
                <c:pt idx="664">
                  <c:v>8.1539582585973949E-5</c:v>
                </c:pt>
                <c:pt idx="665">
                  <c:v>1.8253044218164734E-4</c:v>
                </c:pt>
                <c:pt idx="666">
                  <c:v>1.999630798282965E-4</c:v>
                </c:pt>
                <c:pt idx="667">
                  <c:v>9.1596246883787416E-5</c:v>
                </c:pt>
                <c:pt idx="668">
                  <c:v>1.7984142678634189E-4</c:v>
                </c:pt>
                <c:pt idx="669">
                  <c:v>1.4827214942299063E-4</c:v>
                </c:pt>
                <c:pt idx="670">
                  <c:v>1.107759748551307E-4</c:v>
                </c:pt>
                <c:pt idx="671">
                  <c:v>1.3021285019312751E-4</c:v>
                </c:pt>
                <c:pt idx="672">
                  <c:v>2.3988853099482388E-4</c:v>
                </c:pt>
                <c:pt idx="673">
                  <c:v>1.546585034443105E-4</c:v>
                </c:pt>
                <c:pt idx="674">
                  <c:v>3.0257117651263096E-5</c:v>
                </c:pt>
                <c:pt idx="675">
                  <c:v>6.3777133161961204E-5</c:v>
                </c:pt>
                <c:pt idx="676">
                  <c:v>1.0275655477801291E-4</c:v>
                </c:pt>
                <c:pt idx="677">
                  <c:v>6.5219591639522828E-5</c:v>
                </c:pt>
                <c:pt idx="678">
                  <c:v>8.7513102481634914E-5</c:v>
                </c:pt>
                <c:pt idx="679">
                  <c:v>1.1651733093834957E-4</c:v>
                </c:pt>
                <c:pt idx="680">
                  <c:v>7.1972004187986785E-5</c:v>
                </c:pt>
                <c:pt idx="681">
                  <c:v>7.7536601708614951E-5</c:v>
                </c:pt>
                <c:pt idx="682">
                  <c:v>7.8615516191866532E-5</c:v>
                </c:pt>
                <c:pt idx="683">
                  <c:v>9.1865066487076995E-5</c:v>
                </c:pt>
                <c:pt idx="684">
                  <c:v>1.0108890934475412E-4</c:v>
                </c:pt>
                <c:pt idx="685">
                  <c:v>8.9087550285722476E-5</c:v>
                </c:pt>
                <c:pt idx="686">
                  <c:v>1.142859457294851E-4</c:v>
                </c:pt>
                <c:pt idx="687">
                  <c:v>8.5942357324648018E-5</c:v>
                </c:pt>
                <c:pt idx="688">
                  <c:v>1.09743135651966E-4</c:v>
                </c:pt>
                <c:pt idx="689">
                  <c:v>1.364377758365554E-4</c:v>
                </c:pt>
                <c:pt idx="690">
                  <c:v>6.0243496299711511E-5</c:v>
                </c:pt>
                <c:pt idx="691">
                  <c:v>5.6434932417040363E-5</c:v>
                </c:pt>
                <c:pt idx="692">
                  <c:v>1.2976660073053066E-4</c:v>
                </c:pt>
                <c:pt idx="693">
                  <c:v>2.023440063848149E-4</c:v>
                </c:pt>
                <c:pt idx="694">
                  <c:v>1.0230505445510884E-4</c:v>
                </c:pt>
                <c:pt idx="695">
                  <c:v>7.0791380288344781E-5</c:v>
                </c:pt>
                <c:pt idx="696">
                  <c:v>1.0400870777355245E-4</c:v>
                </c:pt>
                <c:pt idx="697">
                  <c:v>1.3152274580769522E-4</c:v>
                </c:pt>
                <c:pt idx="698">
                  <c:v>1.0207557420701261E-4</c:v>
                </c:pt>
                <c:pt idx="699">
                  <c:v>1.0420777815203276E-4</c:v>
                </c:pt>
                <c:pt idx="700">
                  <c:v>1.9178781416271865E-4</c:v>
                </c:pt>
                <c:pt idx="701">
                  <c:v>1.0650281143245052E-4</c:v>
                </c:pt>
                <c:pt idx="702">
                  <c:v>5.5680640057817771E-5</c:v>
                </c:pt>
                <c:pt idx="703">
                  <c:v>1.5095433179230518E-4</c:v>
                </c:pt>
                <c:pt idx="704">
                  <c:v>4.8524104321417991E-5</c:v>
                </c:pt>
                <c:pt idx="705">
                  <c:v>8.5217908681242251E-5</c:v>
                </c:pt>
                <c:pt idx="706">
                  <c:v>8.0521978155547998E-5</c:v>
                </c:pt>
                <c:pt idx="707">
                  <c:v>1.03198141402521E-4</c:v>
                </c:pt>
                <c:pt idx="708">
                  <c:v>7.5076576148976019E-5</c:v>
                </c:pt>
                <c:pt idx="709">
                  <c:v>9.5503560112068241E-5</c:v>
                </c:pt>
                <c:pt idx="710">
                  <c:v>2.5387985096570142E-5</c:v>
                </c:pt>
                <c:pt idx="711">
                  <c:v>4.6503497005398315E-5</c:v>
                </c:pt>
                <c:pt idx="712">
                  <c:v>1.0892450649032614E-4</c:v>
                </c:pt>
                <c:pt idx="713">
                  <c:v>7.3530814207156052E-5</c:v>
                </c:pt>
                <c:pt idx="714">
                  <c:v>1.2498362329958806E-4</c:v>
                </c:pt>
                <c:pt idx="715">
                  <c:v>8.968314654278385E-5</c:v>
                </c:pt>
                <c:pt idx="716">
                  <c:v>7.596071830053068E-5</c:v>
                </c:pt>
                <c:pt idx="717">
                  <c:v>1.512582872203262E-4</c:v>
                </c:pt>
                <c:pt idx="718">
                  <c:v>1.3202012444480993E-4</c:v>
                </c:pt>
                <c:pt idx="719">
                  <c:v>8.5781433866954324E-5</c:v>
                </c:pt>
                <c:pt idx="720">
                  <c:v>9.9298557193368617E-5</c:v>
                </c:pt>
                <c:pt idx="721">
                  <c:v>8.9497189660388103E-5</c:v>
                </c:pt>
                <c:pt idx="722">
                  <c:v>1.600441580694696E-4</c:v>
                </c:pt>
                <c:pt idx="723">
                  <c:v>8.0528744579678904E-5</c:v>
                </c:pt>
                <c:pt idx="724">
                  <c:v>1.7534463535746566E-4</c:v>
                </c:pt>
                <c:pt idx="725">
                  <c:v>1.3698187557946982E-4</c:v>
                </c:pt>
                <c:pt idx="726">
                  <c:v>1.4092793426870006E-4</c:v>
                </c:pt>
                <c:pt idx="727">
                  <c:v>1.6154197762876268E-4</c:v>
                </c:pt>
                <c:pt idx="728">
                  <c:v>5.1912208225591033E-5</c:v>
                </c:pt>
                <c:pt idx="729">
                  <c:v>1.1682798923450902E-4</c:v>
                </c:pt>
                <c:pt idx="730">
                  <c:v>9.7162360683328896E-5</c:v>
                </c:pt>
                <c:pt idx="731">
                  <c:v>1.5180119224859776E-4</c:v>
                </c:pt>
                <c:pt idx="732">
                  <c:v>1.270725764189973E-4</c:v>
                </c:pt>
                <c:pt idx="733">
                  <c:v>1.372533772888277E-4</c:v>
                </c:pt>
                <c:pt idx="734">
                  <c:v>1.1011577259704959E-4</c:v>
                </c:pt>
                <c:pt idx="735">
                  <c:v>1.4652543687505314E-4</c:v>
                </c:pt>
                <c:pt idx="736">
                  <c:v>8.3856557679294662E-5</c:v>
                </c:pt>
                <c:pt idx="737">
                  <c:v>6.2096226140635077E-5</c:v>
                </c:pt>
                <c:pt idx="738">
                  <c:v>1.2616850266457534E-4</c:v>
                </c:pt>
                <c:pt idx="739">
                  <c:v>1.1383853687415126E-4</c:v>
                </c:pt>
                <c:pt idx="740">
                  <c:v>9.968752428139603E-5</c:v>
                </c:pt>
                <c:pt idx="741">
                  <c:v>1.6892747928924081E-4</c:v>
                </c:pt>
                <c:pt idx="742">
                  <c:v>1.6547901811037746E-4</c:v>
                </c:pt>
                <c:pt idx="743">
                  <c:v>1.1571621870276286E-4</c:v>
                </c:pt>
                <c:pt idx="744">
                  <c:v>7.125389120055891E-5</c:v>
                </c:pt>
                <c:pt idx="745">
                  <c:v>5.1072736132986715E-5</c:v>
                </c:pt>
                <c:pt idx="746">
                  <c:v>9.243872441924933E-5</c:v>
                </c:pt>
                <c:pt idx="747">
                  <c:v>2.0187779319749054E-4</c:v>
                </c:pt>
                <c:pt idx="748">
                  <c:v>1.3591917324501843E-4</c:v>
                </c:pt>
                <c:pt idx="749">
                  <c:v>1.1722690286180731E-4</c:v>
                </c:pt>
                <c:pt idx="750">
                  <c:v>9.0277028330714595E-5</c:v>
                </c:pt>
                <c:pt idx="751">
                  <c:v>8.2174907558664616E-5</c:v>
                </c:pt>
                <c:pt idx="752">
                  <c:v>9.773417055246604E-5</c:v>
                </c:pt>
                <c:pt idx="753">
                  <c:v>1.9457676065016293E-4</c:v>
                </c:pt>
                <c:pt idx="754">
                  <c:v>2.171810509899726E-4</c:v>
                </c:pt>
                <c:pt idx="755">
                  <c:v>4.0706582801760071E-5</c:v>
                </c:pt>
                <c:pt idx="756">
                  <c:v>1.0157187911651157E-4</c:v>
                </c:pt>
                <c:pt idx="757">
                  <c:v>1.3662226846958644E-4</c:v>
                </c:pt>
                <c:pt idx="758">
                  <c:v>9.8596164460765023E-5</c:v>
                </c:pt>
                <c:pt idx="759">
                  <c:v>8.0702053793197233E-5</c:v>
                </c:pt>
                <c:pt idx="760">
                  <c:v>9.3511006922632138E-5</c:v>
                </c:pt>
                <c:pt idx="761">
                  <c:v>1.4457410363649545E-4</c:v>
                </c:pt>
                <c:pt idx="762">
                  <c:v>6.2879877545264637E-5</c:v>
                </c:pt>
                <c:pt idx="763">
                  <c:v>9.8896723883151538E-5</c:v>
                </c:pt>
                <c:pt idx="764">
                  <c:v>1.2384606065603563E-4</c:v>
                </c:pt>
                <c:pt idx="765">
                  <c:v>1.6814443230535217E-4</c:v>
                </c:pt>
                <c:pt idx="766">
                  <c:v>4.602190479365854E-5</c:v>
                </c:pt>
                <c:pt idx="767">
                  <c:v>1.0199299215094852E-4</c:v>
                </c:pt>
                <c:pt idx="768">
                  <c:v>4.691101214764272E-5</c:v>
                </c:pt>
                <c:pt idx="769">
                  <c:v>6.1143130527620431E-5</c:v>
                </c:pt>
                <c:pt idx="770">
                  <c:v>1.291109592775228E-4</c:v>
                </c:pt>
                <c:pt idx="771">
                  <c:v>1.0897321879586187E-4</c:v>
                </c:pt>
                <c:pt idx="772">
                  <c:v>1.1599442067907564E-4</c:v>
                </c:pt>
                <c:pt idx="773">
                  <c:v>1.5029661613601925E-4</c:v>
                </c:pt>
                <c:pt idx="774">
                  <c:v>1.7744653488502892E-4</c:v>
                </c:pt>
                <c:pt idx="775">
                  <c:v>1.2851667824362672E-4</c:v>
                </c:pt>
                <c:pt idx="776">
                  <c:v>1.0511810559369254E-4</c:v>
                </c:pt>
                <c:pt idx="777">
                  <c:v>1.1107654996247266E-4</c:v>
                </c:pt>
                <c:pt idx="778">
                  <c:v>8.8028748229544557E-5</c:v>
                </c:pt>
                <c:pt idx="779">
                  <c:v>7.2759117539091781E-5</c:v>
                </c:pt>
                <c:pt idx="780">
                  <c:v>5.3274641342572615E-5</c:v>
                </c:pt>
                <c:pt idx="781">
                  <c:v>7.3055592789794883E-5</c:v>
                </c:pt>
                <c:pt idx="782">
                  <c:v>1.1388023865052061E-4</c:v>
                </c:pt>
                <c:pt idx="783">
                  <c:v>8.5583700441562468E-5</c:v>
                </c:pt>
                <c:pt idx="784">
                  <c:v>1.6086391747661114E-4</c:v>
                </c:pt>
                <c:pt idx="785">
                  <c:v>1.8737054072073676E-4</c:v>
                </c:pt>
                <c:pt idx="786">
                  <c:v>1.0280010997936251E-4</c:v>
                </c:pt>
                <c:pt idx="787">
                  <c:v>1.0862668332348769E-4</c:v>
                </c:pt>
                <c:pt idx="788">
                  <c:v>1.7439221471573542E-4</c:v>
                </c:pt>
                <c:pt idx="789">
                  <c:v>3.9836293387470218E-5</c:v>
                </c:pt>
                <c:pt idx="790">
                  <c:v>1.4342178593723971E-4</c:v>
                </c:pt>
                <c:pt idx="791">
                  <c:v>1.8002379974516632E-5</c:v>
                </c:pt>
                <c:pt idx="792">
                  <c:v>1.293802537444188E-4</c:v>
                </c:pt>
                <c:pt idx="793">
                  <c:v>6.9241210106635849E-5</c:v>
                </c:pt>
                <c:pt idx="794">
                  <c:v>1.0220310767788429E-4</c:v>
                </c:pt>
                <c:pt idx="795">
                  <c:v>7.1800967046455321E-5</c:v>
                </c:pt>
                <c:pt idx="796">
                  <c:v>4.3722495080306516E-5</c:v>
                </c:pt>
                <c:pt idx="797">
                  <c:v>7.7691135444857301E-5</c:v>
                </c:pt>
                <c:pt idx="798">
                  <c:v>1.1184473378296842E-4</c:v>
                </c:pt>
                <c:pt idx="799">
                  <c:v>4.203973439401806E-5</c:v>
                </c:pt>
                <c:pt idx="800">
                  <c:v>4.6049598844522919E-5</c:v>
                </c:pt>
                <c:pt idx="801">
                  <c:v>2.6450680738588979E-5</c:v>
                </c:pt>
                <c:pt idx="802">
                  <c:v>1.1733317840108397E-4</c:v>
                </c:pt>
                <c:pt idx="803">
                  <c:v>1.2808436891643534E-4</c:v>
                </c:pt>
                <c:pt idx="804">
                  <c:v>8.8870936298050777E-5</c:v>
                </c:pt>
                <c:pt idx="805">
                  <c:v>1.0168748093193118E-4</c:v>
                </c:pt>
                <c:pt idx="806">
                  <c:v>1.329829207863472E-4</c:v>
                </c:pt>
                <c:pt idx="807">
                  <c:v>1.4675627519171428E-4</c:v>
                </c:pt>
                <c:pt idx="808">
                  <c:v>9.1113057290497955E-5</c:v>
                </c:pt>
                <c:pt idx="809">
                  <c:v>1.0941604895361151E-4</c:v>
                </c:pt>
                <c:pt idx="810">
                  <c:v>9.2282987413963238E-5</c:v>
                </c:pt>
                <c:pt idx="811">
                  <c:v>9.3581747612099341E-5</c:v>
                </c:pt>
                <c:pt idx="812">
                  <c:v>7.9275801578715556E-5</c:v>
                </c:pt>
                <c:pt idx="813">
                  <c:v>1.6926533513349147E-4</c:v>
                </c:pt>
                <c:pt idx="814">
                  <c:v>5.6440141081489571E-5</c:v>
                </c:pt>
                <c:pt idx="815">
                  <c:v>4.8855919890868786E-5</c:v>
                </c:pt>
                <c:pt idx="816">
                  <c:v>7.3975975569886724E-5</c:v>
                </c:pt>
                <c:pt idx="817">
                  <c:v>1.2848164267272873E-4</c:v>
                </c:pt>
                <c:pt idx="818">
                  <c:v>1.2206430141872454E-4</c:v>
                </c:pt>
                <c:pt idx="819">
                  <c:v>1.1618895503497656E-4</c:v>
                </c:pt>
                <c:pt idx="820">
                  <c:v>1.7618574585618642E-4</c:v>
                </c:pt>
                <c:pt idx="821">
                  <c:v>8.7514029563221326E-5</c:v>
                </c:pt>
                <c:pt idx="822">
                  <c:v>6.3154866889469482E-5</c:v>
                </c:pt>
                <c:pt idx="823">
                  <c:v>6.0923680478887688E-5</c:v>
                </c:pt>
                <c:pt idx="824">
                  <c:v>1.4358548990042264E-4</c:v>
                </c:pt>
                <c:pt idx="825">
                  <c:v>9.2909008298066269E-5</c:v>
                </c:pt>
                <c:pt idx="826">
                  <c:v>8.7915782209124866E-5</c:v>
                </c:pt>
                <c:pt idx="827">
                  <c:v>1.9194711133341697E-4</c:v>
                </c:pt>
                <c:pt idx="828">
                  <c:v>1.0870708910183172E-4</c:v>
                </c:pt>
                <c:pt idx="829">
                  <c:v>5.5072511972007802E-5</c:v>
                </c:pt>
                <c:pt idx="830">
                  <c:v>1.3753832250395389E-4</c:v>
                </c:pt>
                <c:pt idx="831">
                  <c:v>9.0457227924033886E-5</c:v>
                </c:pt>
                <c:pt idx="832">
                  <c:v>1.4150085037904214E-4</c:v>
                </c:pt>
                <c:pt idx="833">
                  <c:v>8.5130829205003157E-5</c:v>
                </c:pt>
                <c:pt idx="834">
                  <c:v>1.0194902188829032E-4</c:v>
                </c:pt>
                <c:pt idx="835">
                  <c:v>9.2750603275278722E-5</c:v>
                </c:pt>
                <c:pt idx="836">
                  <c:v>1.3925857637361335E-4</c:v>
                </c:pt>
                <c:pt idx="837">
                  <c:v>7.9204308946688202E-5</c:v>
                </c:pt>
                <c:pt idx="838">
                  <c:v>1.0424562221454051E-4</c:v>
                </c:pt>
                <c:pt idx="839">
                  <c:v>7.8373592622934006E-5</c:v>
                </c:pt>
                <c:pt idx="840">
                  <c:v>3.7916306757536183E-5</c:v>
                </c:pt>
                <c:pt idx="841">
                  <c:v>1.3385710553573833E-4</c:v>
                </c:pt>
                <c:pt idx="842">
                  <c:v>1.7178682508143511E-4</c:v>
                </c:pt>
                <c:pt idx="843">
                  <c:v>9.5920558131358625E-5</c:v>
                </c:pt>
                <c:pt idx="844">
                  <c:v>1.064179192809829E-4</c:v>
                </c:pt>
                <c:pt idx="845">
                  <c:v>1.8539786940286008E-4</c:v>
                </c:pt>
                <c:pt idx="846">
                  <c:v>1.485165136408841E-4</c:v>
                </c:pt>
                <c:pt idx="847">
                  <c:v>1.9456478732657261E-4</c:v>
                </c:pt>
                <c:pt idx="848">
                  <c:v>1.6823178648093124E-4</c:v>
                </c:pt>
                <c:pt idx="849">
                  <c:v>1.3043391217702413E-4</c:v>
                </c:pt>
                <c:pt idx="850">
                  <c:v>1.3879119768495178E-4</c:v>
                </c:pt>
                <c:pt idx="851">
                  <c:v>9.1954572419479676E-5</c:v>
                </c:pt>
                <c:pt idx="852">
                  <c:v>1.0477007711871467E-4</c:v>
                </c:pt>
                <c:pt idx="853">
                  <c:v>5.7878856017358848E-5</c:v>
                </c:pt>
                <c:pt idx="854">
                  <c:v>1.1064652585642549E-4</c:v>
                </c:pt>
                <c:pt idx="855">
                  <c:v>1.138855059731465E-4</c:v>
                </c:pt>
                <c:pt idx="856">
                  <c:v>8.8693369551575714E-5</c:v>
                </c:pt>
                <c:pt idx="857">
                  <c:v>5.372865389040379E-5</c:v>
                </c:pt>
                <c:pt idx="858">
                  <c:v>7.5390904041168106E-5</c:v>
                </c:pt>
                <c:pt idx="859">
                  <c:v>7.000197659395811E-5</c:v>
                </c:pt>
                <c:pt idx="860">
                  <c:v>9.5630308537285894E-5</c:v>
                </c:pt>
                <c:pt idx="861">
                  <c:v>3.0369284140405628E-5</c:v>
                </c:pt>
                <c:pt idx="862">
                  <c:v>6.8215954901994577E-5</c:v>
                </c:pt>
                <c:pt idx="863">
                  <c:v>1.4133196895727018E-4</c:v>
                </c:pt>
                <c:pt idx="864">
                  <c:v>1.1577789848983422E-4</c:v>
                </c:pt>
                <c:pt idx="865">
                  <c:v>1.4058769717843503E-4</c:v>
                </c:pt>
                <c:pt idx="866">
                  <c:v>1.1079184723714446E-4</c:v>
                </c:pt>
                <c:pt idx="867">
                  <c:v>5.50498223255227E-5</c:v>
                </c:pt>
                <c:pt idx="868">
                  <c:v>1.4027192126294164E-4</c:v>
                </c:pt>
                <c:pt idx="869">
                  <c:v>5.1416544196727629E-5</c:v>
                </c:pt>
                <c:pt idx="870">
                  <c:v>2.2846475945768797E-5</c:v>
                </c:pt>
                <c:pt idx="871">
                  <c:v>5.5374716068786279E-5</c:v>
                </c:pt>
                <c:pt idx="872">
                  <c:v>7.9672379993143673E-5</c:v>
                </c:pt>
                <c:pt idx="873">
                  <c:v>8.8070815974970564E-5</c:v>
                </c:pt>
                <c:pt idx="874">
                  <c:v>1.4819256228185227E-4</c:v>
                </c:pt>
                <c:pt idx="875">
                  <c:v>1.4070036953275103E-4</c:v>
                </c:pt>
                <c:pt idx="876">
                  <c:v>1.1791450638388968E-4</c:v>
                </c:pt>
                <c:pt idx="877">
                  <c:v>5.252640954538856E-5</c:v>
                </c:pt>
                <c:pt idx="878">
                  <c:v>1.0787621334266593E-4</c:v>
                </c:pt>
                <c:pt idx="879">
                  <c:v>1.4684561738404568E-4</c:v>
                </c:pt>
                <c:pt idx="880">
                  <c:v>4.9029246215195551E-5</c:v>
                </c:pt>
                <c:pt idx="881">
                  <c:v>3.6244204766155062E-5</c:v>
                </c:pt>
                <c:pt idx="882">
                  <c:v>9.2121779842310459E-5</c:v>
                </c:pt>
                <c:pt idx="883">
                  <c:v>1.0407882085536132E-4</c:v>
                </c:pt>
                <c:pt idx="884">
                  <c:v>9.0798242321165216E-5</c:v>
                </c:pt>
                <c:pt idx="885">
                  <c:v>6.3269942844202797E-5</c:v>
                </c:pt>
                <c:pt idx="886">
                  <c:v>1.0197385978820365E-4</c:v>
                </c:pt>
                <c:pt idx="887">
                  <c:v>1.0588694203699885E-4</c:v>
                </c:pt>
                <c:pt idx="888">
                  <c:v>1.1878213454615445E-4</c:v>
                </c:pt>
                <c:pt idx="889">
                  <c:v>6.2214306957153053E-5</c:v>
                </c:pt>
                <c:pt idx="890">
                  <c:v>1.1678100909410326E-4</c:v>
                </c:pt>
                <c:pt idx="891">
                  <c:v>7.6232829565004687E-5</c:v>
                </c:pt>
                <c:pt idx="892">
                  <c:v>8.8422592612060052E-5</c:v>
                </c:pt>
                <c:pt idx="893">
                  <c:v>6.9566859673216827E-5</c:v>
                </c:pt>
                <c:pt idx="894">
                  <c:v>4.8269105836686848E-5</c:v>
                </c:pt>
                <c:pt idx="895">
                  <c:v>1.2501125884043356E-4</c:v>
                </c:pt>
                <c:pt idx="896">
                  <c:v>1.5897091557830708E-4</c:v>
                </c:pt>
                <c:pt idx="897">
                  <c:v>8.6067352447961767E-5</c:v>
                </c:pt>
                <c:pt idx="898">
                  <c:v>1.1765277201488509E-4</c:v>
                </c:pt>
                <c:pt idx="899">
                  <c:v>1.2471356925923405E-4</c:v>
                </c:pt>
                <c:pt idx="900">
                  <c:v>7.0870658643163708E-5</c:v>
                </c:pt>
                <c:pt idx="901">
                  <c:v>1.2938429761485661E-4</c:v>
                </c:pt>
                <c:pt idx="902">
                  <c:v>5.737817287785204E-5</c:v>
                </c:pt>
                <c:pt idx="903">
                  <c:v>1.4255152276317567E-4</c:v>
                </c:pt>
                <c:pt idx="904">
                  <c:v>9.4697915380046127E-5</c:v>
                </c:pt>
                <c:pt idx="905">
                  <c:v>2.4231803069902505E-4</c:v>
                </c:pt>
                <c:pt idx="906">
                  <c:v>1.1067303209810141E-4</c:v>
                </c:pt>
                <c:pt idx="907">
                  <c:v>4.7755431889839497E-5</c:v>
                </c:pt>
                <c:pt idx="908">
                  <c:v>6.821618041436468E-5</c:v>
                </c:pt>
                <c:pt idx="909">
                  <c:v>2.2302447715282368E-4</c:v>
                </c:pt>
                <c:pt idx="910">
                  <c:v>1.6503575516026045E-4</c:v>
                </c:pt>
                <c:pt idx="911">
                  <c:v>1.147458060462975E-4</c:v>
                </c:pt>
                <c:pt idx="912">
                  <c:v>6.3156626378884921E-5</c:v>
                </c:pt>
                <c:pt idx="913">
                  <c:v>6.6303054600236488E-5</c:v>
                </c:pt>
                <c:pt idx="914">
                  <c:v>8.1636901256275639E-5</c:v>
                </c:pt>
                <c:pt idx="915">
                  <c:v>7.5916940438641657E-5</c:v>
                </c:pt>
                <c:pt idx="916">
                  <c:v>1.2298719997152937E-4</c:v>
                </c:pt>
                <c:pt idx="917">
                  <c:v>7.3950100006275839E-5</c:v>
                </c:pt>
                <c:pt idx="918">
                  <c:v>1.3408923995256037E-4</c:v>
                </c:pt>
                <c:pt idx="919">
                  <c:v>1.1606923411882806E-4</c:v>
                </c:pt>
                <c:pt idx="920">
                  <c:v>9.8439602983341911E-5</c:v>
                </c:pt>
                <c:pt idx="921">
                  <c:v>1.6395804384324936E-4</c:v>
                </c:pt>
                <c:pt idx="922">
                  <c:v>8.1834353976845478E-5</c:v>
                </c:pt>
                <c:pt idx="923">
                  <c:v>8.912778211378498E-5</c:v>
                </c:pt>
                <c:pt idx="924">
                  <c:v>1.32941015814738E-4</c:v>
                </c:pt>
                <c:pt idx="925">
                  <c:v>7.4354907160828132E-5</c:v>
                </c:pt>
                <c:pt idx="926">
                  <c:v>5.3791551421568428E-5</c:v>
                </c:pt>
                <c:pt idx="927">
                  <c:v>9.3308489399776992E-5</c:v>
                </c:pt>
                <c:pt idx="928">
                  <c:v>2.8551005666174707E-4</c:v>
                </c:pt>
                <c:pt idx="929">
                  <c:v>4.4259870814367621E-5</c:v>
                </c:pt>
                <c:pt idx="930">
                  <c:v>1.1706620584317926E-4</c:v>
                </c:pt>
                <c:pt idx="931">
                  <c:v>8.4592802079097156E-5</c:v>
                </c:pt>
                <c:pt idx="932">
                  <c:v>6.0886147457943885E-5</c:v>
                </c:pt>
                <c:pt idx="933">
                  <c:v>9.1426450796429809E-5</c:v>
                </c:pt>
                <c:pt idx="934">
                  <c:v>1.0939868572451893E-4</c:v>
                </c:pt>
                <c:pt idx="935">
                  <c:v>7.1235937381530082E-5</c:v>
                </c:pt>
                <c:pt idx="936">
                  <c:v>1.0399426494797607E-4</c:v>
                </c:pt>
                <c:pt idx="937">
                  <c:v>9.8966303425453153E-5</c:v>
                </c:pt>
                <c:pt idx="938">
                  <c:v>1.4958846476013709E-4</c:v>
                </c:pt>
                <c:pt idx="939">
                  <c:v>1.0633791020090348E-4</c:v>
                </c:pt>
                <c:pt idx="940">
                  <c:v>6.3911504112071225E-5</c:v>
                </c:pt>
                <c:pt idx="941">
                  <c:v>8.6169555198381201E-5</c:v>
                </c:pt>
                <c:pt idx="942">
                  <c:v>6.5524019345657283E-5</c:v>
                </c:pt>
                <c:pt idx="943">
                  <c:v>1.6411265874149847E-4</c:v>
                </c:pt>
                <c:pt idx="944">
                  <c:v>1.3156400085073783E-4</c:v>
                </c:pt>
                <c:pt idx="945">
                  <c:v>1.3473355623171138E-4</c:v>
                </c:pt>
                <c:pt idx="946">
                  <c:v>1.0786081674191005E-4</c:v>
                </c:pt>
                <c:pt idx="947">
                  <c:v>1.1923477312584421E-4</c:v>
                </c:pt>
                <c:pt idx="948">
                  <c:v>6.7396306266986723E-5</c:v>
                </c:pt>
                <c:pt idx="949">
                  <c:v>1.1692763692603303E-4</c:v>
                </c:pt>
                <c:pt idx="950">
                  <c:v>5.5174143525508533E-5</c:v>
                </c:pt>
                <c:pt idx="951">
                  <c:v>9.4716101594620011E-5</c:v>
                </c:pt>
                <c:pt idx="952">
                  <c:v>5.9894263031195118E-5</c:v>
                </c:pt>
                <c:pt idx="953">
                  <c:v>7.1578843572182754E-5</c:v>
                </c:pt>
                <c:pt idx="954">
                  <c:v>1.6673955333204767E-4</c:v>
                </c:pt>
                <c:pt idx="955">
                  <c:v>1.7860621275103266E-4</c:v>
                </c:pt>
                <c:pt idx="956">
                  <c:v>6.5813919820920835E-5</c:v>
                </c:pt>
                <c:pt idx="957">
                  <c:v>8.8785903990904049E-5</c:v>
                </c:pt>
                <c:pt idx="958">
                  <c:v>7.1767645772408562E-5</c:v>
                </c:pt>
                <c:pt idx="959">
                  <c:v>8.8860214440650349E-5</c:v>
                </c:pt>
                <c:pt idx="960">
                  <c:v>1.1418505744017552E-4</c:v>
                </c:pt>
                <c:pt idx="961">
                  <c:v>5.3669905771599913E-5</c:v>
                </c:pt>
                <c:pt idx="962">
                  <c:v>1.0970427625944175E-4</c:v>
                </c:pt>
                <c:pt idx="963">
                  <c:v>9.9187596332954951E-5</c:v>
                </c:pt>
                <c:pt idx="964">
                  <c:v>9.6940255056983973E-5</c:v>
                </c:pt>
                <c:pt idx="965">
                  <c:v>7.5389184086791552E-5</c:v>
                </c:pt>
                <c:pt idx="966">
                  <c:v>1.6438219835780585E-4</c:v>
                </c:pt>
                <c:pt idx="967">
                  <c:v>1.4193338944504551E-4</c:v>
                </c:pt>
                <c:pt idx="968">
                  <c:v>1.49359106136383E-4</c:v>
                </c:pt>
                <c:pt idx="969">
                  <c:v>9.6653452787498872E-5</c:v>
                </c:pt>
                <c:pt idx="970">
                  <c:v>8.8820201646363351E-5</c:v>
                </c:pt>
                <c:pt idx="971">
                  <c:v>1.2996137766160804E-4</c:v>
                </c:pt>
                <c:pt idx="972">
                  <c:v>4.3975726789501789E-5</c:v>
                </c:pt>
                <c:pt idx="973">
                  <c:v>1.4020191693783014E-4</c:v>
                </c:pt>
                <c:pt idx="974">
                  <c:v>5.3669348851542587E-5</c:v>
                </c:pt>
                <c:pt idx="975">
                  <c:v>1.4863892249134458E-4</c:v>
                </c:pt>
                <c:pt idx="976">
                  <c:v>1.0251388636162505E-4</c:v>
                </c:pt>
                <c:pt idx="977">
                  <c:v>1.4128248994581713E-4</c:v>
                </c:pt>
                <c:pt idx="978">
                  <c:v>5.4995210534321867E-5</c:v>
                </c:pt>
                <c:pt idx="979">
                  <c:v>1.5726214565981293E-4</c:v>
                </c:pt>
                <c:pt idx="980">
                  <c:v>6.908443521582588E-5</c:v>
                </c:pt>
                <c:pt idx="981">
                  <c:v>1.28403188715721E-4</c:v>
                </c:pt>
                <c:pt idx="982">
                  <c:v>1.1485411388788291E-4</c:v>
                </c:pt>
                <c:pt idx="983">
                  <c:v>1.6093371139500493E-4</c:v>
                </c:pt>
                <c:pt idx="984">
                  <c:v>1.3939804715792939E-4</c:v>
                </c:pt>
                <c:pt idx="985">
                  <c:v>7.1332472452318859E-5</c:v>
                </c:pt>
                <c:pt idx="986">
                  <c:v>1.5091529644721625E-4</c:v>
                </c:pt>
                <c:pt idx="987">
                  <c:v>1.5779321313743604E-4</c:v>
                </c:pt>
                <c:pt idx="988">
                  <c:v>5.7456450964750392E-5</c:v>
                </c:pt>
                <c:pt idx="989">
                  <c:v>1.4488357682403906E-4</c:v>
                </c:pt>
                <c:pt idx="990">
                  <c:v>7.6185442926922993E-5</c:v>
                </c:pt>
                <c:pt idx="991">
                  <c:v>5.4818627513496924E-5</c:v>
                </c:pt>
                <c:pt idx="992">
                  <c:v>1.3132107671072656E-4</c:v>
                </c:pt>
                <c:pt idx="993">
                  <c:v>3.7925556911092139E-5</c:v>
                </c:pt>
                <c:pt idx="994">
                  <c:v>5.9781823945743911E-5</c:v>
                </c:pt>
                <c:pt idx="995">
                  <c:v>5.6145060542717736E-5</c:v>
                </c:pt>
                <c:pt idx="996">
                  <c:v>1.5467714704995068E-4</c:v>
                </c:pt>
                <c:pt idx="997">
                  <c:v>1.2177535319772097E-4</c:v>
                </c:pt>
                <c:pt idx="998">
                  <c:v>1.028374952392065E-4</c:v>
                </c:pt>
                <c:pt idx="999">
                  <c:v>1.0216005590219377E-4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74-4F50-95F5-A0CB37752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750688"/>
        <c:axId val="1447747328"/>
      </c:scatterChart>
      <c:valAx>
        <c:axId val="144775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447747328"/>
        <c:crosses val="autoZero"/>
        <c:crossBetween val="midCat"/>
      </c:valAx>
      <c:valAx>
        <c:axId val="1447747328"/>
        <c:scaling>
          <c:orientation val="minMax"/>
          <c:min val="2.0000000000000008E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\ 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44775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Diagram</a:t>
            </a:r>
            <a:r>
              <a:rPr lang="nb-NO" baseline="0"/>
              <a:t>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'Mandatory Assigment '!$AB$23</c:f>
              <c:strCache>
                <c:ptCount val="1"/>
                <c:pt idx="0">
                  <c:v>Value at risk 10%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'Mandatory Assigment '!$Z$24:$Z$1023</c:f>
              <c:numCache>
                <c:formatCode>General</c:formatCode>
                <c:ptCount val="1000"/>
                <c:pt idx="0">
                  <c:v>7.6545332474571147E-4</c:v>
                </c:pt>
                <c:pt idx="1">
                  <c:v>8.7114013780695688E-4</c:v>
                </c:pt>
                <c:pt idx="2">
                  <c:v>8.6775175334168997E-4</c:v>
                </c:pt>
                <c:pt idx="3">
                  <c:v>8.5113642022109528E-4</c:v>
                </c:pt>
                <c:pt idx="4">
                  <c:v>8.0127354782245799E-4</c:v>
                </c:pt>
                <c:pt idx="5">
                  <c:v>9.2373126173441345E-4</c:v>
                </c:pt>
                <c:pt idx="6">
                  <c:v>1.0182194184835715E-3</c:v>
                </c:pt>
                <c:pt idx="7">
                  <c:v>1.0397402798507256E-3</c:v>
                </c:pt>
                <c:pt idx="8">
                  <c:v>8.3077859257197511E-4</c:v>
                </c:pt>
                <c:pt idx="9">
                  <c:v>1.1163545805234869E-3</c:v>
                </c:pt>
                <c:pt idx="10">
                  <c:v>8.2442585080853533E-4</c:v>
                </c:pt>
                <c:pt idx="11">
                  <c:v>9.4724664173351442E-4</c:v>
                </c:pt>
                <c:pt idx="12">
                  <c:v>9.4019316571181295E-4</c:v>
                </c:pt>
                <c:pt idx="13">
                  <c:v>9.590033721829219E-4</c:v>
                </c:pt>
                <c:pt idx="14">
                  <c:v>9.1215641695177574E-4</c:v>
                </c:pt>
                <c:pt idx="15">
                  <c:v>7.9610779402728294E-4</c:v>
                </c:pt>
                <c:pt idx="16">
                  <c:v>1.028705196179313E-3</c:v>
                </c:pt>
                <c:pt idx="17">
                  <c:v>9.411451895096764E-4</c:v>
                </c:pt>
                <c:pt idx="18">
                  <c:v>7.3599555342639166E-4</c:v>
                </c:pt>
                <c:pt idx="19">
                  <c:v>1.171838658478794E-3</c:v>
                </c:pt>
                <c:pt idx="20">
                  <c:v>9.6452693142545331E-4</c:v>
                </c:pt>
                <c:pt idx="21">
                  <c:v>1.0465877801435937E-3</c:v>
                </c:pt>
                <c:pt idx="22">
                  <c:v>1.2060013978611407E-3</c:v>
                </c:pt>
                <c:pt idx="23">
                  <c:v>8.2751437603675458E-4</c:v>
                </c:pt>
                <c:pt idx="24">
                  <c:v>1.1440935807871047E-3</c:v>
                </c:pt>
                <c:pt idx="25">
                  <c:v>7.1731202074732465E-4</c:v>
                </c:pt>
                <c:pt idx="26">
                  <c:v>8.9244323353580672E-4</c:v>
                </c:pt>
                <c:pt idx="27">
                  <c:v>9.1364283539114286E-4</c:v>
                </c:pt>
                <c:pt idx="28">
                  <c:v>9.1109461085681271E-4</c:v>
                </c:pt>
                <c:pt idx="29">
                  <c:v>8.5145129042319789E-4</c:v>
                </c:pt>
                <c:pt idx="30">
                  <c:v>9.0769585843103267E-4</c:v>
                </c:pt>
                <c:pt idx="31">
                  <c:v>6.9791638938661814E-4</c:v>
                </c:pt>
                <c:pt idx="32">
                  <c:v>9.5025067862202308E-4</c:v>
                </c:pt>
                <c:pt idx="33">
                  <c:v>8.2050210805704603E-4</c:v>
                </c:pt>
                <c:pt idx="34">
                  <c:v>9.8700726237068684E-4</c:v>
                </c:pt>
                <c:pt idx="35">
                  <c:v>8.7445312461257403E-4</c:v>
                </c:pt>
                <c:pt idx="36">
                  <c:v>8.1970740141909602E-4</c:v>
                </c:pt>
                <c:pt idx="37">
                  <c:v>9.4357583813709119E-4</c:v>
                </c:pt>
                <c:pt idx="38">
                  <c:v>1.0084503673442025E-3</c:v>
                </c:pt>
                <c:pt idx="39">
                  <c:v>9.9695383288983205E-4</c:v>
                </c:pt>
                <c:pt idx="40">
                  <c:v>9.3557221873214781E-4</c:v>
                </c:pt>
                <c:pt idx="41">
                  <c:v>8.4008338080477491E-4</c:v>
                </c:pt>
                <c:pt idx="42">
                  <c:v>6.8946077163531861E-4</c:v>
                </c:pt>
                <c:pt idx="43">
                  <c:v>8.5424551366786432E-4</c:v>
                </c:pt>
                <c:pt idx="44">
                  <c:v>1.0555042426169837E-3</c:v>
                </c:pt>
                <c:pt idx="45">
                  <c:v>7.0922768671849998E-4</c:v>
                </c:pt>
                <c:pt idx="46">
                  <c:v>1.0458741802014694E-3</c:v>
                </c:pt>
                <c:pt idx="47">
                  <c:v>9.2278106197918298E-4</c:v>
                </c:pt>
                <c:pt idx="48">
                  <c:v>8.7225161678919057E-4</c:v>
                </c:pt>
                <c:pt idx="49">
                  <c:v>8.0923992185662045E-4</c:v>
                </c:pt>
                <c:pt idx="50">
                  <c:v>1.0343509840691175E-3</c:v>
                </c:pt>
                <c:pt idx="51">
                  <c:v>9.496149473065831E-4</c:v>
                </c:pt>
                <c:pt idx="52">
                  <c:v>1.0545027293851752E-3</c:v>
                </c:pt>
                <c:pt idx="53">
                  <c:v>7.9641615016331981E-4</c:v>
                </c:pt>
                <c:pt idx="54">
                  <c:v>1.0367421405024827E-3</c:v>
                </c:pt>
                <c:pt idx="55">
                  <c:v>8.6213875223696123E-4</c:v>
                </c:pt>
                <c:pt idx="56">
                  <c:v>9.3984363309669778E-4</c:v>
                </c:pt>
                <c:pt idx="57">
                  <c:v>9.7859366530264635E-4</c:v>
                </c:pt>
                <c:pt idx="58">
                  <c:v>8.4198849942715166E-4</c:v>
                </c:pt>
                <c:pt idx="59">
                  <c:v>8.3288627989787378E-4</c:v>
                </c:pt>
                <c:pt idx="60">
                  <c:v>8.3159852342763784E-4</c:v>
                </c:pt>
                <c:pt idx="61">
                  <c:v>1.0378486355974556E-3</c:v>
                </c:pt>
                <c:pt idx="62">
                  <c:v>9.5160249178389785E-4</c:v>
                </c:pt>
                <c:pt idx="63">
                  <c:v>9.3046017829912235E-4</c:v>
                </c:pt>
                <c:pt idx="64">
                  <c:v>9.9777231339560641E-4</c:v>
                </c:pt>
                <c:pt idx="65">
                  <c:v>8.5759808033638999E-4</c:v>
                </c:pt>
                <c:pt idx="66">
                  <c:v>7.8183914619814245E-4</c:v>
                </c:pt>
                <c:pt idx="67">
                  <c:v>9.1305602641858637E-4</c:v>
                </c:pt>
                <c:pt idx="68">
                  <c:v>9.2227780907807872E-4</c:v>
                </c:pt>
                <c:pt idx="69">
                  <c:v>9.6861122641349491E-4</c:v>
                </c:pt>
                <c:pt idx="70">
                  <c:v>9.1269496692402102E-4</c:v>
                </c:pt>
                <c:pt idx="71">
                  <c:v>9.0103970762751709E-4</c:v>
                </c:pt>
                <c:pt idx="72">
                  <c:v>8.1554369748274708E-4</c:v>
                </c:pt>
                <c:pt idx="73">
                  <c:v>8.9470090482548852E-4</c:v>
                </c:pt>
                <c:pt idx="74">
                  <c:v>1.0525335593151446E-3</c:v>
                </c:pt>
                <c:pt idx="75">
                  <c:v>8.8785073089591544E-4</c:v>
                </c:pt>
                <c:pt idx="76">
                  <c:v>7.4795214933951718E-4</c:v>
                </c:pt>
                <c:pt idx="77">
                  <c:v>1.0022099483042845E-3</c:v>
                </c:pt>
                <c:pt idx="78">
                  <c:v>9.678481098114285E-4</c:v>
                </c:pt>
                <c:pt idx="79">
                  <c:v>1.0615590478126424E-3</c:v>
                </c:pt>
                <c:pt idx="80">
                  <c:v>1.0852504815639782E-3</c:v>
                </c:pt>
                <c:pt idx="81">
                  <c:v>1.0173360703439461E-3</c:v>
                </c:pt>
                <c:pt idx="82">
                  <c:v>8.8206213862573901E-4</c:v>
                </c:pt>
                <c:pt idx="83">
                  <c:v>1.0369583300288117E-3</c:v>
                </c:pt>
                <c:pt idx="84">
                  <c:v>9.3779227697883701E-4</c:v>
                </c:pt>
                <c:pt idx="85">
                  <c:v>7.8329254162677196E-4</c:v>
                </c:pt>
                <c:pt idx="86">
                  <c:v>7.9153294155210989E-4</c:v>
                </c:pt>
                <c:pt idx="87">
                  <c:v>9.7775714580618364E-4</c:v>
                </c:pt>
                <c:pt idx="88">
                  <c:v>9.8830385889487607E-4</c:v>
                </c:pt>
                <c:pt idx="89">
                  <c:v>9.0602115976209908E-4</c:v>
                </c:pt>
                <c:pt idx="90">
                  <c:v>9.8825526790418533E-4</c:v>
                </c:pt>
                <c:pt idx="91">
                  <c:v>8.8574718426930531E-4</c:v>
                </c:pt>
                <c:pt idx="92">
                  <c:v>8.9159149785035595E-4</c:v>
                </c:pt>
                <c:pt idx="93">
                  <c:v>8.5804277812247969E-4</c:v>
                </c:pt>
                <c:pt idx="94">
                  <c:v>7.8963954895431687E-4</c:v>
                </c:pt>
                <c:pt idx="95">
                  <c:v>7.4656272579772388E-4</c:v>
                </c:pt>
                <c:pt idx="96">
                  <c:v>9.8637385469519875E-4</c:v>
                </c:pt>
                <c:pt idx="97">
                  <c:v>1.0011304418911559E-3</c:v>
                </c:pt>
                <c:pt idx="98">
                  <c:v>1.2335896560298578E-3</c:v>
                </c:pt>
                <c:pt idx="99">
                  <c:v>9.3938823584383468E-4</c:v>
                </c:pt>
                <c:pt idx="100">
                  <c:v>6.4244406714267081E-4</c:v>
                </c:pt>
                <c:pt idx="101">
                  <c:v>8.9281414037462416E-4</c:v>
                </c:pt>
                <c:pt idx="102">
                  <c:v>8.1833571061890097E-4</c:v>
                </c:pt>
                <c:pt idx="103">
                  <c:v>9.7153114905469662E-4</c:v>
                </c:pt>
                <c:pt idx="104">
                  <c:v>9.3762550546718317E-4</c:v>
                </c:pt>
                <c:pt idx="105">
                  <c:v>1.1391165749447261E-3</c:v>
                </c:pt>
                <c:pt idx="106">
                  <c:v>1.0598703212107814E-3</c:v>
                </c:pt>
                <c:pt idx="107">
                  <c:v>9.3012179111920325E-4</c:v>
                </c:pt>
                <c:pt idx="108">
                  <c:v>1.0247374538014833E-3</c:v>
                </c:pt>
                <c:pt idx="109">
                  <c:v>1.059628346744551E-3</c:v>
                </c:pt>
                <c:pt idx="110">
                  <c:v>8.2513491883843811E-4</c:v>
                </c:pt>
                <c:pt idx="111">
                  <c:v>9.2175637551050564E-4</c:v>
                </c:pt>
                <c:pt idx="112">
                  <c:v>1.0318271895814941E-3</c:v>
                </c:pt>
                <c:pt idx="113">
                  <c:v>1.0047944074731098E-3</c:v>
                </c:pt>
                <c:pt idx="114">
                  <c:v>9.9277110913913928E-4</c:v>
                </c:pt>
                <c:pt idx="115">
                  <c:v>1.0925383841494172E-3</c:v>
                </c:pt>
                <c:pt idx="116">
                  <c:v>9.1218590681487713E-4</c:v>
                </c:pt>
                <c:pt idx="117">
                  <c:v>8.7868881322292918E-4</c:v>
                </c:pt>
                <c:pt idx="118">
                  <c:v>8.1530448635764804E-4</c:v>
                </c:pt>
                <c:pt idx="119">
                  <c:v>1.0097489459496161E-3</c:v>
                </c:pt>
                <c:pt idx="120">
                  <c:v>8.1747143132045825E-4</c:v>
                </c:pt>
                <c:pt idx="121">
                  <c:v>7.2371739100348222E-4</c:v>
                </c:pt>
                <c:pt idx="122">
                  <c:v>9.7946731191991647E-4</c:v>
                </c:pt>
                <c:pt idx="123">
                  <c:v>9.5352321977547837E-4</c:v>
                </c:pt>
                <c:pt idx="124">
                  <c:v>1.1202904399791516E-3</c:v>
                </c:pt>
                <c:pt idx="125">
                  <c:v>9.8452576204963215E-4</c:v>
                </c:pt>
                <c:pt idx="126">
                  <c:v>1.0944046795759367E-3</c:v>
                </c:pt>
                <c:pt idx="127">
                  <c:v>8.3145678194877998E-4</c:v>
                </c:pt>
                <c:pt idx="128">
                  <c:v>8.1335629996731433E-4</c:v>
                </c:pt>
                <c:pt idx="129">
                  <c:v>7.8284835516288938E-4</c:v>
                </c:pt>
                <c:pt idx="130">
                  <c:v>8.7620097087957015E-4</c:v>
                </c:pt>
                <c:pt idx="131">
                  <c:v>8.8466628406283466E-4</c:v>
                </c:pt>
                <c:pt idx="132">
                  <c:v>9.9109051080988422E-4</c:v>
                </c:pt>
                <c:pt idx="133">
                  <c:v>1.0847991658355961E-3</c:v>
                </c:pt>
                <c:pt idx="134">
                  <c:v>9.6956433677046028E-4</c:v>
                </c:pt>
                <c:pt idx="135">
                  <c:v>8.7061768978413971E-4</c:v>
                </c:pt>
                <c:pt idx="136">
                  <c:v>9.8212040085247313E-4</c:v>
                </c:pt>
                <c:pt idx="137">
                  <c:v>1.0439948472022263E-3</c:v>
                </c:pt>
                <c:pt idx="138">
                  <c:v>9.8459976183756705E-4</c:v>
                </c:pt>
                <c:pt idx="139">
                  <c:v>9.4942188156927178E-4</c:v>
                </c:pt>
                <c:pt idx="140">
                  <c:v>1.0112294799406358E-3</c:v>
                </c:pt>
                <c:pt idx="141">
                  <c:v>1.1447547791189209E-3</c:v>
                </c:pt>
                <c:pt idx="142">
                  <c:v>8.3791819014654044E-4</c:v>
                </c:pt>
                <c:pt idx="143">
                  <c:v>8.517280139504602E-4</c:v>
                </c:pt>
                <c:pt idx="144">
                  <c:v>1.0304621061021885E-3</c:v>
                </c:pt>
                <c:pt idx="145">
                  <c:v>1.1324913382843049E-3</c:v>
                </c:pt>
                <c:pt idx="146">
                  <c:v>9.2884608294089947E-4</c:v>
                </c:pt>
                <c:pt idx="147">
                  <c:v>9.1555597852154284E-4</c:v>
                </c:pt>
                <c:pt idx="148">
                  <c:v>8.0127604967177566E-4</c:v>
                </c:pt>
                <c:pt idx="149">
                  <c:v>1.0040813320484601E-3</c:v>
                </c:pt>
                <c:pt idx="150">
                  <c:v>9.8696197874690748E-4</c:v>
                </c:pt>
                <c:pt idx="151">
                  <c:v>1.018172434801849E-3</c:v>
                </c:pt>
                <c:pt idx="152">
                  <c:v>1.017706860987072E-3</c:v>
                </c:pt>
                <c:pt idx="153">
                  <c:v>9.0432608594185769E-4</c:v>
                </c:pt>
                <c:pt idx="154">
                  <c:v>9.6239981729516412E-4</c:v>
                </c:pt>
                <c:pt idx="155">
                  <c:v>1.09127536108667E-3</c:v>
                </c:pt>
                <c:pt idx="156">
                  <c:v>1.1074979888772664E-3</c:v>
                </c:pt>
                <c:pt idx="157">
                  <c:v>9.8651682716739274E-4</c:v>
                </c:pt>
                <c:pt idx="158">
                  <c:v>9.041024880584173E-4</c:v>
                </c:pt>
                <c:pt idx="159">
                  <c:v>9.3302791284131925E-4</c:v>
                </c:pt>
                <c:pt idx="160">
                  <c:v>8.3195260922773505E-4</c:v>
                </c:pt>
                <c:pt idx="161">
                  <c:v>9.0201863593907829E-4</c:v>
                </c:pt>
                <c:pt idx="162">
                  <c:v>8.5091985233401207E-4</c:v>
                </c:pt>
                <c:pt idx="163">
                  <c:v>1.0242622023808867E-3</c:v>
                </c:pt>
                <c:pt idx="164">
                  <c:v>1.0947948906303469E-3</c:v>
                </c:pt>
                <c:pt idx="165">
                  <c:v>9.9791539680626259E-4</c:v>
                </c:pt>
                <c:pt idx="166">
                  <c:v>1.0314142625430761E-3</c:v>
                </c:pt>
                <c:pt idx="167">
                  <c:v>6.5266420960716372E-4</c:v>
                </c:pt>
                <c:pt idx="168">
                  <c:v>1.1081654622847462E-3</c:v>
                </c:pt>
                <c:pt idx="169">
                  <c:v>1.0128969480214535E-3</c:v>
                </c:pt>
                <c:pt idx="170">
                  <c:v>1.150529756401969E-3</c:v>
                </c:pt>
                <c:pt idx="171">
                  <c:v>9.2541553115695107E-4</c:v>
                </c:pt>
                <c:pt idx="172">
                  <c:v>7.7325105049111983E-4</c:v>
                </c:pt>
                <c:pt idx="173">
                  <c:v>1.0644515864685318E-3</c:v>
                </c:pt>
                <c:pt idx="174">
                  <c:v>9.3669619804571101E-4</c:v>
                </c:pt>
                <c:pt idx="175">
                  <c:v>8.68463055641521E-4</c:v>
                </c:pt>
                <c:pt idx="176">
                  <c:v>9.1956685799905302E-4</c:v>
                </c:pt>
                <c:pt idx="177">
                  <c:v>9.2866912556140407E-4</c:v>
                </c:pt>
                <c:pt idx="178">
                  <c:v>8.5232082829784692E-4</c:v>
                </c:pt>
                <c:pt idx="179">
                  <c:v>9.8061829743401182E-4</c:v>
                </c:pt>
                <c:pt idx="180">
                  <c:v>8.4059881906069288E-4</c:v>
                </c:pt>
                <c:pt idx="181">
                  <c:v>1.0595496250906172E-3</c:v>
                </c:pt>
                <c:pt idx="182">
                  <c:v>8.1920952979253818E-4</c:v>
                </c:pt>
                <c:pt idx="183">
                  <c:v>1.0243204708256983E-3</c:v>
                </c:pt>
                <c:pt idx="184">
                  <c:v>8.6062671688166283E-4</c:v>
                </c:pt>
                <c:pt idx="185">
                  <c:v>8.3937871879313309E-4</c:v>
                </c:pt>
                <c:pt idx="186">
                  <c:v>1.0042151046251776E-3</c:v>
                </c:pt>
                <c:pt idx="187">
                  <c:v>8.9893386827962461E-4</c:v>
                </c:pt>
                <c:pt idx="188">
                  <c:v>8.5571934057744191E-4</c:v>
                </c:pt>
                <c:pt idx="189">
                  <c:v>9.4602550896196261E-4</c:v>
                </c:pt>
                <c:pt idx="190">
                  <c:v>8.6189193466585528E-4</c:v>
                </c:pt>
                <c:pt idx="191">
                  <c:v>1.03118578776778E-3</c:v>
                </c:pt>
                <c:pt idx="192">
                  <c:v>1.1915406038926235E-3</c:v>
                </c:pt>
                <c:pt idx="193">
                  <c:v>9.5748746766241512E-4</c:v>
                </c:pt>
                <c:pt idx="194">
                  <c:v>8.5063870641886212E-4</c:v>
                </c:pt>
                <c:pt idx="195">
                  <c:v>7.8804822526926381E-4</c:v>
                </c:pt>
                <c:pt idx="196">
                  <c:v>9.5624573516067722E-4</c:v>
                </c:pt>
                <c:pt idx="197">
                  <c:v>1.0331293736399606E-3</c:v>
                </c:pt>
                <c:pt idx="198">
                  <c:v>1.0292055657350617E-3</c:v>
                </c:pt>
                <c:pt idx="199">
                  <c:v>8.7183920285732546E-4</c:v>
                </c:pt>
                <c:pt idx="200">
                  <c:v>8.3055280427154501E-4</c:v>
                </c:pt>
                <c:pt idx="201">
                  <c:v>7.0250631140574059E-4</c:v>
                </c:pt>
                <c:pt idx="202">
                  <c:v>8.2767707091456412E-4</c:v>
                </c:pt>
                <c:pt idx="203">
                  <c:v>9.9647631485953107E-4</c:v>
                </c:pt>
                <c:pt idx="204">
                  <c:v>9.2862898523481303E-4</c:v>
                </c:pt>
                <c:pt idx="205">
                  <c:v>9.7428138725154259E-4</c:v>
                </c:pt>
                <c:pt idx="206">
                  <c:v>9.9771347801771797E-4</c:v>
                </c:pt>
                <c:pt idx="207">
                  <c:v>9.0865308887262653E-4</c:v>
                </c:pt>
                <c:pt idx="208">
                  <c:v>1.0125882776082186E-3</c:v>
                </c:pt>
                <c:pt idx="209">
                  <c:v>9.776276475685615E-4</c:v>
                </c:pt>
                <c:pt idx="210">
                  <c:v>1.0994210729311014E-3</c:v>
                </c:pt>
                <c:pt idx="211">
                  <c:v>9.6138463437082944E-4</c:v>
                </c:pt>
                <c:pt idx="212">
                  <c:v>9.8597019519470748E-4</c:v>
                </c:pt>
                <c:pt idx="213">
                  <c:v>7.9438667565105161E-4</c:v>
                </c:pt>
                <c:pt idx="214">
                  <c:v>1.103355509289214E-3</c:v>
                </c:pt>
                <c:pt idx="215">
                  <c:v>1.0667707150737906E-3</c:v>
                </c:pt>
                <c:pt idx="216">
                  <c:v>1.0313410361732652E-3</c:v>
                </c:pt>
                <c:pt idx="217">
                  <c:v>1.0585548465415237E-3</c:v>
                </c:pt>
                <c:pt idx="218">
                  <c:v>8.9492013094669978E-4</c:v>
                </c:pt>
                <c:pt idx="219">
                  <c:v>9.3319476487140909E-4</c:v>
                </c:pt>
                <c:pt idx="220">
                  <c:v>9.490688568954583E-4</c:v>
                </c:pt>
                <c:pt idx="221">
                  <c:v>1.0339784962312634E-3</c:v>
                </c:pt>
                <c:pt idx="222">
                  <c:v>9.1141061033772977E-4</c:v>
                </c:pt>
                <c:pt idx="223">
                  <c:v>9.9978220348795007E-4</c:v>
                </c:pt>
                <c:pt idx="224">
                  <c:v>9.9345286922662311E-4</c:v>
                </c:pt>
                <c:pt idx="225">
                  <c:v>8.379052831725541E-4</c:v>
                </c:pt>
                <c:pt idx="226">
                  <c:v>9.3526945525762302E-4</c:v>
                </c:pt>
                <c:pt idx="227">
                  <c:v>7.6005373700394031E-4</c:v>
                </c:pt>
                <c:pt idx="228">
                  <c:v>9.4622924203957158E-4</c:v>
                </c:pt>
                <c:pt idx="229">
                  <c:v>9.2239014375657515E-4</c:v>
                </c:pt>
                <c:pt idx="230">
                  <c:v>9.9771195783633073E-4</c:v>
                </c:pt>
                <c:pt idx="231">
                  <c:v>8.6143263594900784E-4</c:v>
                </c:pt>
                <c:pt idx="232">
                  <c:v>1.0178562564372162E-3</c:v>
                </c:pt>
                <c:pt idx="233">
                  <c:v>1.0096516428765323E-3</c:v>
                </c:pt>
                <c:pt idx="234">
                  <c:v>7.6878593966030011E-4</c:v>
                </c:pt>
                <c:pt idx="235">
                  <c:v>9.5242162144654739E-4</c:v>
                </c:pt>
                <c:pt idx="236">
                  <c:v>1.140870429913251E-3</c:v>
                </c:pt>
                <c:pt idx="237">
                  <c:v>1.0358399773846968E-3</c:v>
                </c:pt>
                <c:pt idx="238">
                  <c:v>1.1760926526911955E-3</c:v>
                </c:pt>
                <c:pt idx="239">
                  <c:v>1.0579253172730849E-3</c:v>
                </c:pt>
                <c:pt idx="240">
                  <c:v>9.3237433631556928E-4</c:v>
                </c:pt>
                <c:pt idx="241">
                  <c:v>1.1338743332511131E-3</c:v>
                </c:pt>
                <c:pt idx="242">
                  <c:v>9.4487709094167433E-4</c:v>
                </c:pt>
                <c:pt idx="243">
                  <c:v>9.1307551920129216E-4</c:v>
                </c:pt>
                <c:pt idx="244">
                  <c:v>8.9678136262082229E-4</c:v>
                </c:pt>
                <c:pt idx="245">
                  <c:v>9.7540333572430611E-4</c:v>
                </c:pt>
                <c:pt idx="246">
                  <c:v>7.6856405631210213E-4</c:v>
                </c:pt>
                <c:pt idx="247">
                  <c:v>1.0791831651412733E-3</c:v>
                </c:pt>
                <c:pt idx="248">
                  <c:v>8.8082416177463405E-4</c:v>
                </c:pt>
                <c:pt idx="249">
                  <c:v>7.9828988138381791E-4</c:v>
                </c:pt>
                <c:pt idx="250">
                  <c:v>1.0826465559352124E-3</c:v>
                </c:pt>
                <c:pt idx="251">
                  <c:v>9.5797010575928441E-4</c:v>
                </c:pt>
                <c:pt idx="252">
                  <c:v>9.5027382470794437E-4</c:v>
                </c:pt>
                <c:pt idx="253">
                  <c:v>1.0087154836723252E-3</c:v>
                </c:pt>
                <c:pt idx="254">
                  <c:v>9.5973167818693718E-4</c:v>
                </c:pt>
                <c:pt idx="255">
                  <c:v>1.0232237181559409E-3</c:v>
                </c:pt>
                <c:pt idx="256">
                  <c:v>9.3030137244195339E-4</c:v>
                </c:pt>
                <c:pt idx="257">
                  <c:v>1.054454791998114E-3</c:v>
                </c:pt>
                <c:pt idx="258">
                  <c:v>1.0835497777329744E-3</c:v>
                </c:pt>
                <c:pt idx="259">
                  <c:v>1.0514361319205539E-3</c:v>
                </c:pt>
                <c:pt idx="260">
                  <c:v>7.3192201163408224E-4</c:v>
                </c:pt>
                <c:pt idx="261">
                  <c:v>9.1916326240941209E-4</c:v>
                </c:pt>
                <c:pt idx="262">
                  <c:v>1.114874932472627E-3</c:v>
                </c:pt>
                <c:pt idx="263">
                  <c:v>9.4495889923192891E-4</c:v>
                </c:pt>
                <c:pt idx="264">
                  <c:v>1.0920697935236235E-3</c:v>
                </c:pt>
                <c:pt idx="265">
                  <c:v>9.5460129758882968E-4</c:v>
                </c:pt>
                <c:pt idx="266">
                  <c:v>8.275929269136225E-4</c:v>
                </c:pt>
                <c:pt idx="267">
                  <c:v>9.8536119018322261E-4</c:v>
                </c:pt>
                <c:pt idx="268">
                  <c:v>7.8108460152138308E-4</c:v>
                </c:pt>
                <c:pt idx="269">
                  <c:v>8.0246253245345013E-4</c:v>
                </c:pt>
                <c:pt idx="270">
                  <c:v>9.5829485458190236E-4</c:v>
                </c:pt>
                <c:pt idx="271">
                  <c:v>8.4700380852267224E-4</c:v>
                </c:pt>
                <c:pt idx="272">
                  <c:v>8.6416858565668169E-4</c:v>
                </c:pt>
                <c:pt idx="273">
                  <c:v>8.2594919517402557E-4</c:v>
                </c:pt>
                <c:pt idx="274">
                  <c:v>1.0764809224705972E-3</c:v>
                </c:pt>
                <c:pt idx="275">
                  <c:v>8.8199196031834778E-4</c:v>
                </c:pt>
                <c:pt idx="276">
                  <c:v>9.4653341970549524E-4</c:v>
                </c:pt>
                <c:pt idx="277">
                  <c:v>8.2227188625991383E-4</c:v>
                </c:pt>
                <c:pt idx="278">
                  <c:v>8.1692356215301337E-4</c:v>
                </c:pt>
                <c:pt idx="279">
                  <c:v>9.2705311995190719E-4</c:v>
                </c:pt>
                <c:pt idx="280">
                  <c:v>8.8226878157943937E-4</c:v>
                </c:pt>
                <c:pt idx="281">
                  <c:v>8.2375679057973094E-4</c:v>
                </c:pt>
                <c:pt idx="282">
                  <c:v>8.5529049754322947E-4</c:v>
                </c:pt>
                <c:pt idx="283">
                  <c:v>9.0494563763051381E-4</c:v>
                </c:pt>
                <c:pt idx="284">
                  <c:v>9.0591970907727653E-4</c:v>
                </c:pt>
                <c:pt idx="285">
                  <c:v>8.6386069024684355E-4</c:v>
                </c:pt>
                <c:pt idx="286">
                  <c:v>1.0838798585158628E-3</c:v>
                </c:pt>
                <c:pt idx="287">
                  <c:v>8.9020697229713662E-4</c:v>
                </c:pt>
                <c:pt idx="288">
                  <c:v>9.417888723133208E-4</c:v>
                </c:pt>
                <c:pt idx="289">
                  <c:v>8.5809206996894185E-4</c:v>
                </c:pt>
                <c:pt idx="290">
                  <c:v>1.089289688542617E-3</c:v>
                </c:pt>
                <c:pt idx="291">
                  <c:v>8.6642799699777006E-4</c:v>
                </c:pt>
                <c:pt idx="292">
                  <c:v>8.0769341068823424E-4</c:v>
                </c:pt>
                <c:pt idx="293">
                  <c:v>9.2525085954992328E-4</c:v>
                </c:pt>
                <c:pt idx="294">
                  <c:v>9.5716538547934305E-4</c:v>
                </c:pt>
                <c:pt idx="295">
                  <c:v>1.0395599528036032E-3</c:v>
                </c:pt>
                <c:pt idx="296">
                  <c:v>7.3622571510786709E-4</c:v>
                </c:pt>
                <c:pt idx="297">
                  <c:v>8.5943204536377126E-4</c:v>
                </c:pt>
                <c:pt idx="298">
                  <c:v>7.1812250283619615E-4</c:v>
                </c:pt>
                <c:pt idx="299">
                  <c:v>8.5859775813231052E-4</c:v>
                </c:pt>
                <c:pt idx="300">
                  <c:v>1.0250071372923553E-3</c:v>
                </c:pt>
                <c:pt idx="301">
                  <c:v>9.5227013174129188E-4</c:v>
                </c:pt>
                <c:pt idx="302">
                  <c:v>9.4653657524628885E-4</c:v>
                </c:pt>
                <c:pt idx="303">
                  <c:v>9.7058564389775699E-4</c:v>
                </c:pt>
                <c:pt idx="304">
                  <c:v>8.3399667711310077E-4</c:v>
                </c:pt>
                <c:pt idx="305">
                  <c:v>1.1072948008414782E-3</c:v>
                </c:pt>
                <c:pt idx="306">
                  <c:v>8.7677116781269054E-4</c:v>
                </c:pt>
                <c:pt idx="307">
                  <c:v>1.0345585222606116E-3</c:v>
                </c:pt>
                <c:pt idx="308">
                  <c:v>9.0860040483702682E-4</c:v>
                </c:pt>
                <c:pt idx="309">
                  <c:v>1.1446353512436938E-3</c:v>
                </c:pt>
                <c:pt idx="310">
                  <c:v>8.3776782119075592E-4</c:v>
                </c:pt>
                <c:pt idx="311">
                  <c:v>9.9265157637368879E-4</c:v>
                </c:pt>
                <c:pt idx="312">
                  <c:v>9.420943821276264E-4</c:v>
                </c:pt>
                <c:pt idx="313">
                  <c:v>8.515557836773249E-4</c:v>
                </c:pt>
                <c:pt idx="314">
                  <c:v>1.1425662006345023E-3</c:v>
                </c:pt>
                <c:pt idx="315">
                  <c:v>8.2660763629513001E-4</c:v>
                </c:pt>
                <c:pt idx="316">
                  <c:v>1.0568368443424027E-3</c:v>
                </c:pt>
                <c:pt idx="317">
                  <c:v>1.0205916769231019E-3</c:v>
                </c:pt>
                <c:pt idx="318">
                  <c:v>9.5132173066764703E-4</c:v>
                </c:pt>
                <c:pt idx="319">
                  <c:v>9.6118206550194576E-4</c:v>
                </c:pt>
                <c:pt idx="320">
                  <c:v>8.5334437767894597E-4</c:v>
                </c:pt>
                <c:pt idx="321">
                  <c:v>1.0175959561924063E-3</c:v>
                </c:pt>
                <c:pt idx="322">
                  <c:v>1.0694716646874715E-3</c:v>
                </c:pt>
                <c:pt idx="323">
                  <c:v>9.2521230348678607E-4</c:v>
                </c:pt>
                <c:pt idx="324">
                  <c:v>9.599133820705029E-4</c:v>
                </c:pt>
                <c:pt idx="325">
                  <c:v>7.5534598248651352E-4</c:v>
                </c:pt>
                <c:pt idx="326">
                  <c:v>9.8934871585998297E-4</c:v>
                </c:pt>
                <c:pt idx="327">
                  <c:v>7.6993159729281955E-4</c:v>
                </c:pt>
                <c:pt idx="328">
                  <c:v>7.3164616491023713E-4</c:v>
                </c:pt>
                <c:pt idx="329">
                  <c:v>9.4242384137561139E-4</c:v>
                </c:pt>
                <c:pt idx="330">
                  <c:v>8.5380555060558241E-4</c:v>
                </c:pt>
                <c:pt idx="331">
                  <c:v>1.035423840489608E-3</c:v>
                </c:pt>
                <c:pt idx="332">
                  <c:v>9.2174160348064155E-4</c:v>
                </c:pt>
                <c:pt idx="333">
                  <c:v>8.3070674892275775E-4</c:v>
                </c:pt>
                <c:pt idx="334">
                  <c:v>8.9565089923848565E-4</c:v>
                </c:pt>
                <c:pt idx="335">
                  <c:v>8.9626799862632255E-4</c:v>
                </c:pt>
                <c:pt idx="336">
                  <c:v>1.0292129135600864E-3</c:v>
                </c:pt>
                <c:pt idx="337">
                  <c:v>9.3722184621446668E-4</c:v>
                </c:pt>
                <c:pt idx="338">
                  <c:v>9.1692324695235032E-4</c:v>
                </c:pt>
                <c:pt idx="339">
                  <c:v>8.6905259447677839E-4</c:v>
                </c:pt>
                <c:pt idx="340">
                  <c:v>1.1064865018638682E-3</c:v>
                </c:pt>
                <c:pt idx="341">
                  <c:v>9.439631792900235E-4</c:v>
                </c:pt>
                <c:pt idx="342">
                  <c:v>8.2917360781313706E-4</c:v>
                </c:pt>
                <c:pt idx="343">
                  <c:v>9.9822418290733753E-4</c:v>
                </c:pt>
                <c:pt idx="344">
                  <c:v>8.4989739086043501E-4</c:v>
                </c:pt>
                <c:pt idx="345">
                  <c:v>8.6294950809021162E-4</c:v>
                </c:pt>
                <c:pt idx="346">
                  <c:v>9.6270947104474408E-4</c:v>
                </c:pt>
                <c:pt idx="347">
                  <c:v>9.5097679099807983E-4</c:v>
                </c:pt>
                <c:pt idx="348">
                  <c:v>1.0290491033381659E-3</c:v>
                </c:pt>
                <c:pt idx="349">
                  <c:v>1.0235781508724311E-3</c:v>
                </c:pt>
                <c:pt idx="350">
                  <c:v>7.8377763998599989E-4</c:v>
                </c:pt>
                <c:pt idx="351">
                  <c:v>9.4001359054100917E-4</c:v>
                </c:pt>
                <c:pt idx="352">
                  <c:v>7.3946378901952961E-4</c:v>
                </c:pt>
                <c:pt idx="353">
                  <c:v>1.0149483070428938E-3</c:v>
                </c:pt>
                <c:pt idx="354">
                  <c:v>9.6077437047185617E-4</c:v>
                </c:pt>
                <c:pt idx="355">
                  <c:v>1.0012530076783286E-3</c:v>
                </c:pt>
                <c:pt idx="356">
                  <c:v>9.90812906382373E-4</c:v>
                </c:pt>
                <c:pt idx="357">
                  <c:v>7.9235882708498227E-4</c:v>
                </c:pt>
                <c:pt idx="358">
                  <c:v>7.7897871147390057E-4</c:v>
                </c:pt>
                <c:pt idx="359">
                  <c:v>9.121483773853775E-4</c:v>
                </c:pt>
                <c:pt idx="360">
                  <c:v>9.03518004016531E-4</c:v>
                </c:pt>
                <c:pt idx="361">
                  <c:v>8.3897658609250825E-4</c:v>
                </c:pt>
                <c:pt idx="362">
                  <c:v>1.0080798384375174E-3</c:v>
                </c:pt>
                <c:pt idx="363">
                  <c:v>1.0213760781943634E-3</c:v>
                </c:pt>
                <c:pt idx="364">
                  <c:v>9.978166718538164E-4</c:v>
                </c:pt>
                <c:pt idx="365">
                  <c:v>8.8002784921559348E-4</c:v>
                </c:pt>
                <c:pt idx="366">
                  <c:v>9.2090058768504385E-4</c:v>
                </c:pt>
                <c:pt idx="367">
                  <c:v>1.0245771664132478E-3</c:v>
                </c:pt>
                <c:pt idx="368">
                  <c:v>1.03015832782937E-3</c:v>
                </c:pt>
                <c:pt idx="369">
                  <c:v>9.3027579931307747E-4</c:v>
                </c:pt>
                <c:pt idx="370">
                  <c:v>8.356023139936236E-4</c:v>
                </c:pt>
                <c:pt idx="371">
                  <c:v>9.5986776379218552E-4</c:v>
                </c:pt>
                <c:pt idx="372">
                  <c:v>9.5140570589420062E-4</c:v>
                </c:pt>
                <c:pt idx="373">
                  <c:v>9.2558569938733107E-4</c:v>
                </c:pt>
                <c:pt idx="374">
                  <c:v>9.8212395036180325E-4</c:v>
                </c:pt>
                <c:pt idx="375">
                  <c:v>8.3898206642667107E-4</c:v>
                </c:pt>
                <c:pt idx="376">
                  <c:v>9.740585935713226E-4</c:v>
                </c:pt>
                <c:pt idx="377">
                  <c:v>1.0385931388482872E-3</c:v>
                </c:pt>
                <c:pt idx="378">
                  <c:v>9.6225878960282238E-4</c:v>
                </c:pt>
                <c:pt idx="379">
                  <c:v>1.0509851798984264E-3</c:v>
                </c:pt>
                <c:pt idx="380">
                  <c:v>8.3996159578826699E-4</c:v>
                </c:pt>
                <c:pt idx="381">
                  <c:v>8.4446690237964224E-4</c:v>
                </c:pt>
                <c:pt idx="382">
                  <c:v>9.3698503975274752E-4</c:v>
                </c:pt>
                <c:pt idx="383">
                  <c:v>9.830308699418876E-4</c:v>
                </c:pt>
                <c:pt idx="384">
                  <c:v>9.2738620521863027E-4</c:v>
                </c:pt>
                <c:pt idx="385">
                  <c:v>8.3364245200483796E-4</c:v>
                </c:pt>
                <c:pt idx="386">
                  <c:v>7.9573290898283123E-4</c:v>
                </c:pt>
                <c:pt idx="387">
                  <c:v>9.1758539919621575E-4</c:v>
                </c:pt>
                <c:pt idx="388">
                  <c:v>7.8272951965570586E-4</c:v>
                </c:pt>
                <c:pt idx="389">
                  <c:v>8.3327325944717462E-4</c:v>
                </c:pt>
                <c:pt idx="390">
                  <c:v>9.3489705581583607E-4</c:v>
                </c:pt>
                <c:pt idx="391">
                  <c:v>1.0384098637343437E-3</c:v>
                </c:pt>
                <c:pt idx="392">
                  <c:v>8.7751561462814096E-4</c:v>
                </c:pt>
                <c:pt idx="393">
                  <c:v>9.4243967213574528E-4</c:v>
                </c:pt>
                <c:pt idx="394">
                  <c:v>8.825089422832491E-4</c:v>
                </c:pt>
                <c:pt idx="395">
                  <c:v>1.041874647078582E-3</c:v>
                </c:pt>
                <c:pt idx="396">
                  <c:v>1.0729999694783592E-3</c:v>
                </c:pt>
                <c:pt idx="397">
                  <c:v>8.501555075765561E-4</c:v>
                </c:pt>
                <c:pt idx="398">
                  <c:v>7.1019717157999173E-4</c:v>
                </c:pt>
                <c:pt idx="399">
                  <c:v>9.8507041407202146E-4</c:v>
                </c:pt>
                <c:pt idx="400">
                  <c:v>1.01436002237049E-3</c:v>
                </c:pt>
                <c:pt idx="401">
                  <c:v>7.3087311023176701E-4</c:v>
                </c:pt>
                <c:pt idx="402">
                  <c:v>1.0139024232053912E-3</c:v>
                </c:pt>
                <c:pt idx="403">
                  <c:v>7.9552138301292714E-4</c:v>
                </c:pt>
                <c:pt idx="404">
                  <c:v>8.2217972743937418E-4</c:v>
                </c:pt>
                <c:pt idx="405">
                  <c:v>9.5426476530669543E-4</c:v>
                </c:pt>
                <c:pt idx="406">
                  <c:v>7.7762707158503068E-4</c:v>
                </c:pt>
                <c:pt idx="407">
                  <c:v>8.0998967809291114E-4</c:v>
                </c:pt>
                <c:pt idx="408">
                  <c:v>9.9467058556368003E-4</c:v>
                </c:pt>
                <c:pt idx="409">
                  <c:v>8.0558237629685273E-4</c:v>
                </c:pt>
                <c:pt idx="410">
                  <c:v>9.2031847842808886E-4</c:v>
                </c:pt>
                <c:pt idx="411">
                  <c:v>8.9834826308174615E-4</c:v>
                </c:pt>
                <c:pt idx="412">
                  <c:v>9.4252318065949172E-4</c:v>
                </c:pt>
                <c:pt idx="413">
                  <c:v>9.6885015020502718E-4</c:v>
                </c:pt>
                <c:pt idx="414">
                  <c:v>9.8311683660588572E-4</c:v>
                </c:pt>
                <c:pt idx="415">
                  <c:v>9.0917219505612791E-4</c:v>
                </c:pt>
                <c:pt idx="416">
                  <c:v>8.4232098914929169E-4</c:v>
                </c:pt>
                <c:pt idx="417">
                  <c:v>1.106794027082399E-3</c:v>
                </c:pt>
                <c:pt idx="418">
                  <c:v>7.9177020195450956E-4</c:v>
                </c:pt>
                <c:pt idx="419">
                  <c:v>8.8229978477165805E-4</c:v>
                </c:pt>
                <c:pt idx="420">
                  <c:v>8.3526703094849561E-4</c:v>
                </c:pt>
                <c:pt idx="421">
                  <c:v>9.7559274815498518E-4</c:v>
                </c:pt>
                <c:pt idx="422">
                  <c:v>9.1657150852031768E-4</c:v>
                </c:pt>
                <c:pt idx="423">
                  <c:v>8.9674033572915198E-4</c:v>
                </c:pt>
                <c:pt idx="424">
                  <c:v>1.0348981232584694E-3</c:v>
                </c:pt>
                <c:pt idx="425">
                  <c:v>8.2937804400019842E-4</c:v>
                </c:pt>
                <c:pt idx="426">
                  <c:v>8.3173904880690292E-4</c:v>
                </c:pt>
                <c:pt idx="427">
                  <c:v>8.2173927899166098E-4</c:v>
                </c:pt>
                <c:pt idx="428">
                  <c:v>9.194311890056866E-4</c:v>
                </c:pt>
                <c:pt idx="429">
                  <c:v>1.2295853110851796E-3</c:v>
                </c:pt>
                <c:pt idx="430">
                  <c:v>1.0347933574625821E-3</c:v>
                </c:pt>
                <c:pt idx="431">
                  <c:v>1.205131403350909E-3</c:v>
                </c:pt>
                <c:pt idx="432">
                  <c:v>8.1068935483750288E-4</c:v>
                </c:pt>
                <c:pt idx="433">
                  <c:v>8.5080700876698505E-4</c:v>
                </c:pt>
                <c:pt idx="434">
                  <c:v>1.2490329726824274E-3</c:v>
                </c:pt>
                <c:pt idx="435">
                  <c:v>9.4359290305749948E-4</c:v>
                </c:pt>
                <c:pt idx="436">
                  <c:v>9.9469533986282568E-4</c:v>
                </c:pt>
                <c:pt idx="437">
                  <c:v>7.6120309409643584E-4</c:v>
                </c:pt>
                <c:pt idx="438">
                  <c:v>6.6147903508814222E-4</c:v>
                </c:pt>
                <c:pt idx="439">
                  <c:v>9.864857948485785E-4</c:v>
                </c:pt>
                <c:pt idx="440">
                  <c:v>9.5713237923018043E-4</c:v>
                </c:pt>
                <c:pt idx="441">
                  <c:v>7.8143690152410205E-4</c:v>
                </c:pt>
                <c:pt idx="442">
                  <c:v>9.5067491445358023E-4</c:v>
                </c:pt>
                <c:pt idx="443">
                  <c:v>1.0574907777504703E-3</c:v>
                </c:pt>
                <c:pt idx="444">
                  <c:v>1.227312632264868E-3</c:v>
                </c:pt>
                <c:pt idx="445">
                  <c:v>1.1704959291098977E-3</c:v>
                </c:pt>
                <c:pt idx="446">
                  <c:v>8.7519919438484059E-4</c:v>
                </c:pt>
                <c:pt idx="447">
                  <c:v>9.8845700742256157E-4</c:v>
                </c:pt>
                <c:pt idx="448">
                  <c:v>1.036449796416721E-3</c:v>
                </c:pt>
                <c:pt idx="449">
                  <c:v>1.0616534593963617E-3</c:v>
                </c:pt>
                <c:pt idx="450">
                  <c:v>1.0353591611889303E-3</c:v>
                </c:pt>
                <c:pt idx="451">
                  <c:v>8.4231420427330187E-4</c:v>
                </c:pt>
                <c:pt idx="452">
                  <c:v>9.0725812675731838E-4</c:v>
                </c:pt>
                <c:pt idx="453">
                  <c:v>1.0232944911304019E-3</c:v>
                </c:pt>
                <c:pt idx="454">
                  <c:v>9.3759411722881751E-4</c:v>
                </c:pt>
                <c:pt idx="455">
                  <c:v>9.054253389085159E-4</c:v>
                </c:pt>
                <c:pt idx="456">
                  <c:v>8.4042152379960595E-4</c:v>
                </c:pt>
                <c:pt idx="457">
                  <c:v>8.9585116516051702E-4</c:v>
                </c:pt>
                <c:pt idx="458">
                  <c:v>8.7493229894678132E-4</c:v>
                </c:pt>
                <c:pt idx="459">
                  <c:v>8.6922762100074429E-4</c:v>
                </c:pt>
                <c:pt idx="460">
                  <c:v>9.9074886025500358E-4</c:v>
                </c:pt>
                <c:pt idx="461">
                  <c:v>9.2905844542159649E-4</c:v>
                </c:pt>
                <c:pt idx="462">
                  <c:v>9.6656467875719557E-4</c:v>
                </c:pt>
                <c:pt idx="463">
                  <c:v>9.5620505474790967E-4</c:v>
                </c:pt>
                <c:pt idx="464">
                  <c:v>9.4354989034708655E-4</c:v>
                </c:pt>
                <c:pt idx="465">
                  <c:v>1.1360901709725143E-3</c:v>
                </c:pt>
                <c:pt idx="466">
                  <c:v>1.001356394080138E-3</c:v>
                </c:pt>
                <c:pt idx="467">
                  <c:v>1.1442928302210194E-3</c:v>
                </c:pt>
                <c:pt idx="468">
                  <c:v>1.0198439937135757E-3</c:v>
                </c:pt>
                <c:pt idx="469">
                  <c:v>8.8015871123045238E-4</c:v>
                </c:pt>
                <c:pt idx="470">
                  <c:v>9.6248551448291548E-4</c:v>
                </c:pt>
                <c:pt idx="471">
                  <c:v>9.8992527989969609E-4</c:v>
                </c:pt>
                <c:pt idx="472">
                  <c:v>8.3046580631801275E-4</c:v>
                </c:pt>
                <c:pt idx="473">
                  <c:v>8.9482826758681216E-4</c:v>
                </c:pt>
                <c:pt idx="474">
                  <c:v>1.0332990863537921E-3</c:v>
                </c:pt>
                <c:pt idx="475">
                  <c:v>7.7290207220589622E-4</c:v>
                </c:pt>
                <c:pt idx="476">
                  <c:v>9.144361649805903E-4</c:v>
                </c:pt>
                <c:pt idx="477">
                  <c:v>7.9585661043726742E-4</c:v>
                </c:pt>
                <c:pt idx="478">
                  <c:v>8.1412238154468205E-4</c:v>
                </c:pt>
                <c:pt idx="479">
                  <c:v>9.5093150057738826E-4</c:v>
                </c:pt>
                <c:pt idx="480">
                  <c:v>9.2089126283153926E-4</c:v>
                </c:pt>
                <c:pt idx="481">
                  <c:v>1.0268681193268787E-3</c:v>
                </c:pt>
                <c:pt idx="482">
                  <c:v>1.1368446262060565E-3</c:v>
                </c:pt>
                <c:pt idx="483">
                  <c:v>8.8491555652074627E-4</c:v>
                </c:pt>
                <c:pt idx="484">
                  <c:v>8.4783017604913745E-4</c:v>
                </c:pt>
                <c:pt idx="485">
                  <c:v>9.262563088503255E-4</c:v>
                </c:pt>
                <c:pt idx="486">
                  <c:v>7.892920457448488E-4</c:v>
                </c:pt>
                <c:pt idx="487">
                  <c:v>1.0014312053270873E-3</c:v>
                </c:pt>
                <c:pt idx="488">
                  <c:v>9.393161541579086E-4</c:v>
                </c:pt>
                <c:pt idx="489">
                  <c:v>7.8194674762289192E-4</c:v>
                </c:pt>
                <c:pt idx="490">
                  <c:v>8.7418914174980399E-4</c:v>
                </c:pt>
                <c:pt idx="491">
                  <c:v>7.1813781676573533E-4</c:v>
                </c:pt>
                <c:pt idx="492">
                  <c:v>1.1214225766536367E-3</c:v>
                </c:pt>
                <c:pt idx="493">
                  <c:v>1.0620359196399265E-3</c:v>
                </c:pt>
                <c:pt idx="494">
                  <c:v>1.043397535331657E-3</c:v>
                </c:pt>
                <c:pt idx="495">
                  <c:v>7.813936086272028E-4</c:v>
                </c:pt>
                <c:pt idx="496">
                  <c:v>8.5583726537287127E-4</c:v>
                </c:pt>
                <c:pt idx="497">
                  <c:v>9.7800662574803435E-4</c:v>
                </c:pt>
                <c:pt idx="498">
                  <c:v>7.4923960475140093E-4</c:v>
                </c:pt>
                <c:pt idx="499">
                  <c:v>9.277742615353443E-4</c:v>
                </c:pt>
                <c:pt idx="500">
                  <c:v>9.9688529069586851E-4</c:v>
                </c:pt>
                <c:pt idx="501">
                  <c:v>9.988305519207472E-4</c:v>
                </c:pt>
                <c:pt idx="502">
                  <c:v>8.1041320653869257E-4</c:v>
                </c:pt>
                <c:pt idx="503">
                  <c:v>9.8802894771369437E-4</c:v>
                </c:pt>
                <c:pt idx="504">
                  <c:v>1.0409421060817354E-3</c:v>
                </c:pt>
                <c:pt idx="505">
                  <c:v>8.6524456620779011E-4</c:v>
                </c:pt>
                <c:pt idx="506">
                  <c:v>7.5353304302705048E-4</c:v>
                </c:pt>
                <c:pt idx="507">
                  <c:v>1.0246335499776772E-3</c:v>
                </c:pt>
                <c:pt idx="508">
                  <c:v>1.0599795493826661E-3</c:v>
                </c:pt>
                <c:pt idx="509">
                  <c:v>9.817583410400765E-4</c:v>
                </c:pt>
                <c:pt idx="510">
                  <c:v>9.3314116066823692E-4</c:v>
                </c:pt>
                <c:pt idx="511">
                  <c:v>9.0079035968946078E-4</c:v>
                </c:pt>
                <c:pt idx="512">
                  <c:v>1.0313252461051112E-3</c:v>
                </c:pt>
                <c:pt idx="513">
                  <c:v>8.9270014133829129E-4</c:v>
                </c:pt>
                <c:pt idx="514">
                  <c:v>1.0496304970778259E-3</c:v>
                </c:pt>
                <c:pt idx="515">
                  <c:v>1.0668518686694729E-3</c:v>
                </c:pt>
                <c:pt idx="516">
                  <c:v>1.0011243867441709E-3</c:v>
                </c:pt>
                <c:pt idx="517">
                  <c:v>9.0772778504983004E-4</c:v>
                </c:pt>
                <c:pt idx="518">
                  <c:v>9.2865051838452806E-4</c:v>
                </c:pt>
                <c:pt idx="519">
                  <c:v>8.7663729117939829E-4</c:v>
                </c:pt>
                <c:pt idx="520">
                  <c:v>8.3667307323942268E-4</c:v>
                </c:pt>
                <c:pt idx="521">
                  <c:v>9.4673768112110983E-4</c:v>
                </c:pt>
                <c:pt idx="522">
                  <c:v>8.682866435011776E-4</c:v>
                </c:pt>
                <c:pt idx="523">
                  <c:v>8.3763826660348368E-4</c:v>
                </c:pt>
                <c:pt idx="524">
                  <c:v>9.5343067011453993E-4</c:v>
                </c:pt>
                <c:pt idx="525">
                  <c:v>9.9990046753687376E-4</c:v>
                </c:pt>
                <c:pt idx="526">
                  <c:v>9.7115782426141308E-4</c:v>
                </c:pt>
                <c:pt idx="527">
                  <c:v>9.9377803904879053E-4</c:v>
                </c:pt>
                <c:pt idx="528">
                  <c:v>1.0300290016578241E-3</c:v>
                </c:pt>
                <c:pt idx="529">
                  <c:v>7.6878930072446115E-4</c:v>
                </c:pt>
                <c:pt idx="530">
                  <c:v>9.844416326808777E-4</c:v>
                </c:pt>
                <c:pt idx="531">
                  <c:v>8.670996128170344E-4</c:v>
                </c:pt>
                <c:pt idx="532">
                  <c:v>8.9135027141178374E-4</c:v>
                </c:pt>
                <c:pt idx="533">
                  <c:v>8.4962041707702064E-4</c:v>
                </c:pt>
                <c:pt idx="534">
                  <c:v>9.5977508044825402E-4</c:v>
                </c:pt>
                <c:pt idx="535">
                  <c:v>9.2674210047756793E-4</c:v>
                </c:pt>
                <c:pt idx="536">
                  <c:v>9.2601044429728387E-4</c:v>
                </c:pt>
                <c:pt idx="537">
                  <c:v>1.101008027753421E-3</c:v>
                </c:pt>
                <c:pt idx="538">
                  <c:v>1.0266133342433331E-3</c:v>
                </c:pt>
                <c:pt idx="539">
                  <c:v>9.2123587169907052E-4</c:v>
                </c:pt>
                <c:pt idx="540">
                  <c:v>9.6628049152162041E-4</c:v>
                </c:pt>
                <c:pt idx="541">
                  <c:v>7.4685965549833985E-4</c:v>
                </c:pt>
                <c:pt idx="542">
                  <c:v>7.7499007233534597E-4</c:v>
                </c:pt>
                <c:pt idx="543">
                  <c:v>9.7909990529966356E-4</c:v>
                </c:pt>
                <c:pt idx="544">
                  <c:v>9.2389985510185776E-4</c:v>
                </c:pt>
                <c:pt idx="545">
                  <c:v>8.6332161805002339E-4</c:v>
                </c:pt>
                <c:pt idx="546">
                  <c:v>9.6759605335385458E-4</c:v>
                </c:pt>
                <c:pt idx="547">
                  <c:v>1.0344225563555154E-3</c:v>
                </c:pt>
                <c:pt idx="548">
                  <c:v>1.0931033568803484E-3</c:v>
                </c:pt>
                <c:pt idx="549">
                  <c:v>8.9742588080481893E-4</c:v>
                </c:pt>
                <c:pt idx="550">
                  <c:v>1.0688959426087593E-3</c:v>
                </c:pt>
                <c:pt idx="551">
                  <c:v>1.1228532689380117E-3</c:v>
                </c:pt>
                <c:pt idx="552">
                  <c:v>6.8366181710069929E-4</c:v>
                </c:pt>
                <c:pt idx="553">
                  <c:v>9.2284779102298081E-4</c:v>
                </c:pt>
                <c:pt idx="554">
                  <c:v>9.4721937251050184E-4</c:v>
                </c:pt>
                <c:pt idx="555">
                  <c:v>1.0446417712250192E-3</c:v>
                </c:pt>
                <c:pt idx="556">
                  <c:v>9.8375676053970794E-4</c:v>
                </c:pt>
                <c:pt idx="557">
                  <c:v>8.6244044768383338E-4</c:v>
                </c:pt>
                <c:pt idx="558">
                  <c:v>9.571654543730154E-4</c:v>
                </c:pt>
                <c:pt idx="559">
                  <c:v>7.555517900056743E-4</c:v>
                </c:pt>
                <c:pt idx="560">
                  <c:v>9.0530208305566822E-4</c:v>
                </c:pt>
                <c:pt idx="561">
                  <c:v>1.0062492643552283E-3</c:v>
                </c:pt>
                <c:pt idx="562">
                  <c:v>8.9760016977115864E-4</c:v>
                </c:pt>
                <c:pt idx="563">
                  <c:v>7.9526100878286464E-4</c:v>
                </c:pt>
                <c:pt idx="564">
                  <c:v>8.0572048753798091E-4</c:v>
                </c:pt>
                <c:pt idx="565">
                  <c:v>8.5099872428566654E-4</c:v>
                </c:pt>
                <c:pt idx="566">
                  <c:v>9.4184884027774269E-4</c:v>
                </c:pt>
                <c:pt idx="567">
                  <c:v>9.3227428871064185E-4</c:v>
                </c:pt>
                <c:pt idx="568">
                  <c:v>9.0953316767096318E-4</c:v>
                </c:pt>
                <c:pt idx="569">
                  <c:v>1.0385594316522804E-3</c:v>
                </c:pt>
                <c:pt idx="570">
                  <c:v>9.1507580873550283E-4</c:v>
                </c:pt>
                <c:pt idx="571">
                  <c:v>1.1709713373580424E-3</c:v>
                </c:pt>
                <c:pt idx="572">
                  <c:v>8.0174067176707014E-4</c:v>
                </c:pt>
                <c:pt idx="573">
                  <c:v>1.1735804098057484E-3</c:v>
                </c:pt>
                <c:pt idx="574">
                  <c:v>8.8921999817551296E-4</c:v>
                </c:pt>
                <c:pt idx="575">
                  <c:v>8.1839957233453917E-4</c:v>
                </c:pt>
                <c:pt idx="576">
                  <c:v>8.6299189210852336E-4</c:v>
                </c:pt>
                <c:pt idx="577">
                  <c:v>1.0164001379381899E-3</c:v>
                </c:pt>
                <c:pt idx="578">
                  <c:v>8.6421821460663285E-4</c:v>
                </c:pt>
                <c:pt idx="579">
                  <c:v>8.7309638060856665E-4</c:v>
                </c:pt>
                <c:pt idx="580">
                  <c:v>1.0040843795088921E-3</c:v>
                </c:pt>
                <c:pt idx="581">
                  <c:v>9.43272342041909E-4</c:v>
                </c:pt>
                <c:pt idx="582">
                  <c:v>8.834624708384095E-4</c:v>
                </c:pt>
                <c:pt idx="583">
                  <c:v>1.0407924085825257E-3</c:v>
                </c:pt>
                <c:pt idx="584">
                  <c:v>1.0120454066024596E-3</c:v>
                </c:pt>
                <c:pt idx="585">
                  <c:v>7.6601055032012185E-4</c:v>
                </c:pt>
                <c:pt idx="586">
                  <c:v>8.3002747527606666E-4</c:v>
                </c:pt>
                <c:pt idx="587">
                  <c:v>1.0943784737144603E-3</c:v>
                </c:pt>
                <c:pt idx="588">
                  <c:v>9.0283519832851068E-4</c:v>
                </c:pt>
                <c:pt idx="589">
                  <c:v>1.0601006569596145E-3</c:v>
                </c:pt>
                <c:pt idx="590">
                  <c:v>1.1274790649082064E-3</c:v>
                </c:pt>
                <c:pt idx="591">
                  <c:v>1.0136090511311798E-3</c:v>
                </c:pt>
                <c:pt idx="592">
                  <c:v>1.069399483394642E-3</c:v>
                </c:pt>
                <c:pt idx="593">
                  <c:v>8.5050245648197131E-4</c:v>
                </c:pt>
                <c:pt idx="594">
                  <c:v>9.6778928723531121E-4</c:v>
                </c:pt>
                <c:pt idx="595">
                  <c:v>9.3149807565420187E-4</c:v>
                </c:pt>
                <c:pt idx="596">
                  <c:v>9.5230466139972954E-4</c:v>
                </c:pt>
                <c:pt idx="597">
                  <c:v>9.2831906254274815E-4</c:v>
                </c:pt>
                <c:pt idx="598">
                  <c:v>9.2612993013002892E-4</c:v>
                </c:pt>
                <c:pt idx="599">
                  <c:v>8.4481113817539159E-4</c:v>
                </c:pt>
                <c:pt idx="600">
                  <c:v>9.481011829269065E-4</c:v>
                </c:pt>
                <c:pt idx="601">
                  <c:v>8.9956513727281124E-4</c:v>
                </c:pt>
                <c:pt idx="602">
                  <c:v>9.0751381515709524E-4</c:v>
                </c:pt>
                <c:pt idx="603">
                  <c:v>6.7478957791590184E-4</c:v>
                </c:pt>
                <c:pt idx="604">
                  <c:v>8.5482026600874059E-4</c:v>
                </c:pt>
                <c:pt idx="605">
                  <c:v>9.5894103528845753E-4</c:v>
                </c:pt>
                <c:pt idx="606">
                  <c:v>9.682673811716243E-4</c:v>
                </c:pt>
                <c:pt idx="607">
                  <c:v>1.099310225243869E-3</c:v>
                </c:pt>
                <c:pt idx="608">
                  <c:v>8.3248770677028664E-4</c:v>
                </c:pt>
                <c:pt idx="609">
                  <c:v>9.2336832302158554E-4</c:v>
                </c:pt>
                <c:pt idx="610">
                  <c:v>9.4380221553665448E-4</c:v>
                </c:pt>
                <c:pt idx="611">
                  <c:v>1.0601357897080828E-3</c:v>
                </c:pt>
                <c:pt idx="612">
                  <c:v>9.6466224365003431E-4</c:v>
                </c:pt>
                <c:pt idx="613">
                  <c:v>8.7330206943773449E-4</c:v>
                </c:pt>
                <c:pt idx="614">
                  <c:v>9.9961737365854612E-4</c:v>
                </c:pt>
                <c:pt idx="615">
                  <c:v>7.0243648832576965E-4</c:v>
                </c:pt>
                <c:pt idx="616">
                  <c:v>1.0073774115896719E-3</c:v>
                </c:pt>
                <c:pt idx="617">
                  <c:v>8.719075559249093E-4</c:v>
                </c:pt>
                <c:pt idx="618">
                  <c:v>1.0896662137690322E-3</c:v>
                </c:pt>
                <c:pt idx="619">
                  <c:v>9.4732839951562901E-4</c:v>
                </c:pt>
                <c:pt idx="620">
                  <c:v>9.3618514670638572E-4</c:v>
                </c:pt>
                <c:pt idx="621">
                  <c:v>1.1132364672107908E-3</c:v>
                </c:pt>
                <c:pt idx="622">
                  <c:v>1.0760239003265418E-3</c:v>
                </c:pt>
                <c:pt idx="623">
                  <c:v>7.3803037829315795E-4</c:v>
                </c:pt>
                <c:pt idx="624">
                  <c:v>9.9673583436566348E-4</c:v>
                </c:pt>
                <c:pt idx="625">
                  <c:v>7.8201779257158321E-4</c:v>
                </c:pt>
                <c:pt idx="626">
                  <c:v>9.6265560564124178E-4</c:v>
                </c:pt>
                <c:pt idx="627">
                  <c:v>9.5377111704184417E-4</c:v>
                </c:pt>
                <c:pt idx="628">
                  <c:v>1.1121956634639538E-3</c:v>
                </c:pt>
                <c:pt idx="629">
                  <c:v>9.593856012210044E-4</c:v>
                </c:pt>
                <c:pt idx="630">
                  <c:v>7.9276341042832776E-4</c:v>
                </c:pt>
                <c:pt idx="631">
                  <c:v>9.567951999697881E-4</c:v>
                </c:pt>
                <c:pt idx="632">
                  <c:v>9.7736795037989634E-4</c:v>
                </c:pt>
                <c:pt idx="633">
                  <c:v>7.4268921957980198E-4</c:v>
                </c:pt>
                <c:pt idx="634">
                  <c:v>1.0863102411051977E-3</c:v>
                </c:pt>
                <c:pt idx="635">
                  <c:v>8.5622159796557441E-4</c:v>
                </c:pt>
                <c:pt idx="636">
                  <c:v>1.0797928891552529E-3</c:v>
                </c:pt>
                <c:pt idx="637">
                  <c:v>9.2603508468360666E-4</c:v>
                </c:pt>
                <c:pt idx="638">
                  <c:v>1.0059107194549685E-3</c:v>
                </c:pt>
                <c:pt idx="639">
                  <c:v>8.2827009186923995E-4</c:v>
                </c:pt>
                <c:pt idx="640">
                  <c:v>8.5796478217182624E-4</c:v>
                </c:pt>
                <c:pt idx="641">
                  <c:v>1.033409104117548E-3</c:v>
                </c:pt>
                <c:pt idx="642">
                  <c:v>9.5910958402654217E-4</c:v>
                </c:pt>
                <c:pt idx="643">
                  <c:v>9.3672531644278182E-4</c:v>
                </c:pt>
                <c:pt idx="644">
                  <c:v>7.7188105621284078E-4</c:v>
                </c:pt>
                <c:pt idx="645">
                  <c:v>7.9679849313697433E-4</c:v>
                </c:pt>
                <c:pt idx="646">
                  <c:v>8.9482572680212372E-4</c:v>
                </c:pt>
                <c:pt idx="647">
                  <c:v>9.2478769248823781E-4</c:v>
                </c:pt>
                <c:pt idx="648">
                  <c:v>9.8808953545398166E-4</c:v>
                </c:pt>
                <c:pt idx="649">
                  <c:v>8.3734570504720885E-4</c:v>
                </c:pt>
                <c:pt idx="650">
                  <c:v>9.1887919777886517E-4</c:v>
                </c:pt>
                <c:pt idx="651">
                  <c:v>9.785465730857213E-4</c:v>
                </c:pt>
                <c:pt idx="652">
                  <c:v>9.0935174015922609E-4</c:v>
                </c:pt>
                <c:pt idx="653">
                  <c:v>8.8427969262036121E-4</c:v>
                </c:pt>
                <c:pt idx="654">
                  <c:v>1.0475911153880954E-3</c:v>
                </c:pt>
                <c:pt idx="655">
                  <c:v>9.5490712145522539E-4</c:v>
                </c:pt>
                <c:pt idx="656">
                  <c:v>9.4004797539316051E-4</c:v>
                </c:pt>
                <c:pt idx="657">
                  <c:v>1.0043708766819047E-3</c:v>
                </c:pt>
                <c:pt idx="658">
                  <c:v>7.5652860095690329E-4</c:v>
                </c:pt>
                <c:pt idx="659">
                  <c:v>9.6083012339273177E-4</c:v>
                </c:pt>
                <c:pt idx="660">
                  <c:v>8.3059743394037417E-4</c:v>
                </c:pt>
                <c:pt idx="661">
                  <c:v>1.0737268090781267E-3</c:v>
                </c:pt>
                <c:pt idx="662">
                  <c:v>8.2912814195416928E-4</c:v>
                </c:pt>
                <c:pt idx="663">
                  <c:v>8.7638129421974045E-4</c:v>
                </c:pt>
                <c:pt idx="664">
                  <c:v>9.2199996618339778E-4</c:v>
                </c:pt>
                <c:pt idx="665">
                  <c:v>1.1427511328594053E-3</c:v>
                </c:pt>
                <c:pt idx="666">
                  <c:v>1.0590226326397582E-3</c:v>
                </c:pt>
                <c:pt idx="667">
                  <c:v>1.0214022602050719E-3</c:v>
                </c:pt>
                <c:pt idx="668">
                  <c:v>1.0791706563750638E-3</c:v>
                </c:pt>
                <c:pt idx="669">
                  <c:v>1.0521452663091561E-3</c:v>
                </c:pt>
                <c:pt idx="670">
                  <c:v>9.9721953427912846E-4</c:v>
                </c:pt>
                <c:pt idx="671">
                  <c:v>9.8536295035342274E-4</c:v>
                </c:pt>
                <c:pt idx="672">
                  <c:v>1.2039403120050758E-3</c:v>
                </c:pt>
                <c:pt idx="673">
                  <c:v>9.6557139105087324E-4</c:v>
                </c:pt>
                <c:pt idx="674">
                  <c:v>7.6143504323145106E-4</c:v>
                </c:pt>
                <c:pt idx="675">
                  <c:v>7.9973135316117091E-4</c:v>
                </c:pt>
                <c:pt idx="676">
                  <c:v>9.5747839749694291E-4</c:v>
                </c:pt>
                <c:pt idx="677">
                  <c:v>7.6575852853418144E-4</c:v>
                </c:pt>
                <c:pt idx="678">
                  <c:v>9.6479118191084327E-4</c:v>
                </c:pt>
                <c:pt idx="679">
                  <c:v>8.088624526591049E-4</c:v>
                </c:pt>
                <c:pt idx="680">
                  <c:v>9.4715697546495447E-4</c:v>
                </c:pt>
                <c:pt idx="681">
                  <c:v>9.2159090406795897E-4</c:v>
                </c:pt>
                <c:pt idx="682">
                  <c:v>8.4270428488619764E-4</c:v>
                </c:pt>
                <c:pt idx="683">
                  <c:v>8.3749798962400696E-4</c:v>
                </c:pt>
                <c:pt idx="684">
                  <c:v>9.8419493206999245E-4</c:v>
                </c:pt>
                <c:pt idx="685">
                  <c:v>9.3213410628053769E-4</c:v>
                </c:pt>
                <c:pt idx="686">
                  <c:v>1.0253179408235883E-3</c:v>
                </c:pt>
                <c:pt idx="687">
                  <c:v>6.8477955396577901E-4</c:v>
                </c:pt>
                <c:pt idx="688">
                  <c:v>8.5290526144953926E-4</c:v>
                </c:pt>
                <c:pt idx="689">
                  <c:v>9.9507561325634284E-4</c:v>
                </c:pt>
                <c:pt idx="690">
                  <c:v>7.6947415161525347E-4</c:v>
                </c:pt>
                <c:pt idx="691">
                  <c:v>7.1725288466186973E-4</c:v>
                </c:pt>
                <c:pt idx="692">
                  <c:v>8.9276570330528934E-4</c:v>
                </c:pt>
                <c:pt idx="693">
                  <c:v>9.9665530743066116E-4</c:v>
                </c:pt>
                <c:pt idx="694">
                  <c:v>9.0280446638460097E-4</c:v>
                </c:pt>
                <c:pt idx="695">
                  <c:v>6.6647184469318082E-4</c:v>
                </c:pt>
                <c:pt idx="696">
                  <c:v>8.2322077119618368E-4</c:v>
                </c:pt>
                <c:pt idx="697">
                  <c:v>1.0142512543154165E-3</c:v>
                </c:pt>
                <c:pt idx="698">
                  <c:v>9.8638649610550966E-4</c:v>
                </c:pt>
                <c:pt idx="699">
                  <c:v>9.5002694611394357E-4</c:v>
                </c:pt>
                <c:pt idx="700">
                  <c:v>1.0259505672483196E-3</c:v>
                </c:pt>
                <c:pt idx="701">
                  <c:v>9.0118444494942667E-4</c:v>
                </c:pt>
                <c:pt idx="702">
                  <c:v>8.6139416024672228E-4</c:v>
                </c:pt>
                <c:pt idx="703">
                  <c:v>1.0213870794393799E-3</c:v>
                </c:pt>
                <c:pt idx="704">
                  <c:v>8.8366470441062406E-4</c:v>
                </c:pt>
                <c:pt idx="705">
                  <c:v>7.8916934141474288E-4</c:v>
                </c:pt>
                <c:pt idx="706">
                  <c:v>8.0144277609968753E-4</c:v>
                </c:pt>
                <c:pt idx="707">
                  <c:v>9.5442786588850444E-4</c:v>
                </c:pt>
                <c:pt idx="708">
                  <c:v>7.828955125636297E-4</c:v>
                </c:pt>
                <c:pt idx="709">
                  <c:v>9.4354674423097261E-4</c:v>
                </c:pt>
                <c:pt idx="710">
                  <c:v>8.3445482078569548E-4</c:v>
                </c:pt>
                <c:pt idx="711">
                  <c:v>8.6628312952483999E-4</c:v>
                </c:pt>
                <c:pt idx="712">
                  <c:v>9.4585351728941136E-4</c:v>
                </c:pt>
                <c:pt idx="713">
                  <c:v>9.5341878544741103E-4</c:v>
                </c:pt>
                <c:pt idx="714">
                  <c:v>1.0135382557304952E-3</c:v>
                </c:pt>
                <c:pt idx="715">
                  <c:v>9.2167126012590486E-4</c:v>
                </c:pt>
                <c:pt idx="716">
                  <c:v>8.3813003983492396E-4</c:v>
                </c:pt>
                <c:pt idx="717">
                  <c:v>9.0877521277782066E-4</c:v>
                </c:pt>
                <c:pt idx="718">
                  <c:v>9.9734136761664123E-4</c:v>
                </c:pt>
                <c:pt idx="719">
                  <c:v>9.1529357904345844E-4</c:v>
                </c:pt>
                <c:pt idx="720">
                  <c:v>9.5164820756149277E-4</c:v>
                </c:pt>
                <c:pt idx="721">
                  <c:v>8.9262359345874996E-4</c:v>
                </c:pt>
                <c:pt idx="722">
                  <c:v>1.0680308918046609E-3</c:v>
                </c:pt>
                <c:pt idx="723">
                  <c:v>9.2107516014928938E-4</c:v>
                </c:pt>
                <c:pt idx="724">
                  <c:v>1.0144609655170687E-3</c:v>
                </c:pt>
                <c:pt idx="725">
                  <c:v>1.0639060419375065E-3</c:v>
                </c:pt>
                <c:pt idx="726">
                  <c:v>9.2642599010051756E-4</c:v>
                </c:pt>
                <c:pt idx="727">
                  <c:v>1.0955219714561949E-3</c:v>
                </c:pt>
                <c:pt idx="728">
                  <c:v>8.020506673465553E-4</c:v>
                </c:pt>
                <c:pt idx="729">
                  <c:v>8.5532602743377715E-4</c:v>
                </c:pt>
                <c:pt idx="730">
                  <c:v>7.7130073142673097E-4</c:v>
                </c:pt>
                <c:pt idx="731">
                  <c:v>1.0930515897985976E-3</c:v>
                </c:pt>
                <c:pt idx="732">
                  <c:v>1.0048348458050658E-3</c:v>
                </c:pt>
                <c:pt idx="733">
                  <c:v>1.02236232318064E-3</c:v>
                </c:pt>
                <c:pt idx="734">
                  <c:v>9.5661939492955046E-4</c:v>
                </c:pt>
                <c:pt idx="735">
                  <c:v>1.0613671472841123E-3</c:v>
                </c:pt>
                <c:pt idx="736">
                  <c:v>9.3347765552275808E-4</c:v>
                </c:pt>
                <c:pt idx="737">
                  <c:v>8.7664390574446692E-4</c:v>
                </c:pt>
                <c:pt idx="738">
                  <c:v>7.8441800766059725E-4</c:v>
                </c:pt>
                <c:pt idx="739">
                  <c:v>9.8343389435310473E-4</c:v>
                </c:pt>
                <c:pt idx="740">
                  <c:v>9.6421752187338529E-4</c:v>
                </c:pt>
                <c:pt idx="741">
                  <c:v>1.0838154069693197E-3</c:v>
                </c:pt>
                <c:pt idx="742">
                  <c:v>1.101555042609321E-3</c:v>
                </c:pt>
                <c:pt idx="743">
                  <c:v>1.0235975886417514E-3</c:v>
                </c:pt>
                <c:pt idx="744">
                  <c:v>9.0176286285661425E-4</c:v>
                </c:pt>
                <c:pt idx="745">
                  <c:v>8.359756861466899E-4</c:v>
                </c:pt>
                <c:pt idx="746">
                  <c:v>9.7826717761215079E-4</c:v>
                </c:pt>
                <c:pt idx="747">
                  <c:v>1.0955443569393227E-3</c:v>
                </c:pt>
                <c:pt idx="748">
                  <c:v>1.0173732613625573E-3</c:v>
                </c:pt>
                <c:pt idx="749">
                  <c:v>9.4778719485207681E-4</c:v>
                </c:pt>
                <c:pt idx="750">
                  <c:v>8.2335140421692962E-4</c:v>
                </c:pt>
                <c:pt idx="751">
                  <c:v>8.6661262173495161E-4</c:v>
                </c:pt>
                <c:pt idx="752">
                  <c:v>9.9571620233126004E-4</c:v>
                </c:pt>
                <c:pt idx="753">
                  <c:v>1.1082920611612476E-3</c:v>
                </c:pt>
                <c:pt idx="754">
                  <c:v>1.2054669476044371E-3</c:v>
                </c:pt>
                <c:pt idx="755">
                  <c:v>8.5164695143257927E-4</c:v>
                </c:pt>
                <c:pt idx="756">
                  <c:v>6.9517675952551717E-4</c:v>
                </c:pt>
                <c:pt idx="757">
                  <c:v>1.0348327672437126E-3</c:v>
                </c:pt>
                <c:pt idx="758">
                  <c:v>8.2683304955938569E-4</c:v>
                </c:pt>
                <c:pt idx="759">
                  <c:v>9.3330963955349437E-4</c:v>
                </c:pt>
                <c:pt idx="760">
                  <c:v>8.787068784174431E-4</c:v>
                </c:pt>
                <c:pt idx="761">
                  <c:v>1.0556645448391005E-3</c:v>
                </c:pt>
                <c:pt idx="762">
                  <c:v>9.4807507924906417E-4</c:v>
                </c:pt>
                <c:pt idx="763">
                  <c:v>9.1736719674414071E-4</c:v>
                </c:pt>
                <c:pt idx="764">
                  <c:v>9.4729702626603106E-4</c:v>
                </c:pt>
                <c:pt idx="765">
                  <c:v>1.0004911662037281E-3</c:v>
                </c:pt>
                <c:pt idx="766">
                  <c:v>8.7116339189992971E-4</c:v>
                </c:pt>
                <c:pt idx="767">
                  <c:v>7.6791678732236778E-4</c:v>
                </c:pt>
                <c:pt idx="768">
                  <c:v>7.7855735684134188E-4</c:v>
                </c:pt>
                <c:pt idx="769">
                  <c:v>8.7157847099881875E-4</c:v>
                </c:pt>
                <c:pt idx="770">
                  <c:v>9.8328935575857086E-4</c:v>
                </c:pt>
                <c:pt idx="771">
                  <c:v>1.012745578118349E-3</c:v>
                </c:pt>
                <c:pt idx="772">
                  <c:v>9.3023488372873065E-4</c:v>
                </c:pt>
                <c:pt idx="773">
                  <c:v>8.9751886530423845E-4</c:v>
                </c:pt>
                <c:pt idx="774">
                  <c:v>1.1309403602501498E-3</c:v>
                </c:pt>
                <c:pt idx="775">
                  <c:v>9.397567250066949E-4</c:v>
                </c:pt>
                <c:pt idx="776">
                  <c:v>7.9265193227126118E-4</c:v>
                </c:pt>
                <c:pt idx="777">
                  <c:v>9.7186212785942009E-4</c:v>
                </c:pt>
                <c:pt idx="778">
                  <c:v>9.7256340710699023E-4</c:v>
                </c:pt>
                <c:pt idx="779">
                  <c:v>8.5400005170933608E-4</c:v>
                </c:pt>
                <c:pt idx="780">
                  <c:v>7.5259930133834572E-4</c:v>
                </c:pt>
                <c:pt idx="781">
                  <c:v>9.3088793194323507E-4</c:v>
                </c:pt>
                <c:pt idx="782">
                  <c:v>9.7812300279447972E-4</c:v>
                </c:pt>
                <c:pt idx="783">
                  <c:v>9.4829085723257623E-4</c:v>
                </c:pt>
                <c:pt idx="784">
                  <c:v>9.5806880230530278E-4</c:v>
                </c:pt>
                <c:pt idx="785">
                  <c:v>9.9528863743610736E-4</c:v>
                </c:pt>
                <c:pt idx="786">
                  <c:v>9.7611946269179602E-4</c:v>
                </c:pt>
                <c:pt idx="787">
                  <c:v>9.0089776038592426E-4</c:v>
                </c:pt>
                <c:pt idx="788">
                  <c:v>1.1633172540843097E-3</c:v>
                </c:pt>
                <c:pt idx="789">
                  <c:v>7.4617382834970376E-4</c:v>
                </c:pt>
                <c:pt idx="790">
                  <c:v>1.074285924315287E-3</c:v>
                </c:pt>
                <c:pt idx="791">
                  <c:v>7.7746644800655762E-4</c:v>
                </c:pt>
                <c:pt idx="792">
                  <c:v>9.9319878500600664E-4</c:v>
                </c:pt>
                <c:pt idx="793">
                  <c:v>8.801141346338647E-4</c:v>
                </c:pt>
                <c:pt idx="794">
                  <c:v>7.7940497852638344E-4</c:v>
                </c:pt>
                <c:pt idx="795">
                  <c:v>9.4692096154584725E-4</c:v>
                </c:pt>
                <c:pt idx="796">
                  <c:v>7.6792661024080455E-4</c:v>
                </c:pt>
                <c:pt idx="797">
                  <c:v>8.229424190459427E-4</c:v>
                </c:pt>
                <c:pt idx="798">
                  <c:v>9.5657009539690989E-4</c:v>
                </c:pt>
                <c:pt idx="799">
                  <c:v>8.5918978856977459E-4</c:v>
                </c:pt>
                <c:pt idx="800">
                  <c:v>7.4035198942533549E-4</c:v>
                </c:pt>
                <c:pt idx="801">
                  <c:v>8.047733921854658E-4</c:v>
                </c:pt>
                <c:pt idx="802">
                  <c:v>8.6664671394960213E-4</c:v>
                </c:pt>
                <c:pt idx="803">
                  <c:v>9.6413622756978126E-4</c:v>
                </c:pt>
                <c:pt idx="804">
                  <c:v>9.0498938160953524E-4</c:v>
                </c:pt>
                <c:pt idx="805">
                  <c:v>7.2633561047746799E-4</c:v>
                </c:pt>
                <c:pt idx="806">
                  <c:v>9.4821728063789195E-4</c:v>
                </c:pt>
                <c:pt idx="807">
                  <c:v>9.3928395381800641E-4</c:v>
                </c:pt>
                <c:pt idx="808">
                  <c:v>9.2689984318584245E-4</c:v>
                </c:pt>
                <c:pt idx="809">
                  <c:v>9.340780087251832E-4</c:v>
                </c:pt>
                <c:pt idx="810">
                  <c:v>7.5937681333669246E-4</c:v>
                </c:pt>
                <c:pt idx="811">
                  <c:v>6.8661922628318638E-4</c:v>
                </c:pt>
                <c:pt idx="812">
                  <c:v>9.7142805322926072E-4</c:v>
                </c:pt>
                <c:pt idx="813">
                  <c:v>1.075010116815607E-3</c:v>
                </c:pt>
                <c:pt idx="814">
                  <c:v>7.2134018834336131E-4</c:v>
                </c:pt>
                <c:pt idx="815">
                  <c:v>8.7035869363680165E-4</c:v>
                </c:pt>
                <c:pt idx="816">
                  <c:v>9.1400415636695015E-4</c:v>
                </c:pt>
                <c:pt idx="817">
                  <c:v>9.2052353520065747E-4</c:v>
                </c:pt>
                <c:pt idx="818">
                  <c:v>9.0788905082990739E-4</c:v>
                </c:pt>
                <c:pt idx="819">
                  <c:v>1.0063197548474763E-3</c:v>
                </c:pt>
                <c:pt idx="820">
                  <c:v>1.1049119462325438E-3</c:v>
                </c:pt>
                <c:pt idx="821">
                  <c:v>8.583304648970883E-4</c:v>
                </c:pt>
                <c:pt idx="822">
                  <c:v>9.0650576258579014E-4</c:v>
                </c:pt>
                <c:pt idx="823">
                  <c:v>9.32585722701177E-4</c:v>
                </c:pt>
                <c:pt idx="824">
                  <c:v>1.0822375785237083E-3</c:v>
                </c:pt>
                <c:pt idx="825">
                  <c:v>9.5268032806309299E-4</c:v>
                </c:pt>
                <c:pt idx="826">
                  <c:v>9.8305521727203807E-4</c:v>
                </c:pt>
                <c:pt idx="827">
                  <c:v>1.0891910583957687E-3</c:v>
                </c:pt>
                <c:pt idx="828">
                  <c:v>9.7320471785147333E-4</c:v>
                </c:pt>
                <c:pt idx="829">
                  <c:v>7.8064384430691477E-4</c:v>
                </c:pt>
                <c:pt idx="830">
                  <c:v>1.0872104902789142E-3</c:v>
                </c:pt>
                <c:pt idx="831">
                  <c:v>6.8102773653895196E-4</c:v>
                </c:pt>
                <c:pt idx="832">
                  <c:v>1.0152862512540345E-3</c:v>
                </c:pt>
                <c:pt idx="833">
                  <c:v>8.2836702114106502E-4</c:v>
                </c:pt>
                <c:pt idx="834">
                  <c:v>8.659656172767228E-4</c:v>
                </c:pt>
                <c:pt idx="835">
                  <c:v>9.3673934678708344E-4</c:v>
                </c:pt>
                <c:pt idx="836">
                  <c:v>1.0265390892852803E-3</c:v>
                </c:pt>
                <c:pt idx="837">
                  <c:v>8.562249337391157E-4</c:v>
                </c:pt>
                <c:pt idx="838">
                  <c:v>9.6281611725346412E-4</c:v>
                </c:pt>
                <c:pt idx="839">
                  <c:v>8.4288427708569436E-4</c:v>
                </c:pt>
                <c:pt idx="840">
                  <c:v>8.6501444554822765E-4</c:v>
                </c:pt>
                <c:pt idx="841">
                  <c:v>1.0465259440979988E-3</c:v>
                </c:pt>
                <c:pt idx="842">
                  <c:v>1.1399861167514821E-3</c:v>
                </c:pt>
                <c:pt idx="843">
                  <c:v>9.7480031535025487E-4</c:v>
                </c:pt>
                <c:pt idx="844">
                  <c:v>9.6145159570134491E-4</c:v>
                </c:pt>
                <c:pt idx="845">
                  <c:v>1.0430014106870111E-3</c:v>
                </c:pt>
                <c:pt idx="846">
                  <c:v>1.0760493719226623E-3</c:v>
                </c:pt>
                <c:pt idx="847">
                  <c:v>1.0827381838526497E-3</c:v>
                </c:pt>
                <c:pt idx="848">
                  <c:v>1.135580442171097E-3</c:v>
                </c:pt>
                <c:pt idx="849">
                  <c:v>1.0469192711331482E-3</c:v>
                </c:pt>
                <c:pt idx="850">
                  <c:v>9.5724984454424516E-4</c:v>
                </c:pt>
                <c:pt idx="851">
                  <c:v>8.169110068399839E-4</c:v>
                </c:pt>
                <c:pt idx="852">
                  <c:v>9.3375424074285725E-4</c:v>
                </c:pt>
                <c:pt idx="853">
                  <c:v>7.8714943673264073E-4</c:v>
                </c:pt>
                <c:pt idx="854">
                  <c:v>1.0197166746501042E-3</c:v>
                </c:pt>
                <c:pt idx="855">
                  <c:v>9.7004265291689867E-4</c:v>
                </c:pt>
                <c:pt idx="856">
                  <c:v>7.7880584683438802E-4</c:v>
                </c:pt>
                <c:pt idx="857">
                  <c:v>7.7234212666256951E-4</c:v>
                </c:pt>
                <c:pt idx="858">
                  <c:v>8.8045429305950507E-4</c:v>
                </c:pt>
                <c:pt idx="859">
                  <c:v>7.5808536230237032E-4</c:v>
                </c:pt>
                <c:pt idx="860">
                  <c:v>9.4799742837623315E-4</c:v>
                </c:pt>
                <c:pt idx="861">
                  <c:v>8.349048057701453E-4</c:v>
                </c:pt>
                <c:pt idx="862">
                  <c:v>6.9516740242929844E-4</c:v>
                </c:pt>
                <c:pt idx="863">
                  <c:v>1.0086307522062313E-3</c:v>
                </c:pt>
                <c:pt idx="864">
                  <c:v>1.0110337799419098E-3</c:v>
                </c:pt>
                <c:pt idx="865">
                  <c:v>1.0600200965046702E-3</c:v>
                </c:pt>
                <c:pt idx="866">
                  <c:v>9.9388995885818098E-4</c:v>
                </c:pt>
                <c:pt idx="867">
                  <c:v>8.7886445401918166E-4</c:v>
                </c:pt>
                <c:pt idx="868">
                  <c:v>1.0627680701868663E-3</c:v>
                </c:pt>
                <c:pt idx="869">
                  <c:v>7.289387229294401E-4</c:v>
                </c:pt>
                <c:pt idx="870">
                  <c:v>8.1703041424402271E-4</c:v>
                </c:pt>
                <c:pt idx="871">
                  <c:v>7.29940655036669E-4</c:v>
                </c:pt>
                <c:pt idx="872">
                  <c:v>8.1920004852734302E-4</c:v>
                </c:pt>
                <c:pt idx="873">
                  <c:v>9.5748534922385654E-4</c:v>
                </c:pt>
                <c:pt idx="874">
                  <c:v>1.0622684248746909E-3</c:v>
                </c:pt>
                <c:pt idx="875">
                  <c:v>1.0753595319351183E-3</c:v>
                </c:pt>
                <c:pt idx="876">
                  <c:v>9.9980918617702296E-4</c:v>
                </c:pt>
                <c:pt idx="877">
                  <c:v>8.8292960912319108E-4</c:v>
                </c:pt>
                <c:pt idx="878">
                  <c:v>9.8296805221598249E-4</c:v>
                </c:pt>
                <c:pt idx="879">
                  <c:v>9.8684089040198728E-4</c:v>
                </c:pt>
                <c:pt idx="880">
                  <c:v>7.388760608329516E-4</c:v>
                </c:pt>
                <c:pt idx="881">
                  <c:v>7.8378169927568824E-4</c:v>
                </c:pt>
                <c:pt idx="882">
                  <c:v>9.6829751189902741E-4</c:v>
                </c:pt>
                <c:pt idx="883">
                  <c:v>1.0376444238700733E-3</c:v>
                </c:pt>
                <c:pt idx="884">
                  <c:v>1.0008580803991182E-3</c:v>
                </c:pt>
                <c:pt idx="885">
                  <c:v>8.6883132860808153E-4</c:v>
                </c:pt>
                <c:pt idx="886">
                  <c:v>8.5069079114657195E-4</c:v>
                </c:pt>
                <c:pt idx="887">
                  <c:v>9.7996359395913181E-4</c:v>
                </c:pt>
                <c:pt idx="888">
                  <c:v>9.7218118944694361E-4</c:v>
                </c:pt>
                <c:pt idx="889">
                  <c:v>7.3337442481921135E-4</c:v>
                </c:pt>
                <c:pt idx="890">
                  <c:v>9.8428186969281022E-4</c:v>
                </c:pt>
                <c:pt idx="891">
                  <c:v>9.0777782398472357E-4</c:v>
                </c:pt>
                <c:pt idx="892">
                  <c:v>8.2017897319126029E-4</c:v>
                </c:pt>
                <c:pt idx="893">
                  <c:v>9.5604917033088128E-4</c:v>
                </c:pt>
                <c:pt idx="894">
                  <c:v>8.838217867318173E-4</c:v>
                </c:pt>
                <c:pt idx="895">
                  <c:v>9.8595405091170978E-4</c:v>
                </c:pt>
                <c:pt idx="896">
                  <c:v>1.0127236421844407E-3</c:v>
                </c:pt>
                <c:pt idx="897">
                  <c:v>9.0110470761532485E-4</c:v>
                </c:pt>
                <c:pt idx="898">
                  <c:v>9.4907028777357243E-4</c:v>
                </c:pt>
                <c:pt idx="899">
                  <c:v>1.0782589264864216E-3</c:v>
                </c:pt>
                <c:pt idx="900">
                  <c:v>9.0051524423628946E-4</c:v>
                </c:pt>
                <c:pt idx="901">
                  <c:v>1.0204740443402764E-3</c:v>
                </c:pt>
                <c:pt idx="902">
                  <c:v>8.0728308825555608E-4</c:v>
                </c:pt>
                <c:pt idx="903">
                  <c:v>1.031907858518842E-3</c:v>
                </c:pt>
                <c:pt idx="904">
                  <c:v>8.8000105725641862E-4</c:v>
                </c:pt>
                <c:pt idx="905">
                  <c:v>1.1809099417224732E-3</c:v>
                </c:pt>
                <c:pt idx="906">
                  <c:v>9.047607739291108E-4</c:v>
                </c:pt>
                <c:pt idx="907">
                  <c:v>8.6071707722734268E-4</c:v>
                </c:pt>
                <c:pt idx="908">
                  <c:v>9.4604933175068413E-4</c:v>
                </c:pt>
                <c:pt idx="909">
                  <c:v>1.2110629329395008E-3</c:v>
                </c:pt>
                <c:pt idx="910">
                  <c:v>1.0835138884143884E-3</c:v>
                </c:pt>
                <c:pt idx="911">
                  <c:v>1.0221378565018419E-3</c:v>
                </c:pt>
                <c:pt idx="912">
                  <c:v>7.7265837538872397E-4</c:v>
                </c:pt>
                <c:pt idx="913">
                  <c:v>7.2304704572981522E-4</c:v>
                </c:pt>
                <c:pt idx="914">
                  <c:v>8.9431135749478547E-4</c:v>
                </c:pt>
                <c:pt idx="915">
                  <c:v>9.5792446665962541E-4</c:v>
                </c:pt>
                <c:pt idx="916">
                  <c:v>8.3888927353378048E-4</c:v>
                </c:pt>
                <c:pt idx="917">
                  <c:v>9.2916245369347209E-4</c:v>
                </c:pt>
                <c:pt idx="918">
                  <c:v>9.6214552027705101E-4</c:v>
                </c:pt>
                <c:pt idx="919">
                  <c:v>1.0042536055022309E-3</c:v>
                </c:pt>
                <c:pt idx="920">
                  <c:v>9.7308471792445722E-4</c:v>
                </c:pt>
                <c:pt idx="921">
                  <c:v>1.0727149026336117E-3</c:v>
                </c:pt>
                <c:pt idx="922">
                  <c:v>8.2532241470672726E-4</c:v>
                </c:pt>
                <c:pt idx="923">
                  <c:v>9.6596975758438727E-4</c:v>
                </c:pt>
                <c:pt idx="924">
                  <c:v>7.1824873555265698E-4</c:v>
                </c:pt>
                <c:pt idx="925">
                  <c:v>8.046850589717631E-4</c:v>
                </c:pt>
                <c:pt idx="926">
                  <c:v>7.8269468657390148E-4</c:v>
                </c:pt>
                <c:pt idx="927">
                  <c:v>9.0346429659521311E-4</c:v>
                </c:pt>
                <c:pt idx="928">
                  <c:v>1.2859446915649236E-3</c:v>
                </c:pt>
                <c:pt idx="929">
                  <c:v>8.5964957678303039E-4</c:v>
                </c:pt>
                <c:pt idx="930">
                  <c:v>9.4224595643641669E-4</c:v>
                </c:pt>
                <c:pt idx="931">
                  <c:v>8.2147490241876481E-4</c:v>
                </c:pt>
                <c:pt idx="932">
                  <c:v>9.0276235737077131E-4</c:v>
                </c:pt>
                <c:pt idx="933">
                  <c:v>9.4133953913249388E-4</c:v>
                </c:pt>
                <c:pt idx="934">
                  <c:v>9.9837889063817808E-4</c:v>
                </c:pt>
                <c:pt idx="935">
                  <c:v>7.885074352097848E-4</c:v>
                </c:pt>
                <c:pt idx="936">
                  <c:v>8.2723502992960041E-4</c:v>
                </c:pt>
                <c:pt idx="937">
                  <c:v>9.1850143750674769E-4</c:v>
                </c:pt>
                <c:pt idx="938">
                  <c:v>1.0344446353251365E-3</c:v>
                </c:pt>
                <c:pt idx="939">
                  <c:v>8.3961724626058665E-4</c:v>
                </c:pt>
                <c:pt idx="940">
                  <c:v>9.0799070127829673E-4</c:v>
                </c:pt>
                <c:pt idx="941">
                  <c:v>9.3803685815854764E-4</c:v>
                </c:pt>
                <c:pt idx="942">
                  <c:v>8.7337334492620673E-4</c:v>
                </c:pt>
                <c:pt idx="943">
                  <c:v>9.9443739854434415E-4</c:v>
                </c:pt>
                <c:pt idx="944">
                  <c:v>9.9226143892012803E-4</c:v>
                </c:pt>
                <c:pt idx="945">
                  <c:v>9.6078014913373775E-4</c:v>
                </c:pt>
                <c:pt idx="946">
                  <c:v>8.1733293549997158E-4</c:v>
                </c:pt>
                <c:pt idx="947">
                  <c:v>9.3984711556730611E-4</c:v>
                </c:pt>
                <c:pt idx="948">
                  <c:v>9.2341635942533523E-4</c:v>
                </c:pt>
                <c:pt idx="949">
                  <c:v>9.7703726525018319E-4</c:v>
                </c:pt>
                <c:pt idx="950">
                  <c:v>8.2374523485964797E-4</c:v>
                </c:pt>
                <c:pt idx="951">
                  <c:v>9.902932698188443E-4</c:v>
                </c:pt>
                <c:pt idx="952">
                  <c:v>8.4687977922532352E-4</c:v>
                </c:pt>
                <c:pt idx="953">
                  <c:v>7.1749389415096869E-4</c:v>
                </c:pt>
                <c:pt idx="954">
                  <c:v>9.7102767831827022E-4</c:v>
                </c:pt>
                <c:pt idx="955">
                  <c:v>1.1159079926400853E-3</c:v>
                </c:pt>
                <c:pt idx="956">
                  <c:v>7.6505533375935788E-4</c:v>
                </c:pt>
                <c:pt idx="957">
                  <c:v>1.012984299915008E-3</c:v>
                </c:pt>
                <c:pt idx="958">
                  <c:v>7.5578148870252644E-4</c:v>
                </c:pt>
                <c:pt idx="959">
                  <c:v>8.3784838842388483E-4</c:v>
                </c:pt>
                <c:pt idx="960">
                  <c:v>1.0051430627101854E-3</c:v>
                </c:pt>
                <c:pt idx="961">
                  <c:v>8.8879633404665521E-4</c:v>
                </c:pt>
                <c:pt idx="962">
                  <c:v>9.7748951722936113E-4</c:v>
                </c:pt>
                <c:pt idx="963">
                  <c:v>7.3952053645799361E-4</c:v>
                </c:pt>
                <c:pt idx="964">
                  <c:v>9.0377607651847105E-4</c:v>
                </c:pt>
                <c:pt idx="965">
                  <c:v>7.0081929573166007E-4</c:v>
                </c:pt>
                <c:pt idx="966">
                  <c:v>1.08494559618105E-3</c:v>
                </c:pt>
                <c:pt idx="967">
                  <c:v>9.7732427812129629E-4</c:v>
                </c:pt>
                <c:pt idx="968">
                  <c:v>1.025008985164568E-3</c:v>
                </c:pt>
                <c:pt idx="969">
                  <c:v>9.0465927024878433E-4</c:v>
                </c:pt>
                <c:pt idx="970">
                  <c:v>9.092560410850646E-4</c:v>
                </c:pt>
                <c:pt idx="971">
                  <c:v>9.7475118915721208E-4</c:v>
                </c:pt>
                <c:pt idx="972">
                  <c:v>8.2990643762504801E-4</c:v>
                </c:pt>
                <c:pt idx="973">
                  <c:v>9.9227373213825118E-4</c:v>
                </c:pt>
                <c:pt idx="974">
                  <c:v>8.8428489726532751E-4</c:v>
                </c:pt>
                <c:pt idx="975">
                  <c:v>9.2036555238165162E-4</c:v>
                </c:pt>
                <c:pt idx="976">
                  <c:v>9.2241896237582448E-4</c:v>
                </c:pt>
                <c:pt idx="977">
                  <c:v>9.9163745236324698E-4</c:v>
                </c:pt>
                <c:pt idx="978">
                  <c:v>7.471854113986436E-4</c:v>
                </c:pt>
                <c:pt idx="979">
                  <c:v>9.7424818887626829E-4</c:v>
                </c:pt>
                <c:pt idx="980">
                  <c:v>8.1408305399634771E-4</c:v>
                </c:pt>
                <c:pt idx="981">
                  <c:v>9.5902853669716306E-4</c:v>
                </c:pt>
                <c:pt idx="982">
                  <c:v>1.0015578765314274E-3</c:v>
                </c:pt>
                <c:pt idx="983">
                  <c:v>1.0239707159186411E-3</c:v>
                </c:pt>
                <c:pt idx="984">
                  <c:v>9.5786752567453217E-4</c:v>
                </c:pt>
                <c:pt idx="985">
                  <c:v>8.5232033932466607E-4</c:v>
                </c:pt>
                <c:pt idx="986">
                  <c:v>9.8537727058745864E-4</c:v>
                </c:pt>
                <c:pt idx="987">
                  <c:v>1.0645143540466877E-3</c:v>
                </c:pt>
                <c:pt idx="988">
                  <c:v>8.6502953466081097E-4</c:v>
                </c:pt>
                <c:pt idx="989">
                  <c:v>1.0353956569552826E-3</c:v>
                </c:pt>
                <c:pt idx="990">
                  <c:v>8.9031068786636983E-4</c:v>
                </c:pt>
                <c:pt idx="991">
                  <c:v>8.3304874143943358E-4</c:v>
                </c:pt>
                <c:pt idx="992">
                  <c:v>9.9368271857270076E-4</c:v>
                </c:pt>
                <c:pt idx="993">
                  <c:v>8.5981569589856457E-4</c:v>
                </c:pt>
                <c:pt idx="994">
                  <c:v>9.0250160309983168E-4</c:v>
                </c:pt>
                <c:pt idx="995">
                  <c:v>9.0379013699258299E-4</c:v>
                </c:pt>
                <c:pt idx="996">
                  <c:v>1.0539067878532614E-3</c:v>
                </c:pt>
                <c:pt idx="997">
                  <c:v>1.0643852992015305E-3</c:v>
                </c:pt>
                <c:pt idx="998">
                  <c:v>8.8634292228329881E-4</c:v>
                </c:pt>
                <c:pt idx="999">
                  <c:v>9.6649220777759092E-4</c:v>
                </c:pt>
              </c:numCache>
            </c:numRef>
          </c:xVal>
          <c:yVal>
            <c:numRef>
              <c:f>'Mandatory Assigment '!$AB$24:$AB$1023</c:f>
              <c:numCache>
                <c:formatCode>0.00000\ %</c:formatCode>
                <c:ptCount val="1000"/>
                <c:pt idx="0">
                  <c:v>-2.2325082626203453E-2</c:v>
                </c:pt>
                <c:pt idx="1">
                  <c:v>-2.2460863717664033E-2</c:v>
                </c:pt>
                <c:pt idx="2">
                  <c:v>-2.2447011599407672E-2</c:v>
                </c:pt>
                <c:pt idx="3">
                  <c:v>-2.1968368952948392E-2</c:v>
                </c:pt>
                <c:pt idx="4">
                  <c:v>-2.2802872592964967E-2</c:v>
                </c:pt>
                <c:pt idx="5">
                  <c:v>-2.3484229422522405E-2</c:v>
                </c:pt>
                <c:pt idx="6">
                  <c:v>-2.3729181880825227E-2</c:v>
                </c:pt>
                <c:pt idx="7">
                  <c:v>-2.3746653583393503E-2</c:v>
                </c:pt>
                <c:pt idx="8">
                  <c:v>-2.2179877563386425E-2</c:v>
                </c:pt>
                <c:pt idx="9">
                  <c:v>-2.3733177694875263E-2</c:v>
                </c:pt>
                <c:pt idx="10">
                  <c:v>-2.2271921148518423E-2</c:v>
                </c:pt>
                <c:pt idx="11">
                  <c:v>-2.3102495741881827E-2</c:v>
                </c:pt>
                <c:pt idx="12">
                  <c:v>-2.3143958577713255E-2</c:v>
                </c:pt>
                <c:pt idx="13">
                  <c:v>-2.3336244283140545E-2</c:v>
                </c:pt>
                <c:pt idx="14">
                  <c:v>-2.2705484926097658E-2</c:v>
                </c:pt>
                <c:pt idx="15">
                  <c:v>-2.1525068633328235E-2</c:v>
                </c:pt>
                <c:pt idx="16">
                  <c:v>-2.3332657157736039E-2</c:v>
                </c:pt>
                <c:pt idx="17">
                  <c:v>-2.3013301137089586E-2</c:v>
                </c:pt>
                <c:pt idx="18">
                  <c:v>-2.1571169911277742E-2</c:v>
                </c:pt>
                <c:pt idx="19">
                  <c:v>-2.4550518983056172E-2</c:v>
                </c:pt>
                <c:pt idx="20">
                  <c:v>-2.2358886377258212E-2</c:v>
                </c:pt>
                <c:pt idx="21">
                  <c:v>-2.4292088140462395E-2</c:v>
                </c:pt>
                <c:pt idx="22">
                  <c:v>-2.4403218387023584E-2</c:v>
                </c:pt>
                <c:pt idx="23">
                  <c:v>-2.236738958109866E-2</c:v>
                </c:pt>
                <c:pt idx="24">
                  <c:v>-2.4251754891985625E-2</c:v>
                </c:pt>
                <c:pt idx="25">
                  <c:v>-2.1553265188068965E-2</c:v>
                </c:pt>
                <c:pt idx="26">
                  <c:v>-2.2927264285338766E-2</c:v>
                </c:pt>
                <c:pt idx="27">
                  <c:v>-2.2829258170089642E-2</c:v>
                </c:pt>
                <c:pt idx="28">
                  <c:v>-2.2412223063732264E-2</c:v>
                </c:pt>
                <c:pt idx="29">
                  <c:v>-2.2378489124818192E-2</c:v>
                </c:pt>
                <c:pt idx="30">
                  <c:v>-2.3013944329820263E-2</c:v>
                </c:pt>
                <c:pt idx="31">
                  <c:v>-2.1542497964220253E-2</c:v>
                </c:pt>
                <c:pt idx="32">
                  <c:v>-2.3067580977711506E-2</c:v>
                </c:pt>
                <c:pt idx="33">
                  <c:v>-2.2316659151779893E-2</c:v>
                </c:pt>
                <c:pt idx="34">
                  <c:v>-2.2513332042640069E-2</c:v>
                </c:pt>
                <c:pt idx="35">
                  <c:v>-2.2268021887785934E-2</c:v>
                </c:pt>
                <c:pt idx="36">
                  <c:v>-2.1565228237418969E-2</c:v>
                </c:pt>
                <c:pt idx="37">
                  <c:v>-2.2965161288109097E-2</c:v>
                </c:pt>
                <c:pt idx="38">
                  <c:v>-2.3839242246057882E-2</c:v>
                </c:pt>
                <c:pt idx="39">
                  <c:v>-2.2934662864507047E-2</c:v>
                </c:pt>
                <c:pt idx="40">
                  <c:v>-2.2285577853734403E-2</c:v>
                </c:pt>
                <c:pt idx="41">
                  <c:v>-2.1618761051930682E-2</c:v>
                </c:pt>
                <c:pt idx="42">
                  <c:v>-2.1587127694703966E-2</c:v>
                </c:pt>
                <c:pt idx="43">
                  <c:v>-2.2456634190564154E-2</c:v>
                </c:pt>
                <c:pt idx="44">
                  <c:v>-2.4223561580558769E-2</c:v>
                </c:pt>
                <c:pt idx="45">
                  <c:v>-2.1930294555044173E-2</c:v>
                </c:pt>
                <c:pt idx="46">
                  <c:v>-2.4133641604083992E-2</c:v>
                </c:pt>
                <c:pt idx="47">
                  <c:v>-2.3331868317951115E-2</c:v>
                </c:pt>
                <c:pt idx="48">
                  <c:v>-2.2743377722599489E-2</c:v>
                </c:pt>
                <c:pt idx="49">
                  <c:v>-2.1536556014054308E-2</c:v>
                </c:pt>
                <c:pt idx="50">
                  <c:v>-2.3602474803513247E-2</c:v>
                </c:pt>
                <c:pt idx="51">
                  <c:v>-2.3192661829295278E-2</c:v>
                </c:pt>
                <c:pt idx="52">
                  <c:v>-2.3009653592976756E-2</c:v>
                </c:pt>
                <c:pt idx="53">
                  <c:v>-2.2511796164328302E-2</c:v>
                </c:pt>
                <c:pt idx="54">
                  <c:v>-2.3278882516231225E-2</c:v>
                </c:pt>
                <c:pt idx="55">
                  <c:v>-2.2463060452525892E-2</c:v>
                </c:pt>
                <c:pt idx="56">
                  <c:v>-2.3493798302066778E-2</c:v>
                </c:pt>
                <c:pt idx="57">
                  <c:v>-2.3143441678113323E-2</c:v>
                </c:pt>
                <c:pt idx="58">
                  <c:v>-2.2226735775671622E-2</c:v>
                </c:pt>
                <c:pt idx="59">
                  <c:v>-2.2462011213705842E-2</c:v>
                </c:pt>
                <c:pt idx="60">
                  <c:v>-2.2469429582655003E-2</c:v>
                </c:pt>
                <c:pt idx="61">
                  <c:v>-2.3534361213192686E-2</c:v>
                </c:pt>
                <c:pt idx="62">
                  <c:v>-2.3108879100121462E-2</c:v>
                </c:pt>
                <c:pt idx="63">
                  <c:v>-2.2423601928258194E-2</c:v>
                </c:pt>
                <c:pt idx="64">
                  <c:v>-2.2571122382354373E-2</c:v>
                </c:pt>
                <c:pt idx="65">
                  <c:v>-2.2329950799413092E-2</c:v>
                </c:pt>
                <c:pt idx="66">
                  <c:v>-2.2215232043454044E-2</c:v>
                </c:pt>
                <c:pt idx="67">
                  <c:v>-2.3220651360213479E-2</c:v>
                </c:pt>
                <c:pt idx="68">
                  <c:v>-2.2925010272957722E-2</c:v>
                </c:pt>
                <c:pt idx="69">
                  <c:v>-2.2995925130395542E-2</c:v>
                </c:pt>
                <c:pt idx="70">
                  <c:v>-2.3040681916745024E-2</c:v>
                </c:pt>
                <c:pt idx="71">
                  <c:v>-2.2874962539445425E-2</c:v>
                </c:pt>
                <c:pt idx="72">
                  <c:v>-2.327664869624672E-2</c:v>
                </c:pt>
                <c:pt idx="73">
                  <c:v>-2.3005604097332915E-2</c:v>
                </c:pt>
                <c:pt idx="74">
                  <c:v>-2.3514509837808489E-2</c:v>
                </c:pt>
                <c:pt idx="75">
                  <c:v>-2.2788443242566358E-2</c:v>
                </c:pt>
                <c:pt idx="76">
                  <c:v>-2.1842525858968342E-2</c:v>
                </c:pt>
                <c:pt idx="77">
                  <c:v>-2.2495916361648483E-2</c:v>
                </c:pt>
                <c:pt idx="78">
                  <c:v>-2.2753908571875574E-2</c:v>
                </c:pt>
                <c:pt idx="79">
                  <c:v>-2.394854295537124E-2</c:v>
                </c:pt>
                <c:pt idx="80">
                  <c:v>-2.3268590358253721E-2</c:v>
                </c:pt>
                <c:pt idx="81">
                  <c:v>-2.3509098108916368E-2</c:v>
                </c:pt>
                <c:pt idx="82">
                  <c:v>-2.2435865062722923E-2</c:v>
                </c:pt>
                <c:pt idx="83">
                  <c:v>-2.4363577481345877E-2</c:v>
                </c:pt>
                <c:pt idx="84">
                  <c:v>-2.2541847663776222E-2</c:v>
                </c:pt>
                <c:pt idx="85">
                  <c:v>-2.1702301880016758E-2</c:v>
                </c:pt>
                <c:pt idx="86">
                  <c:v>-2.2041840852211555E-2</c:v>
                </c:pt>
                <c:pt idx="87">
                  <c:v>-2.2959907101052453E-2</c:v>
                </c:pt>
                <c:pt idx="88">
                  <c:v>-2.4176344389469018E-2</c:v>
                </c:pt>
                <c:pt idx="89">
                  <c:v>-2.2330957361585649E-2</c:v>
                </c:pt>
                <c:pt idx="90">
                  <c:v>-2.3100750892605451E-2</c:v>
                </c:pt>
                <c:pt idx="91">
                  <c:v>-2.245566069110783E-2</c:v>
                </c:pt>
                <c:pt idx="92">
                  <c:v>-2.2332851132916772E-2</c:v>
                </c:pt>
                <c:pt idx="93">
                  <c:v>-2.2203298532980288E-2</c:v>
                </c:pt>
                <c:pt idx="94">
                  <c:v>-2.2157570896105785E-2</c:v>
                </c:pt>
                <c:pt idx="95">
                  <c:v>-2.1216478433393929E-2</c:v>
                </c:pt>
                <c:pt idx="96">
                  <c:v>-2.3407168527804331E-2</c:v>
                </c:pt>
                <c:pt idx="97">
                  <c:v>-2.3206568617039278E-2</c:v>
                </c:pt>
                <c:pt idx="98">
                  <c:v>-2.4496949265498103E-2</c:v>
                </c:pt>
                <c:pt idx="99">
                  <c:v>-2.2865314046292759E-2</c:v>
                </c:pt>
                <c:pt idx="100">
                  <c:v>-2.1506027382778025E-2</c:v>
                </c:pt>
                <c:pt idx="101">
                  <c:v>-2.2711184114533024E-2</c:v>
                </c:pt>
                <c:pt idx="102">
                  <c:v>-2.2018567501033568E-2</c:v>
                </c:pt>
                <c:pt idx="103">
                  <c:v>-2.2567313985797418E-2</c:v>
                </c:pt>
                <c:pt idx="104">
                  <c:v>-2.2632211368794147E-2</c:v>
                </c:pt>
                <c:pt idx="105">
                  <c:v>-2.412387287192869E-2</c:v>
                </c:pt>
                <c:pt idx="106">
                  <c:v>-2.3636349852397799E-2</c:v>
                </c:pt>
                <c:pt idx="107">
                  <c:v>-2.3000925579191037E-2</c:v>
                </c:pt>
                <c:pt idx="108">
                  <c:v>-2.3514217587102173E-2</c:v>
                </c:pt>
                <c:pt idx="109">
                  <c:v>-2.3732223586141018E-2</c:v>
                </c:pt>
                <c:pt idx="110">
                  <c:v>-2.2293293798433179E-2</c:v>
                </c:pt>
                <c:pt idx="111">
                  <c:v>-2.3217306084303124E-2</c:v>
                </c:pt>
                <c:pt idx="112">
                  <c:v>-2.3654493885969616E-2</c:v>
                </c:pt>
                <c:pt idx="113">
                  <c:v>-2.3740844928360729E-2</c:v>
                </c:pt>
                <c:pt idx="114">
                  <c:v>-2.332153591460227E-2</c:v>
                </c:pt>
                <c:pt idx="115">
                  <c:v>-2.4128733603570294E-2</c:v>
                </c:pt>
                <c:pt idx="116">
                  <c:v>-2.298045063672146E-2</c:v>
                </c:pt>
                <c:pt idx="117">
                  <c:v>-2.2618090609439884E-2</c:v>
                </c:pt>
                <c:pt idx="118">
                  <c:v>-2.2555455802752564E-2</c:v>
                </c:pt>
                <c:pt idx="119">
                  <c:v>-2.3550681750152104E-2</c:v>
                </c:pt>
                <c:pt idx="120">
                  <c:v>-2.2072092613826918E-2</c:v>
                </c:pt>
                <c:pt idx="121">
                  <c:v>-2.1616665333017447E-2</c:v>
                </c:pt>
                <c:pt idx="122">
                  <c:v>-2.33018612838478E-2</c:v>
                </c:pt>
                <c:pt idx="123">
                  <c:v>-2.2223089326856262E-2</c:v>
                </c:pt>
                <c:pt idx="124">
                  <c:v>-2.4248175417847066E-2</c:v>
                </c:pt>
                <c:pt idx="125">
                  <c:v>-2.3342287960816586E-2</c:v>
                </c:pt>
                <c:pt idx="126">
                  <c:v>-2.3874821312911916E-2</c:v>
                </c:pt>
                <c:pt idx="127">
                  <c:v>-2.2341010730268607E-2</c:v>
                </c:pt>
                <c:pt idx="128">
                  <c:v>-2.1488379860250206E-2</c:v>
                </c:pt>
                <c:pt idx="129">
                  <c:v>-2.19094444891774E-2</c:v>
                </c:pt>
                <c:pt idx="130">
                  <c:v>-2.2771151511200807E-2</c:v>
                </c:pt>
                <c:pt idx="131">
                  <c:v>-2.282142197694137E-2</c:v>
                </c:pt>
                <c:pt idx="132">
                  <c:v>-2.2424116652894385E-2</c:v>
                </c:pt>
                <c:pt idx="133">
                  <c:v>-2.397575095218097E-2</c:v>
                </c:pt>
                <c:pt idx="134">
                  <c:v>-2.2686287739745879E-2</c:v>
                </c:pt>
                <c:pt idx="135">
                  <c:v>-2.2566483741529003E-2</c:v>
                </c:pt>
                <c:pt idx="136">
                  <c:v>-2.3501311157750716E-2</c:v>
                </c:pt>
                <c:pt idx="137">
                  <c:v>-2.3275485279923916E-2</c:v>
                </c:pt>
                <c:pt idx="138">
                  <c:v>-2.3173611869204976E-2</c:v>
                </c:pt>
                <c:pt idx="139">
                  <c:v>-2.3003735811812403E-2</c:v>
                </c:pt>
                <c:pt idx="140">
                  <c:v>-2.337727118224403E-2</c:v>
                </c:pt>
                <c:pt idx="141">
                  <c:v>-2.3800800219427924E-2</c:v>
                </c:pt>
                <c:pt idx="142">
                  <c:v>-2.1392386605157764E-2</c:v>
                </c:pt>
                <c:pt idx="143">
                  <c:v>-2.2089764213017019E-2</c:v>
                </c:pt>
                <c:pt idx="144">
                  <c:v>-2.3707909411039545E-2</c:v>
                </c:pt>
                <c:pt idx="145">
                  <c:v>-2.4394945923756503E-2</c:v>
                </c:pt>
                <c:pt idx="146">
                  <c:v>-2.3369284493148602E-2</c:v>
                </c:pt>
                <c:pt idx="147">
                  <c:v>-2.2690121814157402E-2</c:v>
                </c:pt>
                <c:pt idx="148">
                  <c:v>-2.2398819184015914E-2</c:v>
                </c:pt>
                <c:pt idx="149">
                  <c:v>-2.3775392091376281E-2</c:v>
                </c:pt>
                <c:pt idx="150">
                  <c:v>-2.2942258645565566E-2</c:v>
                </c:pt>
                <c:pt idx="151">
                  <c:v>-2.3510990678549001E-2</c:v>
                </c:pt>
                <c:pt idx="152">
                  <c:v>-2.3212894262409561E-2</c:v>
                </c:pt>
                <c:pt idx="153">
                  <c:v>-2.3047897968323731E-2</c:v>
                </c:pt>
                <c:pt idx="154">
                  <c:v>-2.2906387260150571E-2</c:v>
                </c:pt>
                <c:pt idx="155">
                  <c:v>-2.3732084079295414E-2</c:v>
                </c:pt>
                <c:pt idx="156">
                  <c:v>-2.4220819723781369E-2</c:v>
                </c:pt>
                <c:pt idx="157">
                  <c:v>-2.3500777383413534E-2</c:v>
                </c:pt>
                <c:pt idx="158">
                  <c:v>-2.300810982670197E-2</c:v>
                </c:pt>
                <c:pt idx="159">
                  <c:v>-2.3384760494079726E-2</c:v>
                </c:pt>
                <c:pt idx="160">
                  <c:v>-2.2489981574302639E-2</c:v>
                </c:pt>
                <c:pt idx="161">
                  <c:v>-2.3278368974048599E-2</c:v>
                </c:pt>
                <c:pt idx="162">
                  <c:v>-2.241834983505803E-2</c:v>
                </c:pt>
                <c:pt idx="163">
                  <c:v>-2.4054642974661974E-2</c:v>
                </c:pt>
                <c:pt idx="164">
                  <c:v>-2.3425956582076357E-2</c:v>
                </c:pt>
                <c:pt idx="165">
                  <c:v>-2.3650651605560662E-2</c:v>
                </c:pt>
                <c:pt idx="166">
                  <c:v>-2.3757461820092512E-2</c:v>
                </c:pt>
                <c:pt idx="167">
                  <c:v>-2.2413668242176887E-2</c:v>
                </c:pt>
                <c:pt idx="168">
                  <c:v>-2.3911564058868448E-2</c:v>
                </c:pt>
                <c:pt idx="169">
                  <c:v>-2.3663235240145599E-2</c:v>
                </c:pt>
                <c:pt idx="170">
                  <c:v>-2.4651056781940985E-2</c:v>
                </c:pt>
                <c:pt idx="171">
                  <c:v>-2.3248423884218262E-2</c:v>
                </c:pt>
                <c:pt idx="172">
                  <c:v>-2.1484579057044196E-2</c:v>
                </c:pt>
                <c:pt idx="173">
                  <c:v>-2.3913109131958332E-2</c:v>
                </c:pt>
                <c:pt idx="174">
                  <c:v>-2.3672984609340468E-2</c:v>
                </c:pt>
                <c:pt idx="175">
                  <c:v>-2.238493663965236E-2</c:v>
                </c:pt>
                <c:pt idx="176">
                  <c:v>-2.3201006956203658E-2</c:v>
                </c:pt>
                <c:pt idx="177">
                  <c:v>-2.2927505480996958E-2</c:v>
                </c:pt>
                <c:pt idx="178">
                  <c:v>-2.2100984347039471E-2</c:v>
                </c:pt>
                <c:pt idx="179">
                  <c:v>-2.3070553057698881E-2</c:v>
                </c:pt>
                <c:pt idx="180">
                  <c:v>-2.1696007586822066E-2</c:v>
                </c:pt>
                <c:pt idx="181">
                  <c:v>-2.3559160768686634E-2</c:v>
                </c:pt>
                <c:pt idx="182">
                  <c:v>-2.2562900121844576E-2</c:v>
                </c:pt>
                <c:pt idx="183">
                  <c:v>-2.3682338559558126E-2</c:v>
                </c:pt>
                <c:pt idx="184">
                  <c:v>-2.3257442778532492E-2</c:v>
                </c:pt>
                <c:pt idx="185">
                  <c:v>-2.2164094827997666E-2</c:v>
                </c:pt>
                <c:pt idx="186">
                  <c:v>-2.3225165119851961E-2</c:v>
                </c:pt>
                <c:pt idx="187">
                  <c:v>-2.2532552153364672E-2</c:v>
                </c:pt>
                <c:pt idx="188">
                  <c:v>-2.1559448126279426E-2</c:v>
                </c:pt>
                <c:pt idx="189">
                  <c:v>-2.3643824119474844E-2</c:v>
                </c:pt>
                <c:pt idx="190">
                  <c:v>-2.2623732313920668E-2</c:v>
                </c:pt>
                <c:pt idx="191">
                  <c:v>-2.369805387379063E-2</c:v>
                </c:pt>
                <c:pt idx="192">
                  <c:v>-2.5046543289352866E-2</c:v>
                </c:pt>
                <c:pt idx="193">
                  <c:v>-2.2744143007946194E-2</c:v>
                </c:pt>
                <c:pt idx="194">
                  <c:v>-2.2415178276004491E-2</c:v>
                </c:pt>
                <c:pt idx="195">
                  <c:v>-2.2388668519371054E-2</c:v>
                </c:pt>
                <c:pt idx="196">
                  <c:v>-2.2699677163146189E-2</c:v>
                </c:pt>
                <c:pt idx="197">
                  <c:v>-2.4224376464922044E-2</c:v>
                </c:pt>
                <c:pt idx="198">
                  <c:v>-2.305141207411757E-2</c:v>
                </c:pt>
                <c:pt idx="199">
                  <c:v>-2.2185469515880893E-2</c:v>
                </c:pt>
                <c:pt idx="200">
                  <c:v>-2.1648137658240071E-2</c:v>
                </c:pt>
                <c:pt idx="201">
                  <c:v>-2.1973131882483034E-2</c:v>
                </c:pt>
                <c:pt idx="202">
                  <c:v>-2.1528470582074542E-2</c:v>
                </c:pt>
                <c:pt idx="203">
                  <c:v>-2.2826279119195235E-2</c:v>
                </c:pt>
                <c:pt idx="204">
                  <c:v>-2.2630127662367716E-2</c:v>
                </c:pt>
                <c:pt idx="205">
                  <c:v>-2.2909264221425956E-2</c:v>
                </c:pt>
                <c:pt idx="206">
                  <c:v>-2.3060279958199786E-2</c:v>
                </c:pt>
                <c:pt idx="207">
                  <c:v>-2.3068411253309096E-2</c:v>
                </c:pt>
                <c:pt idx="208">
                  <c:v>-2.3595166844038874E-2</c:v>
                </c:pt>
                <c:pt idx="209">
                  <c:v>-2.2556670230825485E-2</c:v>
                </c:pt>
                <c:pt idx="210">
                  <c:v>-2.3626965045660035E-2</c:v>
                </c:pt>
                <c:pt idx="211">
                  <c:v>-2.3290697870629755E-2</c:v>
                </c:pt>
                <c:pt idx="212">
                  <c:v>-2.3832226512070977E-2</c:v>
                </c:pt>
                <c:pt idx="213">
                  <c:v>-2.274327226198334E-2</c:v>
                </c:pt>
                <c:pt idx="214">
                  <c:v>-2.3697858632694656E-2</c:v>
                </c:pt>
                <c:pt idx="215">
                  <c:v>-2.3487968762889617E-2</c:v>
                </c:pt>
                <c:pt idx="216">
                  <c:v>-2.3841119635341898E-2</c:v>
                </c:pt>
                <c:pt idx="217">
                  <c:v>-2.3209209339143517E-2</c:v>
                </c:pt>
                <c:pt idx="218">
                  <c:v>-2.2900100814155305E-2</c:v>
                </c:pt>
                <c:pt idx="219">
                  <c:v>-2.3128185993481747E-2</c:v>
                </c:pt>
                <c:pt idx="220">
                  <c:v>-2.3190450051799684E-2</c:v>
                </c:pt>
                <c:pt idx="221">
                  <c:v>-2.368099249303084E-2</c:v>
                </c:pt>
                <c:pt idx="222">
                  <c:v>-2.2531964134770634E-2</c:v>
                </c:pt>
                <c:pt idx="223">
                  <c:v>-2.349054829615373E-2</c:v>
                </c:pt>
                <c:pt idx="224">
                  <c:v>-2.3610833947344062E-2</c:v>
                </c:pt>
                <c:pt idx="225">
                  <c:v>-2.2298579208645902E-2</c:v>
                </c:pt>
                <c:pt idx="226">
                  <c:v>-2.2984738817299639E-2</c:v>
                </c:pt>
                <c:pt idx="227">
                  <c:v>-2.2117956341593328E-2</c:v>
                </c:pt>
                <c:pt idx="228">
                  <c:v>-2.3012837473483101E-2</c:v>
                </c:pt>
                <c:pt idx="229">
                  <c:v>-2.2377932160097189E-2</c:v>
                </c:pt>
                <c:pt idx="230">
                  <c:v>-2.3328292597743647E-2</c:v>
                </c:pt>
                <c:pt idx="231">
                  <c:v>-2.2439408558948881E-2</c:v>
                </c:pt>
                <c:pt idx="232">
                  <c:v>-2.2533777576920176E-2</c:v>
                </c:pt>
                <c:pt idx="233">
                  <c:v>-2.3157662868910214E-2</c:v>
                </c:pt>
                <c:pt idx="234">
                  <c:v>-2.2811137009520303E-2</c:v>
                </c:pt>
                <c:pt idx="235">
                  <c:v>-2.2765284301628261E-2</c:v>
                </c:pt>
                <c:pt idx="236">
                  <c:v>-2.3961832308314501E-2</c:v>
                </c:pt>
                <c:pt idx="237">
                  <c:v>-2.3770967347359385E-2</c:v>
                </c:pt>
                <c:pt idx="238">
                  <c:v>-2.4697683801426697E-2</c:v>
                </c:pt>
                <c:pt idx="239">
                  <c:v>-2.3499656030582846E-2</c:v>
                </c:pt>
                <c:pt idx="240">
                  <c:v>-2.28415184210948E-2</c:v>
                </c:pt>
                <c:pt idx="241">
                  <c:v>-2.428785552747563E-2</c:v>
                </c:pt>
                <c:pt idx="242">
                  <c:v>-2.2913611062326689E-2</c:v>
                </c:pt>
                <c:pt idx="243">
                  <c:v>-2.2807895008396632E-2</c:v>
                </c:pt>
                <c:pt idx="244">
                  <c:v>-2.2766732996909213E-2</c:v>
                </c:pt>
                <c:pt idx="245">
                  <c:v>-2.3493858620774667E-2</c:v>
                </c:pt>
                <c:pt idx="246">
                  <c:v>-2.1209981913683673E-2</c:v>
                </c:pt>
                <c:pt idx="247">
                  <c:v>-2.4273753360984671E-2</c:v>
                </c:pt>
                <c:pt idx="248">
                  <c:v>-2.2008350497098879E-2</c:v>
                </c:pt>
                <c:pt idx="249">
                  <c:v>-2.2055716677518072E-2</c:v>
                </c:pt>
                <c:pt idx="250">
                  <c:v>-2.4090811263526465E-2</c:v>
                </c:pt>
                <c:pt idx="251">
                  <c:v>-2.3938381705802331E-2</c:v>
                </c:pt>
                <c:pt idx="252">
                  <c:v>-2.3233138974679369E-2</c:v>
                </c:pt>
                <c:pt idx="253">
                  <c:v>-2.3752032530408376E-2</c:v>
                </c:pt>
                <c:pt idx="254">
                  <c:v>-2.2877746278629318E-2</c:v>
                </c:pt>
                <c:pt idx="255">
                  <c:v>-2.3580393202649701E-2</c:v>
                </c:pt>
                <c:pt idx="256">
                  <c:v>-2.2443162638323536E-2</c:v>
                </c:pt>
                <c:pt idx="257">
                  <c:v>-2.3480267654322741E-2</c:v>
                </c:pt>
                <c:pt idx="258">
                  <c:v>-2.3615064908888889E-2</c:v>
                </c:pt>
                <c:pt idx="259">
                  <c:v>-2.3215824973056416E-2</c:v>
                </c:pt>
                <c:pt idx="260">
                  <c:v>-2.1771786674499246E-2</c:v>
                </c:pt>
                <c:pt idx="261">
                  <c:v>-2.2902938473962547E-2</c:v>
                </c:pt>
                <c:pt idx="262">
                  <c:v>-2.4366639872763416E-2</c:v>
                </c:pt>
                <c:pt idx="263">
                  <c:v>-2.2663916544615373E-2</c:v>
                </c:pt>
                <c:pt idx="264">
                  <c:v>-2.394686810385999E-2</c:v>
                </c:pt>
                <c:pt idx="265">
                  <c:v>-2.2877962269356875E-2</c:v>
                </c:pt>
                <c:pt idx="266">
                  <c:v>-2.2051449441516144E-2</c:v>
                </c:pt>
                <c:pt idx="267">
                  <c:v>-2.2698768844221319E-2</c:v>
                </c:pt>
                <c:pt idx="268">
                  <c:v>-2.2031795563298068E-2</c:v>
                </c:pt>
                <c:pt idx="269">
                  <c:v>-2.2141808978587838E-2</c:v>
                </c:pt>
                <c:pt idx="270">
                  <c:v>-2.3651521911670536E-2</c:v>
                </c:pt>
                <c:pt idx="271">
                  <c:v>-2.1895030898157794E-2</c:v>
                </c:pt>
                <c:pt idx="272">
                  <c:v>-2.1699843239474666E-2</c:v>
                </c:pt>
                <c:pt idx="273">
                  <c:v>-2.2502889916863701E-2</c:v>
                </c:pt>
                <c:pt idx="274">
                  <c:v>-2.3849486359800436E-2</c:v>
                </c:pt>
                <c:pt idx="275">
                  <c:v>-2.2772618276898107E-2</c:v>
                </c:pt>
                <c:pt idx="276">
                  <c:v>-2.3209865845426548E-2</c:v>
                </c:pt>
                <c:pt idx="277">
                  <c:v>-2.2442294025516778E-2</c:v>
                </c:pt>
                <c:pt idx="278">
                  <c:v>-2.2214906705552723E-2</c:v>
                </c:pt>
                <c:pt idx="279">
                  <c:v>-2.2255692463415272E-2</c:v>
                </c:pt>
                <c:pt idx="280">
                  <c:v>-2.2849110430909793E-2</c:v>
                </c:pt>
                <c:pt idx="281">
                  <c:v>-2.2073983947762405E-2</c:v>
                </c:pt>
                <c:pt idx="282">
                  <c:v>-2.2728807277635373E-2</c:v>
                </c:pt>
                <c:pt idx="283">
                  <c:v>-2.277690304891563E-2</c:v>
                </c:pt>
                <c:pt idx="284">
                  <c:v>-2.2987209891058246E-2</c:v>
                </c:pt>
                <c:pt idx="285">
                  <c:v>-2.2606664537126897E-2</c:v>
                </c:pt>
                <c:pt idx="286">
                  <c:v>-2.3602630285486523E-2</c:v>
                </c:pt>
                <c:pt idx="287">
                  <c:v>-2.1810386708994198E-2</c:v>
                </c:pt>
                <c:pt idx="288">
                  <c:v>-2.2390858602215135E-2</c:v>
                </c:pt>
                <c:pt idx="289">
                  <c:v>-2.2597462940686701E-2</c:v>
                </c:pt>
                <c:pt idx="290">
                  <c:v>-2.294562975896728E-2</c:v>
                </c:pt>
                <c:pt idx="291">
                  <c:v>-2.2640368377989807E-2</c:v>
                </c:pt>
                <c:pt idx="292">
                  <c:v>-2.1730355233612622E-2</c:v>
                </c:pt>
                <c:pt idx="293">
                  <c:v>-2.3309076748873264E-2</c:v>
                </c:pt>
                <c:pt idx="294">
                  <c:v>-2.3160487426512357E-2</c:v>
                </c:pt>
                <c:pt idx="295">
                  <c:v>-2.3521822859557111E-2</c:v>
                </c:pt>
                <c:pt idx="296">
                  <c:v>-2.1977774757641021E-2</c:v>
                </c:pt>
                <c:pt idx="297">
                  <c:v>-2.2088473567239187E-2</c:v>
                </c:pt>
                <c:pt idx="298">
                  <c:v>-2.178871589077944E-2</c:v>
                </c:pt>
                <c:pt idx="299">
                  <c:v>-2.2662610302547671E-2</c:v>
                </c:pt>
                <c:pt idx="300">
                  <c:v>-2.3482932330489724E-2</c:v>
                </c:pt>
                <c:pt idx="301">
                  <c:v>-2.3613038745017519E-2</c:v>
                </c:pt>
                <c:pt idx="302">
                  <c:v>-2.3321367373539972E-2</c:v>
                </c:pt>
                <c:pt idx="303">
                  <c:v>-2.3336114344651739E-2</c:v>
                </c:pt>
                <c:pt idx="304">
                  <c:v>-2.2318414692786934E-2</c:v>
                </c:pt>
                <c:pt idx="305">
                  <c:v>-2.3808174718311557E-2</c:v>
                </c:pt>
                <c:pt idx="306">
                  <c:v>-2.1902292889160666E-2</c:v>
                </c:pt>
                <c:pt idx="307">
                  <c:v>-2.358041207096008E-2</c:v>
                </c:pt>
                <c:pt idx="308">
                  <c:v>-2.2540834970702861E-2</c:v>
                </c:pt>
                <c:pt idx="309">
                  <c:v>-2.3867059747092169E-2</c:v>
                </c:pt>
                <c:pt idx="310">
                  <c:v>-2.2606278019873447E-2</c:v>
                </c:pt>
                <c:pt idx="311">
                  <c:v>-2.3246849005737816E-2</c:v>
                </c:pt>
                <c:pt idx="312">
                  <c:v>-2.2947180624121297E-2</c:v>
                </c:pt>
                <c:pt idx="313">
                  <c:v>-2.1696571651556071E-2</c:v>
                </c:pt>
                <c:pt idx="314">
                  <c:v>-2.43517364289818E-2</c:v>
                </c:pt>
                <c:pt idx="315">
                  <c:v>-2.2216350004835683E-2</c:v>
                </c:pt>
                <c:pt idx="316">
                  <c:v>-2.3149169496853521E-2</c:v>
                </c:pt>
                <c:pt idx="317">
                  <c:v>-2.3666007210155351E-2</c:v>
                </c:pt>
                <c:pt idx="318">
                  <c:v>-2.2544757920148893E-2</c:v>
                </c:pt>
                <c:pt idx="319">
                  <c:v>-2.2867689558274971E-2</c:v>
                </c:pt>
                <c:pt idx="320">
                  <c:v>-2.2242233912147552E-2</c:v>
                </c:pt>
                <c:pt idx="321">
                  <c:v>-2.3498488062214867E-2</c:v>
                </c:pt>
                <c:pt idx="322">
                  <c:v>-2.3700264670234419E-2</c:v>
                </c:pt>
                <c:pt idx="323">
                  <c:v>-2.2815087048790213E-2</c:v>
                </c:pt>
                <c:pt idx="324">
                  <c:v>-2.3274170553533431E-2</c:v>
                </c:pt>
                <c:pt idx="325">
                  <c:v>-2.1866625811708257E-2</c:v>
                </c:pt>
                <c:pt idx="326">
                  <c:v>-2.3717583313733474E-2</c:v>
                </c:pt>
                <c:pt idx="327">
                  <c:v>-2.1087380530122359E-2</c:v>
                </c:pt>
                <c:pt idx="328">
                  <c:v>-2.1495120464921302E-2</c:v>
                </c:pt>
                <c:pt idx="329">
                  <c:v>-2.3395352736102E-2</c:v>
                </c:pt>
                <c:pt idx="330">
                  <c:v>-2.2508590706568549E-2</c:v>
                </c:pt>
                <c:pt idx="331">
                  <c:v>-2.3857371930831636E-2</c:v>
                </c:pt>
                <c:pt idx="332">
                  <c:v>-2.2826939086406175E-2</c:v>
                </c:pt>
                <c:pt idx="333">
                  <c:v>-2.1867384181766029E-2</c:v>
                </c:pt>
                <c:pt idx="334">
                  <c:v>-2.2360194321527228E-2</c:v>
                </c:pt>
                <c:pt idx="335">
                  <c:v>-2.2880641538532337E-2</c:v>
                </c:pt>
                <c:pt idx="336">
                  <c:v>-2.36584870758576E-2</c:v>
                </c:pt>
                <c:pt idx="337">
                  <c:v>-2.2255082270837903E-2</c:v>
                </c:pt>
                <c:pt idx="338">
                  <c:v>-2.2706902262139832E-2</c:v>
                </c:pt>
                <c:pt idx="339">
                  <c:v>-2.3597526864500201E-2</c:v>
                </c:pt>
                <c:pt idx="340">
                  <c:v>-2.3536465605762624E-2</c:v>
                </c:pt>
                <c:pt idx="341">
                  <c:v>-2.2970998679017245E-2</c:v>
                </c:pt>
                <c:pt idx="342">
                  <c:v>-2.2224819175791943E-2</c:v>
                </c:pt>
                <c:pt idx="343">
                  <c:v>-2.3366117134102242E-2</c:v>
                </c:pt>
                <c:pt idx="344">
                  <c:v>-2.2432334637266269E-2</c:v>
                </c:pt>
                <c:pt idx="345">
                  <c:v>-2.2549233979929681E-2</c:v>
                </c:pt>
                <c:pt idx="346">
                  <c:v>-2.2513168648860302E-2</c:v>
                </c:pt>
                <c:pt idx="347">
                  <c:v>-2.265794167380681E-2</c:v>
                </c:pt>
                <c:pt idx="348">
                  <c:v>-2.3525627266214485E-2</c:v>
                </c:pt>
                <c:pt idx="349">
                  <c:v>-2.3967810177763442E-2</c:v>
                </c:pt>
                <c:pt idx="350">
                  <c:v>-2.2541310475083943E-2</c:v>
                </c:pt>
                <c:pt idx="351">
                  <c:v>-2.3139783710216785E-2</c:v>
                </c:pt>
                <c:pt idx="352">
                  <c:v>-2.1842550473076115E-2</c:v>
                </c:pt>
                <c:pt idx="353">
                  <c:v>-2.3760023798663439E-2</c:v>
                </c:pt>
                <c:pt idx="354">
                  <c:v>-2.3398907685295948E-2</c:v>
                </c:pt>
                <c:pt idx="355">
                  <c:v>-2.3328787314843856E-2</c:v>
                </c:pt>
                <c:pt idx="356">
                  <c:v>-2.3323430563149609E-2</c:v>
                </c:pt>
                <c:pt idx="357">
                  <c:v>-2.2228759637226047E-2</c:v>
                </c:pt>
                <c:pt idx="358">
                  <c:v>-2.2893955601859955E-2</c:v>
                </c:pt>
                <c:pt idx="359">
                  <c:v>-2.3260025904003414E-2</c:v>
                </c:pt>
                <c:pt idx="360">
                  <c:v>-2.2641238694297804E-2</c:v>
                </c:pt>
                <c:pt idx="361">
                  <c:v>-2.2971753062065073E-2</c:v>
                </c:pt>
                <c:pt idx="362">
                  <c:v>-2.3232909607906464E-2</c:v>
                </c:pt>
                <c:pt idx="363">
                  <c:v>-2.359581536792232E-2</c:v>
                </c:pt>
                <c:pt idx="364">
                  <c:v>-2.3564852569698536E-2</c:v>
                </c:pt>
                <c:pt idx="365">
                  <c:v>-2.2225375754155459E-2</c:v>
                </c:pt>
                <c:pt idx="366">
                  <c:v>-2.221705157153965E-2</c:v>
                </c:pt>
                <c:pt idx="367">
                  <c:v>-2.3029013321057213E-2</c:v>
                </c:pt>
                <c:pt idx="368">
                  <c:v>-2.3745925039990991E-2</c:v>
                </c:pt>
                <c:pt idx="369">
                  <c:v>-2.2654060059998871E-2</c:v>
                </c:pt>
                <c:pt idx="370">
                  <c:v>-2.2341732096715278E-2</c:v>
                </c:pt>
                <c:pt idx="371">
                  <c:v>-2.2962883544736273E-2</c:v>
                </c:pt>
                <c:pt idx="372">
                  <c:v>-2.2671155691965605E-2</c:v>
                </c:pt>
                <c:pt idx="373">
                  <c:v>-2.2777823840192474E-2</c:v>
                </c:pt>
                <c:pt idx="374">
                  <c:v>-2.3213044600625652E-2</c:v>
                </c:pt>
                <c:pt idx="375">
                  <c:v>-2.1731744101884474E-2</c:v>
                </c:pt>
                <c:pt idx="376">
                  <c:v>-2.2653634471240459E-2</c:v>
                </c:pt>
                <c:pt idx="377">
                  <c:v>-2.3887796394009467E-2</c:v>
                </c:pt>
                <c:pt idx="378">
                  <c:v>-2.280868062443132E-2</c:v>
                </c:pt>
                <c:pt idx="379">
                  <c:v>-2.336985458610075E-2</c:v>
                </c:pt>
                <c:pt idx="380">
                  <c:v>-2.2364711372423442E-2</c:v>
                </c:pt>
                <c:pt idx="381">
                  <c:v>-2.2558338120189998E-2</c:v>
                </c:pt>
                <c:pt idx="382">
                  <c:v>-2.2234523207905855E-2</c:v>
                </c:pt>
                <c:pt idx="383">
                  <c:v>-2.399452082632407E-2</c:v>
                </c:pt>
                <c:pt idx="384">
                  <c:v>-2.3042418736491183E-2</c:v>
                </c:pt>
                <c:pt idx="385">
                  <c:v>-2.2651977564004146E-2</c:v>
                </c:pt>
                <c:pt idx="386">
                  <c:v>-2.2081656853689045E-2</c:v>
                </c:pt>
                <c:pt idx="387">
                  <c:v>-2.2973883762666202E-2</c:v>
                </c:pt>
                <c:pt idx="388">
                  <c:v>-2.2130771983014445E-2</c:v>
                </c:pt>
                <c:pt idx="389">
                  <c:v>-2.1853967249868295E-2</c:v>
                </c:pt>
                <c:pt idx="390">
                  <c:v>-2.2221724395732577E-2</c:v>
                </c:pt>
                <c:pt idx="391">
                  <c:v>-2.3568003850198208E-2</c:v>
                </c:pt>
                <c:pt idx="392">
                  <c:v>-2.2826471772370328E-2</c:v>
                </c:pt>
                <c:pt idx="393">
                  <c:v>-2.314422708805295E-2</c:v>
                </c:pt>
                <c:pt idx="394">
                  <c:v>-2.2889405705683766E-2</c:v>
                </c:pt>
                <c:pt idx="395">
                  <c:v>-2.3429253801095069E-2</c:v>
                </c:pt>
                <c:pt idx="396">
                  <c:v>-2.4395500225400511E-2</c:v>
                </c:pt>
                <c:pt idx="397">
                  <c:v>-2.196867835711927E-2</c:v>
                </c:pt>
                <c:pt idx="398">
                  <c:v>-2.0878365219693981E-2</c:v>
                </c:pt>
                <c:pt idx="399">
                  <c:v>-2.3551455127492227E-2</c:v>
                </c:pt>
                <c:pt idx="400">
                  <c:v>-2.3878184995618772E-2</c:v>
                </c:pt>
                <c:pt idx="401">
                  <c:v>-2.1255021286482517E-2</c:v>
                </c:pt>
                <c:pt idx="402">
                  <c:v>-2.269879787780963E-2</c:v>
                </c:pt>
                <c:pt idx="403">
                  <c:v>-2.2062206634060867E-2</c:v>
                </c:pt>
                <c:pt idx="404">
                  <c:v>-2.2267930925030321E-2</c:v>
                </c:pt>
                <c:pt idx="405">
                  <c:v>-2.3114439431936473E-2</c:v>
                </c:pt>
                <c:pt idx="406">
                  <c:v>-2.2021222020258219E-2</c:v>
                </c:pt>
                <c:pt idx="407">
                  <c:v>-2.198954223123719E-2</c:v>
                </c:pt>
                <c:pt idx="408">
                  <c:v>-2.3756322207618603E-2</c:v>
                </c:pt>
                <c:pt idx="409">
                  <c:v>-2.2567703874505969E-2</c:v>
                </c:pt>
                <c:pt idx="410">
                  <c:v>-2.3023851121358525E-2</c:v>
                </c:pt>
                <c:pt idx="411">
                  <c:v>-2.3068802608747749E-2</c:v>
                </c:pt>
                <c:pt idx="412">
                  <c:v>-2.3256044824212372E-2</c:v>
                </c:pt>
                <c:pt idx="413">
                  <c:v>-2.3490929885882122E-2</c:v>
                </c:pt>
                <c:pt idx="414">
                  <c:v>-2.3332251974034861E-2</c:v>
                </c:pt>
                <c:pt idx="415">
                  <c:v>-2.333633851349156E-2</c:v>
                </c:pt>
                <c:pt idx="416">
                  <c:v>-2.2065516055628974E-2</c:v>
                </c:pt>
                <c:pt idx="417">
                  <c:v>-2.3835643975396864E-2</c:v>
                </c:pt>
                <c:pt idx="418">
                  <c:v>-2.1715943332146378E-2</c:v>
                </c:pt>
                <c:pt idx="419">
                  <c:v>-2.3175943877372825E-2</c:v>
                </c:pt>
                <c:pt idx="420">
                  <c:v>-2.2698665988770614E-2</c:v>
                </c:pt>
                <c:pt idx="421">
                  <c:v>-2.2613917023752983E-2</c:v>
                </c:pt>
                <c:pt idx="422">
                  <c:v>-2.3199888273463833E-2</c:v>
                </c:pt>
                <c:pt idx="423">
                  <c:v>-2.2760498023614045E-2</c:v>
                </c:pt>
                <c:pt idx="424">
                  <c:v>-2.3437379898518271E-2</c:v>
                </c:pt>
                <c:pt idx="425">
                  <c:v>-2.2544242436143329E-2</c:v>
                </c:pt>
                <c:pt idx="426">
                  <c:v>-2.2514071001368392E-2</c:v>
                </c:pt>
                <c:pt idx="427">
                  <c:v>-2.2718290620109972E-2</c:v>
                </c:pt>
                <c:pt idx="428">
                  <c:v>-2.2599005876461849E-2</c:v>
                </c:pt>
                <c:pt idx="429">
                  <c:v>-2.43142604187194E-2</c:v>
                </c:pt>
                <c:pt idx="430">
                  <c:v>-2.3199947727073993E-2</c:v>
                </c:pt>
                <c:pt idx="431">
                  <c:v>-2.4540826401201331E-2</c:v>
                </c:pt>
                <c:pt idx="432">
                  <c:v>-2.2248623329500158E-2</c:v>
                </c:pt>
                <c:pt idx="433">
                  <c:v>-2.2511053821868833E-2</c:v>
                </c:pt>
                <c:pt idx="434">
                  <c:v>-2.4491656439562245E-2</c:v>
                </c:pt>
                <c:pt idx="435">
                  <c:v>-2.3164059856257496E-2</c:v>
                </c:pt>
                <c:pt idx="436">
                  <c:v>-2.327345166744698E-2</c:v>
                </c:pt>
                <c:pt idx="437">
                  <c:v>-2.2315430548340818E-2</c:v>
                </c:pt>
                <c:pt idx="438">
                  <c:v>-2.1487269573881387E-2</c:v>
                </c:pt>
                <c:pt idx="439">
                  <c:v>-2.2726304402580673E-2</c:v>
                </c:pt>
                <c:pt idx="440">
                  <c:v>-2.3374908466852362E-2</c:v>
                </c:pt>
                <c:pt idx="441">
                  <c:v>-2.2411782354197631E-2</c:v>
                </c:pt>
                <c:pt idx="442">
                  <c:v>-2.2531581840104953E-2</c:v>
                </c:pt>
                <c:pt idx="443">
                  <c:v>-2.3300793708186895E-2</c:v>
                </c:pt>
                <c:pt idx="444">
                  <c:v>-2.4866175106364553E-2</c:v>
                </c:pt>
                <c:pt idx="445">
                  <c:v>-2.4621998338452938E-2</c:v>
                </c:pt>
                <c:pt idx="446">
                  <c:v>-2.2881828865505077E-2</c:v>
                </c:pt>
                <c:pt idx="447">
                  <c:v>-2.2947722673621308E-2</c:v>
                </c:pt>
                <c:pt idx="448">
                  <c:v>-2.3583540920010113E-2</c:v>
                </c:pt>
                <c:pt idx="449">
                  <c:v>-2.3965419477117715E-2</c:v>
                </c:pt>
                <c:pt idx="450">
                  <c:v>-2.3160074415307871E-2</c:v>
                </c:pt>
                <c:pt idx="451">
                  <c:v>-2.2049165812803362E-2</c:v>
                </c:pt>
                <c:pt idx="452">
                  <c:v>-2.2835710195335611E-2</c:v>
                </c:pt>
                <c:pt idx="453">
                  <c:v>-2.3285744293312451E-2</c:v>
                </c:pt>
                <c:pt idx="454">
                  <c:v>-2.3422735244564789E-2</c:v>
                </c:pt>
                <c:pt idx="455">
                  <c:v>-2.2237731892151599E-2</c:v>
                </c:pt>
                <c:pt idx="456">
                  <c:v>-2.1936872047745925E-2</c:v>
                </c:pt>
                <c:pt idx="457">
                  <c:v>-2.2298838274416137E-2</c:v>
                </c:pt>
                <c:pt idx="458">
                  <c:v>-2.2734471795301789E-2</c:v>
                </c:pt>
                <c:pt idx="459">
                  <c:v>-2.2345442940090908E-2</c:v>
                </c:pt>
                <c:pt idx="460">
                  <c:v>-2.3113643303131481E-2</c:v>
                </c:pt>
                <c:pt idx="461">
                  <c:v>-2.2911367314102118E-2</c:v>
                </c:pt>
                <c:pt idx="462">
                  <c:v>-2.3145803414066295E-2</c:v>
                </c:pt>
                <c:pt idx="463">
                  <c:v>-2.3048643427988971E-2</c:v>
                </c:pt>
                <c:pt idx="464">
                  <c:v>-2.348479964085198E-2</c:v>
                </c:pt>
                <c:pt idx="465">
                  <c:v>-2.3864583509726194E-2</c:v>
                </c:pt>
                <c:pt idx="466">
                  <c:v>-2.3658717852451702E-2</c:v>
                </c:pt>
                <c:pt idx="467">
                  <c:v>-2.4376548861150614E-2</c:v>
                </c:pt>
                <c:pt idx="468">
                  <c:v>-2.3828958353572547E-2</c:v>
                </c:pt>
                <c:pt idx="469">
                  <c:v>-2.2404488753821838E-2</c:v>
                </c:pt>
                <c:pt idx="470">
                  <c:v>-2.3178572973401149E-2</c:v>
                </c:pt>
                <c:pt idx="471">
                  <c:v>-2.3061427024158122E-2</c:v>
                </c:pt>
                <c:pt idx="472">
                  <c:v>-2.2201251790170771E-2</c:v>
                </c:pt>
                <c:pt idx="473">
                  <c:v>-2.3047005129068501E-2</c:v>
                </c:pt>
                <c:pt idx="474">
                  <c:v>-2.3895814988957518E-2</c:v>
                </c:pt>
                <c:pt idx="475">
                  <c:v>-2.3014458583537355E-2</c:v>
                </c:pt>
                <c:pt idx="476">
                  <c:v>-2.3313864528628797E-2</c:v>
                </c:pt>
                <c:pt idx="477">
                  <c:v>-2.2323431384149033E-2</c:v>
                </c:pt>
                <c:pt idx="478">
                  <c:v>-2.2129387013238303E-2</c:v>
                </c:pt>
                <c:pt idx="479">
                  <c:v>-2.3038056129570501E-2</c:v>
                </c:pt>
                <c:pt idx="480">
                  <c:v>-2.2715333480209984E-2</c:v>
                </c:pt>
                <c:pt idx="481">
                  <c:v>-2.3496056134091749E-2</c:v>
                </c:pt>
                <c:pt idx="482">
                  <c:v>-2.4661199961365846E-2</c:v>
                </c:pt>
                <c:pt idx="483">
                  <c:v>-2.2984010437814683E-2</c:v>
                </c:pt>
                <c:pt idx="484">
                  <c:v>-2.1416358180801193E-2</c:v>
                </c:pt>
                <c:pt idx="485">
                  <c:v>-2.345294092012791E-2</c:v>
                </c:pt>
                <c:pt idx="486">
                  <c:v>-2.1695419903477519E-2</c:v>
                </c:pt>
                <c:pt idx="487">
                  <c:v>-2.3048051710931345E-2</c:v>
                </c:pt>
                <c:pt idx="488">
                  <c:v>-2.2933343570684474E-2</c:v>
                </c:pt>
                <c:pt idx="489">
                  <c:v>-2.169768868798809E-2</c:v>
                </c:pt>
                <c:pt idx="490">
                  <c:v>-2.2934517776899473E-2</c:v>
                </c:pt>
                <c:pt idx="491">
                  <c:v>-2.1194375551868636E-2</c:v>
                </c:pt>
                <c:pt idx="492">
                  <c:v>-2.448730517297475E-2</c:v>
                </c:pt>
                <c:pt idx="493">
                  <c:v>-2.389273908165682E-2</c:v>
                </c:pt>
                <c:pt idx="494">
                  <c:v>-2.3628900657471245E-2</c:v>
                </c:pt>
                <c:pt idx="495">
                  <c:v>-2.2206082842438073E-2</c:v>
                </c:pt>
                <c:pt idx="496">
                  <c:v>-2.2529151435216194E-2</c:v>
                </c:pt>
                <c:pt idx="497">
                  <c:v>-2.3867014790318861E-2</c:v>
                </c:pt>
                <c:pt idx="498">
                  <c:v>-2.1686300447100289E-2</c:v>
                </c:pt>
                <c:pt idx="499">
                  <c:v>-2.2819568304851042E-2</c:v>
                </c:pt>
                <c:pt idx="500">
                  <c:v>-2.3713569264514841E-2</c:v>
                </c:pt>
                <c:pt idx="501">
                  <c:v>-2.3461433586507253E-2</c:v>
                </c:pt>
                <c:pt idx="502">
                  <c:v>-2.2363940531002956E-2</c:v>
                </c:pt>
                <c:pt idx="503">
                  <c:v>-2.2816120769815262E-2</c:v>
                </c:pt>
                <c:pt idx="504">
                  <c:v>-2.3905023800702113E-2</c:v>
                </c:pt>
                <c:pt idx="505">
                  <c:v>-2.2226327102046656E-2</c:v>
                </c:pt>
                <c:pt idx="506">
                  <c:v>-2.2315041006059883E-2</c:v>
                </c:pt>
                <c:pt idx="507">
                  <c:v>-2.3243730251983532E-2</c:v>
                </c:pt>
                <c:pt idx="508">
                  <c:v>-2.3714337447510649E-2</c:v>
                </c:pt>
                <c:pt idx="509">
                  <c:v>-2.321875392484227E-2</c:v>
                </c:pt>
                <c:pt idx="510">
                  <c:v>-2.2713819995758586E-2</c:v>
                </c:pt>
                <c:pt idx="511">
                  <c:v>-2.296173679550436E-2</c:v>
                </c:pt>
                <c:pt idx="512">
                  <c:v>-2.3869534939761215E-2</c:v>
                </c:pt>
                <c:pt idx="513">
                  <c:v>-2.26953794876299E-2</c:v>
                </c:pt>
                <c:pt idx="514">
                  <c:v>-2.4139629613508802E-2</c:v>
                </c:pt>
                <c:pt idx="515">
                  <c:v>-2.4330337103995375E-2</c:v>
                </c:pt>
                <c:pt idx="516">
                  <c:v>-2.3506041838281009E-2</c:v>
                </c:pt>
                <c:pt idx="517">
                  <c:v>-2.2511552605762063E-2</c:v>
                </c:pt>
                <c:pt idx="518">
                  <c:v>-2.3289038284354413E-2</c:v>
                </c:pt>
                <c:pt idx="519">
                  <c:v>-2.252224889242644E-2</c:v>
                </c:pt>
                <c:pt idx="520">
                  <c:v>-2.2410782834069349E-2</c:v>
                </c:pt>
                <c:pt idx="521">
                  <c:v>-2.3259733804473132E-2</c:v>
                </c:pt>
                <c:pt idx="522">
                  <c:v>-2.2420743717090207E-2</c:v>
                </c:pt>
                <c:pt idx="523">
                  <c:v>-2.2393632145319409E-2</c:v>
                </c:pt>
                <c:pt idx="524">
                  <c:v>-2.2900854833325199E-2</c:v>
                </c:pt>
                <c:pt idx="525">
                  <c:v>-2.3562494722856282E-2</c:v>
                </c:pt>
                <c:pt idx="526">
                  <c:v>-2.3329161554708624E-2</c:v>
                </c:pt>
                <c:pt idx="527">
                  <c:v>-2.2976811502617007E-2</c:v>
                </c:pt>
                <c:pt idx="528">
                  <c:v>-2.3260001618410114E-2</c:v>
                </c:pt>
                <c:pt idx="529">
                  <c:v>-2.248691374749099E-2</c:v>
                </c:pt>
                <c:pt idx="530">
                  <c:v>-2.3214749979675205E-2</c:v>
                </c:pt>
                <c:pt idx="531">
                  <c:v>-2.3045789402903034E-2</c:v>
                </c:pt>
                <c:pt idx="532">
                  <c:v>-2.3127836251820955E-2</c:v>
                </c:pt>
                <c:pt idx="533">
                  <c:v>-2.2499382345211701E-2</c:v>
                </c:pt>
                <c:pt idx="534">
                  <c:v>-2.3724705158440822E-2</c:v>
                </c:pt>
                <c:pt idx="535">
                  <c:v>-2.2824222421482607E-2</c:v>
                </c:pt>
                <c:pt idx="536">
                  <c:v>-2.3386716891471267E-2</c:v>
                </c:pt>
                <c:pt idx="537">
                  <c:v>-2.3417566790737868E-2</c:v>
                </c:pt>
                <c:pt idx="538">
                  <c:v>-2.3126149641045219E-2</c:v>
                </c:pt>
                <c:pt idx="539">
                  <c:v>-2.289026976327108E-2</c:v>
                </c:pt>
                <c:pt idx="540">
                  <c:v>-2.2997565245738861E-2</c:v>
                </c:pt>
                <c:pt idx="541">
                  <c:v>-2.1586877787107276E-2</c:v>
                </c:pt>
                <c:pt idx="542">
                  <c:v>-2.1984396100697093E-2</c:v>
                </c:pt>
                <c:pt idx="543">
                  <c:v>-2.3053151795443701E-2</c:v>
                </c:pt>
                <c:pt idx="544">
                  <c:v>-2.2856314713523718E-2</c:v>
                </c:pt>
                <c:pt idx="545">
                  <c:v>-2.2296954958915066E-2</c:v>
                </c:pt>
                <c:pt idx="546">
                  <c:v>-2.3185027874594054E-2</c:v>
                </c:pt>
                <c:pt idx="547">
                  <c:v>-2.3114979274128228E-2</c:v>
                </c:pt>
                <c:pt idx="548">
                  <c:v>-2.354663187937385E-2</c:v>
                </c:pt>
                <c:pt idx="549">
                  <c:v>-2.2687516683611242E-2</c:v>
                </c:pt>
                <c:pt idx="550">
                  <c:v>-2.4214397094426389E-2</c:v>
                </c:pt>
                <c:pt idx="551">
                  <c:v>-2.4438815677111488E-2</c:v>
                </c:pt>
                <c:pt idx="552">
                  <c:v>-2.1242802182709495E-2</c:v>
                </c:pt>
                <c:pt idx="553">
                  <c:v>-2.2688235160885854E-2</c:v>
                </c:pt>
                <c:pt idx="554">
                  <c:v>-2.2621115527958816E-2</c:v>
                </c:pt>
                <c:pt idx="555">
                  <c:v>-2.3167914857298182E-2</c:v>
                </c:pt>
                <c:pt idx="556">
                  <c:v>-2.3361279765326752E-2</c:v>
                </c:pt>
                <c:pt idx="557">
                  <c:v>-2.2563585042312258E-2</c:v>
                </c:pt>
                <c:pt idx="558">
                  <c:v>-2.2887461928352962E-2</c:v>
                </c:pt>
                <c:pt idx="559">
                  <c:v>-2.1582795807673701E-2</c:v>
                </c:pt>
                <c:pt idx="560">
                  <c:v>-2.2716006022431089E-2</c:v>
                </c:pt>
                <c:pt idx="561">
                  <c:v>-2.3580344474880815E-2</c:v>
                </c:pt>
                <c:pt idx="562">
                  <c:v>-2.2158712256638687E-2</c:v>
                </c:pt>
                <c:pt idx="563">
                  <c:v>-2.1000049611382104E-2</c:v>
                </c:pt>
                <c:pt idx="564">
                  <c:v>-2.1690445899650419E-2</c:v>
                </c:pt>
                <c:pt idx="565">
                  <c:v>-2.2371773934978276E-2</c:v>
                </c:pt>
                <c:pt idx="566">
                  <c:v>-2.312185700994868E-2</c:v>
                </c:pt>
                <c:pt idx="567">
                  <c:v>-2.2223738264248186E-2</c:v>
                </c:pt>
                <c:pt idx="568">
                  <c:v>-2.2421955148941422E-2</c:v>
                </c:pt>
                <c:pt idx="569">
                  <c:v>-2.3093195588187329E-2</c:v>
                </c:pt>
                <c:pt idx="570">
                  <c:v>-2.3530418834722764E-2</c:v>
                </c:pt>
                <c:pt idx="571">
                  <c:v>-2.4623398632970497E-2</c:v>
                </c:pt>
                <c:pt idx="572">
                  <c:v>-2.2251823379241486E-2</c:v>
                </c:pt>
                <c:pt idx="573">
                  <c:v>-2.4868991353310287E-2</c:v>
                </c:pt>
                <c:pt idx="574">
                  <c:v>-2.2503203683044752E-2</c:v>
                </c:pt>
                <c:pt idx="575">
                  <c:v>-2.2299139115427344E-2</c:v>
                </c:pt>
                <c:pt idx="576">
                  <c:v>-2.249491433364665E-2</c:v>
                </c:pt>
                <c:pt idx="577">
                  <c:v>-2.3656516769387025E-2</c:v>
                </c:pt>
                <c:pt idx="578">
                  <c:v>-2.230491813900462E-2</c:v>
                </c:pt>
                <c:pt idx="579">
                  <c:v>-2.3215139935773316E-2</c:v>
                </c:pt>
                <c:pt idx="580">
                  <c:v>-2.3624862732602406E-2</c:v>
                </c:pt>
                <c:pt idx="581">
                  <c:v>-2.3098197012174519E-2</c:v>
                </c:pt>
                <c:pt idx="582">
                  <c:v>-2.3038438319143019E-2</c:v>
                </c:pt>
                <c:pt idx="583">
                  <c:v>-2.3625777996323458E-2</c:v>
                </c:pt>
                <c:pt idx="584">
                  <c:v>-2.3307284757971922E-2</c:v>
                </c:pt>
                <c:pt idx="585">
                  <c:v>-2.2061970407012722E-2</c:v>
                </c:pt>
                <c:pt idx="586">
                  <c:v>-2.2631097064404748E-2</c:v>
                </c:pt>
                <c:pt idx="587">
                  <c:v>-2.3973962116978352E-2</c:v>
                </c:pt>
                <c:pt idx="588">
                  <c:v>-2.2115699404898392E-2</c:v>
                </c:pt>
                <c:pt idx="589">
                  <c:v>-2.3481949630548879E-2</c:v>
                </c:pt>
                <c:pt idx="590">
                  <c:v>-2.480434870622716E-2</c:v>
                </c:pt>
                <c:pt idx="591">
                  <c:v>-2.4040824775628925E-2</c:v>
                </c:pt>
                <c:pt idx="592">
                  <c:v>-2.338520444621774E-2</c:v>
                </c:pt>
                <c:pt idx="593">
                  <c:v>-2.219224782275515E-2</c:v>
                </c:pt>
                <c:pt idx="594">
                  <c:v>-2.3620655927265467E-2</c:v>
                </c:pt>
                <c:pt idx="595">
                  <c:v>-2.3056823946465358E-2</c:v>
                </c:pt>
                <c:pt idx="596">
                  <c:v>-2.2608702094007959E-2</c:v>
                </c:pt>
                <c:pt idx="597">
                  <c:v>-2.289740499905079E-2</c:v>
                </c:pt>
                <c:pt idx="598">
                  <c:v>-2.3000585307982296E-2</c:v>
                </c:pt>
                <c:pt idx="599">
                  <c:v>-2.1822722530672082E-2</c:v>
                </c:pt>
                <c:pt idx="600">
                  <c:v>-2.3005296128387184E-2</c:v>
                </c:pt>
                <c:pt idx="601">
                  <c:v>-2.2916411569623554E-2</c:v>
                </c:pt>
                <c:pt idx="602">
                  <c:v>-2.2360488987190012E-2</c:v>
                </c:pt>
                <c:pt idx="603">
                  <c:v>-2.1508299298981057E-2</c:v>
                </c:pt>
                <c:pt idx="604">
                  <c:v>-2.2680060845912821E-2</c:v>
                </c:pt>
                <c:pt idx="605">
                  <c:v>-2.333158812399377E-2</c:v>
                </c:pt>
                <c:pt idx="606">
                  <c:v>-2.276724121267195E-2</c:v>
                </c:pt>
                <c:pt idx="607">
                  <c:v>-2.3839339108726446E-2</c:v>
                </c:pt>
                <c:pt idx="608">
                  <c:v>-2.2688520756073322E-2</c:v>
                </c:pt>
                <c:pt idx="609">
                  <c:v>-2.2934995401752815E-2</c:v>
                </c:pt>
                <c:pt idx="610">
                  <c:v>-2.2983172441207084E-2</c:v>
                </c:pt>
                <c:pt idx="611">
                  <c:v>-2.3419969851668422E-2</c:v>
                </c:pt>
                <c:pt idx="612">
                  <c:v>-2.3598050441818966E-2</c:v>
                </c:pt>
                <c:pt idx="613">
                  <c:v>-2.2110056790866538E-2</c:v>
                </c:pt>
                <c:pt idx="614">
                  <c:v>-2.3333090983180805E-2</c:v>
                </c:pt>
                <c:pt idx="615">
                  <c:v>-2.1213111965492019E-2</c:v>
                </c:pt>
                <c:pt idx="616">
                  <c:v>-2.2673695660849376E-2</c:v>
                </c:pt>
                <c:pt idx="617">
                  <c:v>-2.2685286396393001E-2</c:v>
                </c:pt>
                <c:pt idx="618">
                  <c:v>-2.4070854606725749E-2</c:v>
                </c:pt>
                <c:pt idx="619">
                  <c:v>-2.3270239333490764E-2</c:v>
                </c:pt>
                <c:pt idx="620">
                  <c:v>-2.284997438354288E-2</c:v>
                </c:pt>
                <c:pt idx="621">
                  <c:v>-2.4379500460961261E-2</c:v>
                </c:pt>
                <c:pt idx="622">
                  <c:v>-2.3643563561820347E-2</c:v>
                </c:pt>
                <c:pt idx="623">
                  <c:v>-2.1722678547199906E-2</c:v>
                </c:pt>
                <c:pt idx="624">
                  <c:v>-2.3230633185349958E-2</c:v>
                </c:pt>
                <c:pt idx="625">
                  <c:v>-2.2474313735793477E-2</c:v>
                </c:pt>
                <c:pt idx="626">
                  <c:v>-2.3679070454365344E-2</c:v>
                </c:pt>
                <c:pt idx="627">
                  <c:v>-2.2844533818641894E-2</c:v>
                </c:pt>
                <c:pt idx="628">
                  <c:v>-2.4208681529479331E-2</c:v>
                </c:pt>
                <c:pt idx="629">
                  <c:v>-2.2961536838571387E-2</c:v>
                </c:pt>
                <c:pt idx="630">
                  <c:v>-2.1869526699444433E-2</c:v>
                </c:pt>
                <c:pt idx="631">
                  <c:v>-2.3172750226654E-2</c:v>
                </c:pt>
                <c:pt idx="632">
                  <c:v>-2.337784583957294E-2</c:v>
                </c:pt>
                <c:pt idx="633">
                  <c:v>-2.2208281306705189E-2</c:v>
                </c:pt>
                <c:pt idx="634">
                  <c:v>-2.385053046726027E-2</c:v>
                </c:pt>
                <c:pt idx="635">
                  <c:v>-2.2762436946101167E-2</c:v>
                </c:pt>
                <c:pt idx="636">
                  <c:v>-2.3436535525228942E-2</c:v>
                </c:pt>
                <c:pt idx="637">
                  <c:v>-2.3353309711673223E-2</c:v>
                </c:pt>
                <c:pt idx="638">
                  <c:v>-2.3744570670343655E-2</c:v>
                </c:pt>
                <c:pt idx="639">
                  <c:v>-2.2831565760803228E-2</c:v>
                </c:pt>
                <c:pt idx="640">
                  <c:v>-2.2186670767696204E-2</c:v>
                </c:pt>
                <c:pt idx="641">
                  <c:v>-2.359167947749579E-2</c:v>
                </c:pt>
                <c:pt idx="642">
                  <c:v>-2.3597364585908834E-2</c:v>
                </c:pt>
                <c:pt idx="643">
                  <c:v>-2.3524616106009748E-2</c:v>
                </c:pt>
                <c:pt idx="644">
                  <c:v>-2.1886637065750052E-2</c:v>
                </c:pt>
                <c:pt idx="645">
                  <c:v>-2.2628229733952343E-2</c:v>
                </c:pt>
                <c:pt idx="646">
                  <c:v>-2.2849596129253105E-2</c:v>
                </c:pt>
                <c:pt idx="647">
                  <c:v>-2.3561541386569983E-2</c:v>
                </c:pt>
                <c:pt idx="648">
                  <c:v>-2.3440244068056407E-2</c:v>
                </c:pt>
                <c:pt idx="649">
                  <c:v>-2.2321669793092372E-2</c:v>
                </c:pt>
                <c:pt idx="650">
                  <c:v>-2.2741322093644076E-2</c:v>
                </c:pt>
                <c:pt idx="651">
                  <c:v>-2.3015497222416324E-2</c:v>
                </c:pt>
                <c:pt idx="652">
                  <c:v>-2.2710956549188529E-2</c:v>
                </c:pt>
                <c:pt idx="653">
                  <c:v>-2.1738479344184866E-2</c:v>
                </c:pt>
                <c:pt idx="654">
                  <c:v>-2.3232239513708758E-2</c:v>
                </c:pt>
                <c:pt idx="655">
                  <c:v>-2.3013839512701004E-2</c:v>
                </c:pt>
                <c:pt idx="656">
                  <c:v>-2.3300529126785773E-2</c:v>
                </c:pt>
                <c:pt idx="657">
                  <c:v>-2.3613908860782806E-2</c:v>
                </c:pt>
                <c:pt idx="658">
                  <c:v>-2.1792479910154094E-2</c:v>
                </c:pt>
                <c:pt idx="659">
                  <c:v>-2.3525305384655828E-2</c:v>
                </c:pt>
                <c:pt idx="660">
                  <c:v>-2.1967892568709971E-2</c:v>
                </c:pt>
                <c:pt idx="661">
                  <c:v>-2.3938073087423826E-2</c:v>
                </c:pt>
                <c:pt idx="662">
                  <c:v>-2.2402326836387952E-2</c:v>
                </c:pt>
                <c:pt idx="663">
                  <c:v>-2.2381868060820809E-2</c:v>
                </c:pt>
                <c:pt idx="664">
                  <c:v>-2.3207181816460625E-2</c:v>
                </c:pt>
                <c:pt idx="665">
                  <c:v>-2.44908148258207E-2</c:v>
                </c:pt>
                <c:pt idx="666">
                  <c:v>-2.3482814608860262E-2</c:v>
                </c:pt>
                <c:pt idx="667">
                  <c:v>-2.3167349754907352E-2</c:v>
                </c:pt>
                <c:pt idx="668">
                  <c:v>-2.4496656289914438E-2</c:v>
                </c:pt>
                <c:pt idx="669">
                  <c:v>-2.3820405122629802E-2</c:v>
                </c:pt>
                <c:pt idx="670">
                  <c:v>-2.3528645118470581E-2</c:v>
                </c:pt>
                <c:pt idx="671">
                  <c:v>-2.3816139465383957E-2</c:v>
                </c:pt>
                <c:pt idx="672">
                  <c:v>-2.5246343139798177E-2</c:v>
                </c:pt>
                <c:pt idx="673">
                  <c:v>-2.3787978867927859E-2</c:v>
                </c:pt>
                <c:pt idx="674">
                  <c:v>-2.2142981971437811E-2</c:v>
                </c:pt>
                <c:pt idx="675">
                  <c:v>-2.2711851887953521E-2</c:v>
                </c:pt>
                <c:pt idx="676">
                  <c:v>-2.3439948090830894E-2</c:v>
                </c:pt>
                <c:pt idx="677">
                  <c:v>-2.2051064747198951E-2</c:v>
                </c:pt>
                <c:pt idx="678">
                  <c:v>-2.3217325651133824E-2</c:v>
                </c:pt>
                <c:pt idx="679">
                  <c:v>-2.1269465636797259E-2</c:v>
                </c:pt>
                <c:pt idx="680">
                  <c:v>-2.3040437063511075E-2</c:v>
                </c:pt>
                <c:pt idx="681">
                  <c:v>-2.3213386058817637E-2</c:v>
                </c:pt>
                <c:pt idx="682">
                  <c:v>-2.2529108552572591E-2</c:v>
                </c:pt>
                <c:pt idx="683">
                  <c:v>-2.2808199466952894E-2</c:v>
                </c:pt>
                <c:pt idx="684">
                  <c:v>-2.337634813662957E-2</c:v>
                </c:pt>
                <c:pt idx="685">
                  <c:v>-2.2788466040066159E-2</c:v>
                </c:pt>
                <c:pt idx="686">
                  <c:v>-2.3550974286439201E-2</c:v>
                </c:pt>
                <c:pt idx="687">
                  <c:v>-2.1059503828472458E-2</c:v>
                </c:pt>
                <c:pt idx="688">
                  <c:v>-2.2688577894054589E-2</c:v>
                </c:pt>
                <c:pt idx="689">
                  <c:v>-2.3353988673050344E-2</c:v>
                </c:pt>
                <c:pt idx="690">
                  <c:v>-2.178304644351535E-2</c:v>
                </c:pt>
                <c:pt idx="691">
                  <c:v>-2.1608897432921395E-2</c:v>
                </c:pt>
                <c:pt idx="692">
                  <c:v>-2.2676653432231166E-2</c:v>
                </c:pt>
                <c:pt idx="693">
                  <c:v>-2.3739375369497748E-2</c:v>
                </c:pt>
                <c:pt idx="694">
                  <c:v>-2.247125978340302E-2</c:v>
                </c:pt>
                <c:pt idx="695">
                  <c:v>-2.1660395960258677E-2</c:v>
                </c:pt>
                <c:pt idx="696">
                  <c:v>-2.2703789576477864E-2</c:v>
                </c:pt>
                <c:pt idx="697">
                  <c:v>-2.361715155826177E-2</c:v>
                </c:pt>
                <c:pt idx="698">
                  <c:v>-2.3211214936785268E-2</c:v>
                </c:pt>
                <c:pt idx="699">
                  <c:v>-2.287806646006698E-2</c:v>
                </c:pt>
                <c:pt idx="700">
                  <c:v>-2.3321947294241446E-2</c:v>
                </c:pt>
                <c:pt idx="701">
                  <c:v>-2.2374447698295104E-2</c:v>
                </c:pt>
                <c:pt idx="702">
                  <c:v>-2.2891602677457545E-2</c:v>
                </c:pt>
                <c:pt idx="703">
                  <c:v>-2.398556760234926E-2</c:v>
                </c:pt>
                <c:pt idx="704">
                  <c:v>-2.2728022664630084E-2</c:v>
                </c:pt>
                <c:pt idx="705">
                  <c:v>-2.2700307139665279E-2</c:v>
                </c:pt>
                <c:pt idx="706">
                  <c:v>-2.2581602636743945E-2</c:v>
                </c:pt>
                <c:pt idx="707">
                  <c:v>-2.3308721654560605E-2</c:v>
                </c:pt>
                <c:pt idx="708">
                  <c:v>-2.1642017367646788E-2</c:v>
                </c:pt>
                <c:pt idx="709">
                  <c:v>-2.3483489013978252E-2</c:v>
                </c:pt>
                <c:pt idx="710">
                  <c:v>-2.2398836817058891E-2</c:v>
                </c:pt>
                <c:pt idx="711">
                  <c:v>-2.2205415585381562E-2</c:v>
                </c:pt>
                <c:pt idx="712">
                  <c:v>-2.3464886190330561E-2</c:v>
                </c:pt>
                <c:pt idx="713">
                  <c:v>-2.3015791385084965E-2</c:v>
                </c:pt>
                <c:pt idx="714">
                  <c:v>-2.3460764289752224E-2</c:v>
                </c:pt>
                <c:pt idx="715">
                  <c:v>-2.3017392409908313E-2</c:v>
                </c:pt>
                <c:pt idx="716">
                  <c:v>-2.1643066666607539E-2</c:v>
                </c:pt>
                <c:pt idx="717">
                  <c:v>-2.3017572687033593E-2</c:v>
                </c:pt>
                <c:pt idx="718">
                  <c:v>-2.3235790272886588E-2</c:v>
                </c:pt>
                <c:pt idx="719">
                  <c:v>-2.2775368925786566E-2</c:v>
                </c:pt>
                <c:pt idx="720">
                  <c:v>-2.2625371389835912E-2</c:v>
                </c:pt>
                <c:pt idx="721">
                  <c:v>-2.223624049555261E-2</c:v>
                </c:pt>
                <c:pt idx="722">
                  <c:v>-2.3836624828872655E-2</c:v>
                </c:pt>
                <c:pt idx="723">
                  <c:v>-2.2338168487661028E-2</c:v>
                </c:pt>
                <c:pt idx="724">
                  <c:v>-2.2904443293634863E-2</c:v>
                </c:pt>
                <c:pt idx="725">
                  <c:v>-2.3872930262458517E-2</c:v>
                </c:pt>
                <c:pt idx="726">
                  <c:v>-2.2705660090554171E-2</c:v>
                </c:pt>
                <c:pt idx="727">
                  <c:v>-2.4010170900333146E-2</c:v>
                </c:pt>
                <c:pt idx="728">
                  <c:v>-2.1681755240425451E-2</c:v>
                </c:pt>
                <c:pt idx="729">
                  <c:v>-2.2768710440662719E-2</c:v>
                </c:pt>
                <c:pt idx="730">
                  <c:v>-2.2560190414346135E-2</c:v>
                </c:pt>
                <c:pt idx="731">
                  <c:v>-2.3854228002081881E-2</c:v>
                </c:pt>
                <c:pt idx="732">
                  <c:v>-2.3738005847275225E-2</c:v>
                </c:pt>
                <c:pt idx="733">
                  <c:v>-2.3599600342267261E-2</c:v>
                </c:pt>
                <c:pt idx="734">
                  <c:v>-2.3612504556245785E-2</c:v>
                </c:pt>
                <c:pt idx="735">
                  <c:v>-2.3386244946343494E-2</c:v>
                </c:pt>
                <c:pt idx="736">
                  <c:v>-2.2416883692254298E-2</c:v>
                </c:pt>
                <c:pt idx="737">
                  <c:v>-2.2879699167216671E-2</c:v>
                </c:pt>
                <c:pt idx="738">
                  <c:v>-2.107508236286601E-2</c:v>
                </c:pt>
                <c:pt idx="739">
                  <c:v>-2.3694549251266687E-2</c:v>
                </c:pt>
                <c:pt idx="740">
                  <c:v>-2.347190928494056E-2</c:v>
                </c:pt>
                <c:pt idx="741">
                  <c:v>-2.4332975380630204E-2</c:v>
                </c:pt>
                <c:pt idx="742">
                  <c:v>-2.419599368225598E-2</c:v>
                </c:pt>
                <c:pt idx="743">
                  <c:v>-2.3603774412860976E-2</c:v>
                </c:pt>
                <c:pt idx="744">
                  <c:v>-2.3087247209650545E-2</c:v>
                </c:pt>
                <c:pt idx="745">
                  <c:v>-2.198863267724159E-2</c:v>
                </c:pt>
                <c:pt idx="746">
                  <c:v>-2.2963555412290646E-2</c:v>
                </c:pt>
                <c:pt idx="747">
                  <c:v>-2.4709720482538174E-2</c:v>
                </c:pt>
                <c:pt idx="748">
                  <c:v>-2.3081592291711108E-2</c:v>
                </c:pt>
                <c:pt idx="749">
                  <c:v>-2.2669352826121245E-2</c:v>
                </c:pt>
                <c:pt idx="750">
                  <c:v>-2.3000697884533034E-2</c:v>
                </c:pt>
                <c:pt idx="751">
                  <c:v>-2.2596943323682981E-2</c:v>
                </c:pt>
                <c:pt idx="752">
                  <c:v>-2.3380097806650492E-2</c:v>
                </c:pt>
                <c:pt idx="753">
                  <c:v>-2.3656696877298662E-2</c:v>
                </c:pt>
                <c:pt idx="754">
                  <c:v>-2.448632287355761E-2</c:v>
                </c:pt>
                <c:pt idx="755">
                  <c:v>-2.2188154737934916E-2</c:v>
                </c:pt>
                <c:pt idx="756">
                  <c:v>-2.097398497132278E-2</c:v>
                </c:pt>
                <c:pt idx="757">
                  <c:v>-2.3853251914633521E-2</c:v>
                </c:pt>
                <c:pt idx="758">
                  <c:v>-2.2928195372495283E-2</c:v>
                </c:pt>
                <c:pt idx="759">
                  <c:v>-2.3047847942309473E-2</c:v>
                </c:pt>
                <c:pt idx="760">
                  <c:v>-2.2384407669941722E-2</c:v>
                </c:pt>
                <c:pt idx="761">
                  <c:v>-2.3955161150699032E-2</c:v>
                </c:pt>
                <c:pt idx="762">
                  <c:v>-2.268530146176332E-2</c:v>
                </c:pt>
                <c:pt idx="763">
                  <c:v>-2.3238572520149017E-2</c:v>
                </c:pt>
                <c:pt idx="764">
                  <c:v>-2.285202626691012E-2</c:v>
                </c:pt>
                <c:pt idx="765">
                  <c:v>-2.3629138223435816E-2</c:v>
                </c:pt>
                <c:pt idx="766">
                  <c:v>-2.2770137948878492E-2</c:v>
                </c:pt>
                <c:pt idx="767">
                  <c:v>-2.238286512453003E-2</c:v>
                </c:pt>
                <c:pt idx="768">
                  <c:v>-2.2185635910505049E-2</c:v>
                </c:pt>
                <c:pt idx="769">
                  <c:v>-2.2589467139032531E-2</c:v>
                </c:pt>
                <c:pt idx="770">
                  <c:v>-2.3537879990982773E-2</c:v>
                </c:pt>
                <c:pt idx="771">
                  <c:v>-2.3500749647621527E-2</c:v>
                </c:pt>
                <c:pt idx="772">
                  <c:v>-2.2144457294608851E-2</c:v>
                </c:pt>
                <c:pt idx="773">
                  <c:v>-2.2710978385951763E-2</c:v>
                </c:pt>
                <c:pt idx="774">
                  <c:v>-2.4400478204355678E-2</c:v>
                </c:pt>
                <c:pt idx="775">
                  <c:v>-2.3126534677986858E-2</c:v>
                </c:pt>
                <c:pt idx="776">
                  <c:v>-2.2979895545718172E-2</c:v>
                </c:pt>
                <c:pt idx="777">
                  <c:v>-2.3562375793423653E-2</c:v>
                </c:pt>
                <c:pt idx="778">
                  <c:v>-2.3150552922542332E-2</c:v>
                </c:pt>
                <c:pt idx="779">
                  <c:v>-2.1889742547632627E-2</c:v>
                </c:pt>
                <c:pt idx="780">
                  <c:v>-2.149487906087711E-2</c:v>
                </c:pt>
                <c:pt idx="781">
                  <c:v>-2.2782184158924315E-2</c:v>
                </c:pt>
                <c:pt idx="782">
                  <c:v>-2.3013826369341645E-2</c:v>
                </c:pt>
                <c:pt idx="783">
                  <c:v>-2.3086341806516978E-2</c:v>
                </c:pt>
                <c:pt idx="784">
                  <c:v>-2.2498523204672376E-2</c:v>
                </c:pt>
                <c:pt idx="785">
                  <c:v>-2.2738508774129237E-2</c:v>
                </c:pt>
                <c:pt idx="786">
                  <c:v>-2.3363224255826785E-2</c:v>
                </c:pt>
                <c:pt idx="787">
                  <c:v>-2.2584881489066542E-2</c:v>
                </c:pt>
                <c:pt idx="788">
                  <c:v>-2.4237482897668035E-2</c:v>
                </c:pt>
                <c:pt idx="789">
                  <c:v>-2.2182049725220844E-2</c:v>
                </c:pt>
                <c:pt idx="790">
                  <c:v>-2.3598738993207368E-2</c:v>
                </c:pt>
                <c:pt idx="791">
                  <c:v>-2.2081830601969735E-2</c:v>
                </c:pt>
                <c:pt idx="792">
                  <c:v>-2.345000465999672E-2</c:v>
                </c:pt>
                <c:pt idx="793">
                  <c:v>-2.2482949163262374E-2</c:v>
                </c:pt>
                <c:pt idx="794">
                  <c:v>-2.1866397317519045E-2</c:v>
                </c:pt>
                <c:pt idx="795">
                  <c:v>-2.2857977836120483E-2</c:v>
                </c:pt>
                <c:pt idx="796">
                  <c:v>-2.2030206132339393E-2</c:v>
                </c:pt>
                <c:pt idx="797">
                  <c:v>-2.1609362520066233E-2</c:v>
                </c:pt>
                <c:pt idx="798">
                  <c:v>-2.291631072792507E-2</c:v>
                </c:pt>
                <c:pt idx="799">
                  <c:v>-2.2688872094411401E-2</c:v>
                </c:pt>
                <c:pt idx="800">
                  <c:v>-2.1626146528624629E-2</c:v>
                </c:pt>
                <c:pt idx="801">
                  <c:v>-2.2285333348236392E-2</c:v>
                </c:pt>
                <c:pt idx="802">
                  <c:v>-2.2533067940377446E-2</c:v>
                </c:pt>
                <c:pt idx="803">
                  <c:v>-2.3065648636249367E-2</c:v>
                </c:pt>
                <c:pt idx="804">
                  <c:v>-2.3343037061094925E-2</c:v>
                </c:pt>
                <c:pt idx="805">
                  <c:v>-2.2531153677476809E-2</c:v>
                </c:pt>
                <c:pt idx="806">
                  <c:v>-2.3984187215427877E-2</c:v>
                </c:pt>
                <c:pt idx="807">
                  <c:v>-2.238498707340305E-2</c:v>
                </c:pt>
                <c:pt idx="808">
                  <c:v>-2.2827397600013198E-2</c:v>
                </c:pt>
                <c:pt idx="809">
                  <c:v>-2.3586740704018446E-2</c:v>
                </c:pt>
                <c:pt idx="810">
                  <c:v>-2.215559587476823E-2</c:v>
                </c:pt>
                <c:pt idx="811">
                  <c:v>-2.1378540819477158E-2</c:v>
                </c:pt>
                <c:pt idx="812">
                  <c:v>-2.2910058322819265E-2</c:v>
                </c:pt>
                <c:pt idx="813">
                  <c:v>-2.4226707971270373E-2</c:v>
                </c:pt>
                <c:pt idx="814">
                  <c:v>-2.1521957362389578E-2</c:v>
                </c:pt>
                <c:pt idx="815">
                  <c:v>-2.2574236794903304E-2</c:v>
                </c:pt>
                <c:pt idx="816">
                  <c:v>-2.316667241651987E-2</c:v>
                </c:pt>
                <c:pt idx="817">
                  <c:v>-2.3347308282445384E-2</c:v>
                </c:pt>
                <c:pt idx="818">
                  <c:v>-2.270870436595496E-2</c:v>
                </c:pt>
                <c:pt idx="819">
                  <c:v>-2.3611994551630357E-2</c:v>
                </c:pt>
                <c:pt idx="820">
                  <c:v>-2.4364663467698923E-2</c:v>
                </c:pt>
                <c:pt idx="821">
                  <c:v>-2.2916743171035345E-2</c:v>
                </c:pt>
                <c:pt idx="822">
                  <c:v>-2.2407917102279115E-2</c:v>
                </c:pt>
                <c:pt idx="823">
                  <c:v>-2.287203402329226E-2</c:v>
                </c:pt>
                <c:pt idx="824">
                  <c:v>-2.3833552741319861E-2</c:v>
                </c:pt>
                <c:pt idx="825">
                  <c:v>-2.333183064669692E-2</c:v>
                </c:pt>
                <c:pt idx="826">
                  <c:v>-2.3214453160740181E-2</c:v>
                </c:pt>
                <c:pt idx="827">
                  <c:v>-2.459057710935595E-2</c:v>
                </c:pt>
                <c:pt idx="828">
                  <c:v>-2.3491428233552141E-2</c:v>
                </c:pt>
                <c:pt idx="829">
                  <c:v>-2.1629570609576446E-2</c:v>
                </c:pt>
                <c:pt idx="830">
                  <c:v>-2.3773985635782233E-2</c:v>
                </c:pt>
                <c:pt idx="831">
                  <c:v>-2.1290066916474372E-2</c:v>
                </c:pt>
                <c:pt idx="832">
                  <c:v>-2.4086452995891981E-2</c:v>
                </c:pt>
                <c:pt idx="833">
                  <c:v>-2.1615171249844481E-2</c:v>
                </c:pt>
                <c:pt idx="834">
                  <c:v>-2.2753773688527365E-2</c:v>
                </c:pt>
                <c:pt idx="835">
                  <c:v>-2.3225433762969448E-2</c:v>
                </c:pt>
                <c:pt idx="836">
                  <c:v>-2.399172253176966E-2</c:v>
                </c:pt>
                <c:pt idx="837">
                  <c:v>-2.1761293539215829E-2</c:v>
                </c:pt>
                <c:pt idx="838">
                  <c:v>-2.3474949055903353E-2</c:v>
                </c:pt>
                <c:pt idx="839">
                  <c:v>-2.2119805424645294E-2</c:v>
                </c:pt>
                <c:pt idx="840">
                  <c:v>-2.2570512307929985E-2</c:v>
                </c:pt>
                <c:pt idx="841">
                  <c:v>-2.3814831392569877E-2</c:v>
                </c:pt>
                <c:pt idx="842">
                  <c:v>-2.4292343166269565E-2</c:v>
                </c:pt>
                <c:pt idx="843">
                  <c:v>-2.3298428463002337E-2</c:v>
                </c:pt>
                <c:pt idx="844">
                  <c:v>-2.3491113798100798E-2</c:v>
                </c:pt>
                <c:pt idx="845">
                  <c:v>-2.3177305719611928E-2</c:v>
                </c:pt>
                <c:pt idx="846">
                  <c:v>-2.3811315641899741E-2</c:v>
                </c:pt>
                <c:pt idx="847">
                  <c:v>-2.3761442095095252E-2</c:v>
                </c:pt>
                <c:pt idx="848">
                  <c:v>-2.417192442766132E-2</c:v>
                </c:pt>
                <c:pt idx="849">
                  <c:v>-2.3417198713592942E-2</c:v>
                </c:pt>
                <c:pt idx="850">
                  <c:v>-2.214992369806313E-2</c:v>
                </c:pt>
                <c:pt idx="851">
                  <c:v>-2.1458086314888686E-2</c:v>
                </c:pt>
                <c:pt idx="852">
                  <c:v>-2.3024636005680613E-2</c:v>
                </c:pt>
                <c:pt idx="853">
                  <c:v>-2.2064523972081241E-2</c:v>
                </c:pt>
                <c:pt idx="854">
                  <c:v>-2.352158016516125E-2</c:v>
                </c:pt>
                <c:pt idx="855">
                  <c:v>-2.2348411068317524E-2</c:v>
                </c:pt>
                <c:pt idx="856">
                  <c:v>-2.1953190370044989E-2</c:v>
                </c:pt>
                <c:pt idx="857">
                  <c:v>-2.1954233327803871E-2</c:v>
                </c:pt>
                <c:pt idx="858">
                  <c:v>-2.2916983400128686E-2</c:v>
                </c:pt>
                <c:pt idx="859">
                  <c:v>-2.1705254802229505E-2</c:v>
                </c:pt>
                <c:pt idx="860">
                  <c:v>-2.2859717538446955E-2</c:v>
                </c:pt>
                <c:pt idx="861">
                  <c:v>-2.2196932354078474E-2</c:v>
                </c:pt>
                <c:pt idx="862">
                  <c:v>-2.1547754243738011E-2</c:v>
                </c:pt>
                <c:pt idx="863">
                  <c:v>-2.3933554060227385E-2</c:v>
                </c:pt>
                <c:pt idx="864">
                  <c:v>-2.3515064342789022E-2</c:v>
                </c:pt>
                <c:pt idx="865">
                  <c:v>-2.3975700670993191E-2</c:v>
                </c:pt>
                <c:pt idx="866">
                  <c:v>-2.276313845944267E-2</c:v>
                </c:pt>
                <c:pt idx="867">
                  <c:v>-2.2699549616161344E-2</c:v>
                </c:pt>
                <c:pt idx="868">
                  <c:v>-2.3701644746351336E-2</c:v>
                </c:pt>
                <c:pt idx="869">
                  <c:v>-2.1537967545247907E-2</c:v>
                </c:pt>
                <c:pt idx="870">
                  <c:v>-2.2199078099612617E-2</c:v>
                </c:pt>
                <c:pt idx="871">
                  <c:v>-2.1600454834557366E-2</c:v>
                </c:pt>
                <c:pt idx="872">
                  <c:v>-2.2125214868354028E-2</c:v>
                </c:pt>
                <c:pt idx="873">
                  <c:v>-2.3272049244688207E-2</c:v>
                </c:pt>
                <c:pt idx="874">
                  <c:v>-2.3589013862812133E-2</c:v>
                </c:pt>
                <c:pt idx="875">
                  <c:v>-2.3704374452592214E-2</c:v>
                </c:pt>
                <c:pt idx="876">
                  <c:v>-2.3620557668140738E-2</c:v>
                </c:pt>
                <c:pt idx="877">
                  <c:v>-2.2688690889342548E-2</c:v>
                </c:pt>
                <c:pt idx="878">
                  <c:v>-2.3563024159458733E-2</c:v>
                </c:pt>
                <c:pt idx="879">
                  <c:v>-2.3234460338052945E-2</c:v>
                </c:pt>
                <c:pt idx="880">
                  <c:v>-2.1491752095662245E-2</c:v>
                </c:pt>
                <c:pt idx="881">
                  <c:v>-2.2369453053385575E-2</c:v>
                </c:pt>
                <c:pt idx="882">
                  <c:v>-2.2970114168743141E-2</c:v>
                </c:pt>
                <c:pt idx="883">
                  <c:v>-2.3327378725191895E-2</c:v>
                </c:pt>
                <c:pt idx="884">
                  <c:v>-2.294627936151545E-2</c:v>
                </c:pt>
                <c:pt idx="885">
                  <c:v>-2.2198557901126303E-2</c:v>
                </c:pt>
                <c:pt idx="886">
                  <c:v>-2.2458876745926962E-2</c:v>
                </c:pt>
                <c:pt idx="887">
                  <c:v>-2.3434480336596612E-2</c:v>
                </c:pt>
                <c:pt idx="888">
                  <c:v>-2.3807659531497417E-2</c:v>
                </c:pt>
                <c:pt idx="889">
                  <c:v>-2.1602055832836024E-2</c:v>
                </c:pt>
                <c:pt idx="890">
                  <c:v>-2.3663416550981003E-2</c:v>
                </c:pt>
                <c:pt idx="891">
                  <c:v>-2.3221606055481139E-2</c:v>
                </c:pt>
                <c:pt idx="892">
                  <c:v>-2.1771258478447721E-2</c:v>
                </c:pt>
                <c:pt idx="893">
                  <c:v>-2.2943229147609098E-2</c:v>
                </c:pt>
                <c:pt idx="894">
                  <c:v>-2.2394085237851559E-2</c:v>
                </c:pt>
                <c:pt idx="895">
                  <c:v>-2.3735065381219816E-2</c:v>
                </c:pt>
                <c:pt idx="896">
                  <c:v>-2.3369066047940392E-2</c:v>
                </c:pt>
                <c:pt idx="897">
                  <c:v>-2.302102718671372E-2</c:v>
                </c:pt>
                <c:pt idx="898">
                  <c:v>-2.3096111161996672E-2</c:v>
                </c:pt>
                <c:pt idx="899">
                  <c:v>-2.3595896801023579E-2</c:v>
                </c:pt>
                <c:pt idx="900">
                  <c:v>-2.3077480684932459E-2</c:v>
                </c:pt>
                <c:pt idx="901">
                  <c:v>-2.380467384365691E-2</c:v>
                </c:pt>
                <c:pt idx="902">
                  <c:v>-2.248275901285323E-2</c:v>
                </c:pt>
                <c:pt idx="903">
                  <c:v>-2.3468117828854457E-2</c:v>
                </c:pt>
                <c:pt idx="904">
                  <c:v>-2.2329745993055334E-2</c:v>
                </c:pt>
                <c:pt idx="905">
                  <c:v>-2.522662196678661E-2</c:v>
                </c:pt>
                <c:pt idx="906">
                  <c:v>-2.2057992713048237E-2</c:v>
                </c:pt>
                <c:pt idx="907">
                  <c:v>-2.2455866677399204E-2</c:v>
                </c:pt>
                <c:pt idx="908">
                  <c:v>-2.3009206340303005E-2</c:v>
                </c:pt>
                <c:pt idx="909">
                  <c:v>-2.4946125046939865E-2</c:v>
                </c:pt>
                <c:pt idx="910">
                  <c:v>-2.4043502547141379E-2</c:v>
                </c:pt>
                <c:pt idx="911">
                  <c:v>-2.3135126566727397E-2</c:v>
                </c:pt>
                <c:pt idx="912">
                  <c:v>-2.169475753537195E-2</c:v>
                </c:pt>
                <c:pt idx="913">
                  <c:v>-2.1329225955449775E-2</c:v>
                </c:pt>
                <c:pt idx="914">
                  <c:v>-2.3287288063635381E-2</c:v>
                </c:pt>
                <c:pt idx="915">
                  <c:v>-2.3031620418302923E-2</c:v>
                </c:pt>
                <c:pt idx="916">
                  <c:v>-2.1984016285252907E-2</c:v>
                </c:pt>
                <c:pt idx="917">
                  <c:v>-2.3023323171242602E-2</c:v>
                </c:pt>
                <c:pt idx="918">
                  <c:v>-2.3983018440584033E-2</c:v>
                </c:pt>
                <c:pt idx="919">
                  <c:v>-2.3630510327486174E-2</c:v>
                </c:pt>
                <c:pt idx="920">
                  <c:v>-2.3414829262611327E-2</c:v>
                </c:pt>
                <c:pt idx="921">
                  <c:v>-2.3260886843077894E-2</c:v>
                </c:pt>
                <c:pt idx="922">
                  <c:v>-2.2369468143298436E-2</c:v>
                </c:pt>
                <c:pt idx="923">
                  <c:v>-2.3237145620621843E-2</c:v>
                </c:pt>
                <c:pt idx="924">
                  <c:v>-2.085033885051556E-2</c:v>
                </c:pt>
                <c:pt idx="925">
                  <c:v>-2.2374402308102521E-2</c:v>
                </c:pt>
                <c:pt idx="926">
                  <c:v>-2.1615947992113971E-2</c:v>
                </c:pt>
                <c:pt idx="927">
                  <c:v>-2.2696319473043021E-2</c:v>
                </c:pt>
                <c:pt idx="928">
                  <c:v>-2.5785870355514218E-2</c:v>
                </c:pt>
                <c:pt idx="929">
                  <c:v>-2.2488473821751814E-2</c:v>
                </c:pt>
                <c:pt idx="930">
                  <c:v>-2.2945085439722023E-2</c:v>
                </c:pt>
                <c:pt idx="931">
                  <c:v>-2.2244811058419599E-2</c:v>
                </c:pt>
                <c:pt idx="932">
                  <c:v>-2.2890186650420995E-2</c:v>
                </c:pt>
                <c:pt idx="933">
                  <c:v>-2.3330262734363272E-2</c:v>
                </c:pt>
                <c:pt idx="934">
                  <c:v>-2.3482425338907837E-2</c:v>
                </c:pt>
                <c:pt idx="935">
                  <c:v>-2.2195663976324373E-2</c:v>
                </c:pt>
                <c:pt idx="936">
                  <c:v>-2.3074730725428025E-2</c:v>
                </c:pt>
                <c:pt idx="937">
                  <c:v>-2.2928518573479037E-2</c:v>
                </c:pt>
                <c:pt idx="938">
                  <c:v>-2.4187694420171067E-2</c:v>
                </c:pt>
                <c:pt idx="939">
                  <c:v>-2.2736056322295438E-2</c:v>
                </c:pt>
                <c:pt idx="940">
                  <c:v>-2.2497177257538539E-2</c:v>
                </c:pt>
                <c:pt idx="941">
                  <c:v>-2.3007087546176117E-2</c:v>
                </c:pt>
                <c:pt idx="942">
                  <c:v>-2.3023446467090748E-2</c:v>
                </c:pt>
                <c:pt idx="943">
                  <c:v>-2.3566377654255528E-2</c:v>
                </c:pt>
                <c:pt idx="944">
                  <c:v>-2.3496264872375178E-2</c:v>
                </c:pt>
                <c:pt idx="945">
                  <c:v>-2.317304624335487E-2</c:v>
                </c:pt>
                <c:pt idx="946">
                  <c:v>-2.2354655612896721E-2</c:v>
                </c:pt>
                <c:pt idx="947">
                  <c:v>-2.2097127023622102E-2</c:v>
                </c:pt>
                <c:pt idx="948">
                  <c:v>-2.2961527192293663E-2</c:v>
                </c:pt>
                <c:pt idx="949">
                  <c:v>-2.3704422523112532E-2</c:v>
                </c:pt>
                <c:pt idx="950">
                  <c:v>-2.2120359679559196E-2</c:v>
                </c:pt>
                <c:pt idx="951">
                  <c:v>-2.3320395834155995E-2</c:v>
                </c:pt>
                <c:pt idx="952">
                  <c:v>-2.2534322916581074E-2</c:v>
                </c:pt>
                <c:pt idx="953">
                  <c:v>-2.1669233772661271E-2</c:v>
                </c:pt>
                <c:pt idx="954">
                  <c:v>-2.3489530615573455E-2</c:v>
                </c:pt>
                <c:pt idx="955">
                  <c:v>-2.3764327793761354E-2</c:v>
                </c:pt>
                <c:pt idx="956">
                  <c:v>-2.1899695869761138E-2</c:v>
                </c:pt>
                <c:pt idx="957">
                  <c:v>-2.3080502360744173E-2</c:v>
                </c:pt>
                <c:pt idx="958">
                  <c:v>-2.157233782775201E-2</c:v>
                </c:pt>
                <c:pt idx="959">
                  <c:v>-2.1769682169924615E-2</c:v>
                </c:pt>
                <c:pt idx="960">
                  <c:v>-2.357444043760459E-2</c:v>
                </c:pt>
                <c:pt idx="961">
                  <c:v>-2.2821961778228619E-2</c:v>
                </c:pt>
                <c:pt idx="962">
                  <c:v>-2.3043223053591824E-2</c:v>
                </c:pt>
                <c:pt idx="963">
                  <c:v>-2.2165734709519463E-2</c:v>
                </c:pt>
                <c:pt idx="964">
                  <c:v>-2.2905440135919913E-2</c:v>
                </c:pt>
                <c:pt idx="965">
                  <c:v>-2.1599987389268677E-2</c:v>
                </c:pt>
                <c:pt idx="966">
                  <c:v>-2.4242578413728483E-2</c:v>
                </c:pt>
                <c:pt idx="967">
                  <c:v>-2.2824807692695862E-2</c:v>
                </c:pt>
                <c:pt idx="968">
                  <c:v>-2.3425866656075302E-2</c:v>
                </c:pt>
                <c:pt idx="969">
                  <c:v>-2.2424571402697005E-2</c:v>
                </c:pt>
                <c:pt idx="970">
                  <c:v>-2.2149950541385997E-2</c:v>
                </c:pt>
                <c:pt idx="971">
                  <c:v>-2.3723807094764595E-2</c:v>
                </c:pt>
                <c:pt idx="972">
                  <c:v>-2.2443513262669895E-2</c:v>
                </c:pt>
                <c:pt idx="973">
                  <c:v>-2.3045360165594345E-2</c:v>
                </c:pt>
                <c:pt idx="974">
                  <c:v>-2.2866059837752185E-2</c:v>
                </c:pt>
                <c:pt idx="975">
                  <c:v>-2.3175830046783578E-2</c:v>
                </c:pt>
                <c:pt idx="976">
                  <c:v>-2.2843716873695446E-2</c:v>
                </c:pt>
                <c:pt idx="977">
                  <c:v>-2.305572328507596E-2</c:v>
                </c:pt>
                <c:pt idx="978">
                  <c:v>-2.1655230786765428E-2</c:v>
                </c:pt>
                <c:pt idx="979">
                  <c:v>-2.4299589796538758E-2</c:v>
                </c:pt>
                <c:pt idx="980">
                  <c:v>-2.202667836235251E-2</c:v>
                </c:pt>
                <c:pt idx="981">
                  <c:v>-2.3195882211037157E-2</c:v>
                </c:pt>
                <c:pt idx="982">
                  <c:v>-2.3668485015044618E-2</c:v>
                </c:pt>
                <c:pt idx="983">
                  <c:v>-2.2755561732482478E-2</c:v>
                </c:pt>
                <c:pt idx="984">
                  <c:v>-2.2647650148894451E-2</c:v>
                </c:pt>
                <c:pt idx="985">
                  <c:v>-2.1815017569949378E-2</c:v>
                </c:pt>
                <c:pt idx="986">
                  <c:v>-2.3352629322795398E-2</c:v>
                </c:pt>
                <c:pt idx="987">
                  <c:v>-2.3536460356515704E-2</c:v>
                </c:pt>
                <c:pt idx="988">
                  <c:v>-2.2743215596827335E-2</c:v>
                </c:pt>
                <c:pt idx="989">
                  <c:v>-2.4112166423237193E-2</c:v>
                </c:pt>
                <c:pt idx="990">
                  <c:v>-2.2377144195631943E-2</c:v>
                </c:pt>
                <c:pt idx="991">
                  <c:v>-2.2469950998816757E-2</c:v>
                </c:pt>
                <c:pt idx="992">
                  <c:v>-2.3662914639817623E-2</c:v>
                </c:pt>
                <c:pt idx="993">
                  <c:v>-2.2670843219786959E-2</c:v>
                </c:pt>
                <c:pt idx="994">
                  <c:v>-2.2711286667765826E-2</c:v>
                </c:pt>
                <c:pt idx="995">
                  <c:v>-2.2810893040973244E-2</c:v>
                </c:pt>
                <c:pt idx="996">
                  <c:v>-2.3614351386428402E-2</c:v>
                </c:pt>
                <c:pt idx="997">
                  <c:v>-2.3592152632665307E-2</c:v>
                </c:pt>
                <c:pt idx="998">
                  <c:v>-2.24406680344039E-2</c:v>
                </c:pt>
                <c:pt idx="999">
                  <c:v>-2.3456290450602622E-2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1A-4BD7-A24F-2D5435B17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12160"/>
        <c:axId val="96211200"/>
      </c:scatterChart>
      <c:valAx>
        <c:axId val="9621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6211200"/>
        <c:crosses val="autoZero"/>
        <c:crossBetween val="midCat"/>
      </c:valAx>
      <c:valAx>
        <c:axId val="96211200"/>
        <c:scaling>
          <c:orientation val="minMax"/>
          <c:max val="-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\ 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6212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Security</a:t>
            </a:r>
            <a:r>
              <a:rPr lang="nb-NO" baseline="0"/>
              <a:t> market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'Mandatory Assigment '!$AM$16:$AM$17</c:f>
              <c:numCache>
                <c:formatCode>General</c:formatCode>
                <c:ptCount val="2"/>
                <c:pt idx="0">
                  <c:v>-1</c:v>
                </c:pt>
                <c:pt idx="1">
                  <c:v>1.5</c:v>
                </c:pt>
              </c:numCache>
            </c:numRef>
          </c:xVal>
          <c:yVal>
            <c:numRef>
              <c:f>'Mandatory Assigment '!$AN$16:$AN$17</c:f>
              <c:numCache>
                <c:formatCode>0.00%</c:formatCode>
                <c:ptCount val="2"/>
                <c:pt idx="0">
                  <c:v>-1.2075107975193441E-3</c:v>
                </c:pt>
                <c:pt idx="1">
                  <c:v>2.061266196279016E-3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A5-419F-AB90-EAE927B41D43}"/>
            </c:ext>
          </c:extLst>
        </c:ser>
        <c:ser>
          <c:idx val="1"/>
          <c:order val="1"/>
          <c:tx>
            <c:strRef>
              <c:f>'Mandatory Assigment '!$AJ$2</c:f>
              <c:strCache>
                <c:ptCount val="1"/>
                <c:pt idx="0">
                  <c:v>BAC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'Mandatory Assigment '!$AC$5</c:f>
              <c:numCache>
                <c:formatCode>General</c:formatCode>
                <c:ptCount val="1"/>
                <c:pt idx="0">
                  <c:v>0.31223164504975642</c:v>
                </c:pt>
              </c:numCache>
            </c:numRef>
          </c:xVal>
          <c:yVal>
            <c:numRef>
              <c:f>'Mandatory Assigment '!$AC$7</c:f>
              <c:numCache>
                <c:formatCode>0.00%</c:formatCode>
                <c:ptCount val="1"/>
                <c:pt idx="0">
                  <c:v>5.082462472297838E-4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A5-419F-AB90-EAE927B41D43}"/>
            </c:ext>
          </c:extLst>
        </c:ser>
        <c:ser>
          <c:idx val="2"/>
          <c:order val="2"/>
          <c:tx>
            <c:strRef>
              <c:f>'Mandatory Assigment '!$AD$3</c:f>
              <c:strCache>
                <c:ptCount val="1"/>
                <c:pt idx="0">
                  <c:v>CVX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'Mandatory Assigment '!$AD$5</c:f>
              <c:numCache>
                <c:formatCode>General</c:formatCode>
                <c:ptCount val="1"/>
                <c:pt idx="0">
                  <c:v>0.48201441275505263</c:v>
                </c:pt>
              </c:numCache>
            </c:numRef>
          </c:xVal>
          <c:yVal>
            <c:numRef>
              <c:f>'Mandatory Assigment '!$AD$7</c:f>
              <c:numCache>
                <c:formatCode>0.00%</c:formatCode>
                <c:ptCount val="1"/>
                <c:pt idx="0">
                  <c:v>7.3023904923717731E-4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A5-419F-AB90-EAE927B41D43}"/>
            </c:ext>
          </c:extLst>
        </c:ser>
        <c:ser>
          <c:idx val="3"/>
          <c:order val="3"/>
          <c:tx>
            <c:strRef>
              <c:f>'Mandatory Assigment '!$AE$3</c:f>
              <c:strCache>
                <c:ptCount val="1"/>
                <c:pt idx="0">
                  <c:v>DELL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xVal>
            <c:numRef>
              <c:f>'Mandatory Assigment '!$AE$5</c:f>
              <c:numCache>
                <c:formatCode>General</c:formatCode>
                <c:ptCount val="1"/>
                <c:pt idx="0">
                  <c:v>1.1655741398568884</c:v>
                </c:pt>
              </c:numCache>
            </c:numRef>
          </c:xVal>
          <c:yVal>
            <c:numRef>
              <c:f>'Mandatory Assigment '!$AE$7</c:f>
              <c:numCache>
                <c:formatCode>0.00%</c:formatCode>
                <c:ptCount val="1"/>
                <c:pt idx="0">
                  <c:v>1.6240007731722038E-3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DA5-419F-AB90-EAE927B41D43}"/>
            </c:ext>
          </c:extLst>
        </c:ser>
        <c:ser>
          <c:idx val="4"/>
          <c:order val="4"/>
          <c:tx>
            <c:strRef>
              <c:f>'Mandatory Assigment '!$AF$3</c:f>
              <c:strCache>
                <c:ptCount val="1"/>
                <c:pt idx="0">
                  <c:v>EQNR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xVal>
            <c:numRef>
              <c:f>'Mandatory Assigment '!$AF$5</c:f>
              <c:numCache>
                <c:formatCode>General</c:formatCode>
                <c:ptCount val="1"/>
                <c:pt idx="0">
                  <c:v>0.70486387467189737</c:v>
                </c:pt>
              </c:numCache>
            </c:numRef>
          </c:xVal>
          <c:yVal>
            <c:numRef>
              <c:f>'Mandatory Assigment '!$AF$7</c:f>
              <c:numCache>
                <c:formatCode>0.00%</c:formatCode>
                <c:ptCount val="1"/>
                <c:pt idx="0">
                  <c:v>1.0216171269148277E-3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DA5-419F-AB90-EAE927B41D43}"/>
            </c:ext>
          </c:extLst>
        </c:ser>
        <c:ser>
          <c:idx val="5"/>
          <c:order val="5"/>
          <c:tx>
            <c:strRef>
              <c:f>'Mandatory Assigment '!$AG$3</c:f>
              <c:strCache>
                <c:ptCount val="1"/>
                <c:pt idx="0">
                  <c:v>MSFT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xVal>
            <c:numRef>
              <c:f>'Mandatory Assigment '!$AG$5</c:f>
              <c:numCache>
                <c:formatCode>General</c:formatCode>
                <c:ptCount val="1"/>
                <c:pt idx="0">
                  <c:v>0.50848820459082733</c:v>
                </c:pt>
              </c:numCache>
            </c:numRef>
          </c:xVal>
          <c:yVal>
            <c:numRef>
              <c:f>'Mandatory Assigment '!$AG$7</c:f>
              <c:numCache>
                <c:formatCode>0.00%</c:formatCode>
                <c:ptCount val="1"/>
                <c:pt idx="0">
                  <c:v>7.6485381791373209E-4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DA5-419F-AB90-EAE927B41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322256"/>
        <c:axId val="815322736"/>
      </c:scatterChart>
      <c:valAx>
        <c:axId val="815322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815322736"/>
        <c:crosses val="autoZero"/>
        <c:crossBetween val="midCat"/>
      </c:valAx>
      <c:valAx>
        <c:axId val="81532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81532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023EB9E-4B59-4453-BE11-25E08183AA7D}">
  <sheetPr/>
  <sheetViews>
    <sheetView zoomScale="6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F56E123-C414-4FA6-8CFE-4A91E193D5BB}">
  <sheetPr/>
  <sheetViews>
    <sheetView zoomScale="6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E2590E6-865B-43B1-B9E0-6D5458BF43F5}">
  <sheetPr/>
  <sheetViews>
    <sheetView zoomScale="62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26E1D3B-A15E-49EE-9F97-9920456AEFE3}">
  <sheetPr/>
  <sheetViews>
    <sheetView zoomScale="6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7346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552549-1D4A-8C53-E367-2596F256D45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7346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5CE881-91BA-F1C0-861D-1F0FC6C4A5A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7346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FBAA70-6735-F004-6E64-EFD83B89774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7346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4961AD-7975-D5EA-033C-0B279C01C5D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591344</xdr:colOff>
      <xdr:row>5</xdr:row>
      <xdr:rowOff>148432</xdr:rowOff>
    </xdr:from>
    <xdr:to>
      <xdr:col>47</xdr:col>
      <xdr:colOff>257969</xdr:colOff>
      <xdr:row>20</xdr:row>
      <xdr:rowOff>153195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460842-69A8-50FF-D3AF-30D60A570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A41E2-67B5-4538-9E16-9A7CC04DBFCF}">
  <dimension ref="A1:AN1563"/>
  <sheetViews>
    <sheetView tabSelected="1" topLeftCell="AE1" zoomScale="80" zoomScaleNormal="80" workbookViewId="0">
      <selection activeCell="AT29" sqref="AT29"/>
    </sheetView>
  </sheetViews>
  <sheetFormatPr defaultRowHeight="14.5" x14ac:dyDescent="0.35"/>
  <cols>
    <col min="1" max="1" width="10.36328125" bestFit="1" customWidth="1"/>
    <col min="2" max="2" width="7.7265625" customWidth="1"/>
    <col min="3" max="3" width="8.1796875" customWidth="1"/>
    <col min="4" max="4" width="9" customWidth="1"/>
    <col min="5" max="5" width="8.54296875" customWidth="1"/>
    <col min="6" max="6" width="8.6328125" customWidth="1"/>
    <col min="14" max="14" width="10.36328125" bestFit="1" customWidth="1"/>
    <col min="16" max="16" width="14.6328125" bestFit="1" customWidth="1"/>
    <col min="23" max="23" width="9.1796875" bestFit="1" customWidth="1"/>
    <col min="24" max="24" width="19.08984375" bestFit="1" customWidth="1"/>
    <col min="25" max="25" width="11.81640625" bestFit="1" customWidth="1"/>
    <col min="26" max="26" width="14.7265625" bestFit="1" customWidth="1"/>
    <col min="27" max="27" width="12.08984375" bestFit="1" customWidth="1"/>
    <col min="28" max="28" width="14.6328125" bestFit="1" customWidth="1"/>
    <col min="30" max="30" width="10.54296875" bestFit="1" customWidth="1"/>
    <col min="31" max="31" width="10.90625" bestFit="1" customWidth="1"/>
    <col min="32" max="32" width="11.36328125" bestFit="1" customWidth="1"/>
    <col min="33" max="33" width="10.90625" bestFit="1" customWidth="1"/>
    <col min="34" max="34" width="11" bestFit="1" customWidth="1"/>
    <col min="35" max="35" width="18.6328125" bestFit="1" customWidth="1"/>
    <col min="37" max="37" width="16.7265625" bestFit="1" customWidth="1"/>
    <col min="38" max="38" width="10.36328125" bestFit="1" customWidth="1"/>
    <col min="39" max="39" width="11" bestFit="1" customWidth="1"/>
    <col min="41" max="41" width="17.7265625" bestFit="1" customWidth="1"/>
  </cols>
  <sheetData>
    <row r="1" spans="1:40" x14ac:dyDescent="0.35">
      <c r="A1" s="8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40" x14ac:dyDescent="0.35">
      <c r="A2" s="3">
        <v>43832</v>
      </c>
      <c r="B2" s="4">
        <v>30.5875644683837</v>
      </c>
      <c r="C2" s="4">
        <v>92.017715454101506</v>
      </c>
      <c r="D2" s="4">
        <v>24.189836502075099</v>
      </c>
      <c r="E2" s="4">
        <v>13.3232374191284</v>
      </c>
      <c r="F2" s="4">
        <v>152.15841674804599</v>
      </c>
      <c r="H2" t="s">
        <v>7</v>
      </c>
      <c r="I2" s="2" t="str" cm="1">
        <f t="array" ref="I2:M2">B1:F1</f>
        <v>BAC</v>
      </c>
      <c r="J2" s="2" t="str">
        <v>CVX</v>
      </c>
      <c r="K2" s="2" t="str">
        <v>DELL</v>
      </c>
      <c r="L2" s="2" t="str">
        <v>EQNR</v>
      </c>
      <c r="M2" s="2" t="str">
        <v>MSFT</v>
      </c>
      <c r="N2" s="2" t="s">
        <v>1032</v>
      </c>
      <c r="P2" s="8" t="s">
        <v>5</v>
      </c>
      <c r="Q2" s="2" t="str" cm="1">
        <f t="array" ref="Q2:U2">_xlfn.ANCHORARRAY(I2)</f>
        <v>BAC</v>
      </c>
      <c r="R2" s="2" t="str">
        <v>CVX</v>
      </c>
      <c r="S2" s="2" t="str">
        <v>DELL</v>
      </c>
      <c r="T2" s="2" t="str">
        <v>EQNR</v>
      </c>
      <c r="U2" s="2" t="str">
        <v>MSFT</v>
      </c>
      <c r="V2" s="2" t="s">
        <v>1031</v>
      </c>
      <c r="W2" s="20" t="s">
        <v>1024</v>
      </c>
      <c r="X2" s="15" t="s">
        <v>1029</v>
      </c>
      <c r="AI2" s="8" t="s">
        <v>1035</v>
      </c>
      <c r="AJ2" s="2" t="str" cm="1">
        <f t="array" ref="AJ2:AN2">_xlfn.ANCHORARRAY(AC3)</f>
        <v>BAC</v>
      </c>
      <c r="AK2" s="2" t="str">
        <v>CVX</v>
      </c>
      <c r="AL2" s="2" t="str">
        <v>DELL</v>
      </c>
      <c r="AM2" s="2" t="str">
        <v>EQNR</v>
      </c>
      <c r="AN2" s="2" t="str">
        <v>MSFT</v>
      </c>
    </row>
    <row r="3" spans="1:40" x14ac:dyDescent="0.35">
      <c r="A3" s="3">
        <v>43833</v>
      </c>
      <c r="B3" s="4">
        <v>29.952465057373001</v>
      </c>
      <c r="C3" s="4">
        <v>91.699455261230398</v>
      </c>
      <c r="D3" s="4">
        <v>23.394149780273398</v>
      </c>
      <c r="E3" s="4">
        <v>13.362362861633301</v>
      </c>
      <c r="F3" s="4">
        <v>150.26373291015599</v>
      </c>
      <c r="I3" s="5">
        <f>B3/B2-1</f>
        <v>-2.0763320717056777E-2</v>
      </c>
      <c r="J3" s="5">
        <f>C3/C2-1</f>
        <v>-3.45868392081361E-3</v>
      </c>
      <c r="K3" s="5">
        <f>D3/D2-1</f>
        <v>-3.2893431162027253E-2</v>
      </c>
      <c r="L3" s="5">
        <f>E3/E2-1</f>
        <v>2.9366317865602287E-3</v>
      </c>
      <c r="M3" s="5">
        <f>F3/F2-1</f>
        <v>-1.2452047532982347E-2</v>
      </c>
      <c r="N3" s="5">
        <f>SUMPRODUCT(I3:M3,$AJ$13:$AN$13)</f>
        <v>-1.3795763042399196E-2</v>
      </c>
      <c r="P3" s="2" t="s">
        <v>1015</v>
      </c>
      <c r="Q3" s="5">
        <f>AVERAGE(I3:I1563)</f>
        <v>5.0824624722978337E-4</v>
      </c>
      <c r="R3" s="5">
        <f t="shared" ref="R3:V3" si="0">AVERAGE(J3:J1563)</f>
        <v>7.3023904923717807E-4</v>
      </c>
      <c r="S3" s="5">
        <f t="shared" si="0"/>
        <v>1.6240007731722047E-3</v>
      </c>
      <c r="T3" s="5">
        <f t="shared" si="0"/>
        <v>1.0216171269148305E-3</v>
      </c>
      <c r="U3" s="5">
        <f t="shared" si="0"/>
        <v>7.6485381791373166E-4</v>
      </c>
      <c r="V3" s="5">
        <f t="shared" si="0"/>
        <v>1.4075107975193442E-3</v>
      </c>
      <c r="W3" s="21">
        <v>1E-4</v>
      </c>
      <c r="X3" s="19">
        <f>V3-W3</f>
        <v>1.3075107975193442E-3</v>
      </c>
      <c r="AB3" s="8" t="s">
        <v>1028</v>
      </c>
      <c r="AC3" s="2" t="str" cm="1">
        <f t="array" ref="AC3:AG3">_xlfn.ANCHORARRAY(Y19)</f>
        <v>BAC</v>
      </c>
      <c r="AD3" s="2" t="str">
        <v>CVX</v>
      </c>
      <c r="AE3" s="2" t="str">
        <v>DELL</v>
      </c>
      <c r="AF3" s="2" t="str">
        <v>EQNR</v>
      </c>
      <c r="AG3" s="2" t="str">
        <v>MSFT</v>
      </c>
      <c r="AI3" s="2" t="str" cm="1">
        <f t="array" ref="AI3:AI7">TRANSPOSE(_xlfn.ANCHORARRAY(AC3))</f>
        <v>BAC</v>
      </c>
      <c r="AJ3" s="2" cm="1">
        <f t="array" ref="AJ3:AN7">MINVERSE(Q9:U13)</f>
        <v>3803.1795929511513</v>
      </c>
      <c r="AK3" s="2">
        <v>-1824.5953148935444</v>
      </c>
      <c r="AL3" s="2">
        <v>-327.74688597344721</v>
      </c>
      <c r="AM3" s="2">
        <v>-138.36902960178452</v>
      </c>
      <c r="AN3" s="2">
        <v>-892.45798955426471</v>
      </c>
    </row>
    <row r="4" spans="1:40" x14ac:dyDescent="0.35">
      <c r="A4" s="3">
        <v>43836</v>
      </c>
      <c r="B4" s="4">
        <v>29.909559249877901</v>
      </c>
      <c r="C4" s="4">
        <v>91.3887939453125</v>
      </c>
      <c r="D4" s="4">
        <v>23.630077362060501</v>
      </c>
      <c r="E4" s="4">
        <v>13.6688728332519</v>
      </c>
      <c r="F4" s="4">
        <v>150.65213012695301</v>
      </c>
      <c r="I4" s="5">
        <f>B4/B3-1</f>
        <v>-1.4324633185587299E-3</v>
      </c>
      <c r="J4" s="5">
        <f>C4/C3-1</f>
        <v>-3.3878207349530287E-3</v>
      </c>
      <c r="K4" s="5">
        <f>D4/D3-1</f>
        <v>1.0084896608896665E-2</v>
      </c>
      <c r="L4" s="5">
        <f>E4/E3-1</f>
        <v>2.2938306255599894E-2</v>
      </c>
      <c r="M4" s="5">
        <f>F4/F3-1</f>
        <v>2.5847701855592486E-3</v>
      </c>
      <c r="N4" s="5">
        <f>SUMPRODUCT(I4:M4,$AJ$13:$AN$13)</f>
        <v>1.7357712040461295E-2</v>
      </c>
      <c r="P4" s="2" t="s">
        <v>6</v>
      </c>
      <c r="Q4" s="2">
        <f>_xlfn.VAR.S(I3:I1563)</f>
        <v>4.6288343203496269E-4</v>
      </c>
      <c r="R4" s="2">
        <f t="shared" ref="R4:V4" si="1">_xlfn.VAR.S(J3:J1563)</f>
        <v>4.5048727283346964E-4</v>
      </c>
      <c r="S4" s="2">
        <f t="shared" si="1"/>
        <v>8.5740570947055695E-4</v>
      </c>
      <c r="T4" s="2">
        <f t="shared" si="1"/>
        <v>5.7922312060298725E-4</v>
      </c>
      <c r="U4" s="2">
        <f t="shared" si="1"/>
        <v>3.5034546969865227E-4</v>
      </c>
      <c r="V4" s="2">
        <f>_xlfn.VAR.S(N3:N1563)</f>
        <v>4.627734730225836E-4</v>
      </c>
      <c r="W4" s="12"/>
      <c r="X4" s="12"/>
      <c r="AB4" s="2" t="s">
        <v>1030</v>
      </c>
      <c r="AC4" s="2">
        <f>_xlfn.COVARIANCE.S(I3:I1563,$N$3:$N$1563)</f>
        <v>1.4449252276723035E-4</v>
      </c>
      <c r="AD4" s="2">
        <f>_xlfn.COVARIANCE.S(J3:J1563,$N$3:$N$1563)</f>
        <v>2.2306348383759682E-4</v>
      </c>
      <c r="AE4" s="2">
        <f>_xlfn.COVARIANCE.S(K3:K1563,$N$3:$N$1563)</f>
        <v>5.3939679276688278E-4</v>
      </c>
      <c r="AF4" s="2">
        <f>_xlfn.COVARIANCE.S(L3:L1563,$N$3:$N$1563)</f>
        <v>3.2619230329006905E-4</v>
      </c>
      <c r="AG4" s="2">
        <f>_xlfn.COVARIANCE.S(M3:M1563,$N$3:$N$1563)</f>
        <v>2.3531485242951519E-4</v>
      </c>
      <c r="AI4" s="2" t="str">
        <v>CVX</v>
      </c>
      <c r="AJ4" s="2">
        <v>-1824.5953148935448</v>
      </c>
      <c r="AK4" s="2">
        <v>5593.2772073178485</v>
      </c>
      <c r="AL4" s="2">
        <v>-221.45343978782589</v>
      </c>
      <c r="AM4" s="2">
        <v>-2637.4201234794982</v>
      </c>
      <c r="AN4" s="2">
        <v>-157.40960271561056</v>
      </c>
    </row>
    <row r="5" spans="1:40" x14ac:dyDescent="0.35">
      <c r="A5" s="3">
        <v>43837</v>
      </c>
      <c r="B5" s="4">
        <v>29.712162017822202</v>
      </c>
      <c r="C5" s="4">
        <v>90.221778869628906</v>
      </c>
      <c r="D5" s="4">
        <v>23.037937164306602</v>
      </c>
      <c r="E5" s="4">
        <v>13.5123577117919</v>
      </c>
      <c r="F5" s="4">
        <v>149.27853393554599</v>
      </c>
      <c r="I5" s="5">
        <f>B5/B4-1</f>
        <v>-6.5998041096678728E-3</v>
      </c>
      <c r="J5" s="5">
        <f>C5/C4-1</f>
        <v>-1.2769783091589382E-2</v>
      </c>
      <c r="K5" s="5">
        <f>D5/D4-1</f>
        <v>-2.5058749858543283E-2</v>
      </c>
      <c r="L5" s="5">
        <f>E5/E4-1</f>
        <v>-1.1450477546272153E-2</v>
      </c>
      <c r="M5" s="5">
        <f>F5/F4-1</f>
        <v>-9.1176685669794866E-3</v>
      </c>
      <c r="N5" s="5">
        <f>SUMPRODUCT(I5:M5,$AJ$13:$AN$13)</f>
        <v>-1.9116323552981172E-2</v>
      </c>
      <c r="P5" s="2" t="s">
        <v>9</v>
      </c>
      <c r="Q5" s="2">
        <f>SQRT(Q4)</f>
        <v>2.1514725934460858E-2</v>
      </c>
      <c r="R5" s="2">
        <f t="shared" ref="R5:V5" si="2">SQRT(R4)</f>
        <v>2.1224685458999613E-2</v>
      </c>
      <c r="S5" s="2">
        <f t="shared" si="2"/>
        <v>2.9281490902455035E-2</v>
      </c>
      <c r="T5" s="2">
        <f t="shared" si="2"/>
        <v>2.4067054672372922E-2</v>
      </c>
      <c r="U5" s="2">
        <f t="shared" si="2"/>
        <v>1.8717517722674989E-2</v>
      </c>
      <c r="V5" s="2">
        <f t="shared" si="2"/>
        <v>2.1512170346633639E-2</v>
      </c>
      <c r="W5" s="12"/>
      <c r="X5" s="12"/>
      <c r="AB5" s="2" t="s">
        <v>1033</v>
      </c>
      <c r="AC5" s="2">
        <f>AC4/$V$4</f>
        <v>0.31223164504975642</v>
      </c>
      <c r="AD5" s="2">
        <f>AD4/$V$4</f>
        <v>0.48201441275505263</v>
      </c>
      <c r="AE5" s="2">
        <f>AE4/$V$4</f>
        <v>1.1655741398568884</v>
      </c>
      <c r="AF5" s="2">
        <f t="shared" ref="AF5:AG5" si="3">AF4/$V$4</f>
        <v>0.70486387467189737</v>
      </c>
      <c r="AG5" s="2">
        <f t="shared" si="3"/>
        <v>0.50848820459082733</v>
      </c>
      <c r="AI5" s="2" t="str">
        <v>DELL</v>
      </c>
      <c r="AJ5" s="2">
        <v>-327.74688597344709</v>
      </c>
      <c r="AK5" s="2">
        <v>-221.45343978782583</v>
      </c>
      <c r="AL5" s="2">
        <v>1540.9821405168832</v>
      </c>
      <c r="AM5" s="2">
        <v>-105.60662226917984</v>
      </c>
      <c r="AN5" s="2">
        <v>-760.64569552534579</v>
      </c>
    </row>
    <row r="6" spans="1:40" x14ac:dyDescent="0.35">
      <c r="A6" s="3">
        <v>43838</v>
      </c>
      <c r="B6" s="4">
        <v>30.0125427246093</v>
      </c>
      <c r="C6" s="4">
        <v>89.191192626953097</v>
      </c>
      <c r="D6" s="4">
        <v>23.130464553833001</v>
      </c>
      <c r="E6" s="4">
        <v>13.408013343811</v>
      </c>
      <c r="F6" s="4">
        <v>151.656326293945</v>
      </c>
      <c r="I6" s="5">
        <f>B6/B5-1</f>
        <v>1.0109688638844982E-2</v>
      </c>
      <c r="J6" s="5">
        <f>C6/C5-1</f>
        <v>-1.142281005304735E-2</v>
      </c>
      <c r="K6" s="5">
        <f>D6/D5-1</f>
        <v>4.0163053170296781E-3</v>
      </c>
      <c r="L6" s="5">
        <f>E6/E5-1</f>
        <v>-7.722143700343409E-3</v>
      </c>
      <c r="M6" s="5">
        <f>F6/F5-1</f>
        <v>1.5928561834789079E-2</v>
      </c>
      <c r="N6" s="5">
        <f>SUMPRODUCT(I6:M6,$AJ$13:$AN$13)</f>
        <v>1.2542042937867233E-3</v>
      </c>
      <c r="P6" s="13" t="s">
        <v>1019</v>
      </c>
      <c r="Q6" s="2">
        <f>_xlfn.PERCENTILE.EXC(I3:I1563,10%)</f>
        <v>-2.1608485015042422E-2</v>
      </c>
      <c r="R6" s="2">
        <f t="shared" ref="R6:V6" si="4">_xlfn.PERCENTILE.EXC(J3:J1563,10%)</f>
        <v>-2.0598744330577488E-2</v>
      </c>
      <c r="S6" s="2">
        <f t="shared" si="4"/>
        <v>-2.7150830440753147E-2</v>
      </c>
      <c r="T6" s="2">
        <f t="shared" si="4"/>
        <v>-2.5163198413284557E-2</v>
      </c>
      <c r="U6" s="2">
        <f t="shared" si="4"/>
        <v>-2.0129222964292003E-2</v>
      </c>
      <c r="V6" s="2">
        <f t="shared" si="4"/>
        <v>-2.1427956000433006E-2</v>
      </c>
      <c r="W6" s="12"/>
      <c r="X6" s="12"/>
      <c r="AI6" s="2" t="str">
        <v>EQNR</v>
      </c>
      <c r="AJ6" s="2">
        <v>-138.36902960178418</v>
      </c>
      <c r="AK6" s="2">
        <v>-2637.4201234794987</v>
      </c>
      <c r="AL6" s="2">
        <v>-105.60662226917979</v>
      </c>
      <c r="AM6" s="2">
        <v>3455.5824471063411</v>
      </c>
      <c r="AN6" s="2">
        <v>23.97167086291196</v>
      </c>
    </row>
    <row r="7" spans="1:40" x14ac:dyDescent="0.35">
      <c r="A7" s="3">
        <v>43839</v>
      </c>
      <c r="B7" s="4">
        <v>30.064031600952099</v>
      </c>
      <c r="C7" s="4">
        <v>89.047218322753906</v>
      </c>
      <c r="D7" s="4">
        <v>22.954668045043899</v>
      </c>
      <c r="E7" s="4">
        <v>13.479751586914</v>
      </c>
      <c r="F7" s="4">
        <v>153.55099487304599</v>
      </c>
      <c r="I7" s="5">
        <f>B7/B6-1</f>
        <v>1.7155786104248172E-3</v>
      </c>
      <c r="J7" s="5">
        <f>C7/C6-1</f>
        <v>-1.6142210902074794E-3</v>
      </c>
      <c r="K7" s="5">
        <f>D7/D6-1</f>
        <v>-7.6002152217894414E-3</v>
      </c>
      <c r="L7" s="5">
        <f>E7/E6-1</f>
        <v>5.3504006345663768E-3</v>
      </c>
      <c r="M7" s="5">
        <f>F7/F6-1</f>
        <v>1.2493172064768965E-2</v>
      </c>
      <c r="N7" s="5">
        <f>SUMPRODUCT(I7:M7,$AJ$13:$AN$13)</f>
        <v>2.2727955040593075E-3</v>
      </c>
      <c r="AB7" s="15" t="s">
        <v>1034</v>
      </c>
      <c r="AC7" s="22">
        <f>$W$3+$X$3*AC5</f>
        <v>5.082462472297838E-4</v>
      </c>
      <c r="AD7" s="22">
        <f>$W$3+$X$3*AD5</f>
        <v>7.3023904923717731E-4</v>
      </c>
      <c r="AE7" s="22">
        <f>$W$3+$X$3*AE5</f>
        <v>1.6240007731722038E-3</v>
      </c>
      <c r="AF7" s="22">
        <f t="shared" ref="AF7" si="5">$W$3+$X$3*AF5</f>
        <v>1.0216171269148277E-3</v>
      </c>
      <c r="AG7" s="22">
        <f>$W$3+$X$3*AG5</f>
        <v>7.6485381791373209E-4</v>
      </c>
      <c r="AI7" s="2" t="str">
        <v>MSFT</v>
      </c>
      <c r="AJ7" s="2">
        <v>-892.45798955426494</v>
      </c>
      <c r="AK7" s="2">
        <v>-157.4096027156107</v>
      </c>
      <c r="AL7" s="2">
        <v>-760.64569552534579</v>
      </c>
      <c r="AM7" s="2">
        <v>23.971670862912106</v>
      </c>
      <c r="AN7" s="2">
        <v>3828.047374135891</v>
      </c>
    </row>
    <row r="8" spans="1:40" x14ac:dyDescent="0.35">
      <c r="A8" s="3">
        <v>43840</v>
      </c>
      <c r="B8" s="4">
        <v>29.815143585205</v>
      </c>
      <c r="C8" s="4">
        <v>88.236389160156193</v>
      </c>
      <c r="D8" s="4">
        <v>22.903783798217699</v>
      </c>
      <c r="E8" s="4">
        <v>13.329754829406699</v>
      </c>
      <c r="F8" s="4">
        <v>152.84045410156199</v>
      </c>
      <c r="I8" s="5">
        <f>B8/B7-1</f>
        <v>-8.2785974632629822E-3</v>
      </c>
      <c r="J8" s="5">
        <f>C8/C7-1</f>
        <v>-9.1056091124468441E-3</v>
      </c>
      <c r="K8" s="5">
        <f>D8/D7-1</f>
        <v>-2.2167276270931291E-3</v>
      </c>
      <c r="L8" s="5">
        <f>E8/E7-1</f>
        <v>-1.1127560959870886E-2</v>
      </c>
      <c r="M8" s="5">
        <f>F8/F7-1</f>
        <v>-4.6273928219837668E-3</v>
      </c>
      <c r="N8" s="5">
        <f>SUMPRODUCT(I8:M8,$AJ$13:$AN$13)</f>
        <v>-5.2067800460395396E-3</v>
      </c>
      <c r="P8" s="6" t="s">
        <v>10</v>
      </c>
      <c r="Q8" s="6" t="s">
        <v>0</v>
      </c>
      <c r="R8" s="6" t="s">
        <v>1</v>
      </c>
      <c r="S8" s="6" t="s">
        <v>2</v>
      </c>
      <c r="T8" s="6" t="s">
        <v>3</v>
      </c>
      <c r="U8" s="6" t="s">
        <v>4</v>
      </c>
      <c r="V8" s="16"/>
    </row>
    <row r="9" spans="1:40" x14ac:dyDescent="0.35">
      <c r="A9" s="3">
        <v>43843</v>
      </c>
      <c r="B9" s="4">
        <v>30.0897827148437</v>
      </c>
      <c r="C9" s="4">
        <v>88.403091430664006</v>
      </c>
      <c r="D9" s="4">
        <v>23.051816940307599</v>
      </c>
      <c r="E9" s="4">
        <v>13.362362861633301</v>
      </c>
      <c r="F9" s="4">
        <v>154.67831420898401</v>
      </c>
      <c r="I9" s="5">
        <f>B9/B8-1</f>
        <v>9.2113971832414876E-3</v>
      </c>
      <c r="J9" s="5">
        <f>C9/C8-1</f>
        <v>1.8892689523506423E-3</v>
      </c>
      <c r="K9" s="5">
        <f>D9/D8-1</f>
        <v>6.463261415409427E-3</v>
      </c>
      <c r="L9" s="5">
        <f>E9/E8-1</f>
        <v>2.4462589630429576E-3</v>
      </c>
      <c r="M9" s="5">
        <f>F9/F8-1</f>
        <v>1.2024696721986805E-2</v>
      </c>
      <c r="N9" s="5">
        <f>SUMPRODUCT(I9:M9,$AJ$13:$AN$13)</f>
        <v>5.7991203058326687E-3</v>
      </c>
      <c r="P9" s="2" t="s">
        <v>0</v>
      </c>
      <c r="Q9" s="2">
        <f>VARP('Mandatory Assigment '!$I$3:$I$1563)</f>
        <v>4.625869019695975E-4</v>
      </c>
      <c r="R9" s="2" cm="1">
        <f t="array" ref="R9:U9">TRANSPOSE(Q10:Q13)</f>
        <v>2.7562771161354405E-4</v>
      </c>
      <c r="S9" s="2">
        <v>2.3527608279770812E-4</v>
      </c>
      <c r="T9" s="2">
        <v>2.349410408537848E-4</v>
      </c>
      <c r="U9" s="2">
        <v>1.6445868452376154E-4</v>
      </c>
      <c r="V9" s="12"/>
      <c r="AI9" s="8" t="s">
        <v>1036</v>
      </c>
      <c r="AJ9" s="5">
        <f>Q3-$W$3</f>
        <v>4.0824624722978338E-4</v>
      </c>
      <c r="AK9" s="5">
        <f>R3-$W$3</f>
        <v>6.3023904923717802E-4</v>
      </c>
      <c r="AL9" s="5">
        <f>S3-$W$3</f>
        <v>1.5240007731722046E-3</v>
      </c>
      <c r="AM9" s="5">
        <f>T3-$W$3</f>
        <v>9.2161712691483043E-4</v>
      </c>
      <c r="AN9" s="5">
        <f>U3-$W$3</f>
        <v>6.6485381791373162E-4</v>
      </c>
    </row>
    <row r="10" spans="1:40" x14ac:dyDescent="0.35">
      <c r="A10" s="3">
        <v>43844</v>
      </c>
      <c r="B10" s="4">
        <v>30.312919616699201</v>
      </c>
      <c r="C10" s="4">
        <v>88.130287170410099</v>
      </c>
      <c r="D10" s="4">
        <v>23.528303146362301</v>
      </c>
      <c r="E10" s="4">
        <v>13.3232374191284</v>
      </c>
      <c r="F10" s="4">
        <v>153.58885192871</v>
      </c>
      <c r="I10" s="5">
        <f>B10/B9-1</f>
        <v>7.415703329270773E-3</v>
      </c>
      <c r="J10" s="5">
        <f>C10/C9-1</f>
        <v>-3.0859131263285544E-3</v>
      </c>
      <c r="K10" s="5">
        <f>D10/D9-1</f>
        <v>2.0670223405320209E-2</v>
      </c>
      <c r="L10" s="5">
        <f>E10/E9-1</f>
        <v>-2.9280332311015789E-3</v>
      </c>
      <c r="M10" s="5">
        <f>F10/F9-1</f>
        <v>-7.0434067363964736E-3</v>
      </c>
      <c r="N10" s="5">
        <f>SUMPRODUCT(I10:M10,$AJ$13:$AN$13)</f>
        <v>4.9978347280225993E-3</v>
      </c>
      <c r="P10" s="2" t="s">
        <v>1</v>
      </c>
      <c r="Q10" s="2">
        <v>2.7562771161354405E-4</v>
      </c>
      <c r="R10" s="2">
        <f>VARP('Mandatory Assigment '!$J$3:$J$1563)</f>
        <v>4.5019868393351232E-4</v>
      </c>
      <c r="S10" s="2" cm="1">
        <f t="array" ref="S10:U10">TRANSPOSE(R11:R13)</f>
        <v>2.0816322155578441E-4</v>
      </c>
      <c r="T10" s="2">
        <v>3.6016017869328781E-4</v>
      </c>
      <c r="U10" s="2">
        <v>1.218784724784083E-4</v>
      </c>
      <c r="V10" s="12"/>
    </row>
    <row r="11" spans="1:40" x14ac:dyDescent="0.35">
      <c r="A11" s="3">
        <v>43845</v>
      </c>
      <c r="B11" s="4">
        <v>29.755060195922798</v>
      </c>
      <c r="C11" s="4">
        <v>88.00146484375</v>
      </c>
      <c r="D11" s="4">
        <v>23.408025741577099</v>
      </c>
      <c r="E11" s="4">
        <v>13.114554405212401</v>
      </c>
      <c r="F11" s="4">
        <v>154.58354187011699</v>
      </c>
      <c r="I11" s="5">
        <f>B11/B10-1</f>
        <v>-1.8403354999466326E-2</v>
      </c>
      <c r="J11" s="5">
        <f>C11/C10-1</f>
        <v>-1.4617259377699421E-3</v>
      </c>
      <c r="K11" s="5">
        <f>D11/D10-1</f>
        <v>-5.1120305632325058E-3</v>
      </c>
      <c r="L11" s="5">
        <f>E11/E10-1</f>
        <v>-1.5663086031657003E-2</v>
      </c>
      <c r="M11" s="5">
        <f>F11/F10-1</f>
        <v>6.476316014580874E-3</v>
      </c>
      <c r="N11" s="5">
        <f>SUMPRODUCT(I11:M11,$AJ$13:$AN$13)</f>
        <v>-2.4466013038804122E-3</v>
      </c>
      <c r="P11" s="2" t="s">
        <v>2</v>
      </c>
      <c r="Q11" s="2">
        <v>2.3527608279770812E-4</v>
      </c>
      <c r="R11" s="2">
        <v>2.0816322155578441E-4</v>
      </c>
      <c r="S11" s="2">
        <f>VARP('Mandatory Assigment '!$K$3:$K$1563)</f>
        <v>8.5685644252022351E-4</v>
      </c>
      <c r="T11" s="2" cm="1">
        <f t="array" ref="T11:U11">TRANSPOSE(S12:S13)</f>
        <v>1.9287225153991202E-4</v>
      </c>
      <c r="U11" s="2">
        <v>2.3246358193346089E-4</v>
      </c>
      <c r="V11" s="12"/>
      <c r="AI11" s="2" t="s">
        <v>1038</v>
      </c>
      <c r="AJ11" s="2" cm="1">
        <f t="array" ref="AJ11:AN11">MMULT(AJ9:AN9,_xlfn.ANCHORARRAY(AJ3))</f>
        <v>-0.81766129696458589</v>
      </c>
      <c r="AK11" s="2">
        <v>-9.2623626226936429E-2</v>
      </c>
      <c r="AL11" s="2">
        <v>1.4720408654616262</v>
      </c>
      <c r="AM11" s="2">
        <v>1.3210232614956334</v>
      </c>
      <c r="AN11" s="2">
        <v>0.94441168278411647</v>
      </c>
    </row>
    <row r="12" spans="1:40" x14ac:dyDescent="0.35">
      <c r="A12" s="3">
        <v>43846</v>
      </c>
      <c r="B12" s="4">
        <v>29.797985076904201</v>
      </c>
      <c r="C12" s="4">
        <v>88.577400207519503</v>
      </c>
      <c r="D12" s="4">
        <v>23.7503547668457</v>
      </c>
      <c r="E12" s="4">
        <v>13.2384595870971</v>
      </c>
      <c r="F12" s="4">
        <v>157.41607666015599</v>
      </c>
      <c r="I12" s="5">
        <f>B12/B11-1</f>
        <v>1.4426077681835014E-3</v>
      </c>
      <c r="J12" s="5">
        <f>C12/C11-1</f>
        <v>6.5446111015550201E-3</v>
      </c>
      <c r="K12" s="5">
        <f>D12/D11-1</f>
        <v>1.462442963143884E-2</v>
      </c>
      <c r="L12" s="5">
        <f>E12/E11-1</f>
        <v>9.4479139783394395E-3</v>
      </c>
      <c r="M12" s="5">
        <f>F12/F11-1</f>
        <v>1.8323650472564124E-2</v>
      </c>
      <c r="N12" s="5">
        <f>SUMPRODUCT(I12:M12,$AJ$13:$AN$13)</f>
        <v>1.7518446261090736E-2</v>
      </c>
      <c r="P12" s="2" t="s">
        <v>3</v>
      </c>
      <c r="Q12" s="2">
        <v>2.349410408537848E-4</v>
      </c>
      <c r="R12" s="2">
        <v>3.6016017869328781E-4</v>
      </c>
      <c r="S12" s="2">
        <v>1.9287225153991202E-4</v>
      </c>
      <c r="T12" s="2">
        <f>VARP('Mandatory Assigment '!$L$3:$L$1563)</f>
        <v>5.788520615891482E-4</v>
      </c>
      <c r="U12" s="2">
        <v>1.0428268969313454E-4</v>
      </c>
      <c r="V12" s="12"/>
      <c r="X12" s="8" t="s">
        <v>1020</v>
      </c>
      <c r="Y12" s="2" t="str" cm="1">
        <f t="array" ref="Y12:AC12">_xlfn.ANCHORARRAY(Q2)</f>
        <v>BAC</v>
      </c>
      <c r="Z12" s="2" t="str">
        <v>CVX</v>
      </c>
      <c r="AA12" s="2" t="str">
        <v>DELL</v>
      </c>
      <c r="AB12" s="2" t="str">
        <v>EQNR</v>
      </c>
      <c r="AC12" s="2" t="str">
        <v>MSFT</v>
      </c>
      <c r="AD12" s="2" t="s">
        <v>1022</v>
      </c>
      <c r="AE12" s="2" t="s">
        <v>14</v>
      </c>
    </row>
    <row r="13" spans="1:40" x14ac:dyDescent="0.35">
      <c r="A13" s="3">
        <v>43847</v>
      </c>
      <c r="B13" s="4">
        <v>29.789392471313398</v>
      </c>
      <c r="C13" s="4">
        <v>87.584686279296804</v>
      </c>
      <c r="D13" s="4">
        <v>23.287746429443299</v>
      </c>
      <c r="E13" s="4">
        <v>13.297152519226</v>
      </c>
      <c r="F13" s="4">
        <v>158.29704284667901</v>
      </c>
      <c r="I13" s="5">
        <f>B13/B12-1</f>
        <v>-2.883619670466242E-4</v>
      </c>
      <c r="J13" s="5">
        <f>C13/C12-1</f>
        <v>-1.1207304864412015E-2</v>
      </c>
      <c r="K13" s="5">
        <f>D13/D12-1</f>
        <v>-1.9477954832412769E-2</v>
      </c>
      <c r="L13" s="5">
        <f>E13/E12-1</f>
        <v>4.4335167352933524E-3</v>
      </c>
      <c r="M13" s="5">
        <f>F13/F12-1</f>
        <v>5.5964181372969435E-3</v>
      </c>
      <c r="N13" s="5">
        <f>SUMPRODUCT(I13:M13,$AJ$13:$AN$13)</f>
        <v>-5.7500186921802376E-3</v>
      </c>
      <c r="P13" s="2" t="s">
        <v>4</v>
      </c>
      <c r="Q13" s="2">
        <v>1.6445868452376154E-4</v>
      </c>
      <c r="R13" s="2">
        <v>1.218784724784083E-4</v>
      </c>
      <c r="S13" s="2">
        <v>2.3246358193346089E-4</v>
      </c>
      <c r="T13" s="2">
        <v>1.0428268969313454E-4</v>
      </c>
      <c r="U13" s="2">
        <f>VARP('Mandatory Assigment '!$M$3:$M$1563)</f>
        <v>3.5012103313894781E-4</v>
      </c>
      <c r="V13" s="12"/>
      <c r="X13" s="2" t="s">
        <v>1021</v>
      </c>
      <c r="Y13" s="5">
        <v>0.14971480444466073</v>
      </c>
      <c r="Z13" s="5">
        <v>0.18164322407891964</v>
      </c>
      <c r="AA13" s="5">
        <v>3.030676748690226E-2</v>
      </c>
      <c r="AB13" s="5">
        <v>0.14463309874473934</v>
      </c>
      <c r="AC13" s="5">
        <v>0.49370210524477792</v>
      </c>
      <c r="AD13" s="5">
        <f>SUM(Y13:AC13)</f>
        <v>0.99999999999999978</v>
      </c>
      <c r="AE13" s="15" cm="1">
        <f t="array" ref="AE13">MMULT(MMULT(Y13:AC13,$Q$9:$U$13),TRANSPOSE(Y13:AC13))</f>
        <v>2.4168588191517555E-4</v>
      </c>
      <c r="AI13" s="2" t="s">
        <v>1037</v>
      </c>
      <c r="AJ13" s="10">
        <f>AJ11/SUM(_xlfn.ANCHORARRAY($AJ$11))</f>
        <v>-0.28921333216464001</v>
      </c>
      <c r="AK13" s="10">
        <f>AK11/SUM(_xlfn.ANCHORARRAY($AJ$11))</f>
        <v>-3.2761716468310047E-2</v>
      </c>
      <c r="AL13" s="10">
        <f>AL11/SUM(_xlfn.ANCHORARRAY($AJ$11))</f>
        <v>0.52067261268588161</v>
      </c>
      <c r="AM13" s="10">
        <f>AM11/SUM(_xlfn.ANCHORARRAY($AJ$11))</f>
        <v>0.46725647984375634</v>
      </c>
      <c r="AN13" s="10">
        <f>AN11/SUM(_xlfn.ANCHORARRAY($AJ$11))</f>
        <v>0.33404595610331211</v>
      </c>
    </row>
    <row r="14" spans="1:40" x14ac:dyDescent="0.35">
      <c r="A14" s="3">
        <v>43851</v>
      </c>
      <c r="B14" s="4">
        <v>29.4031887054443</v>
      </c>
      <c r="C14" s="4">
        <v>85.864509582519503</v>
      </c>
      <c r="D14" s="4">
        <v>22.802009582519499</v>
      </c>
      <c r="E14" s="4">
        <v>12.9906454086303</v>
      </c>
      <c r="F14" s="4">
        <v>157.72866821289</v>
      </c>
      <c r="I14" s="5">
        <f>B14/B13-1</f>
        <v>-1.2964472714272479E-2</v>
      </c>
      <c r="J14" s="5">
        <f>C14/C13-1</f>
        <v>-1.9640153659874593E-2</v>
      </c>
      <c r="K14" s="5">
        <f>D14/D13-1</f>
        <v>-2.0858044310791302E-2</v>
      </c>
      <c r="L14" s="5">
        <f>E14/E13-1</f>
        <v>-2.3050582457599833E-2</v>
      </c>
      <c r="M14" s="5">
        <f>F14/F13-1</f>
        <v>-3.5905574960077846E-3</v>
      </c>
      <c r="N14" s="5">
        <f>SUMPRODUCT(I14:M14,$AJ$13:$AN$13)</f>
        <v>-1.843721415695062E-2</v>
      </c>
    </row>
    <row r="15" spans="1:40" x14ac:dyDescent="0.35">
      <c r="A15" s="3">
        <v>43852</v>
      </c>
      <c r="B15" s="4">
        <v>29.489009857177699</v>
      </c>
      <c r="C15" s="4">
        <v>85.5538330078125</v>
      </c>
      <c r="D15" s="4">
        <v>23.1027011871337</v>
      </c>
      <c r="E15" s="4">
        <v>13.042817115783601</v>
      </c>
      <c r="F15" s="4">
        <v>156.97079467773401</v>
      </c>
      <c r="I15" s="5">
        <f>B15/B14-1</f>
        <v>2.918770225676548E-3</v>
      </c>
      <c r="J15" s="5">
        <f>C15/C14-1</f>
        <v>-3.6182187054644155E-3</v>
      </c>
      <c r="K15" s="5">
        <f>D15/D14-1</f>
        <v>1.3187065970041489E-2</v>
      </c>
      <c r="L15" s="5">
        <f>E15/E14-1</f>
        <v>4.0160981623469372E-3</v>
      </c>
      <c r="M15" s="5">
        <f>F15/F14-1</f>
        <v>-4.8049193830324022E-3</v>
      </c>
      <c r="N15" s="5">
        <f>SUMPRODUCT(I15:M15,$AJ$13:$AN$13)</f>
        <v>6.4120198855813033E-3</v>
      </c>
      <c r="P15" s="7" t="s">
        <v>11</v>
      </c>
      <c r="Q15" s="7" t="s">
        <v>0</v>
      </c>
      <c r="R15" s="7" t="s">
        <v>1</v>
      </c>
      <c r="S15" s="7" t="s">
        <v>2</v>
      </c>
      <c r="T15" s="7" t="s">
        <v>3</v>
      </c>
      <c r="U15" s="7" t="s">
        <v>4</v>
      </c>
      <c r="V15" s="17"/>
      <c r="AI15" s="23" t="s">
        <v>1039</v>
      </c>
      <c r="AM15" s="2" t="s">
        <v>1033</v>
      </c>
      <c r="AN15" s="2" t="s">
        <v>1025</v>
      </c>
    </row>
    <row r="16" spans="1:40" x14ac:dyDescent="0.35">
      <c r="A16" s="3">
        <v>43853</v>
      </c>
      <c r="B16" s="4">
        <v>29.283037185668899</v>
      </c>
      <c r="C16" s="4">
        <v>85.705383300781193</v>
      </c>
      <c r="D16" s="4">
        <v>23.3016262054443</v>
      </c>
      <c r="E16" s="4">
        <v>13.023251533508301</v>
      </c>
      <c r="F16" s="4">
        <v>157.93704223632801</v>
      </c>
      <c r="I16" s="5">
        <f>B16/B15-1</f>
        <v>-6.9847265983623563E-3</v>
      </c>
      <c r="J16" s="5">
        <f>C16/C15-1</f>
        <v>1.7714027255195663E-3</v>
      </c>
      <c r="K16" s="5">
        <f>D16/D15-1</f>
        <v>8.6104657935577311E-3</v>
      </c>
      <c r="L16" s="5">
        <f>E16/E15-1</f>
        <v>-1.5001040113966635E-3</v>
      </c>
      <c r="M16" s="5">
        <f>F16/F15-1</f>
        <v>6.1555881180173078E-3</v>
      </c>
      <c r="N16" s="5">
        <f>SUMPRODUCT(I16:M16,$AJ$13:$AN$13)</f>
        <v>7.8005915795973969E-3</v>
      </c>
      <c r="P16" s="2" t="s">
        <v>0</v>
      </c>
      <c r="Q16" s="2">
        <v>1</v>
      </c>
      <c r="R16" s="2" cm="1">
        <f t="array" ref="R16:U16">TRANSPOSE(Q17:Q20)</f>
        <v>0.60398214900735325</v>
      </c>
      <c r="S16" s="2">
        <v>0.3737034280787726</v>
      </c>
      <c r="T16" s="2">
        <v>0.45402360262570424</v>
      </c>
      <c r="U16" s="2">
        <v>0.40864956936751917</v>
      </c>
      <c r="V16" s="12"/>
      <c r="X16" s="8" t="s">
        <v>1023</v>
      </c>
      <c r="Y16" s="2" t="str" cm="1">
        <f t="array" ref="Y16:AC16">_xlfn.ANCHORARRAY(Y12)</f>
        <v>BAC</v>
      </c>
      <c r="Z16" s="2" t="str">
        <v>CVX</v>
      </c>
      <c r="AA16" s="2" t="str">
        <v>DELL</v>
      </c>
      <c r="AB16" s="2" t="str">
        <v>EQNR</v>
      </c>
      <c r="AC16" s="2" t="str">
        <v>MSFT</v>
      </c>
      <c r="AD16" s="2" t="s">
        <v>1022</v>
      </c>
      <c r="AE16" s="2" t="s">
        <v>14</v>
      </c>
      <c r="AF16" s="13" t="s">
        <v>1025</v>
      </c>
      <c r="AG16" s="13" t="s">
        <v>1026</v>
      </c>
      <c r="AI16" s="2" t="s">
        <v>1040</v>
      </c>
      <c r="AJ16" s="5">
        <f>W3</f>
        <v>1E-4</v>
      </c>
      <c r="AL16" s="24" t="s">
        <v>1042</v>
      </c>
      <c r="AM16" s="2">
        <v>-1</v>
      </c>
      <c r="AN16" s="5">
        <f>AJ16+AJ17*AM16</f>
        <v>-1.2075107975193441E-3</v>
      </c>
    </row>
    <row r="17" spans="1:40" x14ac:dyDescent="0.35">
      <c r="A17" s="3">
        <v>43854</v>
      </c>
      <c r="B17" s="4">
        <v>28.785261154174801</v>
      </c>
      <c r="C17" s="4">
        <v>84.758148193359304</v>
      </c>
      <c r="D17" s="4">
        <v>23.121210098266602</v>
      </c>
      <c r="E17" s="4">
        <v>12.93195438385</v>
      </c>
      <c r="F17" s="4">
        <v>156.34553527832</v>
      </c>
      <c r="I17" s="5">
        <f>B17/B16-1</f>
        <v>-1.6998784256494703E-2</v>
      </c>
      <c r="J17" s="5">
        <f>C17/C16-1</f>
        <v>-1.1052224153733636E-2</v>
      </c>
      <c r="K17" s="5">
        <f>D17/D16-1</f>
        <v>-7.7426401739955075E-3</v>
      </c>
      <c r="L17" s="5">
        <f>E17/E16-1</f>
        <v>-7.0103191528932962E-3</v>
      </c>
      <c r="M17" s="5">
        <f>F17/F16-1</f>
        <v>-1.0076844136580498E-2</v>
      </c>
      <c r="N17" s="5">
        <f>SUMPRODUCT(I17:M17,$AJ$13:$AN$13)</f>
        <v>-5.3947619009136975E-3</v>
      </c>
      <c r="P17" s="2" t="s">
        <v>1</v>
      </c>
      <c r="Q17" s="2">
        <v>0.60398214900735325</v>
      </c>
      <c r="R17" s="2">
        <v>1</v>
      </c>
      <c r="S17" s="2" cm="1">
        <f t="array" ref="S17:U17">TRANSPOSE(R18:R20)</f>
        <v>0.33515666221760676</v>
      </c>
      <c r="T17" s="2">
        <v>0.70552074858321923</v>
      </c>
      <c r="U17" s="2">
        <v>0.3069840358050841</v>
      </c>
      <c r="V17" s="12"/>
      <c r="X17" s="2" t="s">
        <v>1021</v>
      </c>
      <c r="Y17" s="5">
        <v>0</v>
      </c>
      <c r="Z17" s="5">
        <v>7.3635598053350931E-2</v>
      </c>
      <c r="AA17" s="5">
        <v>0.23308089836205989</v>
      </c>
      <c r="AB17" s="5">
        <v>0.27799234601854733</v>
      </c>
      <c r="AC17" s="5">
        <v>0.41529115756604179</v>
      </c>
      <c r="AD17" s="5">
        <f>SUM(Y17:AC17)</f>
        <v>1</v>
      </c>
      <c r="AE17" s="14" cm="1">
        <f t="array" ref="AE17">MMULT(MMULT(Y17:AC17,$Q$9:$U$13),TRANSPOSE(Y17:AC17))</f>
        <v>2.7752955497503933E-4</v>
      </c>
      <c r="AF17" s="10" cm="1">
        <f t="array" ref="AF17">MMULT(Y17:AC17,TRANSPOSE(Q3:U3))</f>
        <v>1.0339339175181291E-3</v>
      </c>
      <c r="AG17" s="15">
        <f>(AF17-W3)/AE17</f>
        <v>3.3651692253177354</v>
      </c>
      <c r="AI17" s="2" t="s">
        <v>1041</v>
      </c>
      <c r="AJ17" s="5">
        <f>X3</f>
        <v>1.3075107975193442E-3</v>
      </c>
      <c r="AL17" s="25" t="s">
        <v>1043</v>
      </c>
      <c r="AM17" s="2">
        <v>1.5</v>
      </c>
      <c r="AN17" s="5">
        <f>AJ16+AJ17*AM17</f>
        <v>2.061266196279016E-3</v>
      </c>
    </row>
    <row r="18" spans="1:40" x14ac:dyDescent="0.35">
      <c r="A18" s="3">
        <v>43857</v>
      </c>
      <c r="B18" s="4">
        <v>28.193077087402301</v>
      </c>
      <c r="C18" s="4">
        <v>83.651771545410099</v>
      </c>
      <c r="D18" s="4">
        <v>22.27463722229</v>
      </c>
      <c r="E18" s="4">
        <v>12.534146308898899</v>
      </c>
      <c r="F18" s="4">
        <v>153.73097229003901</v>
      </c>
      <c r="I18" s="5">
        <f>B18/B17-1</f>
        <v>-2.0572475045501304E-2</v>
      </c>
      <c r="J18" s="5">
        <f>C18/C17-1</f>
        <v>-1.3053336717848252E-2</v>
      </c>
      <c r="K18" s="5">
        <f>D18/D17-1</f>
        <v>-3.6614557472494424E-2</v>
      </c>
      <c r="L18" s="5">
        <f>E18/E17-1</f>
        <v>-3.0761636110308355E-2</v>
      </c>
      <c r="M18" s="5">
        <f>F18/F17-1</f>
        <v>-1.6722978264947952E-2</v>
      </c>
      <c r="N18" s="5">
        <f>SUMPRODUCT(I18:M18,$AJ$13:$AN$13)</f>
        <v>-3.2646530592788887E-2</v>
      </c>
      <c r="P18" s="2" t="s">
        <v>2</v>
      </c>
      <c r="Q18" s="2">
        <v>0.3737034280787726</v>
      </c>
      <c r="R18" s="2">
        <v>0.33515666221760676</v>
      </c>
      <c r="S18" s="2">
        <v>1</v>
      </c>
      <c r="T18" s="2">
        <f>S19</f>
        <v>0.27386209425887426</v>
      </c>
      <c r="U18" s="2">
        <v>0.42441604256298981</v>
      </c>
      <c r="V18" s="12"/>
    </row>
    <row r="19" spans="1:40" x14ac:dyDescent="0.35">
      <c r="A19" s="3">
        <v>43858</v>
      </c>
      <c r="B19" s="4">
        <v>28.527788162231399</v>
      </c>
      <c r="C19" s="4">
        <v>84.204978942871094</v>
      </c>
      <c r="D19" s="4">
        <v>22.5198154449462</v>
      </c>
      <c r="E19" s="4">
        <v>12.521100044250399</v>
      </c>
      <c r="F19" s="4">
        <v>156.74345397949199</v>
      </c>
      <c r="I19" s="5">
        <f>B19/B18-1</f>
        <v>1.1872101572717675E-2</v>
      </c>
      <c r="J19" s="5">
        <f>C19/C18-1</f>
        <v>6.6132179539160063E-3</v>
      </c>
      <c r="K19" s="5">
        <f>D19/D18-1</f>
        <v>1.1007057947092003E-2</v>
      </c>
      <c r="L19" s="5">
        <f>E19/E18-1</f>
        <v>-1.0408578555715087E-3</v>
      </c>
      <c r="M19" s="5">
        <f>F19/F18-1</f>
        <v>1.9595801968710802E-2</v>
      </c>
      <c r="N19" s="5">
        <f>SUMPRODUCT(I19:M19,$AJ$13:$AN$13)</f>
        <v>8.1403940187423154E-3</v>
      </c>
      <c r="P19" s="2" t="s">
        <v>3</v>
      </c>
      <c r="Q19" s="2">
        <v>0.45402360262570424</v>
      </c>
      <c r="R19" s="2">
        <v>0.70552074858321923</v>
      </c>
      <c r="S19" s="2">
        <v>0.27386209425887426</v>
      </c>
      <c r="T19" s="2">
        <v>1</v>
      </c>
      <c r="U19" s="2">
        <v>0.2316430802362654</v>
      </c>
      <c r="V19" s="12"/>
      <c r="X19" s="8" t="s">
        <v>1027</v>
      </c>
      <c r="Y19" s="2" t="str" cm="1">
        <f t="array" ref="Y19:AC19">_xlfn.ANCHORARRAY(Y16)</f>
        <v>BAC</v>
      </c>
      <c r="Z19" s="2" t="str">
        <v>CVX</v>
      </c>
      <c r="AA19" s="2" t="str">
        <v>DELL</v>
      </c>
      <c r="AB19" s="2" t="str">
        <v>EQNR</v>
      </c>
      <c r="AC19" s="2" t="str">
        <v>MSFT</v>
      </c>
      <c r="AD19" s="2" t="s">
        <v>1022</v>
      </c>
      <c r="AE19" s="2" t="s">
        <v>14</v>
      </c>
      <c r="AF19" s="13" t="s">
        <v>1025</v>
      </c>
      <c r="AG19" s="13" t="s">
        <v>1026</v>
      </c>
    </row>
    <row r="20" spans="1:40" x14ac:dyDescent="0.35">
      <c r="A20" s="3">
        <v>43859</v>
      </c>
      <c r="B20" s="4">
        <v>28.3303909301757</v>
      </c>
      <c r="C20" s="4">
        <v>83.636634826660099</v>
      </c>
      <c r="D20" s="4">
        <v>22.6447238922119</v>
      </c>
      <c r="E20" s="4">
        <v>12.318941116333001</v>
      </c>
      <c r="F20" s="4">
        <v>159.18751525878901</v>
      </c>
      <c r="I20" s="5">
        <f>B20/B19-1</f>
        <v>-6.9194720226167794E-3</v>
      </c>
      <c r="J20" s="5">
        <f>C20/C19-1</f>
        <v>-6.7495310057210656E-3</v>
      </c>
      <c r="K20" s="5">
        <f>D20/D19-1</f>
        <v>5.5466017282006508E-3</v>
      </c>
      <c r="L20" s="5">
        <f>E20/E19-1</f>
        <v>-1.6145460638678388E-2</v>
      </c>
      <c r="M20" s="5">
        <f>F20/F19-1</f>
        <v>1.5592748642739407E-2</v>
      </c>
      <c r="N20" s="5">
        <f>SUMPRODUCT(I20:M20,$AJ$13:$AN$13)</f>
        <v>2.7749169200924784E-3</v>
      </c>
      <c r="P20" s="2" t="s">
        <v>4</v>
      </c>
      <c r="Q20" s="2">
        <v>0.40864956936751917</v>
      </c>
      <c r="R20" s="2">
        <v>0.3069840358050841</v>
      </c>
      <c r="S20" s="2">
        <v>0.42441604256298981</v>
      </c>
      <c r="T20" s="2">
        <v>0.2316430802362654</v>
      </c>
      <c r="U20" s="2">
        <v>1</v>
      </c>
      <c r="V20" s="12"/>
      <c r="X20" s="2" t="s">
        <v>1021</v>
      </c>
      <c r="Y20" s="5">
        <v>-1.6533622103169433E-2</v>
      </c>
      <c r="Z20" s="5">
        <v>0.10051992903291541</v>
      </c>
      <c r="AA20" s="5">
        <v>0.21614957970485155</v>
      </c>
      <c r="AB20" s="5">
        <v>0.26684897073428837</v>
      </c>
      <c r="AC20" s="5">
        <v>0.43301514263111412</v>
      </c>
      <c r="AD20" s="5">
        <f>SUM(Y20:AC20)</f>
        <v>1</v>
      </c>
      <c r="AE20" s="14" cm="1">
        <f t="array" ref="AE20">MMULT(MMULT(Y20:AC20,$Q$9:$U$13),TRANSPOSE(Y20:AC20))</f>
        <v>2.733917526342177E-4</v>
      </c>
      <c r="AF20" s="10" cm="1">
        <f t="array" ref="AF20">MMULT(Y20:AC20,TRANSPOSE(Q3:U3))</f>
        <v>1.0198382744384697E-3</v>
      </c>
      <c r="AG20" s="15">
        <f>(AF20-W6)/AE20</f>
        <v>3.7303183604186998</v>
      </c>
    </row>
    <row r="21" spans="1:40" x14ac:dyDescent="0.35">
      <c r="A21" s="3">
        <v>43860</v>
      </c>
      <c r="B21" s="4">
        <v>28.7337646484375</v>
      </c>
      <c r="C21" s="4">
        <v>84.417152404785099</v>
      </c>
      <c r="D21" s="4">
        <v>22.843643188476499</v>
      </c>
      <c r="E21" s="4">
        <v>12.2341604232788</v>
      </c>
      <c r="F21" s="4">
        <v>163.67778015136699</v>
      </c>
      <c r="I21" s="5">
        <f>B21/B20-1</f>
        <v>1.4238198098147414E-2</v>
      </c>
      <c r="J21" s="5">
        <f>C21/C20-1</f>
        <v>9.3322451308885945E-3</v>
      </c>
      <c r="K21" s="5">
        <f>D21/D20-1</f>
        <v>8.7843551200468273E-3</v>
      </c>
      <c r="L21" s="5">
        <f>E21/E20-1</f>
        <v>-6.8821412695767581E-3</v>
      </c>
      <c r="M21" s="5">
        <f>F21/F20-1</f>
        <v>2.8207393558962401E-2</v>
      </c>
      <c r="N21" s="5">
        <f>SUMPRODUCT(I21:M21,$AJ$13:$AN$13)</f>
        <v>6.3569966933151182E-3</v>
      </c>
    </row>
    <row r="22" spans="1:40" x14ac:dyDescent="0.35">
      <c r="A22" s="3">
        <v>43861</v>
      </c>
      <c r="B22" s="4">
        <v>28.175914764404201</v>
      </c>
      <c r="C22" s="4">
        <v>81.188980102539006</v>
      </c>
      <c r="D22" s="4">
        <v>22.561454772949201</v>
      </c>
      <c r="E22" s="4">
        <v>11.8559207916259</v>
      </c>
      <c r="F22" s="4">
        <v>161.26216125488199</v>
      </c>
      <c r="I22" s="5">
        <f>B22/B21-1</f>
        <v>-1.9414437713216048E-2</v>
      </c>
      <c r="J22" s="5">
        <f>C22/C21-1</f>
        <v>-3.82407154267278E-2</v>
      </c>
      <c r="K22" s="5">
        <f>D22/D21-1</f>
        <v>-1.2353039013919154E-2</v>
      </c>
      <c r="L22" s="5">
        <f>E22/E21-1</f>
        <v>-3.0916680717476663E-2</v>
      </c>
      <c r="M22" s="5">
        <f>F22/F21-1</f>
        <v>-1.4758380118859549E-2</v>
      </c>
      <c r="N22" s="5">
        <f>SUMPRODUCT(I22:M22,$AJ$13:$AN$13)</f>
        <v>-1.8940139996332095E-2</v>
      </c>
      <c r="AM22" s="2" t="s">
        <v>15</v>
      </c>
    </row>
    <row r="23" spans="1:40" x14ac:dyDescent="0.35">
      <c r="A23" s="3">
        <v>43864</v>
      </c>
      <c r="B23" s="4">
        <v>28.296072006225501</v>
      </c>
      <c r="C23" s="4">
        <v>80.537315368652301</v>
      </c>
      <c r="D23" s="4">
        <v>22.7511177062988</v>
      </c>
      <c r="E23" s="4">
        <v>11.6602764129638</v>
      </c>
      <c r="F23" s="4">
        <v>165.19352722167901</v>
      </c>
      <c r="I23" s="5">
        <f>B23/B22-1</f>
        <v>4.2645373832936873E-3</v>
      </c>
      <c r="J23" s="5">
        <f>C23/C22-1</f>
        <v>-8.0265170601191427E-3</v>
      </c>
      <c r="K23" s="5">
        <f>D23/D22-1</f>
        <v>8.4065028278672571E-3</v>
      </c>
      <c r="L23" s="5">
        <f>E23/E22-1</f>
        <v>-1.6501829094564213E-2</v>
      </c>
      <c r="M23" s="5">
        <f>F23/F22-1</f>
        <v>2.4378725524974998E-2</v>
      </c>
      <c r="N23" s="5">
        <f>SUMPRODUCT(I23:M23,$AJ$13:$AN$13)</f>
        <v>3.8396653031866693E-3</v>
      </c>
      <c r="P23" s="8" t="s">
        <v>1018</v>
      </c>
      <c r="Q23" s="2" t="str" cm="1">
        <f t="array" ref="Q23:U23">_xlfn.ANCHORARRAY(Q2)</f>
        <v>BAC</v>
      </c>
      <c r="R23" s="2" t="str">
        <v>CVX</v>
      </c>
      <c r="S23" s="2" t="str">
        <v>DELL</v>
      </c>
      <c r="T23" s="2" t="str">
        <v>EQNR</v>
      </c>
      <c r="U23" s="2" t="str">
        <v>MSFT</v>
      </c>
      <c r="V23" s="12"/>
      <c r="X23" s="2" t="s">
        <v>13</v>
      </c>
      <c r="Y23" s="2" t="s">
        <v>14</v>
      </c>
      <c r="Z23" s="2" t="s">
        <v>15</v>
      </c>
      <c r="AA23" s="2" t="s">
        <v>1017</v>
      </c>
      <c r="AB23" s="13" t="s">
        <v>1019</v>
      </c>
      <c r="AD23" s="2" t="s">
        <v>1016</v>
      </c>
      <c r="AE23" s="2" t="str" cm="1">
        <f t="array" ref="AE23:AI23">_xlfn.ANCHORARRAY(Q23)</f>
        <v>BAC</v>
      </c>
      <c r="AF23" s="2" t="str">
        <v>CVX</v>
      </c>
      <c r="AG23" s="2" t="str">
        <v>DELL</v>
      </c>
      <c r="AH23" s="2" t="str">
        <v>EQNR</v>
      </c>
      <c r="AI23" s="2" t="str">
        <v>MSFT</v>
      </c>
      <c r="AK23" s="2" t="s">
        <v>13</v>
      </c>
      <c r="AL23" s="2" t="s">
        <v>14</v>
      </c>
      <c r="AM23" s="2" cm="1">
        <f t="array" aca="1" ref="AM23" ca="1">MMULT(_xlfn.ANCHORARRAY(AE24),TRANSPOSE($Q$3:$U$3))</f>
        <v>9.3475451267714226E-4</v>
      </c>
    </row>
    <row r="24" spans="1:40" x14ac:dyDescent="0.35">
      <c r="A24" s="3">
        <v>43865</v>
      </c>
      <c r="B24" s="4">
        <v>28.853923797607401</v>
      </c>
      <c r="C24" s="4">
        <v>80.96923828125</v>
      </c>
      <c r="D24" s="4">
        <v>23.6069431304931</v>
      </c>
      <c r="E24" s="4">
        <v>11.7515754699707</v>
      </c>
      <c r="F24" s="4">
        <v>170.631088256835</v>
      </c>
      <c r="I24" s="5">
        <f>B24/B23-1</f>
        <v>1.9714813817945043E-2</v>
      </c>
      <c r="J24" s="5">
        <f>C24/C23-1</f>
        <v>5.3630160208422151E-3</v>
      </c>
      <c r="K24" s="5">
        <f>D24/D23-1</f>
        <v>3.7616851850639454E-2</v>
      </c>
      <c r="L24" s="5">
        <f>E24/E23-1</f>
        <v>7.8299221882420778E-3</v>
      </c>
      <c r="M24" s="5">
        <f>F24/F23-1</f>
        <v>3.2916308081848422E-2</v>
      </c>
      <c r="N24" s="5">
        <f>SUMPRODUCT(I24:M24,$AJ$13:$AN$13)</f>
        <v>2.8362717410227726E-2</v>
      </c>
      <c r="P24" s="2" t="s">
        <v>12</v>
      </c>
      <c r="Q24" s="10" cm="1">
        <f t="array" aca="1" ref="Q24:U24" ca="1">_xlfn.LET(_xlpm.array,_xlfn.RANDARRAY(1,COLUMNS(_xlfn.ANCHORARRAY(Q23)),0,1,FALSE),_xlpm.array/SUM(_xlpm.array))</f>
        <v>0.33922480489284229</v>
      </c>
      <c r="R24" s="10">
        <f ca="1"/>
        <v>0.32366361382281755</v>
      </c>
      <c r="S24" s="10">
        <f ca="1"/>
        <v>4.0308661177042113E-2</v>
      </c>
      <c r="T24" s="10">
        <f ca="1"/>
        <v>0.25011220560211228</v>
      </c>
      <c r="U24" s="10">
        <f ca="1"/>
        <v>4.6690714505185707E-2</v>
      </c>
      <c r="V24" s="18"/>
      <c r="X24" s="2" cm="1">
        <f t="array" aca="1" ref="X24" ca="1">MMULT(MMULT(_xlfn.ANCHORARRAY(Q24),$Q$9:$U$13),TRANSPOSE(_xlfn.ANCHORARRAY(Q24)))</f>
        <v>3.254215700788865E-4</v>
      </c>
      <c r="Y24" s="2">
        <f ca="1">SQRT(X24)</f>
        <v>1.803944483843354E-2</v>
      </c>
      <c r="Z24" s="2" cm="1">
        <f t="array" aca="1" ref="Z24" ca="1">MMULT(_xlfn.ANCHORARRAY(Q24),TRANSPOSE($Q$3:$U$3))</f>
        <v>7.6545332474571147E-4</v>
      </c>
      <c r="AA24" s="11">
        <f ca="1">AVEDEV(Q24*$Q$3,R24*$R$3,S24*$S$3,T24*$T$3,U24*$U$3)</f>
        <v>8.2003384692328184E-5</v>
      </c>
      <c r="AB24" s="11" cm="1">
        <f t="array" aca="1" ref="AB24" ca="1">MMULT(_xlfn.ANCHORARRAY(Q24),TRANSPOSE($Q$6:$U$6))</f>
        <v>-2.2325082626203453E-2</v>
      </c>
      <c r="AD24" s="2" t="s">
        <v>12</v>
      </c>
      <c r="AE24" s="10" cm="1">
        <f t="array" aca="1" ref="AE24:AI24" ca="1">_xlfn.LET(_xlpm.array,_xlfn.RANDARRAY(1,COLUMNS(_xlfn.ANCHORARRAY(Q23)),-0.5,1,FALSE),_xlpm.array/SUM(_xlpm.array))</f>
        <v>7.4859444223958462E-3</v>
      </c>
      <c r="AF24" s="10">
        <f ca="1"/>
        <v>0.25400106184461568</v>
      </c>
      <c r="AG24" s="10">
        <f ca="1"/>
        <v>0.1204910525909057</v>
      </c>
      <c r="AH24" s="10">
        <f ca="1"/>
        <v>0.3002543942350116</v>
      </c>
      <c r="AI24" s="10">
        <f ca="1"/>
        <v>0.31776754690707104</v>
      </c>
      <c r="AJ24" s="1"/>
      <c r="AK24" s="2" cm="1">
        <f t="array" aca="1" ref="AK24" ca="1">MMULT(MMULT(_xlfn.ANCHORARRAY(AE24),$Q$9:$U$13),TRANSPOSE(_xlfn.ANCHORARRAY(AE24)))</f>
        <v>2.7136859028640723E-4</v>
      </c>
      <c r="AL24" s="2">
        <f ca="1">SQRT(AK24)</f>
        <v>1.6473268961757628E-2</v>
      </c>
      <c r="AM24" s="2" cm="1">
        <f t="array" aca="1" ref="AM24" ca="1">MMULT(_xlfn.ANCHORARRAY(AE25),TRANSPOSE($Q$3:$U$3))</f>
        <v>-3.7433608211381343E-4</v>
      </c>
    </row>
    <row r="25" spans="1:40" x14ac:dyDescent="0.35">
      <c r="A25" s="3">
        <v>43866</v>
      </c>
      <c r="B25" s="4">
        <v>29.789392471313398</v>
      </c>
      <c r="C25" s="4">
        <v>83.568435668945298</v>
      </c>
      <c r="D25" s="4">
        <v>23.495923995971602</v>
      </c>
      <c r="E25" s="4">
        <v>12.1363401412963</v>
      </c>
      <c r="F25" s="4">
        <v>170.42268371582</v>
      </c>
      <c r="I25" s="5">
        <f>B25/B24-1</f>
        <v>3.2420847863456448E-2</v>
      </c>
      <c r="J25" s="5">
        <f>C25/C24-1</f>
        <v>3.2101047791346149E-2</v>
      </c>
      <c r="K25" s="5">
        <f>D25/D24-1</f>
        <v>-4.702817044452301E-3</v>
      </c>
      <c r="L25" s="5">
        <f>E25/E24-1</f>
        <v>3.2741539405401809E-2</v>
      </c>
      <c r="M25" s="5">
        <f>F25/F24-1</f>
        <v>-1.2213749741858404E-3</v>
      </c>
      <c r="N25" s="5">
        <f>SUMPRODUCT(I25:M25,$AJ$13:$AN$13)</f>
        <v>2.0138461704335992E-3</v>
      </c>
      <c r="P25" s="2" t="s">
        <v>16</v>
      </c>
      <c r="Q25" s="10" cm="1">
        <f t="array" aca="1" ref="Q25:U25" ca="1">_xlfn.LET(_xlpm.array,_xlfn.RANDARRAY(1,COLUMNS(_xlfn.ANCHORARRAY(Q24)),0,1,FALSE),_xlpm.array/SUM(_xlpm.array))</f>
        <v>0.25705871727250645</v>
      </c>
      <c r="R25" s="2">
        <f ca="1"/>
        <v>0.24174304763444784</v>
      </c>
      <c r="S25" s="2">
        <f ca="1"/>
        <v>0.17340113152109388</v>
      </c>
      <c r="T25" s="2">
        <f ca="1"/>
        <v>0.12322772465839052</v>
      </c>
      <c r="U25" s="2">
        <f ca="1"/>
        <v>0.20456937891356133</v>
      </c>
      <c r="V25" s="12"/>
      <c r="X25" s="2" cm="1">
        <f t="array" aca="1" ref="X25" ca="1">MMULT(MMULT(_xlfn.ANCHORARRAY(Q25),$Q$9:$U$13),TRANSPOSE(_xlfn.ANCHORARRAY(Q25)))</f>
        <v>2.7445100525611319E-4</v>
      </c>
      <c r="Y25" s="2">
        <f ca="1">SQRT(X25)</f>
        <v>1.6566562867900907E-2</v>
      </c>
      <c r="Z25" s="2" cm="1">
        <f t="array" aca="1" ref="Z25" ca="1">MMULT(_xlfn.ANCHORARRAY(Q25),TRANSPOSE($Q$3:$U$3))</f>
        <v>8.7114013780695688E-4</v>
      </c>
      <c r="AA25" s="11">
        <f ca="1">AVEDEV(Q25*$Q$3,R25*$R$3,S25*$S$3,T25*$T$3,U25*$U$3)</f>
        <v>4.3871091920274364E-5</v>
      </c>
      <c r="AB25" s="11" cm="1">
        <f t="array" aca="1" ref="AB25" ca="1">MMULT(_xlfn.ANCHORARRAY(Q25),TRANSPOSE($Q$6:$U$6))</f>
        <v>-2.2460863717664033E-2</v>
      </c>
      <c r="AD25" s="2" t="s">
        <v>16</v>
      </c>
      <c r="AE25" s="10" cm="1">
        <f t="array" aca="1" ref="AE25:AI25" ca="1">_xlfn.LET(_xlpm.array,_xlfn.RANDARRAY(1,COLUMNS(_xlfn.ANCHORARRAY(Q24)),-1,1,FALSE),_xlpm.array/SUM(_xlpm.array))</f>
        <v>3.737625615329542</v>
      </c>
      <c r="AF25" s="10">
        <f ca="1"/>
        <v>-3.9520038246536848</v>
      </c>
      <c r="AG25" s="10">
        <f ca="1"/>
        <v>0.34007972422452454</v>
      </c>
      <c r="AH25" s="10">
        <f ca="1"/>
        <v>-2.3720796827751256</v>
      </c>
      <c r="AI25" s="10">
        <f ca="1"/>
        <v>3.2463781678747443</v>
      </c>
      <c r="AK25" s="2" cm="1">
        <f t="array" aca="1" ref="AK25" ca="1">MMULT(MMULT(_xlfn.ANCHORARRAY(AE25),$Q$9:$U$13),TRANSPOSE(_xlfn.ANCHORARRAY(AE25)))</f>
        <v>1.4481980385705688E-2</v>
      </c>
      <c r="AL25" s="2">
        <f ca="1">SQRT(AK25)</f>
        <v>0.12034110015163435</v>
      </c>
      <c r="AM25" s="2" cm="1">
        <f t="array" aca="1" ref="AM25" ca="1">MMULT(_xlfn.ANCHORARRAY(AE26),TRANSPOSE($Q$3:$U$3))</f>
        <v>1.4423559138151457E-3</v>
      </c>
    </row>
    <row r="26" spans="1:40" x14ac:dyDescent="0.35">
      <c r="A26" s="3">
        <v>43867</v>
      </c>
      <c r="B26" s="4">
        <v>29.755060195922798</v>
      </c>
      <c r="C26" s="4">
        <v>82.969764709472599</v>
      </c>
      <c r="D26" s="4">
        <v>24.448894500732401</v>
      </c>
      <c r="E26" s="4">
        <v>11.6733198165893</v>
      </c>
      <c r="F26" s="4">
        <v>173.95622253417901</v>
      </c>
      <c r="I26" s="5">
        <f>B26/B25-1</f>
        <v>-1.152500019047431E-3</v>
      </c>
      <c r="J26" s="5">
        <f>C26/C25-1</f>
        <v>-7.1638406855468739E-3</v>
      </c>
      <c r="K26" s="5">
        <f>D26/D25-1</f>
        <v>4.0558971203864314E-2</v>
      </c>
      <c r="L26" s="5">
        <f>E26/E25-1</f>
        <v>-3.8151561287531943E-2</v>
      </c>
      <c r="M26" s="5">
        <f>F26/F25-1</f>
        <v>2.0733970040345051E-2</v>
      </c>
      <c r="N26" s="5">
        <f>SUMPRODUCT(I26:M26,$AJ$13:$AN$13)</f>
        <v>1.0785498210949008E-2</v>
      </c>
      <c r="P26" s="2" t="s">
        <v>17</v>
      </c>
      <c r="Q26" s="10" cm="1">
        <f t="array" aca="1" ref="Q26:U26" ca="1">_xlfn.LET(_xlpm.array,_xlfn.RANDARRAY(1,COLUMNS(_xlfn.ANCHORARRAY(Q25)),0,1,FALSE),_xlpm.array/SUM(_xlpm.array))</f>
        <v>0.18574909021999728</v>
      </c>
      <c r="R26" s="2">
        <f ca="1"/>
        <v>0.18895242762735684</v>
      </c>
      <c r="S26" s="2">
        <f ca="1"/>
        <v>0.1146141255867492</v>
      </c>
      <c r="T26" s="2">
        <f ca="1"/>
        <v>0.22835320980982032</v>
      </c>
      <c r="U26" s="2">
        <f ca="1"/>
        <v>0.28233114675607635</v>
      </c>
      <c r="V26" s="12"/>
      <c r="X26" s="2" cm="1">
        <f t="array" aca="1" ref="X26" ca="1">MMULT(MMULT(_xlfn.ANCHORARRAY(Q26),$Q$9:$U$13),TRANSPOSE(_xlfn.ANCHORARRAY(Q26)))</f>
        <v>2.5961571267105627E-4</v>
      </c>
      <c r="Y26" s="2">
        <f t="shared" ref="Y26:Y89" ca="1" si="6">SQRT(X26)</f>
        <v>1.6112594845991018E-2</v>
      </c>
      <c r="Z26" s="2" cm="1">
        <f t="array" aca="1" ref="Z26" ca="1">MMULT(_xlfn.ANCHORARRAY(Q26),TRANSPOSE($Q$3:$U$3))</f>
        <v>8.6775175334168997E-4</v>
      </c>
      <c r="AA26" s="11">
        <f ca="1">AVEDEV(Q26*$Q$3,R26*$R$3,S26*$S$3,T26*$T$3,U26*$U$3)</f>
        <v>4.5885592881743244E-5</v>
      </c>
      <c r="AB26" s="11" cm="1">
        <f t="array" aca="1" ref="AB26" ca="1">MMULT(_xlfn.ANCHORARRAY(Q26),TRANSPOSE($Q$6:$U$6))</f>
        <v>-2.2447011599407672E-2</v>
      </c>
      <c r="AD26" s="2" t="s">
        <v>17</v>
      </c>
      <c r="AE26" s="10" cm="1">
        <f t="array" aca="1" ref="AE26:AI26" ca="1">_xlfn.LET(_xlpm.array,_xlfn.RANDARRAY(1,COLUMNS(_xlfn.ANCHORARRAY(Q25)),-1,1,FALSE),_xlpm.array/SUM(_xlpm.array))</f>
        <v>0.29021624930393086</v>
      </c>
      <c r="AF26" s="10">
        <f ca="1"/>
        <v>5.5912817745665089E-2</v>
      </c>
      <c r="AG26" s="10">
        <f ca="1"/>
        <v>0.85207495710375702</v>
      </c>
      <c r="AH26" s="10">
        <f ca="1"/>
        <v>8.510400842685463E-2</v>
      </c>
      <c r="AI26" s="10">
        <f ca="1"/>
        <v>-0.28330803258020759</v>
      </c>
      <c r="AJ26" s="1"/>
      <c r="AK26" s="2" cm="1">
        <f t="array" aca="1" ref="AK26" ca="1">MMULT(MMULT(_xlfn.ANCHORARRAY(AE26),$Q$9:$U$13),TRANSPOSE(_xlfn.ANCHORARRAY(AE26)))</f>
        <v>7.3474733902484119E-4</v>
      </c>
      <c r="AL26" s="2">
        <f t="shared" ref="AL26:AL89" ca="1" si="7">SQRT(AK26)</f>
        <v>2.7106223252693119E-2</v>
      </c>
      <c r="AM26" s="2" cm="1">
        <f t="array" aca="1" ref="AM26" ca="1">MMULT(_xlfn.ANCHORARRAY(AE27),TRANSPOSE($Q$3:$U$3))</f>
        <v>6.5083412473960697E-4</v>
      </c>
    </row>
    <row r="27" spans="1:40" x14ac:dyDescent="0.35">
      <c r="A27" s="3">
        <v>43868</v>
      </c>
      <c r="B27" s="4">
        <v>29.703577041625898</v>
      </c>
      <c r="C27" s="4">
        <v>82.553039550781193</v>
      </c>
      <c r="D27" s="4">
        <v>23.879886627197202</v>
      </c>
      <c r="E27" s="4">
        <v>11.2689952850341</v>
      </c>
      <c r="F27" s="4">
        <v>174.20252990722599</v>
      </c>
      <c r="I27" s="5">
        <f>B27/B26-1</f>
        <v>-1.7302318986386345E-3</v>
      </c>
      <c r="J27" s="5">
        <f>C27/C26-1</f>
        <v>-5.0226146856100495E-3</v>
      </c>
      <c r="K27" s="5">
        <f>D27/D26-1</f>
        <v>-2.3273357963819352E-2</v>
      </c>
      <c r="L27" s="5">
        <f>E27/E26-1</f>
        <v>-3.4636636184729785E-2</v>
      </c>
      <c r="M27" s="5">
        <f>F27/F26-1</f>
        <v>1.4159158520390402E-3</v>
      </c>
      <c r="N27" s="5">
        <f>SUMPRODUCT(I27:M27,$AJ$13:$AN$13)</f>
        <v>-2.7164056218662729E-2</v>
      </c>
      <c r="P27" s="2" t="s">
        <v>18</v>
      </c>
      <c r="Q27" s="10" cm="1">
        <f t="array" aca="1" ref="Q27:U27" ca="1">_xlfn.LET(_xlpm.array,_xlfn.RANDARRAY(1,COLUMNS(_xlfn.ANCHORARRAY(Q26)),0,1,FALSE),_xlpm.array/SUM(_xlpm.array))</f>
        <v>0.15631913051640189</v>
      </c>
      <c r="R27" s="2">
        <f ca="1"/>
        <v>0.26758673961181173</v>
      </c>
      <c r="S27" s="2">
        <f ca="1"/>
        <v>0.11986548780890652</v>
      </c>
      <c r="T27" s="2">
        <f ca="1"/>
        <v>0.12725984475237914</v>
      </c>
      <c r="U27" s="2">
        <f ca="1"/>
        <v>0.32896879731050066</v>
      </c>
      <c r="V27" s="12"/>
      <c r="X27" s="2" cm="1">
        <f t="array" aca="1" ref="X27" ca="1">MMULT(MMULT(_xlfn.ANCHORARRAY(Q27),$Q$9:$U$13),TRANSPOSE(_xlfn.ANCHORARRAY(Q27)))</f>
        <v>2.5354050845598989E-4</v>
      </c>
      <c r="Y27" s="2">
        <f t="shared" ca="1" si="6"/>
        <v>1.5922955393267605E-2</v>
      </c>
      <c r="Z27" s="2" cm="1">
        <f t="array" aca="1" ref="Z27" ca="1">MMULT(_xlfn.ANCHORARRAY(Q27),TRANSPOSE($Q$3:$U$3))</f>
        <v>8.5113642022109528E-4</v>
      </c>
      <c r="AA27" s="11">
        <f ca="1">AVEDEV(Q27*$Q$3,R27*$R$3,S27*$S$3,T27*$T$3,U27*$U$3)</f>
        <v>5.2398047866280474E-5</v>
      </c>
      <c r="AB27" s="11" cm="1">
        <f t="array" aca="1" ref="AB27" ca="1">MMULT(_xlfn.ANCHORARRAY(Q27),TRANSPOSE($Q$6:$U$6))</f>
        <v>-2.1968368952948392E-2</v>
      </c>
      <c r="AD27" s="2" t="s">
        <v>18</v>
      </c>
      <c r="AE27" s="10" cm="1">
        <f t="array" aca="1" ref="AE27:AI27" ca="1">_xlfn.LET(_xlpm.array,_xlfn.RANDARRAY(1,COLUMNS(_xlfn.ANCHORARRAY(Q26)),-1,1,FALSE),_xlpm.array/SUM(_xlpm.array))</f>
        <v>0.23216728825040434</v>
      </c>
      <c r="AF27" s="10">
        <f ca="1"/>
        <v>0.35139930835160443</v>
      </c>
      <c r="AG27" s="10">
        <f ca="1"/>
        <v>-4.8354589815675302E-2</v>
      </c>
      <c r="AH27" s="10">
        <f ca="1"/>
        <v>-2.868419799434252E-3</v>
      </c>
      <c r="AI27" s="10">
        <f ca="1"/>
        <v>0.4676564130131009</v>
      </c>
      <c r="AJ27" s="1"/>
      <c r="AK27" s="2" cm="1">
        <f t="array" aca="1" ref="AK27" ca="1">MMULT(MMULT(_xlfn.ANCHORARRAY(AE27),$Q$9:$U$13),TRANSPOSE(_xlfn.ANCHORARRAY(AE27)))</f>
        <v>2.5571341217569871E-4</v>
      </c>
      <c r="AL27" s="2">
        <f t="shared" ca="1" si="7"/>
        <v>1.5991041622599157E-2</v>
      </c>
      <c r="AM27" s="2" cm="1">
        <f t="array" aca="1" ref="AM27" ca="1">MMULT(_xlfn.ANCHORARRAY(AE28),TRANSPOSE($Q$3:$U$3))</f>
        <v>1.4321704149478352E-3</v>
      </c>
    </row>
    <row r="28" spans="1:40" x14ac:dyDescent="0.35">
      <c r="A28" s="3">
        <v>43871</v>
      </c>
      <c r="B28" s="4">
        <v>29.772230148315401</v>
      </c>
      <c r="C28" s="4">
        <v>83.197135925292898</v>
      </c>
      <c r="D28" s="4">
        <v>24.1065654754638</v>
      </c>
      <c r="E28" s="4">
        <v>10.9037933349609</v>
      </c>
      <c r="F28" s="4">
        <v>178.75906372070301</v>
      </c>
      <c r="I28" s="5">
        <f>B28/B27-1</f>
        <v>2.3112740459942938E-3</v>
      </c>
      <c r="J28" s="5">
        <f>C28/C27-1</f>
        <v>7.8022127109627082E-3</v>
      </c>
      <c r="K28" s="5">
        <f>D28/D27-1</f>
        <v>9.4924591479605969E-3</v>
      </c>
      <c r="L28" s="5">
        <f>E28/E27-1</f>
        <v>-3.2407676180165712E-2</v>
      </c>
      <c r="M28" s="5">
        <f>F28/F27-1</f>
        <v>2.6156530653737686E-2</v>
      </c>
      <c r="N28" s="5">
        <f>SUMPRODUCT(I28:M28,$AJ$13:$AN$13)</f>
        <v>-2.3868150449542092E-3</v>
      </c>
      <c r="P28" s="2" t="s">
        <v>19</v>
      </c>
      <c r="Q28" s="10" cm="1">
        <f t="array" aca="1" ref="Q28:U28" ca="1">_xlfn.LET(_xlpm.array,_xlfn.RANDARRAY(1,COLUMNS(_xlfn.ANCHORARRAY(Q27)),0,1,FALSE),_xlpm.array/SUM(_xlpm.array))</f>
        <v>0.37166383661761149</v>
      </c>
      <c r="R28" s="2">
        <f ca="1"/>
        <v>0.24116581213502999</v>
      </c>
      <c r="S28" s="2">
        <f ca="1"/>
        <v>7.5019811696965408E-2</v>
      </c>
      <c r="T28" s="2">
        <f ca="1"/>
        <v>0.29477085501401984</v>
      </c>
      <c r="U28" s="2">
        <f ca="1"/>
        <v>1.7379684536373285E-2</v>
      </c>
      <c r="V28" s="12"/>
      <c r="X28" s="2" cm="1">
        <f t="array" aca="1" ref="X28" ca="1">MMULT(MMULT(_xlfn.ANCHORARRAY(Q28),$Q$9:$U$13),TRANSPOSE(_xlfn.ANCHORARRAY(Q28)))</f>
        <v>3.3140621849835148E-4</v>
      </c>
      <c r="Y28" s="2">
        <f t="shared" ca="1" si="6"/>
        <v>1.82045658695381E-2</v>
      </c>
      <c r="Z28" s="2" cm="1">
        <f t="array" aca="1" ref="Z28" ca="1">MMULT(_xlfn.ANCHORARRAY(Q28),TRANSPOSE($Q$3:$U$3))</f>
        <v>8.0127354782245799E-4</v>
      </c>
      <c r="AA28" s="11">
        <f ca="1">AVEDEV(Q28*$Q$3,R28*$R$3,S28*$S$3,T28*$T$3,U28*$U$3)</f>
        <v>7.4153707543238726E-5</v>
      </c>
      <c r="AB28" s="11" cm="1">
        <f t="array" aca="1" ref="AB28" ca="1">MMULT(_xlfn.ANCHORARRAY(Q28),TRANSPOSE($Q$6:$U$6))</f>
        <v>-2.2802872592964967E-2</v>
      </c>
      <c r="AD28" s="2" t="s">
        <v>19</v>
      </c>
      <c r="AE28" s="10" cm="1">
        <f t="array" aca="1" ref="AE28:AI28" ca="1">_xlfn.LET(_xlpm.array,_xlfn.RANDARRAY(1,COLUMNS(_xlfn.ANCHORARRAY(Q27)),-1,1,FALSE),_xlpm.array/SUM(_xlpm.array))</f>
        <v>5.3747506758000871E-2</v>
      </c>
      <c r="AF28" s="10">
        <f ca="1"/>
        <v>-0.43429786647224239</v>
      </c>
      <c r="AG28" s="10">
        <f ca="1"/>
        <v>0.67695960898463059</v>
      </c>
      <c r="AH28" s="10">
        <f ca="1"/>
        <v>0.32897109569678595</v>
      </c>
      <c r="AI28" s="10">
        <f ca="1"/>
        <v>0.37461965503282502</v>
      </c>
      <c r="AJ28" s="1"/>
      <c r="AK28" s="2" cm="1">
        <f t="array" aca="1" ref="AK28" ca="1">MMULT(MMULT(_xlfn.ANCHORARRAY(AE28),$Q$9:$U$13),TRANSPOSE(_xlfn.ANCHORARRAY(AE28)))</f>
        <v>5.7443327620312879E-4</v>
      </c>
      <c r="AL28" s="2">
        <f t="shared" ca="1" si="7"/>
        <v>2.3967337695353832E-2</v>
      </c>
      <c r="AM28" s="2" cm="1">
        <f t="array" aca="1" ref="AM28" ca="1">MMULT(_xlfn.ANCHORARRAY(AE29),TRANSPOSE($Q$3:$U$3))</f>
        <v>2.7926605865163294E-4</v>
      </c>
    </row>
    <row r="29" spans="1:40" x14ac:dyDescent="0.35">
      <c r="A29" s="3">
        <v>43872</v>
      </c>
      <c r="B29" s="4">
        <v>29.8408889770507</v>
      </c>
      <c r="C29" s="4">
        <v>84.273170471191406</v>
      </c>
      <c r="D29" s="4">
        <v>24.175956726074201</v>
      </c>
      <c r="E29" s="4">
        <v>11.242906570434499</v>
      </c>
      <c r="F29" s="4">
        <v>174.72349548339801</v>
      </c>
      <c r="I29" s="5">
        <f>B29/B28-1</f>
        <v>2.3061365706653625E-3</v>
      </c>
      <c r="J29" s="5">
        <f>C29/C28-1</f>
        <v>1.2933552747113053E-2</v>
      </c>
      <c r="K29" s="5">
        <f>D29/D28-1</f>
        <v>2.8785208196093759E-3</v>
      </c>
      <c r="L29" s="5">
        <f>E29/E28-1</f>
        <v>3.1100482653710904E-2</v>
      </c>
      <c r="M29" s="5">
        <f>F29/F28-1</f>
        <v>-2.2575460809138415E-2</v>
      </c>
      <c r="N29" s="5">
        <f>SUMPRODUCT(I29:M29,$AJ$13:$AN$13)</f>
        <v>7.3987367815122728E-3</v>
      </c>
      <c r="P29" s="2" t="s">
        <v>20</v>
      </c>
      <c r="Q29" s="10" cm="1">
        <f t="array" aca="1" ref="Q29:U29" ca="1">_xlfn.LET(_xlpm.array,_xlfn.RANDARRAY(1,COLUMNS(_xlfn.ANCHORARRAY(Q28)),0,1,FALSE),_xlpm.array/SUM(_xlpm.array))</f>
        <v>0.16649179963386782</v>
      </c>
      <c r="R29" s="2">
        <f ca="1"/>
        <v>9.6590332082414868E-2</v>
      </c>
      <c r="S29" s="2">
        <f ca="1"/>
        <v>9.719210492647018E-2</v>
      </c>
      <c r="T29" s="2">
        <f ca="1"/>
        <v>0.47297120260158793</v>
      </c>
      <c r="U29" s="2">
        <f ca="1"/>
        <v>0.16675456075565911</v>
      </c>
      <c r="V29" s="12"/>
      <c r="X29" s="2" cm="1">
        <f t="array" aca="1" ref="X29" ca="1">MMULT(MMULT(_xlfn.ANCHORARRAY(Q29),$Q$9:$U$13),TRANSPOSE(_xlfn.ANCHORARRAY(Q29)))</f>
        <v>3.0941457803912925E-4</v>
      </c>
      <c r="Y29" s="2">
        <f t="shared" ca="1" si="6"/>
        <v>1.759018413886362E-2</v>
      </c>
      <c r="Z29" s="2" cm="1">
        <f t="array" aca="1" ref="Z29" ca="1">MMULT(_xlfn.ANCHORARRAY(Q29),TRANSPOSE($Q$3:$U$3))</f>
        <v>9.2373126173441345E-4</v>
      </c>
      <c r="AA29" s="11">
        <f ca="1">AVEDEV(Q29*$Q$3,R29*$R$3,S29*$S$3,T29*$T$3,U29*$U$3)</f>
        <v>1.193796915073615E-4</v>
      </c>
      <c r="AB29" s="11" cm="1">
        <f t="array" aca="1" ref="AB29" ca="1">MMULT(_xlfn.ANCHORARRAY(Q29),TRANSPOSE($Q$6:$U$6))</f>
        <v>-2.3484229422522405E-2</v>
      </c>
      <c r="AD29" s="2" t="s">
        <v>20</v>
      </c>
      <c r="AE29" s="10" cm="1">
        <f t="array" aca="1" ref="AE29:AI29" ca="1">_xlfn.LET(_xlpm.array,_xlfn.RANDARRAY(1,COLUMNS(_xlfn.ANCHORARRAY(Q28)),-1,1,FALSE),_xlpm.array/SUM(_xlpm.array))</f>
        <v>-9.2046111433082825</v>
      </c>
      <c r="AF29" s="10">
        <f ca="1"/>
        <v>8.7494237367477847</v>
      </c>
      <c r="AG29" s="10">
        <f ca="1"/>
        <v>-4.4968801845645094</v>
      </c>
      <c r="AH29" s="10">
        <f ca="1"/>
        <v>5.1361681648562536</v>
      </c>
      <c r="AI29" s="10">
        <f ca="1"/>
        <v>0.81589942626875434</v>
      </c>
      <c r="AJ29" s="1"/>
      <c r="AK29" s="2" cm="1">
        <f t="array" aca="1" ref="AK29" ca="1">MMULT(MMULT(_xlfn.ANCHORARRAY(AE29),$Q$9:$U$13),TRANSPOSE(_xlfn.ANCHORARRAY(AE29)))</f>
        <v>6.4872791651359799E-2</v>
      </c>
      <c r="AL29" s="2">
        <f t="shared" ca="1" si="7"/>
        <v>0.25470137740373489</v>
      </c>
      <c r="AM29" s="2" cm="1">
        <f t="array" aca="1" ref="AM29" ca="1">MMULT(_xlfn.ANCHORARRAY(AE30),TRANSPOSE($Q$3:$U$3))</f>
        <v>1.5326292365933597E-3</v>
      </c>
    </row>
    <row r="30" spans="1:40" x14ac:dyDescent="0.35">
      <c r="A30" s="3">
        <v>43873</v>
      </c>
      <c r="B30" s="4">
        <v>29.9696235656738</v>
      </c>
      <c r="C30" s="4">
        <v>84.902145385742102</v>
      </c>
      <c r="D30" s="4">
        <v>24.6570720672607</v>
      </c>
      <c r="E30" s="4">
        <v>11.4385480880737</v>
      </c>
      <c r="F30" s="4">
        <v>174.97932434082</v>
      </c>
      <c r="I30" s="5">
        <f>B30/B29-1</f>
        <v>4.3140332957942729E-3</v>
      </c>
      <c r="J30" s="5">
        <f>C30/C29-1</f>
        <v>7.4635249989285501E-3</v>
      </c>
      <c r="K30" s="5">
        <f>D30/D29-1</f>
        <v>1.9900570911744131E-2</v>
      </c>
      <c r="L30" s="5">
        <f>E30/E29-1</f>
        <v>1.7401329132599841E-2</v>
      </c>
      <c r="M30" s="5">
        <f>F30/F29-1</f>
        <v>1.4641926474410205E-3</v>
      </c>
      <c r="N30" s="5">
        <f>SUMPRODUCT(I30:M30,$AJ$13:$AN$13)</f>
        <v>1.7489479844078649E-2</v>
      </c>
      <c r="P30" s="2" t="s">
        <v>21</v>
      </c>
      <c r="Q30" s="10" cm="1">
        <f t="array" aca="1" ref="Q30:U30" ca="1">_xlfn.LET(_xlpm.array,_xlfn.RANDARRAY(1,COLUMNS(_xlfn.ANCHORARRAY(Q29)),0,1,FALSE),_xlpm.array/SUM(_xlpm.array))</f>
        <v>0.20997639892733685</v>
      </c>
      <c r="R30" s="2">
        <f ca="1"/>
        <v>5.0927481057719215E-2</v>
      </c>
      <c r="S30" s="2">
        <f ca="1"/>
        <v>0.28433569984531609</v>
      </c>
      <c r="T30" s="2">
        <f ca="1"/>
        <v>0.25207583838223735</v>
      </c>
      <c r="U30" s="2">
        <f ca="1"/>
        <v>0.20268458178739066</v>
      </c>
      <c r="V30" s="12"/>
      <c r="X30" s="2" cm="1">
        <f t="array" aca="1" ref="X30" ca="1">MMULT(MMULT(_xlfn.ANCHORARRAY(Q30),$Q$9:$U$13),TRANSPOSE(_xlfn.ANCHORARRAY(Q30)))</f>
        <v>2.9774976604739147E-4</v>
      </c>
      <c r="Y30" s="2">
        <f t="shared" ca="1" si="6"/>
        <v>1.7255427147636521E-2</v>
      </c>
      <c r="Z30" s="2" cm="1">
        <f t="array" aca="1" ref="Z30" ca="1">MMULT(_xlfn.ANCHORARRAY(Q30),TRANSPOSE($Q$3:$U$3))</f>
        <v>1.0182194184835715E-3</v>
      </c>
      <c r="AA30" s="11">
        <f ca="1">AVEDEV(Q30*$Q$3,R30*$R$3,S30*$S$3,T30*$T$3,U30*$U$3)</f>
        <v>1.2479944910741321E-4</v>
      </c>
      <c r="AB30" s="11" cm="1">
        <f t="array" aca="1" ref="AB30" ca="1">MMULT(_xlfn.ANCHORARRAY(Q30),TRANSPOSE($Q$6:$U$6))</f>
        <v>-2.3729181880825227E-2</v>
      </c>
      <c r="AD30" s="2" t="s">
        <v>21</v>
      </c>
      <c r="AE30" s="10" cm="1">
        <f t="array" aca="1" ref="AE30:AI30" ca="1">_xlfn.LET(_xlpm.array,_xlfn.RANDARRAY(1,COLUMNS(_xlfn.ANCHORARRAY(Q29)),-1,1,FALSE),_xlpm.array/SUM(_xlpm.array))</f>
        <v>0.33169562404221625</v>
      </c>
      <c r="AF30" s="10">
        <f ca="1"/>
        <v>0.30575113542551147</v>
      </c>
      <c r="AG30" s="10">
        <f ca="1"/>
        <v>0.81646899157621944</v>
      </c>
      <c r="AH30" s="10">
        <f ca="1"/>
        <v>0.63096119243652071</v>
      </c>
      <c r="AI30" s="10">
        <f ca="1"/>
        <v>-1.0848769434804679</v>
      </c>
      <c r="AJ30" s="1"/>
      <c r="AK30" s="2" cm="1">
        <f t="array" aca="1" ref="AK30" ca="1">MMULT(MMULT(_xlfn.ANCHORARRAY(AE30),$Q$9:$U$13),TRANSPOSE(_xlfn.ANCHORARRAY(AE30)))</f>
        <v>1.2762000911052777E-3</v>
      </c>
      <c r="AL30" s="2">
        <f t="shared" ca="1" si="7"/>
        <v>3.5723942826979188E-2</v>
      </c>
      <c r="AM30" s="2" cm="1">
        <f t="array" aca="1" ref="AM30" ca="1">MMULT(_xlfn.ANCHORARRAY(AE31),TRANSPOSE($Q$3:$U$3))</f>
        <v>2.5735031260745627E-3</v>
      </c>
    </row>
    <row r="31" spans="1:40" x14ac:dyDescent="0.35">
      <c r="A31" s="3">
        <v>43874</v>
      </c>
      <c r="B31" s="4">
        <v>29.961055755615199</v>
      </c>
      <c r="C31" s="4">
        <v>84.614181518554602</v>
      </c>
      <c r="D31" s="4">
        <v>24.310115814208899</v>
      </c>
      <c r="E31" s="4">
        <v>11.399419784545801</v>
      </c>
      <c r="F31" s="4">
        <v>174.03202819824199</v>
      </c>
      <c r="I31" s="5">
        <f>B31/B30-1</f>
        <v>-2.8588313896660278E-4</v>
      </c>
      <c r="J31" s="5">
        <f>C31/C30-1</f>
        <v>-3.3917148486551918E-3</v>
      </c>
      <c r="K31" s="5">
        <f>D31/D30-1</f>
        <v>-1.4071267346964733E-2</v>
      </c>
      <c r="L31" s="5">
        <f>E31/E30-1</f>
        <v>-3.4207403969999106E-3</v>
      </c>
      <c r="M31" s="5">
        <f>F31/F30-1</f>
        <v>-5.4137604322490596E-3</v>
      </c>
      <c r="N31" s="5">
        <f>SUMPRODUCT(I31:M31,$AJ$13:$AN$13)</f>
        <v>-1.0539531813968874E-2</v>
      </c>
      <c r="P31" s="2" t="s">
        <v>22</v>
      </c>
      <c r="Q31" s="10" cm="1">
        <f t="array" aca="1" ref="Q31:U31" ca="1">_xlfn.LET(_xlpm.array,_xlfn.RANDARRAY(1,COLUMNS(_xlfn.ANCHORARRAY(Q30)),0,1,FALSE),_xlpm.array/SUM(_xlpm.array))</f>
        <v>0.10199624903753089</v>
      </c>
      <c r="R31" s="2">
        <f ca="1"/>
        <v>0.26183542559249073</v>
      </c>
      <c r="S31" s="2">
        <f ca="1"/>
        <v>0.27859794818571487</v>
      </c>
      <c r="T31" s="2">
        <f ca="1"/>
        <v>0.27560894763310334</v>
      </c>
      <c r="U31" s="2">
        <f ca="1"/>
        <v>8.1961429551159967E-2</v>
      </c>
      <c r="V31" s="12"/>
      <c r="X31" s="2" cm="1">
        <f t="array" aca="1" ref="X31" ca="1">MMULT(MMULT(_xlfn.ANCHORARRAY(Q31),$Q$9:$U$13),TRANSPOSE(_xlfn.ANCHORARRAY(Q31)))</f>
        <v>3.2508577766807823E-4</v>
      </c>
      <c r="Y31" s="2">
        <f t="shared" ca="1" si="6"/>
        <v>1.803013526483033E-2</v>
      </c>
      <c r="Z31" s="2" cm="1">
        <f t="array" aca="1" ref="Z31" ca="1">MMULT(_xlfn.ANCHORARRAY(Q31),TRANSPOSE($Q$3:$U$3))</f>
        <v>1.0397402798507256E-3</v>
      </c>
      <c r="AA31" s="11">
        <f ca="1">AVEDEV(Q31*$Q$3,R31*$R$3,S31*$S$3,T31*$T$3,U31*$U$3)</f>
        <v>1.2724559702018064E-4</v>
      </c>
      <c r="AB31" s="11" cm="1">
        <f t="array" aca="1" ref="AB31" ca="1">MMULT(_xlfn.ANCHORARRAY(Q31),TRANSPOSE($Q$6:$U$6))</f>
        <v>-2.3746653583393503E-2</v>
      </c>
      <c r="AD31" s="2" t="s">
        <v>22</v>
      </c>
      <c r="AE31" s="10" cm="1">
        <f t="array" aca="1" ref="AE31:AI31" ca="1">_xlfn.LET(_xlpm.array,_xlfn.RANDARRAY(1,COLUMNS(_xlfn.ANCHORARRAY(Q30)),-1,1,FALSE),_xlpm.array/SUM(_xlpm.array))</f>
        <v>-1.8064437071998185</v>
      </c>
      <c r="AF31" s="10">
        <f ca="1"/>
        <v>-1.1247554822616381</v>
      </c>
      <c r="AG31" s="10">
        <f ca="1"/>
        <v>1.0942058767965719</v>
      </c>
      <c r="AH31" s="10">
        <f ca="1"/>
        <v>1.4257698266598475</v>
      </c>
      <c r="AI31" s="10">
        <f ca="1"/>
        <v>1.4112234860050372</v>
      </c>
      <c r="AJ31" s="1"/>
      <c r="AK31" s="2" cm="1">
        <f t="array" aca="1" ref="AK31" ca="1">MMULT(MMULT(_xlfn.ANCHORARRAY(AE31),$Q$9:$U$13),TRANSPOSE(_xlfn.ANCHORARRAY(AE31)))</f>
        <v>2.8051183067368448E-3</v>
      </c>
      <c r="AL31" s="2">
        <f t="shared" ca="1" si="7"/>
        <v>5.296336759248646E-2</v>
      </c>
      <c r="AM31" s="2" cm="1">
        <f t="array" aca="1" ref="AM31" ca="1">MMULT(_xlfn.ANCHORARRAY(AE32),TRANSPOSE($Q$3:$U$3))</f>
        <v>2.0258622283994437E-3</v>
      </c>
    </row>
    <row r="32" spans="1:40" x14ac:dyDescent="0.35">
      <c r="A32" s="3">
        <v>43875</v>
      </c>
      <c r="B32" s="4">
        <v>29.909559249877901</v>
      </c>
      <c r="C32" s="4">
        <v>84.391860961914006</v>
      </c>
      <c r="D32" s="4">
        <v>24.462776184081999</v>
      </c>
      <c r="E32" s="4">
        <v>11.3798561096191</v>
      </c>
      <c r="F32" s="4">
        <v>175.58561706542901</v>
      </c>
      <c r="I32" s="5">
        <f>B32/B31-1</f>
        <v>-1.7187814126892187E-3</v>
      </c>
      <c r="J32" s="5">
        <f>C32/C31-1</f>
        <v>-2.6274621186502811E-3</v>
      </c>
      <c r="K32" s="5">
        <f>D32/D31-1</f>
        <v>6.2797055777032984E-3</v>
      </c>
      <c r="L32" s="5">
        <f>E32/E31-1</f>
        <v>-1.7161991835078494E-3</v>
      </c>
      <c r="M32" s="5">
        <f>F32/F31-1</f>
        <v>8.9270284514371134E-3</v>
      </c>
      <c r="N32" s="5">
        <f>SUMPRODUCT(I32:M32,$AJ$13:$AN$13)</f>
        <v>6.0329779436549954E-3</v>
      </c>
      <c r="P32" s="2" t="s">
        <v>23</v>
      </c>
      <c r="Q32" s="10" cm="1">
        <f t="array" aca="1" ref="Q32:U32" ca="1">_xlfn.LET(_xlpm.array,_xlfn.RANDARRAY(1,COLUMNS(_xlfn.ANCHORARRAY(Q31)),0,1,FALSE),_xlpm.array/SUM(_xlpm.array))</f>
        <v>0.25063527306831668</v>
      </c>
      <c r="R32" s="2">
        <f ca="1"/>
        <v>0.18907970494960344</v>
      </c>
      <c r="S32" s="2">
        <f ca="1"/>
        <v>0.11103287713985695</v>
      </c>
      <c r="T32" s="2">
        <f ca="1"/>
        <v>0.16120323144690574</v>
      </c>
      <c r="U32" s="2">
        <f ca="1"/>
        <v>0.28804891339531707</v>
      </c>
      <c r="V32" s="12"/>
      <c r="X32" s="2" cm="1">
        <f t="array" aca="1" ref="X32" ca="1">MMULT(MMULT(_xlfn.ANCHORARRAY(Q32),$Q$9:$U$13),TRANSPOSE(_xlfn.ANCHORARRAY(Q32)))</f>
        <v>2.5719072001590976E-4</v>
      </c>
      <c r="Y32" s="2">
        <f t="shared" ca="1" si="6"/>
        <v>1.6037166832577061E-2</v>
      </c>
      <c r="Z32" s="2" cm="1">
        <f t="array" aca="1" ref="Z32" ca="1">MMULT(_xlfn.ANCHORARRAY(Q32),TRANSPOSE($Q$3:$U$3))</f>
        <v>8.3077859257197511E-4</v>
      </c>
      <c r="AA32" s="11">
        <f ca="1">AVEDEV(Q32*$Q$3,R32*$R$3,S32*$S$3,T32*$T$3,U32*$U$3)</f>
        <v>2.7328540980072889E-5</v>
      </c>
      <c r="AB32" s="11" cm="1">
        <f t="array" aca="1" ref="AB32" ca="1">MMULT(_xlfn.ANCHORARRAY(Q32),TRANSPOSE($Q$6:$U$6))</f>
        <v>-2.2179877563386425E-2</v>
      </c>
      <c r="AD32" s="2" t="s">
        <v>23</v>
      </c>
      <c r="AE32" s="10" cm="1">
        <f t="array" aca="1" ref="AE32:AI32" ca="1">_xlfn.LET(_xlpm.array,_xlfn.RANDARRAY(1,COLUMNS(_xlfn.ANCHORARRAY(Q31)),-1,1,FALSE),_xlpm.array/SUM(_xlpm.array))</f>
        <v>-0.45461872105911422</v>
      </c>
      <c r="AF32" s="10">
        <f ca="1"/>
        <v>0.65570148510726589</v>
      </c>
      <c r="AG32" s="10">
        <f ca="1"/>
        <v>1.8307028503091283</v>
      </c>
      <c r="AH32" s="10">
        <f ca="1"/>
        <v>-1.5804283769734768</v>
      </c>
      <c r="AI32" s="10">
        <f ca="1"/>
        <v>0.54864276261619704</v>
      </c>
      <c r="AJ32" s="1"/>
      <c r="AK32" s="2" cm="1">
        <f t="array" aca="1" ref="AK32" ca="1">MMULT(MMULT(_xlfn.ANCHORARRAY(AE32),$Q$9:$U$13),TRANSPOSE(_xlfn.ANCHORARRAY(AE32)))</f>
        <v>3.4227738444335396E-3</v>
      </c>
      <c r="AL32" s="2">
        <f t="shared" ca="1" si="7"/>
        <v>5.8504477131528489E-2</v>
      </c>
      <c r="AM32" s="2" cm="1">
        <f t="array" aca="1" ref="AM32" ca="1">MMULT(_xlfn.ANCHORARRAY(AE33),TRANSPOSE($Q$3:$U$3))</f>
        <v>-2.1020152508052191E-3</v>
      </c>
    </row>
    <row r="33" spans="1:39" x14ac:dyDescent="0.35">
      <c r="A33" s="3">
        <v>43879</v>
      </c>
      <c r="B33" s="4">
        <v>29.4117736816406</v>
      </c>
      <c r="C33" s="4">
        <v>84.514518737792898</v>
      </c>
      <c r="D33" s="4">
        <v>24.411888122558501</v>
      </c>
      <c r="E33" s="4">
        <v>11.333517074584901</v>
      </c>
      <c r="F33" s="4">
        <v>177.36653137207</v>
      </c>
      <c r="I33" s="5">
        <f>B33/B32-1</f>
        <v>-1.6643025866030836E-2</v>
      </c>
      <c r="J33" s="5">
        <f>C33/C32-1</f>
        <v>1.4534313437435387E-3</v>
      </c>
      <c r="K33" s="5">
        <f>D33/D32-1</f>
        <v>-2.0802243024490297E-3</v>
      </c>
      <c r="L33" s="5">
        <f>E33/E32-1</f>
        <v>-4.0720229313822021E-3</v>
      </c>
      <c r="M33" s="5">
        <f>F33/F32-1</f>
        <v>1.014271178018733E-2</v>
      </c>
      <c r="N33" s="5">
        <f>SUMPRODUCT(I33:M33,$AJ$13:$AN$13)</f>
        <v>5.1681049932306919E-3</v>
      </c>
      <c r="P33" s="2" t="s">
        <v>24</v>
      </c>
      <c r="Q33" s="10" cm="1">
        <f t="array" aca="1" ref="Q33:U33" ca="1">_xlfn.LET(_xlpm.array,_xlfn.RANDARRAY(1,COLUMNS(_xlfn.ANCHORARRAY(Q32)),0,1,FALSE),_xlpm.array/SUM(_xlpm.array))</f>
        <v>6.2662350036650147E-2</v>
      </c>
      <c r="R33" s="2">
        <f ca="1"/>
        <v>0.3613619142650305</v>
      </c>
      <c r="S33" s="2">
        <f ca="1"/>
        <v>0.41845571938755144</v>
      </c>
      <c r="T33" s="2">
        <f ca="1"/>
        <v>8.0127873232896912E-2</v>
      </c>
      <c r="U33" s="2">
        <f ca="1"/>
        <v>7.7392143077870998E-2</v>
      </c>
      <c r="V33" s="12"/>
      <c r="X33" s="2" cm="1">
        <f t="array" aca="1" ref="X33" ca="1">MMULT(MMULT(_xlfn.ANCHORARRAY(Q33),$Q$9:$U$13),TRANSPOSE(_xlfn.ANCHORARRAY(Q33)))</f>
        <v>3.6514597398253898E-4</v>
      </c>
      <c r="Y33" s="2">
        <f t="shared" ca="1" si="6"/>
        <v>1.91087931063827E-2</v>
      </c>
      <c r="Z33" s="2" cm="1">
        <f t="array" aca="1" ref="Z33" ca="1">MMULT(_xlfn.ANCHORARRAY(Q33),TRANSPOSE($Q$3:$U$3))</f>
        <v>1.1163545805234869E-3</v>
      </c>
      <c r="AA33" s="11">
        <f ca="1">AVEDEV(Q33*$Q$3,R33*$R$3,S33*$S$3,T33*$T$3,U33*$U$3)</f>
        <v>1.9876446412709693E-4</v>
      </c>
      <c r="AB33" s="11" cm="1">
        <f t="array" aca="1" ref="AB33" ca="1">MMULT(_xlfn.ANCHORARRAY(Q33),TRANSPOSE($Q$6:$U$6))</f>
        <v>-2.3733177694875263E-2</v>
      </c>
      <c r="AD33" s="2" t="s">
        <v>24</v>
      </c>
      <c r="AE33" s="10" cm="1">
        <f t="array" aca="1" ref="AE33:AI33" ca="1">_xlfn.LET(_xlpm.array,_xlfn.RANDARRAY(1,COLUMNS(_xlfn.ANCHORARRAY(Q32)),-1,1,FALSE),_xlpm.array/SUM(_xlpm.array))</f>
        <v>2.197927754246721</v>
      </c>
      <c r="AF33" s="10">
        <f ca="1"/>
        <v>1.6527453198563433</v>
      </c>
      <c r="AG33" s="10">
        <f ca="1"/>
        <v>-2.8211771895610696</v>
      </c>
      <c r="AH33" s="10">
        <f ca="1"/>
        <v>0.69383364435647077</v>
      </c>
      <c r="AI33" s="10">
        <f ca="1"/>
        <v>-0.72332952889846613</v>
      </c>
      <c r="AJ33" s="1"/>
      <c r="AK33" s="2" cm="1">
        <f t="array" aca="1" ref="AK33" ca="1">MMULT(MMULT(_xlfn.ANCHORARRAY(AE33),$Q$9:$U$13),TRANSPOSE(_xlfn.ANCHORARRAY(AE33)))</f>
        <v>8.7068442030743803E-3</v>
      </c>
      <c r="AL33" s="2">
        <f t="shared" ca="1" si="7"/>
        <v>9.3310472097586028E-2</v>
      </c>
      <c r="AM33" s="2" cm="1">
        <f t="array" aca="1" ref="AM33" ca="1">MMULT(_xlfn.ANCHORARRAY(AE34),TRANSPOSE($Q$3:$U$3))</f>
        <v>9.6915253247028925E-4</v>
      </c>
    </row>
    <row r="34" spans="1:39" x14ac:dyDescent="0.35">
      <c r="A34" s="3">
        <v>43880</v>
      </c>
      <c r="B34" s="4">
        <v>29.797985076904201</v>
      </c>
      <c r="C34" s="4">
        <v>84.897811889648395</v>
      </c>
      <c r="D34" s="4">
        <v>24.675575256347599</v>
      </c>
      <c r="E34" s="4">
        <v>11.479157447814901</v>
      </c>
      <c r="F34" s="4">
        <v>177.89848327636699</v>
      </c>
      <c r="I34" s="5">
        <f>B34/B33-1</f>
        <v>1.3131183431643212E-2</v>
      </c>
      <c r="J34" s="5">
        <f>C34/C33-1</f>
        <v>4.5352343902551606E-3</v>
      </c>
      <c r="K34" s="5">
        <f>D34/D33-1</f>
        <v>1.0801587016345149E-2</v>
      </c>
      <c r="L34" s="5">
        <f>E34/E33-1</f>
        <v>1.2850412830505586E-2</v>
      </c>
      <c r="M34" s="5">
        <f>F34/F33-1</f>
        <v>2.9991673185574275E-3</v>
      </c>
      <c r="N34" s="5">
        <f>SUMPRODUCT(I34:M34,$AJ$13:$AN$13)</f>
        <v>8.6840935323752155E-3</v>
      </c>
      <c r="P34" s="2" t="s">
        <v>25</v>
      </c>
      <c r="Q34" s="10" cm="1">
        <f t="array" aca="1" ref="Q34:U34" ca="1">_xlfn.LET(_xlpm.array,_xlfn.RANDARRAY(1,COLUMNS(_xlfn.ANCHORARRAY(Q33)),0,1,FALSE),_xlpm.array/SUM(_xlpm.array))</f>
        <v>0.29178611428242218</v>
      </c>
      <c r="R34" s="2">
        <f ca="1"/>
        <v>0.18943145839584472</v>
      </c>
      <c r="S34" s="2">
        <f ca="1"/>
        <v>0.11629748348662419</v>
      </c>
      <c r="T34" s="2">
        <f ca="1"/>
        <v>0.16001918759594927</v>
      </c>
      <c r="U34" s="2">
        <f ca="1"/>
        <v>0.24246575623915967</v>
      </c>
      <c r="V34" s="12"/>
      <c r="X34" s="2" cm="1">
        <f t="array" aca="1" ref="X34" ca="1">MMULT(MMULT(_xlfn.ANCHORARRAY(Q34),$Q$9:$U$13),TRANSPOSE(_xlfn.ANCHORARRAY(Q34)))</f>
        <v>2.647647573409789E-4</v>
      </c>
      <c r="Y34" s="2">
        <f t="shared" ca="1" si="6"/>
        <v>1.6271593571035962E-2</v>
      </c>
      <c r="Z34" s="2" cm="1">
        <f t="array" aca="1" ref="Z34" ca="1">MMULT(_xlfn.ANCHORARRAY(Q34),TRANSPOSE($Q$3:$U$3))</f>
        <v>8.2442585080853533E-4</v>
      </c>
      <c r="AA34" s="11">
        <f ca="1">AVEDEV(Q34*$Q$3,R34*$R$3,S34*$S$3,T34*$T$3,U34*$U$3)</f>
        <v>1.7819088859882702E-5</v>
      </c>
      <c r="AB34" s="11" cm="1">
        <f t="array" aca="1" ref="AB34" ca="1">MMULT(_xlfn.ANCHORARRAY(Q34),TRANSPOSE($Q$6:$U$6))</f>
        <v>-2.2271921148518423E-2</v>
      </c>
      <c r="AD34" s="2" t="s">
        <v>25</v>
      </c>
      <c r="AE34" s="10" cm="1">
        <f t="array" aca="1" ref="AE34:AI34" ca="1">_xlfn.LET(_xlpm.array,_xlfn.RANDARRAY(1,COLUMNS(_xlfn.ANCHORARRAY(Q33)),-1,1,FALSE),_xlpm.array/SUM(_xlpm.array))</f>
        <v>0.36166274010358745</v>
      </c>
      <c r="AF34" s="10">
        <f ca="1"/>
        <v>0.18377276637722917</v>
      </c>
      <c r="AG34" s="10">
        <f ca="1"/>
        <v>0.39783655673955554</v>
      </c>
      <c r="AH34" s="10">
        <f ca="1"/>
        <v>-0.149299769752159</v>
      </c>
      <c r="AI34" s="10">
        <f ca="1"/>
        <v>0.20602770653178706</v>
      </c>
      <c r="AJ34" s="1"/>
      <c r="AK34" s="2" cm="1">
        <f t="array" aca="1" ref="AK34" ca="1">MMULT(MMULT(_xlfn.ANCHORARRAY(AE34),$Q$9:$U$13),TRANSPOSE(_xlfn.ANCHORARRAY(AE34)))</f>
        <v>3.7125701011924062E-4</v>
      </c>
      <c r="AL34" s="2">
        <f t="shared" ca="1" si="7"/>
        <v>1.926803077948654E-2</v>
      </c>
      <c r="AM34" s="2" cm="1">
        <f t="array" aca="1" ref="AM34" ca="1">MMULT(_xlfn.ANCHORARRAY(AE35),TRANSPOSE($Q$3:$U$3))</f>
        <v>7.7132958393407542E-4</v>
      </c>
    </row>
    <row r="35" spans="1:39" x14ac:dyDescent="0.35">
      <c r="A35" s="3">
        <v>43881</v>
      </c>
      <c r="B35" s="4">
        <v>29.909559249877901</v>
      </c>
      <c r="C35" s="4">
        <v>84.184852600097599</v>
      </c>
      <c r="D35" s="4">
        <v>24.495159149169901</v>
      </c>
      <c r="E35" s="4">
        <v>11.446057319641101</v>
      </c>
      <c r="F35" s="4">
        <v>175.18179321289</v>
      </c>
      <c r="I35" s="5">
        <f>B35/B34-1</f>
        <v>3.7443529381515628E-3</v>
      </c>
      <c r="J35" s="5">
        <f>C35/C34-1</f>
        <v>-8.397852355458979E-3</v>
      </c>
      <c r="K35" s="5">
        <f>D35/D34-1</f>
        <v>-7.3115258835267927E-3</v>
      </c>
      <c r="L35" s="5">
        <f>E35/E34-1</f>
        <v>-2.8834980549988787E-3</v>
      </c>
      <c r="M35" s="5">
        <f>F35/F34-1</f>
        <v>-1.5271013071295192E-2</v>
      </c>
      <c r="N35" s="5">
        <f>SUMPRODUCT(I35:M35,$AJ$13:$AN$13)</f>
        <v>-1.1063253329609415E-2</v>
      </c>
      <c r="P35" s="2" t="s">
        <v>26</v>
      </c>
      <c r="Q35" s="10" cm="1">
        <f t="array" aca="1" ref="Q35:U35" ca="1">_xlfn.LET(_xlpm.array,_xlfn.RANDARRAY(1,COLUMNS(_xlfn.ANCHORARRAY(Q34)),0,1,FALSE),_xlpm.array/SUM(_xlpm.array))</f>
        <v>0.33356657613776114</v>
      </c>
      <c r="R35" s="2">
        <f ca="1"/>
        <v>0.19655591904538605</v>
      </c>
      <c r="S35" s="2">
        <f ca="1"/>
        <v>0.30541286621903679</v>
      </c>
      <c r="T35" s="2">
        <f ca="1"/>
        <v>4.8284687531883481E-2</v>
      </c>
      <c r="U35" s="2">
        <f ca="1"/>
        <v>0.11617995106593261</v>
      </c>
      <c r="V35" s="12"/>
      <c r="X35" s="2" cm="1">
        <f t="array" aca="1" ref="X35" ca="1">MMULT(MMULT(_xlfn.ANCHORARRAY(Q35),$Q$9:$U$13),TRANSPOSE(_xlfn.ANCHORARRAY(Q35)))</f>
        <v>3.2000978342184081E-4</v>
      </c>
      <c r="Y35" s="2">
        <f t="shared" ca="1" si="6"/>
        <v>1.7888817272861859E-2</v>
      </c>
      <c r="Z35" s="2" cm="1">
        <f t="array" aca="1" ref="Z35" ca="1">MMULT(_xlfn.ANCHORARRAY(Q35),TRANSPOSE($Q$3:$U$3))</f>
        <v>9.4724664173351442E-4</v>
      </c>
      <c r="AA35" s="11">
        <f ca="1">AVEDEV(Q35*$Q$3,R35*$R$3,S35*$S$3,T35*$T$3,U35*$U$3)</f>
        <v>1.2261656101190079E-4</v>
      </c>
      <c r="AB35" s="11" cm="1">
        <f t="array" aca="1" ref="AB35" ca="1">MMULT(_xlfn.ANCHORARRAY(Q35),TRANSPOSE($Q$6:$U$6))</f>
        <v>-2.3102495741881827E-2</v>
      </c>
      <c r="AD35" s="2" t="s">
        <v>26</v>
      </c>
      <c r="AE35" s="10" cm="1">
        <f t="array" aca="1" ref="AE35:AI35" ca="1">_xlfn.LET(_xlpm.array,_xlfn.RANDARRAY(1,COLUMNS(_xlfn.ANCHORARRAY(Q34)),-1,1,FALSE),_xlpm.array/SUM(_xlpm.array))</f>
        <v>0.79779601794725963</v>
      </c>
      <c r="AF35" s="10">
        <f ca="1"/>
        <v>-0.72510134098045975</v>
      </c>
      <c r="AG35" s="10">
        <f ca="1"/>
        <v>7.5839763999480045E-2</v>
      </c>
      <c r="AH35" s="10">
        <f ca="1"/>
        <v>0.4710156877353075</v>
      </c>
      <c r="AI35" s="10">
        <f ca="1"/>
        <v>0.38044987129841251</v>
      </c>
      <c r="AJ35" s="1"/>
      <c r="AK35" s="2" cm="1">
        <f t="array" aca="1" ref="AK35" ca="1">MMULT(MMULT(_xlfn.ANCHORARRAY(AE35),$Q$9:$U$13),TRANSPOSE(_xlfn.ANCHORARRAY(AE35)))</f>
        <v>4.2955384604003376E-4</v>
      </c>
      <c r="AL35" s="2">
        <f t="shared" ca="1" si="7"/>
        <v>2.0725680834173671E-2</v>
      </c>
      <c r="AM35" s="2" cm="1">
        <f t="array" aca="1" ref="AM35" ca="1">MMULT(_xlfn.ANCHORARRAY(AE36),TRANSPOSE($Q$3:$U$3))</f>
        <v>1.1665919081429253E-3</v>
      </c>
    </row>
    <row r="36" spans="1:39" x14ac:dyDescent="0.35">
      <c r="A36" s="3">
        <v>43882</v>
      </c>
      <c r="B36" s="4">
        <v>29.489009857177699</v>
      </c>
      <c r="C36" s="4">
        <v>83.571540832519503</v>
      </c>
      <c r="D36" s="4">
        <v>23.926149368286101</v>
      </c>
      <c r="E36" s="4">
        <v>11.3467550277709</v>
      </c>
      <c r="F36" s="4">
        <v>169.64382934570301</v>
      </c>
      <c r="I36" s="5">
        <f>B36/B35-1</f>
        <v>-1.4060701770518991E-2</v>
      </c>
      <c r="J36" s="5">
        <f>C36/C35-1</f>
        <v>-7.2852983480472533E-3</v>
      </c>
      <c r="K36" s="5">
        <f>D36/D35-1</f>
        <v>-2.3229478829619343E-2</v>
      </c>
      <c r="L36" s="5">
        <f>E36/E35-1</f>
        <v>-8.6756766192146451E-3</v>
      </c>
      <c r="M36" s="5">
        <f>F36/F35-1</f>
        <v>-3.1612667992597654E-2</v>
      </c>
      <c r="N36" s="5">
        <f>SUMPRODUCT(I36:M36,$AJ$13:$AN$13)</f>
        <v>-2.2403582164979327E-2</v>
      </c>
      <c r="P36" s="2" t="s">
        <v>27</v>
      </c>
      <c r="Q36" s="10" cm="1">
        <f t="array" aca="1" ref="Q36:U36" ca="1">_xlfn.LET(_xlpm.array,_xlfn.RANDARRAY(1,COLUMNS(_xlfn.ANCHORARRAY(Q35)),0,1,FALSE),_xlpm.array/SUM(_xlpm.array))</f>
        <v>0.29643980941116566</v>
      </c>
      <c r="R36" s="2">
        <f ca="1"/>
        <v>0.12942121388999747</v>
      </c>
      <c r="S36" s="2">
        <f ca="1"/>
        <v>0.25465815372161832</v>
      </c>
      <c r="T36" s="2">
        <f ca="1"/>
        <v>0.14448775905089703</v>
      </c>
      <c r="U36" s="2">
        <f ca="1"/>
        <v>0.17499306392632133</v>
      </c>
      <c r="V36" s="12"/>
      <c r="X36" s="2" cm="1">
        <f t="array" aca="1" ref="X36" ca="1">MMULT(MMULT(_xlfn.ANCHORARRAY(Q36),$Q$9:$U$13),TRANSPOSE(_xlfn.ANCHORARRAY(Q36)))</f>
        <v>2.9332276656783405E-4</v>
      </c>
      <c r="Y36" s="2">
        <f t="shared" ca="1" si="6"/>
        <v>1.7126668285683416E-2</v>
      </c>
      <c r="Z36" s="2" cm="1">
        <f t="array" aca="1" ref="Z36" ca="1">MMULT(_xlfn.ANCHORARRAY(Q36),TRANSPOSE($Q$3:$U$3))</f>
        <v>9.4019316571181295E-4</v>
      </c>
      <c r="AA36" s="11">
        <f ca="1">AVEDEV(Q36*$Q$3,R36*$R$3,S36*$S$3,T36*$T$3,U36*$U$3)</f>
        <v>9.021056215846067E-5</v>
      </c>
      <c r="AB36" s="11" cm="1">
        <f t="array" aca="1" ref="AB36" ca="1">MMULT(_xlfn.ANCHORARRAY(Q36),TRANSPOSE($Q$6:$U$6))</f>
        <v>-2.3143958577713255E-2</v>
      </c>
      <c r="AD36" s="2" t="s">
        <v>27</v>
      </c>
      <c r="AE36" s="10" cm="1">
        <f t="array" aca="1" ref="AE36:AI36" ca="1">_xlfn.LET(_xlpm.array,_xlfn.RANDARRAY(1,COLUMNS(_xlfn.ANCHORARRAY(Q35)),-1,1,FALSE),_xlpm.array/SUM(_xlpm.array))</f>
        <v>-0.1381701281752076</v>
      </c>
      <c r="AF36" s="10">
        <f ca="1"/>
        <v>0.19688890470010492</v>
      </c>
      <c r="AG36" s="10">
        <f ca="1"/>
        <v>0.21271836218211781</v>
      </c>
      <c r="AH36" s="10">
        <f ca="1"/>
        <v>0.74131121277568435</v>
      </c>
      <c r="AI36" s="10">
        <f ca="1"/>
        <v>-1.2748351482699446E-2</v>
      </c>
      <c r="AJ36" s="1"/>
      <c r="AK36" s="2" cm="1">
        <f t="array" aca="1" ref="AK36" ca="1">MMULT(MMULT(_xlfn.ANCHORARRAY(AE36),$Q$9:$U$13),TRANSPOSE(_xlfn.ANCHORARRAY(AE36)))</f>
        <v>4.8639617365658824E-4</v>
      </c>
      <c r="AL36" s="2">
        <f t="shared" ca="1" si="7"/>
        <v>2.2054391255634062E-2</v>
      </c>
      <c r="AM36" s="2" cm="1">
        <f t="array" aca="1" ref="AM36" ca="1">MMULT(_xlfn.ANCHORARRAY(AE37),TRANSPOSE($Q$3:$U$3))</f>
        <v>1.574449133813973E-3</v>
      </c>
    </row>
    <row r="37" spans="1:39" x14ac:dyDescent="0.35">
      <c r="A37" s="3">
        <v>43885</v>
      </c>
      <c r="B37" s="4">
        <v>28.090087890625</v>
      </c>
      <c r="C37" s="4">
        <v>80.274978637695298</v>
      </c>
      <c r="D37" s="4">
        <v>22.348653793334901</v>
      </c>
      <c r="E37" s="4">
        <v>10.7310943603515</v>
      </c>
      <c r="F37" s="4">
        <v>162.32954406738199</v>
      </c>
      <c r="I37" s="5">
        <f>B37/B36-1</f>
        <v>-4.7438756788648062E-2</v>
      </c>
      <c r="J37" s="5">
        <f>C37/C36-1</f>
        <v>-3.9445990369264994E-2</v>
      </c>
      <c r="K37" s="5">
        <f>D37/D36-1</f>
        <v>-6.5931861858312901E-2</v>
      </c>
      <c r="L37" s="5">
        <f>E37/E36-1</f>
        <v>-5.4258743218883798E-2</v>
      </c>
      <c r="M37" s="5">
        <f>F37/F36-1</f>
        <v>-4.3115539813805115E-2</v>
      </c>
      <c r="N37" s="5">
        <f>SUMPRODUCT(I37:M37,$AJ$13:$AN$13)</f>
        <v>-5.9071996573344894E-2</v>
      </c>
      <c r="P37" s="2" t="s">
        <v>28</v>
      </c>
      <c r="Q37" s="10" cm="1">
        <f t="array" aca="1" ref="Q37:U37" ca="1">_xlfn.LET(_xlpm.array,_xlfn.RANDARRAY(1,COLUMNS(_xlfn.ANCHORARRAY(Q36)),0,1,FALSE),_xlpm.array/SUM(_xlpm.array))</f>
        <v>0.12149704976179572</v>
      </c>
      <c r="R37" s="2">
        <f ca="1"/>
        <v>0.19600585350814606</v>
      </c>
      <c r="S37" s="2">
        <f ca="1"/>
        <v>0.16446012336617885</v>
      </c>
      <c r="T37" s="2">
        <f ca="1"/>
        <v>0.35369500585612218</v>
      </c>
      <c r="U37" s="2">
        <f ca="1"/>
        <v>0.16434196750775726</v>
      </c>
      <c r="V37" s="12"/>
      <c r="X37" s="2" cm="1">
        <f t="array" aca="1" ref="X37" ca="1">MMULT(MMULT(_xlfn.ANCHORARRAY(Q37),$Q$9:$U$13),TRANSPOSE(_xlfn.ANCHORARRAY(Q37)))</f>
        <v>2.9679702099944102E-4</v>
      </c>
      <c r="Y37" s="2">
        <f t="shared" ca="1" si="6"/>
        <v>1.7227797914981503E-2</v>
      </c>
      <c r="Z37" s="2" cm="1">
        <f t="array" aca="1" ref="Z37" ca="1">MMULT(_xlfn.ANCHORARRAY(Q37),TRANSPOSE($Q$3:$U$3))</f>
        <v>9.590033721829219E-4</v>
      </c>
      <c r="AA37" s="11">
        <f ca="1">AVEDEV(Q37*$Q$3,R37*$R$3,S37*$S$3,T37*$T$3,U37*$U$3)</f>
        <v>9.7929157726543012E-5</v>
      </c>
      <c r="AB37" s="11" cm="1">
        <f t="array" aca="1" ref="AB37" ca="1">MMULT(_xlfn.ANCHORARRAY(Q37),TRANSPOSE($Q$6:$U$6))</f>
        <v>-2.3336244283140545E-2</v>
      </c>
      <c r="AD37" s="2" t="s">
        <v>28</v>
      </c>
      <c r="AE37" s="10" cm="1">
        <f t="array" aca="1" ref="AE37:AI37" ca="1">_xlfn.LET(_xlpm.array,_xlfn.RANDARRAY(1,COLUMNS(_xlfn.ANCHORARRAY(Q36)),-1,1,FALSE),_xlpm.array/SUM(_xlpm.array))</f>
        <v>-0.55898451455240028</v>
      </c>
      <c r="AF37" s="10">
        <f ca="1"/>
        <v>-4.7596693727396486E-2</v>
      </c>
      <c r="AG37" s="10">
        <f ca="1"/>
        <v>0.564500573419083</v>
      </c>
      <c r="AH37" s="10">
        <f ca="1"/>
        <v>0.69916204473134314</v>
      </c>
      <c r="AI37" s="10">
        <f ca="1"/>
        <v>0.3429185901293707</v>
      </c>
      <c r="AJ37" s="1"/>
      <c r="AK37" s="2" cm="1">
        <f t="array" aca="1" ref="AK37" ca="1">MMULT(MMULT(_xlfn.ANCHORARRAY(AE37),$Q$9:$U$13),TRANSPOSE(_xlfn.ANCHORARRAY(AE37)))</f>
        <v>6.1534915956761678E-4</v>
      </c>
      <c r="AL37" s="2">
        <f t="shared" ca="1" si="7"/>
        <v>2.480623227270955E-2</v>
      </c>
      <c r="AM37" s="2" cm="1">
        <f t="array" aca="1" ref="AM37" ca="1">MMULT(_xlfn.ANCHORARRAY(AE38),TRANSPOSE($Q$3:$U$3))</f>
        <v>-9.2747066033956114E-4</v>
      </c>
    </row>
    <row r="38" spans="1:39" x14ac:dyDescent="0.35">
      <c r="A38" s="3">
        <v>43886</v>
      </c>
      <c r="B38" s="4">
        <v>26.6739997863769</v>
      </c>
      <c r="C38" s="4">
        <v>77.208412170410099</v>
      </c>
      <c r="D38" s="4">
        <v>21.3817958831787</v>
      </c>
      <c r="E38" s="4">
        <v>10.519251823425201</v>
      </c>
      <c r="F38" s="4">
        <v>159.65083312988199</v>
      </c>
      <c r="I38" s="5">
        <f>B38/B37-1</f>
        <v>-5.041237712612201E-2</v>
      </c>
      <c r="J38" s="5">
        <f>C38/C37-1</f>
        <v>-3.8200775874703385E-2</v>
      </c>
      <c r="K38" s="5">
        <f>D38/D37-1</f>
        <v>-4.3262467578452091E-2</v>
      </c>
      <c r="L38" s="5">
        <f>E38/E37-1</f>
        <v>-1.9741000294341005E-2</v>
      </c>
      <c r="M38" s="5">
        <f>F38/F37-1</f>
        <v>-1.6501684600235711E-2</v>
      </c>
      <c r="N38" s="5">
        <f>SUMPRODUCT(I38:M38,$AJ$13:$AN$13)</f>
        <v>-2.1430558781977554E-2</v>
      </c>
      <c r="P38" s="2" t="s">
        <v>29</v>
      </c>
      <c r="Q38" s="10" cm="1">
        <f t="array" aca="1" ref="Q38:U38" ca="1">_xlfn.LET(_xlpm.array,_xlfn.RANDARRAY(1,COLUMNS(_xlfn.ANCHORARRAY(Q37)),0,1,FALSE),_xlpm.array/SUM(_xlpm.array))</f>
        <v>0.25216815813081406</v>
      </c>
      <c r="R38" s="2">
        <f ca="1"/>
        <v>8.3251446058386358E-2</v>
      </c>
      <c r="S38" s="2">
        <f ca="1"/>
        <v>0.2085973377750292</v>
      </c>
      <c r="T38" s="2">
        <f ca="1"/>
        <v>0.1389482771564737</v>
      </c>
      <c r="U38" s="2">
        <f ca="1"/>
        <v>0.31703478087929665</v>
      </c>
      <c r="V38" s="12"/>
      <c r="X38" s="2" cm="1">
        <f t="array" aca="1" ref="X38" ca="1">MMULT(MMULT(_xlfn.ANCHORARRAY(Q38),$Q$9:$U$13),TRANSPOSE(_xlfn.ANCHORARRAY(Q38)))</f>
        <v>2.6838153108882693E-4</v>
      </c>
      <c r="Y38" s="2">
        <f t="shared" ca="1" si="6"/>
        <v>1.6382354259654713E-2</v>
      </c>
      <c r="Z38" s="2" cm="1">
        <f t="array" aca="1" ref="Z38" ca="1">MMULT(_xlfn.ANCHORARRAY(Q38),TRANSPOSE($Q$3:$U$3))</f>
        <v>9.1215641695177574E-4</v>
      </c>
      <c r="AA38" s="11">
        <f ca="1">AVEDEV(Q38*$Q$3,R38*$R$3,S38*$S$3,T38*$T$3,U38*$U$3)</f>
        <v>8.6553973445829623E-5</v>
      </c>
      <c r="AB38" s="11" cm="1">
        <f t="array" aca="1" ref="AB38" ca="1">MMULT(_xlfn.ANCHORARRAY(Q38),TRANSPOSE($Q$6:$U$6))</f>
        <v>-2.2705484926097658E-2</v>
      </c>
      <c r="AD38" s="2" t="s">
        <v>29</v>
      </c>
      <c r="AE38" s="10" cm="1">
        <f t="array" aca="1" ref="AE38:AI38" ca="1">_xlfn.LET(_xlpm.array,_xlfn.RANDARRAY(1,COLUMNS(_xlfn.ANCHORARRAY(Q37)),-1,1,FALSE),_xlpm.array/SUM(_xlpm.array))</f>
        <v>4.6251946010283183</v>
      </c>
      <c r="AF38" s="10">
        <f ca="1"/>
        <v>-1.8555625359960175</v>
      </c>
      <c r="AG38" s="10">
        <f ca="1"/>
        <v>0.82196939356823695</v>
      </c>
      <c r="AH38" s="10">
        <f ca="1"/>
        <v>-4.969116897794879</v>
      </c>
      <c r="AI38" s="10">
        <f ca="1"/>
        <v>2.3775154391943412</v>
      </c>
      <c r="AJ38" s="1"/>
      <c r="AK38" s="2" cm="1">
        <f t="array" aca="1" ref="AK38" ca="1">MMULT(MMULT(_xlfn.ANCHORARRAY(AE38),$Q$9:$U$13),TRANSPOSE(_xlfn.ANCHORARRAY(AE38)))</f>
        <v>1.9972838894361633E-2</v>
      </c>
      <c r="AL38" s="2">
        <f t="shared" ca="1" si="7"/>
        <v>0.14132529460206913</v>
      </c>
      <c r="AM38" s="2" cm="1">
        <f t="array" aca="1" ref="AM38" ca="1">MMULT(_xlfn.ANCHORARRAY(AE39),TRANSPOSE($Q$3:$U$3))</f>
        <v>2.0976443777328841E-3</v>
      </c>
    </row>
    <row r="39" spans="1:39" x14ac:dyDescent="0.35">
      <c r="A39" s="3">
        <v>43887</v>
      </c>
      <c r="B39" s="4">
        <v>26.287792205810501</v>
      </c>
      <c r="C39" s="4">
        <v>75.1614990234375</v>
      </c>
      <c r="D39" s="4">
        <v>21.2476406097412</v>
      </c>
      <c r="E39" s="4">
        <v>10.4729099273681</v>
      </c>
      <c r="F39" s="4">
        <v>161.64556884765599</v>
      </c>
      <c r="I39" s="5">
        <f>B39/B38-1</f>
        <v>-1.4478802716480721E-2</v>
      </c>
      <c r="J39" s="5">
        <f>C39/C38-1</f>
        <v>-2.6511530148486506E-2</v>
      </c>
      <c r="K39" s="5">
        <f>D39/D38-1</f>
        <v>-6.2742752840064808E-3</v>
      </c>
      <c r="L39" s="5">
        <f>E39/E38-1</f>
        <v>-4.4054365115494543E-3</v>
      </c>
      <c r="M39" s="5">
        <f>F39/F38-1</f>
        <v>1.2494364599721308E-2</v>
      </c>
      <c r="N39" s="5">
        <f>SUMPRODUCT(I39:M39,$AJ$13:$AN$13)</f>
        <v>3.9044059204750188E-3</v>
      </c>
      <c r="P39" s="2" t="s">
        <v>30</v>
      </c>
      <c r="Q39" s="10" cm="1">
        <f t="array" aca="1" ref="Q39:U39" ca="1">_xlfn.LET(_xlpm.array,_xlfn.RANDARRAY(1,COLUMNS(_xlfn.ANCHORARRAY(Q38)),0,1,FALSE),_xlpm.array/SUM(_xlpm.array))</f>
        <v>0.22232763900322691</v>
      </c>
      <c r="R39" s="2">
        <f ca="1"/>
        <v>0.34411711534978817</v>
      </c>
      <c r="S39" s="2">
        <f ca="1"/>
        <v>0.10785548318211303</v>
      </c>
      <c r="T39" s="2">
        <f ca="1"/>
        <v>2.9415245679307127E-2</v>
      </c>
      <c r="U39" s="2">
        <f ca="1"/>
        <v>0.29628451678556467</v>
      </c>
      <c r="V39" s="12"/>
      <c r="X39" s="2" cm="1">
        <f t="array" aca="1" ref="X39" ca="1">MMULT(MMULT(_xlfn.ANCHORARRAY(Q39),$Q$9:$U$13),TRANSPOSE(_xlfn.ANCHORARRAY(Q39)))</f>
        <v>2.6107241372090616E-4</v>
      </c>
      <c r="Y39" s="2">
        <f t="shared" ca="1" si="6"/>
        <v>1.6157735414373705E-2</v>
      </c>
      <c r="Z39" s="2" cm="1">
        <f t="array" aca="1" ref="Z39" ca="1">MMULT(_xlfn.ANCHORARRAY(Q39),TRANSPOSE($Q$3:$U$3))</f>
        <v>7.9610779402728294E-4</v>
      </c>
      <c r="AA39" s="11">
        <f ca="1">AVEDEV(Q39*$Q$3,R39*$R$3,S39*$S$3,T39*$T$3,U39*$U$3)</f>
        <v>7.0157924261470973E-5</v>
      </c>
      <c r="AB39" s="11" cm="1">
        <f t="array" aca="1" ref="AB39" ca="1">MMULT(_xlfn.ANCHORARRAY(Q39),TRANSPOSE($Q$6:$U$6))</f>
        <v>-2.1525068633328235E-2</v>
      </c>
      <c r="AD39" s="2" t="s">
        <v>30</v>
      </c>
      <c r="AE39" s="10" cm="1">
        <f t="array" aca="1" ref="AE39:AI39" ca="1">_xlfn.LET(_xlpm.array,_xlfn.RANDARRAY(1,COLUMNS(_xlfn.ANCHORARRAY(Q38)),-1,1,FALSE),_xlpm.array/SUM(_xlpm.array))</f>
        <v>-0.40832166265329967</v>
      </c>
      <c r="AF39" s="10">
        <f ca="1"/>
        <v>-1.2825587143405304</v>
      </c>
      <c r="AG39" s="10">
        <f ca="1"/>
        <v>1.2292935806745164</v>
      </c>
      <c r="AH39" s="10">
        <f ca="1"/>
        <v>0.49646041810911828</v>
      </c>
      <c r="AI39" s="10">
        <f ca="1"/>
        <v>0.96512637821019542</v>
      </c>
      <c r="AJ39" s="1"/>
      <c r="AK39" s="2" cm="1">
        <f t="array" aca="1" ref="AK39" ca="1">MMULT(MMULT(_xlfn.ANCHORARRAY(AE39),$Q$9:$U$13),TRANSPOSE(_xlfn.ANCHORARRAY(AE39)))</f>
        <v>1.8791244035770577E-3</v>
      </c>
      <c r="AL39" s="2">
        <f t="shared" ca="1" si="7"/>
        <v>4.3348868538602682E-2</v>
      </c>
      <c r="AM39" s="2" cm="1">
        <f t="array" aca="1" ref="AM39" ca="1">MMULT(_xlfn.ANCHORARRAY(AE40),TRANSPOSE($Q$3:$U$3))</f>
        <v>9.8492688471676438E-4</v>
      </c>
    </row>
    <row r="40" spans="1:39" x14ac:dyDescent="0.35">
      <c r="A40" s="3">
        <v>43888</v>
      </c>
      <c r="B40" s="4">
        <v>25.0004348754882</v>
      </c>
      <c r="C40" s="4">
        <v>72.163932800292898</v>
      </c>
      <c r="D40" s="4">
        <v>20.151258468627901</v>
      </c>
      <c r="E40" s="4">
        <v>10.102189064025801</v>
      </c>
      <c r="F40" s="4">
        <v>150.25617980957</v>
      </c>
      <c r="I40" s="5">
        <f>B40/B39-1</f>
        <v>-4.8971679334780749E-2</v>
      </c>
      <c r="J40" s="5">
        <f>C40/C39-1</f>
        <v>-3.9881671628314352E-2</v>
      </c>
      <c r="K40" s="5">
        <f>D40/D39-1</f>
        <v>-5.1600182874453004E-2</v>
      </c>
      <c r="L40" s="5">
        <f>E40/E39-1</f>
        <v>-3.5398076171124226E-2</v>
      </c>
      <c r="M40" s="5">
        <f>F40/F39-1</f>
        <v>-7.0459024143247673E-2</v>
      </c>
      <c r="N40" s="5">
        <f>SUMPRODUCT(I40:M40,$AJ$13:$AN$13)</f>
        <v>-5.1473480003029648E-2</v>
      </c>
      <c r="P40" s="2" t="s">
        <v>31</v>
      </c>
      <c r="Q40" s="10" cm="1">
        <f t="array" aca="1" ref="Q40:U40" ca="1">_xlfn.LET(_xlpm.array,_xlfn.RANDARRAY(1,COLUMNS(_xlfn.ANCHORARRAY(Q39)),0,1,FALSE),_xlpm.array/SUM(_xlpm.array))</f>
        <v>0.13026281798121084</v>
      </c>
      <c r="R40" s="2">
        <f ca="1"/>
        <v>0.1520854978324484</v>
      </c>
      <c r="S40" s="2">
        <f ca="1"/>
        <v>0.30462598139082181</v>
      </c>
      <c r="T40" s="2">
        <f ca="1"/>
        <v>0.15899360239196123</v>
      </c>
      <c r="U40" s="2">
        <f ca="1"/>
        <v>0.25403210040355767</v>
      </c>
      <c r="V40" s="12"/>
      <c r="X40" s="2" cm="1">
        <f t="array" aca="1" ref="X40" ca="1">MMULT(MMULT(_xlfn.ANCHORARRAY(Q40),$Q$9:$U$13),TRANSPOSE(_xlfn.ANCHORARRAY(Q40)))</f>
        <v>2.9442053263581695E-4</v>
      </c>
      <c r="Y40" s="2">
        <f t="shared" ca="1" si="6"/>
        <v>1.715868679811532E-2</v>
      </c>
      <c r="Z40" s="2" cm="1">
        <f t="array" aca="1" ref="Z40" ca="1">MMULT(_xlfn.ANCHORARRAY(Q40),TRANSPOSE($Q$3:$U$3))</f>
        <v>1.028705196179313E-3</v>
      </c>
      <c r="AA40" s="11">
        <f ca="1">AVEDEV(Q40*$Q$3,R40*$R$3,S40*$S$3,T40*$T$3,U40*$U$3)</f>
        <v>1.155887160284695E-4</v>
      </c>
      <c r="AB40" s="11" cm="1">
        <f t="array" aca="1" ref="AB40" ca="1">MMULT(_xlfn.ANCHORARRAY(Q40),TRANSPOSE($Q$6:$U$6))</f>
        <v>-2.3332657157736039E-2</v>
      </c>
      <c r="AD40" s="2" t="s">
        <v>31</v>
      </c>
      <c r="AE40" s="10" cm="1">
        <f t="array" aca="1" ref="AE40:AI40" ca="1">_xlfn.LET(_xlpm.array,_xlfn.RANDARRAY(1,COLUMNS(_xlfn.ANCHORARRAY(Q39)),-1,1,FALSE),_xlpm.array/SUM(_xlpm.array))</f>
        <v>0.47389763691725978</v>
      </c>
      <c r="AF40" s="10">
        <f ca="1"/>
        <v>0.26515244103626362</v>
      </c>
      <c r="AG40" s="10">
        <f ca="1"/>
        <v>0.14990605537420243</v>
      </c>
      <c r="AH40" s="10">
        <f ca="1"/>
        <v>0.86486518806012014</v>
      </c>
      <c r="AI40" s="10">
        <f ca="1"/>
        <v>-0.75382132138784597</v>
      </c>
      <c r="AJ40" s="1"/>
      <c r="AK40" s="2" cm="1">
        <f t="array" aca="1" ref="AK40" ca="1">MMULT(MMULT(_xlfn.ANCHORARRAY(AE40),$Q$9:$U$13),TRANSPOSE(_xlfn.ANCHORARRAY(AE40)))</f>
        <v>9.5901562416038117E-4</v>
      </c>
      <c r="AL40" s="2">
        <f t="shared" ca="1" si="7"/>
        <v>3.0967977398602919E-2</v>
      </c>
      <c r="AM40" s="2" cm="1">
        <f t="array" aca="1" ref="AM40" ca="1">MMULT(_xlfn.ANCHORARRAY(AE41),TRANSPOSE($Q$3:$U$3))</f>
        <v>-3.7107524816751454E-3</v>
      </c>
    </row>
    <row r="41" spans="1:39" x14ac:dyDescent="0.35">
      <c r="A41" s="3">
        <v>43889</v>
      </c>
      <c r="B41" s="4">
        <v>24.4597473144531</v>
      </c>
      <c r="C41" s="4">
        <v>71.558265686035099</v>
      </c>
      <c r="D41" s="4">
        <v>18.717168807983398</v>
      </c>
      <c r="E41" s="4">
        <v>10.2941694259643</v>
      </c>
      <c r="F41" s="4">
        <v>153.89437866210901</v>
      </c>
      <c r="I41" s="5">
        <f>B41/B40-1</f>
        <v>-2.1627126237120708E-2</v>
      </c>
      <c r="J41" s="5">
        <f>C41/C40-1</f>
        <v>-8.3929338487402916E-3</v>
      </c>
      <c r="K41" s="5">
        <f>D41/D40-1</f>
        <v>-7.1166258071531208E-2</v>
      </c>
      <c r="L41" s="5">
        <f>E41/E40-1</f>
        <v>1.9003837754546504E-2</v>
      </c>
      <c r="M41" s="5">
        <f>F41/F40-1</f>
        <v>2.4213305949545294E-2</v>
      </c>
      <c r="N41" s="5">
        <f>SUMPRODUCT(I41:M41,$AJ$13:$AN$13)</f>
        <v>-1.3556478092860008E-2</v>
      </c>
      <c r="P41" s="2" t="s">
        <v>32</v>
      </c>
      <c r="Q41" s="10" cm="1">
        <f t="array" aca="1" ref="Q41:U41" ca="1">_xlfn.LET(_xlpm.array,_xlfn.RANDARRAY(1,COLUMNS(_xlfn.ANCHORARRAY(Q40)),0,1,FALSE),_xlpm.array/SUM(_xlpm.array))</f>
        <v>0.16803753192100815</v>
      </c>
      <c r="R41" s="2">
        <f ca="1"/>
        <v>0.26911946660348213</v>
      </c>
      <c r="S41" s="2">
        <f ca="1"/>
        <v>0.20108635543283793</v>
      </c>
      <c r="T41" s="2">
        <f ca="1"/>
        <v>0.21795891606293658</v>
      </c>
      <c r="U41" s="2">
        <f ca="1"/>
        <v>0.14379772997973522</v>
      </c>
      <c r="V41" s="12"/>
      <c r="X41" s="2" cm="1">
        <f t="array" aca="1" ref="X41" ca="1">MMULT(MMULT(_xlfn.ANCHORARRAY(Q41),$Q$9:$U$13),TRANSPOSE(_xlfn.ANCHORARRAY(Q41)))</f>
        <v>2.9214241932973165E-4</v>
      </c>
      <c r="Y41" s="2">
        <f t="shared" ca="1" si="6"/>
        <v>1.7092174213064051E-2</v>
      </c>
      <c r="Z41" s="2" cm="1">
        <f t="array" aca="1" ref="Z41" ca="1">MMULT(_xlfn.ANCHORARRAY(Q41),TRANSPOSE($Q$3:$U$3))</f>
        <v>9.411451895096764E-4</v>
      </c>
      <c r="AA41" s="11">
        <f ca="1">AVEDEV(Q41*$Q$3,R41*$R$3,S41*$S$3,T41*$T$3,U41*$U$3)</f>
        <v>7.2427755211573971E-5</v>
      </c>
      <c r="AB41" s="11" cm="1">
        <f t="array" aca="1" ref="AB41" ca="1">MMULT(_xlfn.ANCHORARRAY(Q41),TRANSPOSE($Q$6:$U$6))</f>
        <v>-2.3013301137089586E-2</v>
      </c>
      <c r="AD41" s="2" t="s">
        <v>32</v>
      </c>
      <c r="AE41" s="10" cm="1">
        <f t="array" aca="1" ref="AE41:AI41" ca="1">_xlfn.LET(_xlpm.array,_xlfn.RANDARRAY(1,COLUMNS(_xlfn.ANCHORARRAY(Q40)),-1,1,FALSE),_xlpm.array/SUM(_xlpm.array))</f>
        <v>5.8583307717099435</v>
      </c>
      <c r="AF41" s="10">
        <f ca="1"/>
        <v>-5.2748790283355609</v>
      </c>
      <c r="AG41" s="10">
        <f ca="1"/>
        <v>-4.7622902065207073</v>
      </c>
      <c r="AH41" s="10">
        <f ca="1"/>
        <v>3.6477335693843029</v>
      </c>
      <c r="AI41" s="10">
        <f ca="1"/>
        <v>1.5311048937620213</v>
      </c>
      <c r="AJ41" s="1"/>
      <c r="AK41" s="2" cm="1">
        <f t="array" aca="1" ref="AK41" ca="1">MMULT(MMULT(_xlfn.ANCHORARRAY(AE41),$Q$9:$U$13),TRANSPOSE(_xlfn.ANCHORARRAY(AE41)))</f>
        <v>2.4890627068882419E-2</v>
      </c>
      <c r="AL41" s="2">
        <f t="shared" ca="1" si="7"/>
        <v>0.15776763631645882</v>
      </c>
      <c r="AM41" s="2" cm="1">
        <f t="array" aca="1" ref="AM41" ca="1">MMULT(_xlfn.ANCHORARRAY(AE42),TRANSPOSE($Q$3:$U$3))</f>
        <v>2.143009696800053E-4</v>
      </c>
    </row>
    <row r="42" spans="1:39" x14ac:dyDescent="0.35">
      <c r="A42" s="3">
        <v>43892</v>
      </c>
      <c r="B42" s="4">
        <v>25.206413269042901</v>
      </c>
      <c r="C42" s="4">
        <v>74.049865722656193</v>
      </c>
      <c r="D42" s="4">
        <v>19.610002517700099</v>
      </c>
      <c r="E42" s="4">
        <v>10.552349090576101</v>
      </c>
      <c r="F42" s="4">
        <v>164.13432312011699</v>
      </c>
      <c r="I42" s="5">
        <f>B42/B41-1</f>
        <v>3.0526315132806126E-2</v>
      </c>
      <c r="J42" s="5">
        <f>C42/C41-1</f>
        <v>3.4819178647413018E-2</v>
      </c>
      <c r="K42" s="5">
        <f>D42/D41-1</f>
        <v>4.7701322720126393E-2</v>
      </c>
      <c r="L42" s="5">
        <f>E42/E41-1</f>
        <v>2.5080184124482319E-2</v>
      </c>
      <c r="M42" s="5">
        <f>F42/F41-1</f>
        <v>6.6538781643810552E-2</v>
      </c>
      <c r="N42" s="5">
        <f>SUMPRODUCT(I42:M42,$AJ$13:$AN$13)</f>
        <v>4.881330843248298E-2</v>
      </c>
      <c r="P42" s="2" t="s">
        <v>33</v>
      </c>
      <c r="Q42" s="10" cm="1">
        <f t="array" aca="1" ref="Q42:U42" ca="1">_xlfn.LET(_xlpm.array,_xlfn.RANDARRAY(1,COLUMNS(_xlfn.ANCHORARRAY(Q41)),0,1,FALSE),_xlpm.array/SUM(_xlpm.array))</f>
        <v>0.37903365148917278</v>
      </c>
      <c r="R42" s="2">
        <f ca="1"/>
        <v>0.22866797709791059</v>
      </c>
      <c r="S42" s="2">
        <f ca="1"/>
        <v>7.3546005046152413E-2</v>
      </c>
      <c r="T42" s="2">
        <f ca="1"/>
        <v>5.1148674255714004E-2</v>
      </c>
      <c r="U42" s="2">
        <f ca="1"/>
        <v>0.26760369211105023</v>
      </c>
      <c r="V42" s="12"/>
      <c r="X42" s="2" cm="1">
        <f t="array" aca="1" ref="X42" ca="1">MMULT(MMULT(_xlfn.ANCHORARRAY(Q42),$Q$9:$U$13),TRANSPOSE(_xlfn.ANCHORARRAY(Q42)))</f>
        <v>2.683875508233756E-4</v>
      </c>
      <c r="Y42" s="2">
        <f t="shared" ca="1" si="6"/>
        <v>1.6382537984798801E-2</v>
      </c>
      <c r="Z42" s="2" cm="1">
        <f t="array" aca="1" ref="Z42" ca="1">MMULT(_xlfn.ANCHORARRAY(Q42),TRANSPOSE($Q$3:$U$3))</f>
        <v>7.3599555342639166E-4</v>
      </c>
      <c r="AA42" s="11">
        <f ca="1">AVEDEV(Q42*$Q$3,R42*$R$3,S42*$S$3,T42*$T$3,U42*$U$3)</f>
        <v>4.9082036269301278E-5</v>
      </c>
      <c r="AB42" s="11" cm="1">
        <f t="array" aca="1" ref="AB42" ca="1">MMULT(_xlfn.ANCHORARRAY(Q42),TRANSPOSE($Q$6:$U$6))</f>
        <v>-2.1571169911277742E-2</v>
      </c>
      <c r="AD42" s="2" t="s">
        <v>33</v>
      </c>
      <c r="AE42" s="10" cm="1">
        <f t="array" aca="1" ref="AE42:AI42" ca="1">_xlfn.LET(_xlpm.array,_xlfn.RANDARRAY(1,COLUMNS(_xlfn.ANCHORARRAY(Q41)),-1,1,FALSE),_xlpm.array/SUM(_xlpm.array))</f>
        <v>0.34291478391793201</v>
      </c>
      <c r="AF42" s="10">
        <f ca="1"/>
        <v>0.65982314441721857</v>
      </c>
      <c r="AG42" s="10">
        <f ca="1"/>
        <v>-0.32078752018973306</v>
      </c>
      <c r="AH42" s="10">
        <f ca="1"/>
        <v>-0.63916870541993631</v>
      </c>
      <c r="AI42" s="10">
        <f ca="1"/>
        <v>0.95721829727451879</v>
      </c>
      <c r="AJ42" s="1"/>
      <c r="AK42" s="2" cm="1">
        <f t="array" aca="1" ref="AK42" ca="1">MMULT(MMULT(_xlfn.ANCHORARRAY(AE42),$Q$9:$U$13),TRANSPOSE(_xlfn.ANCHORARRAY(AE42)))</f>
        <v>5.4457390674865296E-4</v>
      </c>
      <c r="AL42" s="2">
        <f t="shared" ca="1" si="7"/>
        <v>2.3336107360668639E-2</v>
      </c>
      <c r="AM42" s="2" cm="1">
        <f t="array" aca="1" ref="AM42" ca="1">MMULT(_xlfn.ANCHORARRAY(AE43),TRANSPOSE($Q$3:$U$3))</f>
        <v>9.4467046894238394E-4</v>
      </c>
    </row>
    <row r="43" spans="1:39" x14ac:dyDescent="0.35">
      <c r="A43" s="3">
        <v>43893</v>
      </c>
      <c r="B43" s="4">
        <v>23.8160705566406</v>
      </c>
      <c r="C43" s="4">
        <v>72.363250732421804</v>
      </c>
      <c r="D43" s="4">
        <v>19.327814102172798</v>
      </c>
      <c r="E43" s="4">
        <v>10.466291427612299</v>
      </c>
      <c r="F43" s="4">
        <v>156.26913452148401</v>
      </c>
      <c r="I43" s="5">
        <f>B43/B42-1</f>
        <v>-5.5158292358470584E-2</v>
      </c>
      <c r="J43" s="5">
        <f>C43/C42-1</f>
        <v>-2.2776746099059553E-2</v>
      </c>
      <c r="K43" s="5">
        <f>D43/D42-1</f>
        <v>-1.4390024441485738E-2</v>
      </c>
      <c r="L43" s="5">
        <f>E43/E42-1</f>
        <v>-8.1553085692224192E-3</v>
      </c>
      <c r="M43" s="5">
        <f>F43/F42-1</f>
        <v>-4.7919219143926828E-2</v>
      </c>
      <c r="N43" s="5">
        <f>SUMPRODUCT(I43:M43,$AJ$13:$AN$13)</f>
        <v>-1.0611614944040983E-2</v>
      </c>
      <c r="P43" s="2" t="s">
        <v>34</v>
      </c>
      <c r="Q43" s="10" cm="1">
        <f t="array" aca="1" ref="Q43:U43" ca="1">_xlfn.LET(_xlpm.array,_xlfn.RANDARRAY(1,COLUMNS(_xlfn.ANCHORARRAY(Q42)),0,1,FALSE),_xlpm.array/SUM(_xlpm.array))</f>
        <v>0.22706531265321458</v>
      </c>
      <c r="R43" s="2">
        <f ca="1"/>
        <v>0.1685372192598433</v>
      </c>
      <c r="S43" s="2">
        <f ca="1"/>
        <v>0.53241476031576873</v>
      </c>
      <c r="T43" s="2">
        <f ca="1"/>
        <v>5.3211946375262976E-2</v>
      </c>
      <c r="U43" s="2">
        <f ca="1"/>
        <v>1.8770761395910395E-2</v>
      </c>
      <c r="V43" s="12"/>
      <c r="X43" s="2" cm="1">
        <f t="array" aca="1" ref="X43" ca="1">MMULT(MMULT(_xlfn.ANCHORARRAY(Q43),$Q$9:$U$13),TRANSPOSE(_xlfn.ANCHORARRAY(Q43)))</f>
        <v>4.2672344503900277E-4</v>
      </c>
      <c r="Y43" s="2">
        <f t="shared" ca="1" si="6"/>
        <v>2.0657285519617596E-2</v>
      </c>
      <c r="Z43" s="2" cm="1">
        <f t="array" aca="1" ref="Z43" ca="1">MMULT(_xlfn.ANCHORARRAY(Q43),TRANSPOSE($Q$3:$U$3))</f>
        <v>1.171838658478794E-3</v>
      </c>
      <c r="AA43" s="11">
        <f ca="1">AVEDEV(Q43*$Q$3,R43*$R$3,S43*$S$3,T43*$T$3,U43*$U$3)</f>
        <v>2.5210970028213743E-4</v>
      </c>
      <c r="AB43" s="11" cm="1">
        <f t="array" aca="1" ref="AB43" ca="1">MMULT(_xlfn.ANCHORARRAY(Q43),TRANSPOSE($Q$6:$U$6))</f>
        <v>-2.4550518983056172E-2</v>
      </c>
      <c r="AD43" s="2" t="s">
        <v>34</v>
      </c>
      <c r="AE43" s="10" cm="1">
        <f t="array" aca="1" ref="AE43:AI43" ca="1">_xlfn.LET(_xlpm.array,_xlfn.RANDARRAY(1,COLUMNS(_xlfn.ANCHORARRAY(Q42)),-1,1,FALSE),_xlpm.array/SUM(_xlpm.array))</f>
        <v>0.54693823815448617</v>
      </c>
      <c r="AF43" s="10">
        <f ca="1"/>
        <v>0.35679575633919958</v>
      </c>
      <c r="AG43" s="10">
        <f ca="1"/>
        <v>0.46257233428182981</v>
      </c>
      <c r="AH43" s="10">
        <f ca="1"/>
        <v>-0.25277001854914494</v>
      </c>
      <c r="AI43" s="10">
        <f ca="1"/>
        <v>-0.1135363102263708</v>
      </c>
      <c r="AJ43" s="1"/>
      <c r="AK43" s="2" cm="1">
        <f t="array" aca="1" ref="AK43" ca="1">MMULT(MMULT(_xlfn.ANCHORARRAY(AE43),$Q$9:$U$13),TRANSPOSE(_xlfn.ANCHORARRAY(AE43)))</f>
        <v>4.9210969536361436E-4</v>
      </c>
      <c r="AL43" s="2">
        <f t="shared" ca="1" si="7"/>
        <v>2.2183545599466611E-2</v>
      </c>
      <c r="AM43" s="2" cm="1">
        <f t="array" aca="1" ref="AM43" ca="1">MMULT(_xlfn.ANCHORARRAY(AE44),TRANSPOSE($Q$3:$U$3))</f>
        <v>9.5616412268598736E-4</v>
      </c>
    </row>
    <row r="44" spans="1:39" x14ac:dyDescent="0.35">
      <c r="A44" s="3">
        <v>43894</v>
      </c>
      <c r="B44" s="4">
        <v>24.365341186523398</v>
      </c>
      <c r="C44" s="4">
        <v>75.537147521972599</v>
      </c>
      <c r="D44" s="4">
        <v>20.0679912567138</v>
      </c>
      <c r="E44" s="4">
        <v>10.578829765319799</v>
      </c>
      <c r="F44" s="4">
        <v>162.006591796875</v>
      </c>
      <c r="I44" s="5">
        <f>B44/B43-1</f>
        <v>2.3063024967804546E-2</v>
      </c>
      <c r="J44" s="5">
        <f>C44/C43-1</f>
        <v>4.3860616506670391E-2</v>
      </c>
      <c r="K44" s="5">
        <f>D44/D43-1</f>
        <v>3.8295957868189179E-2</v>
      </c>
      <c r="L44" s="5">
        <f>E44/E43-1</f>
        <v>1.0752455966456242E-2</v>
      </c>
      <c r="M44" s="5">
        <f>F44/F43-1</f>
        <v>3.6715230380969466E-2</v>
      </c>
      <c r="N44" s="5">
        <f>SUMPRODUCT(I44:M44,$AJ$13:$AN$13)</f>
        <v>2.9121302016412304E-2</v>
      </c>
      <c r="P44" s="2" t="s">
        <v>35</v>
      </c>
      <c r="Q44" s="10" cm="1">
        <f t="array" aca="1" ref="Q44:U44" ca="1">_xlfn.LET(_xlpm.array,_xlfn.RANDARRAY(1,COLUMNS(_xlfn.ANCHORARRAY(Q43)),0,1,FALSE),_xlpm.array/SUM(_xlpm.array))</f>
        <v>6.0406307735463516E-2</v>
      </c>
      <c r="R44" s="2">
        <f ca="1"/>
        <v>0.18152179972956758</v>
      </c>
      <c r="S44" s="2">
        <f ca="1"/>
        <v>0.23280468900303541</v>
      </c>
      <c r="T44" s="2">
        <f ca="1"/>
        <v>8.3515533654970484E-2</v>
      </c>
      <c r="U44" s="2">
        <f ca="1"/>
        <v>0.44175166987696302</v>
      </c>
      <c r="V44" s="12"/>
      <c r="X44" s="2" cm="1">
        <f t="array" aca="1" ref="X44" ca="1">MMULT(MMULT(_xlfn.ANCHORARRAY(Q44),$Q$9:$U$13),TRANSPOSE(_xlfn.ANCHORARRAY(Q44)))</f>
        <v>2.7020138264261082E-4</v>
      </c>
      <c r="Y44" s="2">
        <f t="shared" ca="1" si="6"/>
        <v>1.6437803461612832E-2</v>
      </c>
      <c r="Z44" s="2" cm="1">
        <f t="array" aca="1" ref="Z44" ca="1">MMULT(_xlfn.ANCHORARRAY(Q44),TRANSPOSE($Q$3:$U$3))</f>
        <v>9.6452693142545331E-4</v>
      </c>
      <c r="AA44" s="11">
        <f ca="1">AVEDEV(Q44*$Q$3,R44*$R$3,S44*$S$3,T44*$T$3,U44*$U$3)</f>
        <v>1.3205586945760979E-4</v>
      </c>
      <c r="AB44" s="11" cm="1">
        <f t="array" aca="1" ref="AB44" ca="1">MMULT(_xlfn.ANCHORARRAY(Q44),TRANSPOSE($Q$6:$U$6))</f>
        <v>-2.2358886377258212E-2</v>
      </c>
      <c r="AD44" s="2" t="s">
        <v>35</v>
      </c>
      <c r="AE44" s="10" cm="1">
        <f t="array" aca="1" ref="AE44:AI44" ca="1">_xlfn.LET(_xlpm.array,_xlfn.RANDARRAY(1,COLUMNS(_xlfn.ANCHORARRAY(Q43)),-1,1,FALSE),_xlpm.array/SUM(_xlpm.array))</f>
        <v>0.63237874008150585</v>
      </c>
      <c r="AF44" s="10">
        <f ca="1"/>
        <v>-3.737943593864089E-2</v>
      </c>
      <c r="AG44" s="10">
        <f ca="1"/>
        <v>0.45497126876379163</v>
      </c>
      <c r="AH44" s="10">
        <f ca="1"/>
        <v>-0.15032359549416738</v>
      </c>
      <c r="AI44" s="10">
        <f ca="1"/>
        <v>0.10035302258751069</v>
      </c>
      <c r="AJ44" s="1"/>
      <c r="AK44" s="2" cm="1">
        <f t="array" aca="1" ref="AK44" ca="1">MMULT(MMULT(_xlfn.ANCHORARRAY(AE44),$Q$9:$U$13),TRANSPOSE(_xlfn.ANCHORARRAY(AE44)))</f>
        <v>4.659051929662585E-4</v>
      </c>
      <c r="AL44" s="2">
        <f t="shared" ca="1" si="7"/>
        <v>2.1584837107707311E-2</v>
      </c>
      <c r="AM44" s="2" cm="1">
        <f t="array" aca="1" ref="AM44" ca="1">MMULT(_xlfn.ANCHORARRAY(AE45),TRANSPOSE($Q$3:$U$3))</f>
        <v>1.1505521201609647E-3</v>
      </c>
    </row>
    <row r="45" spans="1:39" x14ac:dyDescent="0.35">
      <c r="A45" s="3">
        <v>43895</v>
      </c>
      <c r="B45" s="4">
        <v>23.130235671996999</v>
      </c>
      <c r="C45" s="4">
        <v>74.509864807128906</v>
      </c>
      <c r="D45" s="4">
        <v>18.897590637206999</v>
      </c>
      <c r="E45" s="4">
        <v>10.280927658081</v>
      </c>
      <c r="F45" s="4">
        <v>157.94097900390599</v>
      </c>
      <c r="I45" s="5">
        <f>B45/B44-1</f>
        <v>-5.069108226604857E-2</v>
      </c>
      <c r="J45" s="5">
        <f>C45/C44-1</f>
        <v>-1.359970224643281E-2</v>
      </c>
      <c r="K45" s="5">
        <f>D45/D44-1</f>
        <v>-5.8321762479104144E-2</v>
      </c>
      <c r="L45" s="5">
        <f>E45/E44-1</f>
        <v>-2.8160213733224193E-2</v>
      </c>
      <c r="M45" s="5">
        <f>F45/F44-1</f>
        <v>-2.5095354132667058E-2</v>
      </c>
      <c r="N45" s="5">
        <f>SUMPRODUCT(I45:M45,$AJ$13:$AN$13)</f>
        <v>-3.6801501949825816E-2</v>
      </c>
      <c r="P45" s="2" t="s">
        <v>36</v>
      </c>
      <c r="Q45" s="10" cm="1">
        <f t="array" aca="1" ref="Q45:U45" ca="1">_xlfn.LET(_xlpm.array,_xlfn.RANDARRAY(1,COLUMNS(_xlfn.ANCHORARRAY(Q44)),0,1,FALSE),_xlpm.array/SUM(_xlpm.array))</f>
        <v>0.26240788257853853</v>
      </c>
      <c r="R45" s="2">
        <f ca="1"/>
        <v>5.2484372406309793E-2</v>
      </c>
      <c r="S45" s="2">
        <f ca="1"/>
        <v>0.31858352989836036</v>
      </c>
      <c r="T45" s="2">
        <f ca="1"/>
        <v>0.30057439479655063</v>
      </c>
      <c r="U45" s="2">
        <f ca="1"/>
        <v>6.5949820320240826E-2</v>
      </c>
      <c r="V45" s="12"/>
      <c r="X45" s="2" cm="1">
        <f t="array" aca="1" ref="X45" ca="1">MMULT(MMULT(_xlfn.ANCHORARRAY(Q45),$Q$9:$U$13),TRANSPOSE(_xlfn.ANCHORARRAY(Q45)))</f>
        <v>3.335712145057052E-4</v>
      </c>
      <c r="Y45" s="2">
        <f t="shared" ca="1" si="6"/>
        <v>1.8263932065842373E-2</v>
      </c>
      <c r="Z45" s="2" cm="1">
        <f t="array" aca="1" ref="Z45" ca="1">MMULT(_xlfn.ANCHORARRAY(Q45),TRANSPOSE($Q$3:$U$3))</f>
        <v>1.0465877801435937E-3</v>
      </c>
      <c r="AA45" s="11">
        <f ca="1">AVEDEV(Q45*$Q$3,R45*$R$3,S45*$S$3,T45*$T$3,U45*$U$3)</f>
        <v>1.6232669458145839E-4</v>
      </c>
      <c r="AB45" s="11" cm="1">
        <f t="array" aca="1" ref="AB45" ca="1">MMULT(_xlfn.ANCHORARRAY(Q45),TRANSPOSE($Q$6:$U$6))</f>
        <v>-2.4292088140462395E-2</v>
      </c>
      <c r="AD45" s="2" t="s">
        <v>36</v>
      </c>
      <c r="AE45" s="10" cm="1">
        <f t="array" aca="1" ref="AE45:AI45" ca="1">_xlfn.LET(_xlpm.array,_xlfn.RANDARRAY(1,COLUMNS(_xlfn.ANCHORARRAY(Q44)),-1,1,FALSE),_xlpm.array/SUM(_xlpm.array))</f>
        <v>-5.9640137413233985E-2</v>
      </c>
      <c r="AF45" s="10">
        <f ca="1"/>
        <v>7.1472158303103453E-2</v>
      </c>
      <c r="AG45" s="10">
        <f ca="1"/>
        <v>0.33223142064452005</v>
      </c>
      <c r="AH45" s="10">
        <f ca="1"/>
        <v>0.34051816261852097</v>
      </c>
      <c r="AI45" s="10">
        <f ca="1"/>
        <v>0.31541839584708953</v>
      </c>
      <c r="AJ45" s="1"/>
      <c r="AK45" s="2" cm="1">
        <f t="array" aca="1" ref="AK45" ca="1">MMULT(MMULT(_xlfn.ANCHORARRAY(AE45),$Q$9:$U$13),TRANSPOSE(_xlfn.ANCHORARRAY(AE45)))</f>
        <v>3.207450818181763E-4</v>
      </c>
      <c r="AL45" s="2">
        <f t="shared" ca="1" si="7"/>
        <v>1.7909357381496866E-2</v>
      </c>
      <c r="AM45" s="2" cm="1">
        <f t="array" aca="1" ref="AM45" ca="1">MMULT(_xlfn.ANCHORARRAY(AE46),TRANSPOSE($Q$3:$U$3))</f>
        <v>-8.6445561542868726E-4</v>
      </c>
    </row>
    <row r="46" spans="1:39" x14ac:dyDescent="0.35">
      <c r="A46" s="3">
        <v>43896</v>
      </c>
      <c r="B46" s="4">
        <v>22.206058502197202</v>
      </c>
      <c r="C46" s="4">
        <v>73.076255798339801</v>
      </c>
      <c r="D46" s="4">
        <v>18.3285732269287</v>
      </c>
      <c r="E46" s="4">
        <v>9.7778062820434499</v>
      </c>
      <c r="F46" s="4">
        <v>153.47640991210901</v>
      </c>
      <c r="I46" s="5">
        <f>B46/B45-1</f>
        <v>-3.9955371960116559E-2</v>
      </c>
      <c r="J46" s="5">
        <f>C46/C45-1</f>
        <v>-1.9240526237700784E-2</v>
      </c>
      <c r="K46" s="5">
        <f>D46/D45-1</f>
        <v>-3.0110579766606582E-2</v>
      </c>
      <c r="L46" s="5">
        <f>E46/E45-1</f>
        <v>-4.8937352033800896E-2</v>
      </c>
      <c r="M46" s="5">
        <f>F46/F45-1</f>
        <v>-2.8267325680478295E-2</v>
      </c>
      <c r="N46" s="5">
        <f>SUMPRODUCT(I46:M46,$AJ$13:$AN$13)</f>
        <v>-3.5800655986409705E-2</v>
      </c>
      <c r="P46" s="2" t="s">
        <v>37</v>
      </c>
      <c r="Q46" s="10" cm="1">
        <f t="array" aca="1" ref="Q46:U46" ca="1">_xlfn.LET(_xlpm.array,_xlfn.RANDARRAY(1,COLUMNS(_xlfn.ANCHORARRAY(Q45)),0,1,FALSE),_xlpm.array/SUM(_xlpm.array))</f>
        <v>0.11735349744557196</v>
      </c>
      <c r="R46" s="2">
        <f ca="1"/>
        <v>0.24105998942716333</v>
      </c>
      <c r="S46" s="2">
        <f ca="1"/>
        <v>0.5513614655245781</v>
      </c>
      <c r="T46" s="2">
        <f ca="1"/>
        <v>2.2998173999462107E-2</v>
      </c>
      <c r="U46" s="2">
        <f ca="1"/>
        <v>6.7226873603224518E-2</v>
      </c>
      <c r="V46" s="12"/>
      <c r="X46" s="2" cm="1">
        <f t="array" aca="1" ref="X46" ca="1">MMULT(MMULT(_xlfn.ANCHORARRAY(Q46),$Q$9:$U$13),TRANSPOSE(_xlfn.ANCHORARRAY(Q46)))</f>
        <v>4.3053356238135788E-4</v>
      </c>
      <c r="Y46" s="2">
        <f t="shared" ca="1" si="6"/>
        <v>2.0749302696268082E-2</v>
      </c>
      <c r="Z46" s="2" cm="1">
        <f t="array" aca="1" ref="Z46" ca="1">MMULT(_xlfn.ANCHORARRAY(Q46),TRANSPOSE($Q$3:$U$3))</f>
        <v>1.2060013978611407E-3</v>
      </c>
      <c r="AA46" s="11">
        <f ca="1">AVEDEV(Q46*$Q$3,R46*$R$3,S46*$S$3,T46*$T$3,U46*$U$3)</f>
        <v>2.6168446669481868E-4</v>
      </c>
      <c r="AB46" s="11" cm="1">
        <f t="array" aca="1" ref="AB46" ca="1">MMULT(_xlfn.ANCHORARRAY(Q46),TRANSPOSE($Q$6:$U$6))</f>
        <v>-2.4403218387023584E-2</v>
      </c>
      <c r="AD46" s="2" t="s">
        <v>37</v>
      </c>
      <c r="AE46" s="10" cm="1">
        <f t="array" aca="1" ref="AE46:AI46" ca="1">_xlfn.LET(_xlpm.array,_xlfn.RANDARRAY(1,COLUMNS(_xlfn.ANCHORARRAY(Q45)),-1,1,FALSE),_xlpm.array/SUM(_xlpm.array))</f>
        <v>-6.2892735305354668</v>
      </c>
      <c r="AF46" s="10">
        <f ca="1"/>
        <v>6.6969973470379935</v>
      </c>
      <c r="AG46" s="10">
        <f ca="1"/>
        <v>-2.9336063582108345</v>
      </c>
      <c r="AH46" s="10">
        <f ca="1"/>
        <v>-1.9121526853314299</v>
      </c>
      <c r="AI46" s="10">
        <f ca="1"/>
        <v>5.4380352270397374</v>
      </c>
      <c r="AJ46" s="1"/>
      <c r="AK46" s="2" cm="1">
        <f t="array" aca="1" ref="AK46" ca="1">MMULT(MMULT(_xlfn.ANCHORARRAY(AE46),$Q$9:$U$13),TRANSPOSE(_xlfn.ANCHORARRAY(AE46)))</f>
        <v>2.2250028139880799E-2</v>
      </c>
      <c r="AL46" s="2">
        <f t="shared" ca="1" si="7"/>
        <v>0.1491644332268279</v>
      </c>
      <c r="AM46" s="2" cm="1">
        <f t="array" aca="1" ref="AM46" ca="1">MMULT(_xlfn.ANCHORARRAY(AE47),TRANSPOSE($Q$3:$U$3))</f>
        <v>1.1343042416187476E-3</v>
      </c>
    </row>
    <row r="47" spans="1:39" x14ac:dyDescent="0.35">
      <c r="A47" s="3">
        <v>43899</v>
      </c>
      <c r="B47" s="4">
        <v>18.941225051879801</v>
      </c>
      <c r="C47" s="4">
        <v>61.844955444335902</v>
      </c>
      <c r="D47" s="4">
        <v>16.769586563110298</v>
      </c>
      <c r="E47" s="4">
        <v>7.71897220611572</v>
      </c>
      <c r="F47" s="4">
        <v>143.07496643066401</v>
      </c>
      <c r="I47" s="5">
        <f>B47/B46-1</f>
        <v>-0.14702444605351095</v>
      </c>
      <c r="J47" s="5">
        <f>C47/C46-1</f>
        <v>-0.15369288192593822</v>
      </c>
      <c r="K47" s="5">
        <f>D47/D46-1</f>
        <v>-8.5057720779264323E-2</v>
      </c>
      <c r="L47" s="5">
        <f>E47/E46-1</f>
        <v>-0.21056196211502942</v>
      </c>
      <c r="M47" s="5">
        <f>F47/F46-1</f>
        <v>-6.7772262117686832E-2</v>
      </c>
      <c r="N47" s="5">
        <f>SUMPRODUCT(I47:M47,$AJ$13:$AN$13)</f>
        <v>-0.11775604443684445</v>
      </c>
      <c r="P47" s="2" t="s">
        <v>38</v>
      </c>
      <c r="Q47" s="10" cm="1">
        <f t="array" aca="1" ref="Q47:U47" ca="1">_xlfn.LET(_xlpm.array,_xlfn.RANDARRAY(1,COLUMNS(_xlfn.ANCHORARRAY(Q46)),0,1,FALSE),_xlpm.array/SUM(_xlpm.array))</f>
        <v>0.13656239266244996</v>
      </c>
      <c r="R47" s="2">
        <f ca="1"/>
        <v>0.34222414675994495</v>
      </c>
      <c r="S47" s="2">
        <f ca="1"/>
        <v>2.7722379255090374E-2</v>
      </c>
      <c r="T47" s="2">
        <f ca="1"/>
        <v>0.33389472285017813</v>
      </c>
      <c r="U47" s="2">
        <f ca="1"/>
        <v>0.15959635847233661</v>
      </c>
      <c r="V47" s="12"/>
      <c r="X47" s="2" cm="1">
        <f t="array" aca="1" ref="X47" ca="1">MMULT(MMULT(_xlfn.ANCHORARRAY(Q47),$Q$9:$U$13),TRANSPOSE(_xlfn.ANCHORARRAY(Q47)))</f>
        <v>3.079153354808462E-4</v>
      </c>
      <c r="Y47" s="2">
        <f t="shared" ca="1" si="6"/>
        <v>1.754751650464664E-2</v>
      </c>
      <c r="Z47" s="2" cm="1">
        <f t="array" aca="1" ref="Z47" ca="1">MMULT(_xlfn.ANCHORARRAY(Q47),TRANSPOSE($Q$3:$U$3))</f>
        <v>8.2751437603675458E-4</v>
      </c>
      <c r="AA47" s="11">
        <f ca="1">AVEDEV(Q47*$Q$3,R47*$R$3,S47*$S$3,T47*$T$3,U47*$U$3)</f>
        <v>1.0400490103660298E-4</v>
      </c>
      <c r="AB47" s="11" cm="1">
        <f t="array" aca="1" ref="AB47" ca="1">MMULT(_xlfn.ANCHORARRAY(Q47),TRANSPOSE($Q$6:$U$6))</f>
        <v>-2.236738958109866E-2</v>
      </c>
      <c r="AD47" s="2" t="s">
        <v>38</v>
      </c>
      <c r="AE47" s="10" cm="1">
        <f t="array" aca="1" ref="AE47:AI47" ca="1">_xlfn.LET(_xlpm.array,_xlfn.RANDARRAY(1,COLUMNS(_xlfn.ANCHORARRAY(Q46)),-1,1,FALSE),_xlpm.array/SUM(_xlpm.array))</f>
        <v>-0.12424571272699987</v>
      </c>
      <c r="AF47" s="10">
        <f ca="1"/>
        <v>0.81987322426508047</v>
      </c>
      <c r="AG47" s="10">
        <f ca="1"/>
        <v>0.78241484795601079</v>
      </c>
      <c r="AH47" s="10">
        <f ca="1"/>
        <v>-1.1927778169147851</v>
      </c>
      <c r="AI47" s="10">
        <f ca="1"/>
        <v>0.71473545742069367</v>
      </c>
      <c r="AJ47" s="1"/>
      <c r="AK47" s="2" cm="1">
        <f t="array" aca="1" ref="AK47" ca="1">MMULT(MMULT(_xlfn.ANCHORARRAY(AE47),$Q$9:$U$13),TRANSPOSE(_xlfn.ANCHORARRAY(AE47)))</f>
        <v>1.2029166563982628E-3</v>
      </c>
      <c r="AL47" s="2">
        <f t="shared" ca="1" si="7"/>
        <v>3.4683088910854851E-2</v>
      </c>
      <c r="AM47" s="2" cm="1">
        <f t="array" aca="1" ref="AM47" ca="1">MMULT(_xlfn.ANCHORARRAY(AE48),TRANSPOSE($Q$3:$U$3))</f>
        <v>1.0506801089533388E-3</v>
      </c>
    </row>
    <row r="48" spans="1:39" x14ac:dyDescent="0.35">
      <c r="A48" s="3">
        <v>43900</v>
      </c>
      <c r="B48" s="4">
        <v>20.392263412475501</v>
      </c>
      <c r="C48" s="4">
        <v>65.149154663085895</v>
      </c>
      <c r="D48" s="4">
        <v>18.1065254211425</v>
      </c>
      <c r="E48" s="4">
        <v>7.9771542549133301</v>
      </c>
      <c r="F48" s="4">
        <v>152.858963012695</v>
      </c>
      <c r="I48" s="5">
        <f>B48/B47-1</f>
        <v>7.6607418824353957E-2</v>
      </c>
      <c r="J48" s="5">
        <f>C48/C47-1</f>
        <v>5.3427142036248432E-2</v>
      </c>
      <c r="K48" s="5">
        <f>D48/D47-1</f>
        <v>7.9724020207701196E-2</v>
      </c>
      <c r="L48" s="5">
        <f>E48/E47-1</f>
        <v>3.344772359629089E-2</v>
      </c>
      <c r="M48" s="5">
        <f>F48/F47-1</f>
        <v>6.8383706990226223E-2</v>
      </c>
      <c r="N48" s="5">
        <f>SUMPRODUCT(I48:M48,$AJ$13:$AN$13)</f>
        <v>5.6075828519367224E-2</v>
      </c>
      <c r="P48" s="2" t="s">
        <v>39</v>
      </c>
      <c r="Q48" s="10" cm="1">
        <f t="array" aca="1" ref="Q48:U48" ca="1">_xlfn.LET(_xlpm.array,_xlfn.RANDARRAY(1,COLUMNS(_xlfn.ANCHORARRAY(Q47)),0,1,FALSE),_xlpm.array/SUM(_xlpm.array))</f>
        <v>0.201613762165713</v>
      </c>
      <c r="R48" s="2">
        <f ca="1"/>
        <v>6.0566544563439274E-2</v>
      </c>
      <c r="S48" s="2">
        <f ca="1"/>
        <v>0.47796228338525815</v>
      </c>
      <c r="T48" s="2">
        <f ca="1"/>
        <v>8.7364651582059236E-2</v>
      </c>
      <c r="U48" s="2">
        <f ca="1"/>
        <v>0.17249275830353039</v>
      </c>
      <c r="V48" s="12"/>
      <c r="X48" s="2" cm="1">
        <f t="array" aca="1" ref="X48" ca="1">MMULT(MMULT(_xlfn.ANCHORARRAY(Q48),$Q$9:$U$13),TRANSPOSE(_xlfn.ANCHORARRAY(Q48)))</f>
        <v>3.7881980148258952E-4</v>
      </c>
      <c r="Y48" s="2">
        <f t="shared" ca="1" si="6"/>
        <v>1.9463293695636139E-2</v>
      </c>
      <c r="Z48" s="2" cm="1">
        <f t="array" aca="1" ref="Z48" ca="1">MMULT(_xlfn.ANCHORARRAY(Q48),TRANSPOSE($Q$3:$U$3))</f>
        <v>1.1440935807871047E-3</v>
      </c>
      <c r="AA48" s="11">
        <f ca="1">AVEDEV(Q48*$Q$3,R48*$R$3,S48*$S$3,T48*$T$3,U48*$U$3)</f>
        <v>2.1895696064295626E-4</v>
      </c>
      <c r="AB48" s="11" cm="1">
        <f t="array" aca="1" ref="AB48" ca="1">MMULT(_xlfn.ANCHORARRAY(Q48),TRANSPOSE($Q$6:$U$6))</f>
        <v>-2.4251754891985625E-2</v>
      </c>
      <c r="AD48" s="2" t="s">
        <v>39</v>
      </c>
      <c r="AE48" s="10" cm="1">
        <f t="array" aca="1" ref="AE48:AI48" ca="1">_xlfn.LET(_xlpm.array,_xlfn.RANDARRAY(1,COLUMNS(_xlfn.ANCHORARRAY(Q47)),-1,1,FALSE),_xlpm.array/SUM(_xlpm.array))</f>
        <v>1.4258092441247197E-2</v>
      </c>
      <c r="AF48" s="10">
        <f ca="1"/>
        <v>0.23916876044005878</v>
      </c>
      <c r="AG48" s="10">
        <f ca="1"/>
        <v>0.26901456890255881</v>
      </c>
      <c r="AH48" s="10">
        <f ca="1"/>
        <v>0.25954155711454874</v>
      </c>
      <c r="AI48" s="10">
        <f ca="1"/>
        <v>0.21801702110158652</v>
      </c>
      <c r="AJ48" s="1"/>
      <c r="AK48" s="2" cm="1">
        <f t="array" aca="1" ref="AK48" ca="1">MMULT(MMULT(_xlfn.ANCHORARRAY(AE48),$Q$9:$U$13),TRANSPOSE(_xlfn.ANCHORARRAY(AE48)))</f>
        <v>3.0014831964546578E-4</v>
      </c>
      <c r="AL48" s="2">
        <f t="shared" ca="1" si="7"/>
        <v>1.7324789165974453E-2</v>
      </c>
      <c r="AM48" s="2" cm="1">
        <f t="array" aca="1" ref="AM48" ca="1">MMULT(_xlfn.ANCHORARRAY(AE49),TRANSPOSE($Q$3:$U$3))</f>
        <v>3.927001193913745E-4</v>
      </c>
    </row>
    <row r="49" spans="1:39" x14ac:dyDescent="0.35">
      <c r="A49" s="3">
        <v>43901</v>
      </c>
      <c r="B49" s="4">
        <v>19.580373764038001</v>
      </c>
      <c r="C49" s="4">
        <v>63.654190063476499</v>
      </c>
      <c r="D49" s="4">
        <v>17.088787078857401</v>
      </c>
      <c r="E49" s="4">
        <v>7.3813490867614702</v>
      </c>
      <c r="F49" s="4">
        <v>145.93414306640599</v>
      </c>
      <c r="I49" s="5">
        <f>B49/B48-1</f>
        <v>-3.9813611270870797E-2</v>
      </c>
      <c r="J49" s="5">
        <f>C49/C48-1</f>
        <v>-2.2946799652896477E-2</v>
      </c>
      <c r="K49" s="5">
        <f>D49/D48-1</f>
        <v>-5.6208373424131097E-2</v>
      </c>
      <c r="L49" s="5">
        <f>E49/E48-1</f>
        <v>-7.4688936569690667E-2</v>
      </c>
      <c r="M49" s="5">
        <f>F49/F48-1</f>
        <v>-4.5302020959764655E-2</v>
      </c>
      <c r="N49" s="5">
        <f>SUMPRODUCT(I49:M49,$AJ$13:$AN$13)</f>
        <v>-6.7031603410070625E-2</v>
      </c>
      <c r="P49" s="2" t="s">
        <v>40</v>
      </c>
      <c r="Q49" s="10" cm="1">
        <f t="array" aca="1" ref="Q49:U49" ca="1">_xlfn.LET(_xlpm.array,_xlfn.RANDARRAY(1,COLUMNS(_xlfn.ANCHORARRAY(Q48)),0,1,FALSE),_xlpm.array/SUM(_xlpm.array))</f>
        <v>0.33839382479353763</v>
      </c>
      <c r="R49" s="2">
        <f ca="1"/>
        <v>0.40466361123892164</v>
      </c>
      <c r="S49" s="2">
        <f ca="1"/>
        <v>3.1713404891390198E-2</v>
      </c>
      <c r="T49" s="2">
        <f ca="1"/>
        <v>0.10146886753877186</v>
      </c>
      <c r="U49" s="2">
        <f ca="1"/>
        <v>0.12376029153737868</v>
      </c>
      <c r="V49" s="12"/>
      <c r="X49" s="2" cm="1">
        <f t="array" aca="1" ref="X49" ca="1">MMULT(MMULT(_xlfn.ANCHORARRAY(Q49),$Q$9:$U$13),TRANSPOSE(_xlfn.ANCHORARRAY(Q49)))</f>
        <v>3.0213443125432264E-4</v>
      </c>
      <c r="Y49" s="2">
        <f t="shared" ca="1" si="6"/>
        <v>1.7382014591362033E-2</v>
      </c>
      <c r="Z49" s="2" cm="1">
        <f t="array" aca="1" ref="Z49" ca="1">MMULT(_xlfn.ANCHORARRAY(Q49),TRANSPOSE($Q$3:$U$3))</f>
        <v>7.1731202074732465E-4</v>
      </c>
      <c r="AA49" s="11">
        <f ca="1">AVEDEV(Q49*$Q$3,R49*$R$3,S49*$S$3,T49*$T$3,U49*$U$3)</f>
        <v>7.2225501588044679E-5</v>
      </c>
      <c r="AB49" s="11" cm="1">
        <f t="array" aca="1" ref="AB49" ca="1">MMULT(_xlfn.ANCHORARRAY(Q49),TRANSPOSE($Q$6:$U$6))</f>
        <v>-2.1553265188068965E-2</v>
      </c>
      <c r="AD49" s="2" t="s">
        <v>40</v>
      </c>
      <c r="AE49" s="10" cm="1">
        <f t="array" aca="1" ref="AE49:AI49" ca="1">_xlfn.LET(_xlpm.array,_xlfn.RANDARRAY(1,COLUMNS(_xlfn.ANCHORARRAY(Q48)),-1,1,FALSE),_xlpm.array/SUM(_xlpm.array))</f>
        <v>0.87614144821384099</v>
      </c>
      <c r="AF49" s="10">
        <f ca="1"/>
        <v>-0.22706215978004571</v>
      </c>
      <c r="AG49" s="10">
        <f ca="1"/>
        <v>-0.17388028255725146</v>
      </c>
      <c r="AH49" s="10">
        <f ca="1"/>
        <v>-2.2589515381660784E-2</v>
      </c>
      <c r="AI49" s="10">
        <f ca="1"/>
        <v>0.54739050950511692</v>
      </c>
      <c r="AJ49" s="1"/>
      <c r="AK49" s="2" cm="1">
        <f t="array" aca="1" ref="AK49" ca="1">MMULT(MMULT(_xlfn.ANCHORARRAY(AE49),$Q$9:$U$13),TRANSPOSE(_xlfn.ANCHORARRAY(AE49)))</f>
        <v>4.2102842175330236E-4</v>
      </c>
      <c r="AL49" s="2">
        <f t="shared" ca="1" si="7"/>
        <v>2.0518977112743763E-2</v>
      </c>
      <c r="AM49" s="2" cm="1">
        <f t="array" aca="1" ref="AM49" ca="1">MMULT(_xlfn.ANCHORARRAY(AE50),TRANSPOSE($Q$3:$U$3))</f>
        <v>2.3356724454060723E-4</v>
      </c>
    </row>
    <row r="50" spans="1:39" x14ac:dyDescent="0.35">
      <c r="A50" s="3">
        <v>43902</v>
      </c>
      <c r="B50" s="4">
        <v>17.7147521972656</v>
      </c>
      <c r="C50" s="4">
        <v>58.464057922363203</v>
      </c>
      <c r="D50" s="4">
        <v>15.1458263397216</v>
      </c>
      <c r="E50" s="4">
        <v>6.4148230552673304</v>
      </c>
      <c r="F50" s="4">
        <v>132.09403991699199</v>
      </c>
      <c r="I50" s="5">
        <f>B50/B49-1</f>
        <v>-9.528018153559803E-2</v>
      </c>
      <c r="J50" s="5">
        <f>C50/C49-1</f>
        <v>-8.1536378609760818E-2</v>
      </c>
      <c r="K50" s="5">
        <f>D50/D49-1</f>
        <v>-0.11369798980874846</v>
      </c>
      <c r="L50" s="5">
        <f>E50/E49-1</f>
        <v>-0.13094165038578309</v>
      </c>
      <c r="M50" s="5">
        <f>F50/F49-1</f>
        <v>-9.4838006093722615E-2</v>
      </c>
      <c r="N50" s="5">
        <f>SUMPRODUCT(I50:M50,$AJ$13:$AN$13)</f>
        <v>-0.12183544594652809</v>
      </c>
      <c r="P50" s="2" t="s">
        <v>41</v>
      </c>
      <c r="Q50" s="10" cm="1">
        <f t="array" aca="1" ref="Q50:U50" ca="1">_xlfn.LET(_xlpm.array,_xlfn.RANDARRAY(1,COLUMNS(_xlfn.ANCHORARRAY(Q49)),0,1,FALSE),_xlpm.array/SUM(_xlpm.array))</f>
        <v>0.21855481131427856</v>
      </c>
      <c r="R50" s="2">
        <f ca="1"/>
        <v>0.14303119655159702</v>
      </c>
      <c r="S50" s="2">
        <f ca="1"/>
        <v>0.13138014517788765</v>
      </c>
      <c r="T50" s="2">
        <f ca="1"/>
        <v>0.29501245789585323</v>
      </c>
      <c r="U50" s="2">
        <f ca="1"/>
        <v>0.21202138906038354</v>
      </c>
      <c r="V50" s="12"/>
      <c r="X50" s="2" cm="1">
        <f t="array" aca="1" ref="X50" ca="1">MMULT(MMULT(_xlfn.ANCHORARRAY(Q50),$Q$9:$U$13),TRANSPOSE(_xlfn.ANCHORARRAY(Q50)))</f>
        <v>2.750527914405596E-4</v>
      </c>
      <c r="Y50" s="2">
        <f t="shared" ca="1" si="6"/>
        <v>1.6584715597216602E-2</v>
      </c>
      <c r="Z50" s="2" cm="1">
        <f t="array" aca="1" ref="Z50" ca="1">MMULT(_xlfn.ANCHORARRAY(Q50),TRANSPOSE($Q$3:$U$3))</f>
        <v>8.9244323353580672E-4</v>
      </c>
      <c r="AA50" s="11">
        <f ca="1">AVEDEV(Q50*$Q$3,R50*$R$3,S50*$S$3,T50*$T$3,U50*$U$3)</f>
        <v>6.310957742947493E-5</v>
      </c>
      <c r="AB50" s="11" cm="1">
        <f t="array" aca="1" ref="AB50" ca="1">MMULT(_xlfn.ANCHORARRAY(Q50),TRANSPOSE($Q$6:$U$6))</f>
        <v>-2.2927264285338766E-2</v>
      </c>
      <c r="AD50" s="2" t="s">
        <v>41</v>
      </c>
      <c r="AE50" s="10" cm="1">
        <f t="array" aca="1" ref="AE50:AI50" ca="1">_xlfn.LET(_xlpm.array,_xlfn.RANDARRAY(1,COLUMNS(_xlfn.ANCHORARRAY(Q49)),-1,1,FALSE),_xlpm.array/SUM(_xlpm.array))</f>
        <v>1.1121356217463347</v>
      </c>
      <c r="AF50" s="10">
        <f ca="1"/>
        <v>0.46853033607368844</v>
      </c>
      <c r="AG50" s="10">
        <f ca="1"/>
        <v>-0.67777961298264866</v>
      </c>
      <c r="AH50" s="10">
        <f ca="1"/>
        <v>1.3733512322986268</v>
      </c>
      <c r="AI50" s="10">
        <f ca="1"/>
        <v>-1.2762375771360013</v>
      </c>
      <c r="AJ50" s="1"/>
      <c r="AK50" s="2" cm="1">
        <f t="array" aca="1" ref="AK50" ca="1">MMULT(MMULT(_xlfn.ANCHORARRAY(AE50),$Q$9:$U$13),TRANSPOSE(_xlfn.ANCHORARRAY(AE50)))</f>
        <v>2.7730953654879096E-3</v>
      </c>
      <c r="AL50" s="2">
        <f t="shared" ca="1" si="7"/>
        <v>5.2660187670458505E-2</v>
      </c>
      <c r="AM50" s="2" cm="1">
        <f t="array" aca="1" ref="AM50" ca="1">MMULT(_xlfn.ANCHORARRAY(AE51),TRANSPOSE($Q$3:$U$3))</f>
        <v>1.6480655319438256E-3</v>
      </c>
    </row>
    <row r="51" spans="1:39" x14ac:dyDescent="0.35">
      <c r="A51" s="3">
        <v>43903</v>
      </c>
      <c r="B51" s="4">
        <v>20.867305755615199</v>
      </c>
      <c r="C51" s="4">
        <v>63.9532051086425</v>
      </c>
      <c r="D51" s="4">
        <v>16.630800247192301</v>
      </c>
      <c r="E51" s="4">
        <v>7.0238661766052202</v>
      </c>
      <c r="F51" s="4">
        <v>150.87362670898401</v>
      </c>
      <c r="I51" s="5">
        <f>B51/B50-1</f>
        <v>0.1779620467305334</v>
      </c>
      <c r="J51" s="5">
        <f>C51/C50-1</f>
        <v>9.3889260878342595E-2</v>
      </c>
      <c r="K51" s="5">
        <f>D51/D50-1</f>
        <v>9.8045090057331086E-2</v>
      </c>
      <c r="L51" s="5">
        <f>E51/E50-1</f>
        <v>9.4943089792288715E-2</v>
      </c>
      <c r="M51" s="5">
        <f>F51/F50-1</f>
        <v>0.14216831284585685</v>
      </c>
      <c r="N51" s="5">
        <f>SUMPRODUCT(I51:M51,$AJ$13:$AN$13)</f>
        <v>8.8357947237104273E-2</v>
      </c>
      <c r="P51" s="2" t="s">
        <v>42</v>
      </c>
      <c r="Q51" s="10" cm="1">
        <f t="array" aca="1" ref="Q51:U51" ca="1">_xlfn.LET(_xlpm.array,_xlfn.RANDARRAY(1,COLUMNS(_xlfn.ANCHORARRAY(Q50)),0,1,FALSE),_xlpm.array/SUM(_xlpm.array))</f>
        <v>0.17915318637593711</v>
      </c>
      <c r="R51" s="2">
        <f ca="1"/>
        <v>6.2570816629795328E-2</v>
      </c>
      <c r="S51" s="2">
        <f ca="1"/>
        <v>0.14815218208201056</v>
      </c>
      <c r="T51" s="2">
        <f ca="1"/>
        <v>0.27123213155901527</v>
      </c>
      <c r="U51" s="2">
        <f ca="1"/>
        <v>0.33889168335324177</v>
      </c>
      <c r="V51" s="12"/>
      <c r="X51" s="2" cm="1">
        <f t="array" aca="1" ref="X51" ca="1">MMULT(MMULT(_xlfn.ANCHORARRAY(Q51),$Q$9:$U$13),TRANSPOSE(_xlfn.ANCHORARRAY(Q51)))</f>
        <v>2.5895018886690614E-4</v>
      </c>
      <c r="Y51" s="2">
        <f t="shared" ca="1" si="6"/>
        <v>1.6091929308411287E-2</v>
      </c>
      <c r="Z51" s="2" cm="1">
        <f t="array" aca="1" ref="Z51" ca="1">MMULT(_xlfn.ANCHORARRAY(Q51),TRANSPOSE($Q$3:$U$3))</f>
        <v>9.1364283539114286E-4</v>
      </c>
      <c r="AA51" s="11">
        <f ca="1">AVEDEV(Q51*$Q$3,R51*$R$3,S51*$S$3,T51*$T$3,U51*$U$3)</f>
        <v>9.1484618342357426E-5</v>
      </c>
      <c r="AB51" s="11" cm="1">
        <f t="array" aca="1" ref="AB51" ca="1">MMULT(_xlfn.ANCHORARRAY(Q51),TRANSPOSE($Q$6:$U$6))</f>
        <v>-2.2829258170089642E-2</v>
      </c>
      <c r="AD51" s="2" t="s">
        <v>42</v>
      </c>
      <c r="AE51" s="10" cm="1">
        <f t="array" aca="1" ref="AE51:AI51" ca="1">_xlfn.LET(_xlpm.array,_xlfn.RANDARRAY(1,COLUMNS(_xlfn.ANCHORARRAY(Q50)),-1,1,FALSE),_xlpm.array/SUM(_xlpm.array))</f>
        <v>-1.6169329628529574</v>
      </c>
      <c r="AF51" s="10">
        <f ca="1"/>
        <v>0.54847788515080165</v>
      </c>
      <c r="AG51" s="10">
        <f ca="1"/>
        <v>-0.43351709376860426</v>
      </c>
      <c r="AH51" s="10">
        <f ca="1"/>
        <v>3.348355355369006</v>
      </c>
      <c r="AI51" s="10">
        <f ca="1"/>
        <v>-0.84638318389824607</v>
      </c>
      <c r="AJ51" s="1"/>
      <c r="AK51" s="2" cm="1">
        <f t="array" aca="1" ref="AK51" ca="1">MMULT(MMULT(_xlfn.ANCHORARRAY(AE51),$Q$9:$U$13),TRANSPOSE(_xlfn.ANCHORARRAY(AE51)))</f>
        <v>6.1239209443037165E-3</v>
      </c>
      <c r="AL51" s="2">
        <f t="shared" ca="1" si="7"/>
        <v>7.8255485074873288E-2</v>
      </c>
      <c r="AM51" s="2" cm="1">
        <f t="array" aca="1" ref="AM51" ca="1">MMULT(_xlfn.ANCHORARRAY(AE52),TRANSPOSE($Q$3:$U$3))</f>
        <v>6.1559298274253642E-4</v>
      </c>
    </row>
    <row r="52" spans="1:39" x14ac:dyDescent="0.35">
      <c r="A52" s="3">
        <v>43906</v>
      </c>
      <c r="B52" s="4">
        <v>17.654296875</v>
      </c>
      <c r="C52" s="4">
        <v>53.434883117675703</v>
      </c>
      <c r="D52" s="4">
        <v>14.9006433486938</v>
      </c>
      <c r="E52" s="4">
        <v>6.0904407501220703</v>
      </c>
      <c r="F52" s="4">
        <v>128.63633728027301</v>
      </c>
      <c r="I52" s="5">
        <f>B52/B51-1</f>
        <v>-0.15397334558873788</v>
      </c>
      <c r="J52" s="5">
        <f>C52/C51-1</f>
        <v>-0.16446903596306817</v>
      </c>
      <c r="K52" s="5">
        <f>D52/D51-1</f>
        <v>-0.10403329201134481</v>
      </c>
      <c r="L52" s="5">
        <f>E52/E51-1</f>
        <v>-0.13289339560485391</v>
      </c>
      <c r="M52" s="5">
        <f>F52/F51-1</f>
        <v>-0.14739016959938189</v>
      </c>
      <c r="N52" s="5">
        <f>SUMPRODUCT(I52:M52,$AJ$13:$AN$13)</f>
        <v>-0.11557824404042788</v>
      </c>
      <c r="P52" s="2" t="s">
        <v>43</v>
      </c>
      <c r="Q52" s="10" cm="1">
        <f t="array" aca="1" ref="Q52:U52" ca="1">_xlfn.LET(_xlpm.array,_xlfn.RANDARRAY(1,COLUMNS(_xlfn.ANCHORARRAY(Q51)),0,1,FALSE),_xlpm.array/SUM(_xlpm.array))</f>
        <v>6.5792825841690758E-2</v>
      </c>
      <c r="R52" s="2">
        <f ca="1"/>
        <v>0.37699868554604055</v>
      </c>
      <c r="S52" s="2">
        <f ca="1"/>
        <v>0.14714357247748103</v>
      </c>
      <c r="T52" s="2">
        <f ca="1"/>
        <v>0.19377963446558921</v>
      </c>
      <c r="U52" s="2">
        <f ca="1"/>
        <v>0.21628528166919844</v>
      </c>
      <c r="V52" s="12"/>
      <c r="X52" s="2" cm="1">
        <f t="array" aca="1" ref="X52" ca="1">MMULT(MMULT(_xlfn.ANCHORARRAY(Q52),$Q$9:$U$13),TRANSPOSE(_xlfn.ANCHORARRAY(Q52)))</f>
        <v>2.8168459389392642E-4</v>
      </c>
      <c r="Y52" s="2">
        <f t="shared" ca="1" si="6"/>
        <v>1.6783461916241429E-2</v>
      </c>
      <c r="Z52" s="2" cm="1">
        <f t="array" aca="1" ref="Z52" ca="1">MMULT(_xlfn.ANCHORARRAY(Q52),TRANSPOSE($Q$3:$U$3))</f>
        <v>9.1109461085681271E-4</v>
      </c>
      <c r="AA52" s="11">
        <f ca="1">AVEDEV(Q52*$Q$3,R52*$R$3,S52*$S$3,T52*$T$3,U52*$U$3)</f>
        <v>6.6228905628323896E-5</v>
      </c>
      <c r="AB52" s="11" cm="1">
        <f t="array" aca="1" ref="AB52" ca="1">MMULT(_xlfn.ANCHORARRAY(Q52),TRANSPOSE($Q$6:$U$6))</f>
        <v>-2.2412223063732264E-2</v>
      </c>
      <c r="AD52" s="2" t="s">
        <v>43</v>
      </c>
      <c r="AE52" s="10" cm="1">
        <f t="array" aca="1" ref="AE52:AI52" ca="1">_xlfn.LET(_xlpm.array,_xlfn.RANDARRAY(1,COLUMNS(_xlfn.ANCHORARRAY(Q51)),-1,1,FALSE),_xlpm.array/SUM(_xlpm.array))</f>
        <v>0.45055926464548901</v>
      </c>
      <c r="AF52" s="10">
        <f ca="1"/>
        <v>0.14743381809497902</v>
      </c>
      <c r="AG52" s="10">
        <f ca="1"/>
        <v>-8.801510797731231E-2</v>
      </c>
      <c r="AH52" s="10">
        <f ca="1"/>
        <v>0.1833493379785846</v>
      </c>
      <c r="AI52" s="10">
        <f ca="1"/>
        <v>0.30667268725825964</v>
      </c>
      <c r="AJ52" s="1"/>
      <c r="AK52" s="2" cm="1">
        <f t="array" aca="1" ref="AK52" ca="1">MMULT(MMULT(_xlfn.ANCHORARRAY(AE52),$Q$9:$U$13),TRANSPOSE(_xlfn.ANCHORARRAY(AE52)))</f>
        <v>2.8298455091004725E-4</v>
      </c>
      <c r="AL52" s="2">
        <f t="shared" ca="1" si="7"/>
        <v>1.6822144658456818E-2</v>
      </c>
      <c r="AM52" s="2" cm="1">
        <f t="array" aca="1" ref="AM52" ca="1">MMULT(_xlfn.ANCHORARRAY(AE53),TRANSPOSE($Q$3:$U$3))</f>
        <v>2.1195982494267994E-3</v>
      </c>
    </row>
    <row r="53" spans="1:39" x14ac:dyDescent="0.35">
      <c r="A53" s="3">
        <v>43907</v>
      </c>
      <c r="B53" s="4">
        <v>18.984411239623999</v>
      </c>
      <c r="C53" s="4">
        <v>54.1938667297363</v>
      </c>
      <c r="D53" s="4">
        <v>14.488919258117599</v>
      </c>
      <c r="E53" s="4">
        <v>6.5935640335082999</v>
      </c>
      <c r="F53" s="4">
        <v>139.227783203125</v>
      </c>
      <c r="I53" s="5">
        <f>B53/B52-1</f>
        <v>7.5342245235920702E-2</v>
      </c>
      <c r="J53" s="5">
        <f>C53/C52-1</f>
        <v>1.4203897674654575E-2</v>
      </c>
      <c r="K53" s="5">
        <f>D53/D52-1</f>
        <v>-2.7631296242809023E-2</v>
      </c>
      <c r="L53" s="5">
        <f>E53/E52-1</f>
        <v>8.2608682036048986E-2</v>
      </c>
      <c r="M53" s="5">
        <f>F53/F52-1</f>
        <v>8.2336345598641669E-2</v>
      </c>
      <c r="N53" s="5">
        <f>SUMPRODUCT(I53:M53,$AJ$13:$AN$13)</f>
        <v>2.9461380187798408E-2</v>
      </c>
      <c r="P53" s="2" t="s">
        <v>44</v>
      </c>
      <c r="Q53" s="10" cm="1">
        <f t="array" aca="1" ref="Q53:U53" ca="1">_xlfn.LET(_xlpm.array,_xlfn.RANDARRAY(1,COLUMNS(_xlfn.ANCHORARRAY(Q52)),0,1,FALSE),_xlpm.array/SUM(_xlpm.array))</f>
        <v>0.34776544974398166</v>
      </c>
      <c r="R53" s="2">
        <f ca="1"/>
        <v>6.5167668210184132E-2</v>
      </c>
      <c r="S53" s="2">
        <f ca="1"/>
        <v>0.18196778875589878</v>
      </c>
      <c r="T53" s="2">
        <f ca="1"/>
        <v>8.4729441742494235E-2</v>
      </c>
      <c r="U53" s="2">
        <f ca="1"/>
        <v>0.32036965154744124</v>
      </c>
      <c r="V53" s="12"/>
      <c r="X53" s="2" cm="1">
        <f t="array" aca="1" ref="X53" ca="1">MMULT(MMULT(_xlfn.ANCHORARRAY(Q53),$Q$9:$U$13),TRANSPOSE(_xlfn.ANCHORARRAY(Q53)))</f>
        <v>2.717990641755442E-4</v>
      </c>
      <c r="Y53" s="2">
        <f t="shared" ca="1" si="6"/>
        <v>1.648632961503391E-2</v>
      </c>
      <c r="Z53" s="2" cm="1">
        <f t="array" aca="1" ref="Z53" ca="1">MMULT(_xlfn.ANCHORARRAY(Q53),TRANSPOSE($Q$3:$U$3))</f>
        <v>8.5145129042319789E-4</v>
      </c>
      <c r="AA53" s="11">
        <f ca="1">AVEDEV(Q53*$Q$3,R53*$R$3,S53*$S$3,T53*$T$3,U53*$U$3)</f>
        <v>8.25725965025624E-5</v>
      </c>
      <c r="AB53" s="11" cm="1">
        <f t="array" aca="1" ref="AB53" ca="1">MMULT(_xlfn.ANCHORARRAY(Q53),TRANSPOSE($Q$6:$U$6))</f>
        <v>-2.2378489124818192E-2</v>
      </c>
      <c r="AD53" s="2" t="s">
        <v>44</v>
      </c>
      <c r="AE53" s="10" cm="1">
        <f t="array" aca="1" ref="AE53:AI53" ca="1">_xlfn.LET(_xlpm.array,_xlfn.RANDARRAY(1,COLUMNS(_xlfn.ANCHORARRAY(Q52)),-1,1,FALSE),_xlpm.array/SUM(_xlpm.array))</f>
        <v>-1.3185171390945021</v>
      </c>
      <c r="AF53" s="10">
        <f ca="1"/>
        <v>1.3425905248882415</v>
      </c>
      <c r="AG53" s="10">
        <f ca="1"/>
        <v>1.4638874158323028</v>
      </c>
      <c r="AH53" s="10">
        <f ca="1"/>
        <v>-0.7587454956871037</v>
      </c>
      <c r="AI53" s="10">
        <f ca="1"/>
        <v>0.27078469406106159</v>
      </c>
      <c r="AJ53" s="1"/>
      <c r="AK53" s="2" cm="1">
        <f t="array" aca="1" ref="AK53" ca="1">MMULT(MMULT(_xlfn.ANCHORARRAY(AE53),$Q$9:$U$13),TRANSPOSE(_xlfn.ANCHORARRAY(AE53)))</f>
        <v>2.1654703992226437E-3</v>
      </c>
      <c r="AL53" s="2">
        <f t="shared" ca="1" si="7"/>
        <v>4.6534615064730507E-2</v>
      </c>
      <c r="AM53" s="2" cm="1">
        <f t="array" aca="1" ref="AM53" ca="1">MMULT(_xlfn.ANCHORARRAY(AE54),TRANSPOSE($Q$3:$U$3))</f>
        <v>7.062088613469103E-4</v>
      </c>
    </row>
    <row r="54" spans="1:39" x14ac:dyDescent="0.35">
      <c r="A54" s="3">
        <v>43908</v>
      </c>
      <c r="B54" s="4">
        <v>17.956594467163001</v>
      </c>
      <c r="C54" s="4">
        <v>42.203586578369098</v>
      </c>
      <c r="D54" s="4">
        <v>13.355525970458901</v>
      </c>
      <c r="E54" s="4">
        <v>5.8521208763122496</v>
      </c>
      <c r="F54" s="4">
        <v>133.36685180664</v>
      </c>
      <c r="I54" s="5">
        <f>B54/B53-1</f>
        <v>-5.4140039397995832E-2</v>
      </c>
      <c r="J54" s="5">
        <f>C54/C53-1</f>
        <v>-0.22124791742878369</v>
      </c>
      <c r="K54" s="5">
        <f>D54/D53-1</f>
        <v>-7.8224832885565365E-2</v>
      </c>
      <c r="L54" s="5">
        <f>E54/E53-1</f>
        <v>-0.11244952705821276</v>
      </c>
      <c r="M54" s="5">
        <f>F54/F53-1</f>
        <v>-4.2095990194243482E-2</v>
      </c>
      <c r="N54" s="5">
        <f>SUMPRODUCT(I54:M54,$AJ$13:$AN$13)</f>
        <v>-8.4427810843486079E-2</v>
      </c>
      <c r="P54" s="2" t="s">
        <v>45</v>
      </c>
      <c r="Q54" s="10" cm="1">
        <f t="array" aca="1" ref="Q54:U54" ca="1">_xlfn.LET(_xlpm.array,_xlfn.RANDARRAY(1,COLUMNS(_xlfn.ANCHORARRAY(Q53)),0,1,FALSE),_xlpm.array/SUM(_xlpm.array))</f>
        <v>0.25391881600967603</v>
      </c>
      <c r="R54" s="2">
        <f ca="1"/>
        <v>0.237205111272764</v>
      </c>
      <c r="S54" s="2">
        <f ca="1"/>
        <v>0.187446701171261</v>
      </c>
      <c r="T54" s="2">
        <f ca="1"/>
        <v>0.21485183662016705</v>
      </c>
      <c r="U54" s="2">
        <f ca="1"/>
        <v>0.10657753492613181</v>
      </c>
      <c r="V54" s="12"/>
      <c r="X54" s="2" cm="1">
        <f t="array" aca="1" ref="X54" ca="1">MMULT(MMULT(_xlfn.ANCHORARRAY(Q54),$Q$9:$U$13),TRANSPOSE(_xlfn.ANCHORARRAY(Q54)))</f>
        <v>2.9707819700373363E-4</v>
      </c>
      <c r="Y54" s="2">
        <f t="shared" ca="1" si="6"/>
        <v>1.7235956515486272E-2</v>
      </c>
      <c r="Z54" s="2" cm="1">
        <f t="array" aca="1" ref="Z54" ca="1">MMULT(_xlfn.ANCHORARRAY(Q54),TRANSPOSE($Q$3:$U$3))</f>
        <v>9.0769585843103267E-4</v>
      </c>
      <c r="AA54" s="11">
        <f ca="1">AVEDEV(Q54*$Q$3,R54*$R$3,S54*$S$3,T54*$T$3,U54*$U$3)</f>
        <v>6.4332624119425473E-5</v>
      </c>
      <c r="AB54" s="11" cm="1">
        <f t="array" aca="1" ref="AB54" ca="1">MMULT(_xlfn.ANCHORARRAY(Q54),TRANSPOSE($Q$6:$U$6))</f>
        <v>-2.3013944329820263E-2</v>
      </c>
      <c r="AD54" s="2" t="s">
        <v>45</v>
      </c>
      <c r="AE54" s="10" cm="1">
        <f t="array" aca="1" ref="AE54:AI54" ca="1">_xlfn.LET(_xlpm.array,_xlfn.RANDARRAY(1,COLUMNS(_xlfn.ANCHORARRAY(Q53)),-1,1,FALSE),_xlpm.array/SUM(_xlpm.array))</f>
        <v>0.27733710693043551</v>
      </c>
      <c r="AF54" s="10">
        <f ca="1"/>
        <v>0.28645534299521302</v>
      </c>
      <c r="AG54" s="10">
        <f ca="1"/>
        <v>0.10735977613241217</v>
      </c>
      <c r="AH54" s="10">
        <f ca="1"/>
        <v>-0.27184723127259719</v>
      </c>
      <c r="AI54" s="10">
        <f ca="1"/>
        <v>0.60069500521453656</v>
      </c>
      <c r="AJ54" s="1"/>
      <c r="AK54" s="2" cm="1">
        <f t="array" aca="1" ref="AK54" ca="1">MMULT(MMULT(_xlfn.ANCHORARRAY(AE54),$Q$9:$U$13),TRANSPOSE(_xlfn.ANCHORARRAY(AE54)))</f>
        <v>3.1200837626508388E-4</v>
      </c>
      <c r="AL54" s="2">
        <f t="shared" ca="1" si="7"/>
        <v>1.7663758837378977E-2</v>
      </c>
      <c r="AM54" s="2" cm="1">
        <f t="array" aca="1" ref="AM54" ca="1">MMULT(_xlfn.ANCHORARRAY(AE55),TRANSPOSE($Q$3:$U$3))</f>
        <v>4.505171265533737E-3</v>
      </c>
    </row>
    <row r="55" spans="1:39" x14ac:dyDescent="0.35">
      <c r="A55" s="3">
        <v>43909</v>
      </c>
      <c r="B55" s="4">
        <v>18.310714721679599</v>
      </c>
      <c r="C55" s="4">
        <v>43.997528076171797</v>
      </c>
      <c r="D55" s="4">
        <v>14.7849884033203</v>
      </c>
      <c r="E55" s="4">
        <v>6.4744052886962802</v>
      </c>
      <c r="F55" s="4">
        <v>135.56117248535099</v>
      </c>
      <c r="I55" s="5">
        <f>B55/B54-1</f>
        <v>1.9720902822869535E-2</v>
      </c>
      <c r="J55" s="5">
        <f>C55/C54-1</f>
        <v>4.2506849375739009E-2</v>
      </c>
      <c r="K55" s="5">
        <f>D55/D54-1</f>
        <v>0.10703153406486776</v>
      </c>
      <c r="L55" s="5">
        <f>E55/E54-1</f>
        <v>0.10633485287408595</v>
      </c>
      <c r="M55" s="5">
        <f>F55/F54-1</f>
        <v>1.6453268926917453E-2</v>
      </c>
      <c r="N55" s="5">
        <f>SUMPRODUCT(I55:M55,$AJ$13:$AN$13)</f>
        <v>0.10381404010379255</v>
      </c>
      <c r="P55" s="2" t="s">
        <v>46</v>
      </c>
      <c r="Q55" s="10" cm="1">
        <f t="array" aca="1" ref="Q55:U55" ca="1">_xlfn.LET(_xlpm.array,_xlfn.RANDARRAY(1,COLUMNS(_xlfn.ANCHORARRAY(Q54)),0,1,FALSE),_xlpm.array/SUM(_xlpm.array))</f>
        <v>0.42765910251718758</v>
      </c>
      <c r="R55" s="2">
        <f ca="1"/>
        <v>0.26468619821932277</v>
      </c>
      <c r="S55" s="2">
        <f ca="1"/>
        <v>3.6897746479035154E-2</v>
      </c>
      <c r="T55" s="2">
        <f ca="1"/>
        <v>7.8923269486642786E-2</v>
      </c>
      <c r="U55" s="2">
        <f ca="1"/>
        <v>0.19183368329781167</v>
      </c>
      <c r="V55" s="12"/>
      <c r="X55" s="2" cm="1">
        <f t="array" aca="1" ref="X55" ca="1">MMULT(MMULT(_xlfn.ANCHORARRAY(Q55),$Q$9:$U$13),TRANSPOSE(_xlfn.ANCHORARRAY(Q55)))</f>
        <v>2.8553139638464706E-4</v>
      </c>
      <c r="Y55" s="2">
        <f t="shared" ca="1" si="6"/>
        <v>1.689767428922238E-2</v>
      </c>
      <c r="Z55" s="2" cm="1">
        <f t="array" aca="1" ref="Z55" ca="1">MMULT(_xlfn.ANCHORARRAY(Q55),TRANSPOSE($Q$3:$U$3))</f>
        <v>6.9791638938661814E-4</v>
      </c>
      <c r="AA55" s="11">
        <f ca="1">AVEDEV(Q55*$Q$3,R55*$R$3,S55*$S$3,T55*$T$3,U55*$U$3)</f>
        <v>5.5446089249885325E-5</v>
      </c>
      <c r="AB55" s="11" cm="1">
        <f t="array" aca="1" ref="AB55" ca="1">MMULT(_xlfn.ANCHORARRAY(Q55),TRANSPOSE($Q$6:$U$6))</f>
        <v>-2.1542497964220253E-2</v>
      </c>
      <c r="AD55" s="2" t="s">
        <v>46</v>
      </c>
      <c r="AE55" s="10" cm="1">
        <f t="array" aca="1" ref="AE55:AI55" ca="1">_xlfn.LET(_xlpm.array,_xlfn.RANDARRAY(1,COLUMNS(_xlfn.ANCHORARRAY(Q54)),-1,1,FALSE),_xlpm.array/SUM(_xlpm.array))</f>
        <v>-1.4619399722194522</v>
      </c>
      <c r="AF55" s="10">
        <f ca="1"/>
        <v>-2.703774280321372</v>
      </c>
      <c r="AG55" s="10">
        <f ca="1"/>
        <v>3.2636158430619497</v>
      </c>
      <c r="AH55" s="10">
        <f ca="1"/>
        <v>1.8213523135974348</v>
      </c>
      <c r="AI55" s="10">
        <f ca="1"/>
        <v>8.0746095881439689E-2</v>
      </c>
      <c r="AJ55" s="1"/>
      <c r="AK55" s="2" cm="1">
        <f t="array" aca="1" ref="AK55" ca="1">MMULT(MMULT(_xlfn.ANCHORARRAY(AE55),$Q$9:$U$13),TRANSPOSE(_xlfn.ANCHORARRAY(AE55)))</f>
        <v>9.1447355175489596E-3</v>
      </c>
      <c r="AL55" s="2">
        <f t="shared" ca="1" si="7"/>
        <v>9.5628110498686317E-2</v>
      </c>
      <c r="AM55" s="2" cm="1">
        <f t="array" aca="1" ref="AM55" ca="1">MMULT(_xlfn.ANCHORARRAY(AE56),TRANSPOSE($Q$3:$U$3))</f>
        <v>7.0755437750340744E-4</v>
      </c>
    </row>
    <row r="56" spans="1:39" x14ac:dyDescent="0.35">
      <c r="A56" s="3">
        <v>43910</v>
      </c>
      <c r="B56" s="4">
        <v>16.989233016967699</v>
      </c>
      <c r="C56" s="4">
        <v>45.530815124511697</v>
      </c>
      <c r="D56" s="4">
        <v>15.030174255371</v>
      </c>
      <c r="E56" s="4">
        <v>6.2956614494323704</v>
      </c>
      <c r="F56" s="4">
        <v>130.46968078613199</v>
      </c>
      <c r="I56" s="5">
        <f>B56/B55-1</f>
        <v>-7.2169859276289494E-2</v>
      </c>
      <c r="J56" s="5">
        <f>C56/C55-1</f>
        <v>3.4849390758620702E-2</v>
      </c>
      <c r="K56" s="5">
        <f>D56/D55-1</f>
        <v>1.6583432151738187E-2</v>
      </c>
      <c r="L56" s="5">
        <f>E56/E55-1</f>
        <v>-2.7607761839682832E-2</v>
      </c>
      <c r="M56" s="5">
        <f>F56/F55-1</f>
        <v>-3.7558628373247527E-2</v>
      </c>
      <c r="N56" s="5">
        <f>SUMPRODUCT(I56:M56,$AJ$13:$AN$13)</f>
        <v>2.9190850313206944E-3</v>
      </c>
      <c r="P56" s="2" t="s">
        <v>47</v>
      </c>
      <c r="Q56" s="10" cm="1">
        <f t="array" aca="1" ref="Q56:U56" ca="1">_xlfn.LET(_xlpm.array,_xlfn.RANDARRAY(1,COLUMNS(_xlfn.ANCHORARRAY(Q55)),0,1,FALSE),_xlpm.array/SUM(_xlpm.array))</f>
        <v>0.20169432072222487</v>
      </c>
      <c r="R56" s="2">
        <f ca="1"/>
        <v>9.3118302542967629E-2</v>
      </c>
      <c r="S56" s="2">
        <f ca="1"/>
        <v>0.21546898586433372</v>
      </c>
      <c r="T56" s="2">
        <f ca="1"/>
        <v>0.2152055756277827</v>
      </c>
      <c r="U56" s="2">
        <f ca="1"/>
        <v>0.27451281524269106</v>
      </c>
      <c r="V56" s="12"/>
      <c r="X56" s="2" cm="1">
        <f t="array" aca="1" ref="X56" ca="1">MMULT(MMULT(_xlfn.ANCHORARRAY(Q56),$Q$9:$U$13),TRANSPOSE(_xlfn.ANCHORARRAY(Q56)))</f>
        <v>2.7183341106672897E-4</v>
      </c>
      <c r="Y56" s="2">
        <f t="shared" ca="1" si="6"/>
        <v>1.648737126005019E-2</v>
      </c>
      <c r="Z56" s="2" cm="1">
        <f t="array" aca="1" ref="Z56" ca="1">MMULT(_xlfn.ANCHORARRAY(Q56),TRANSPOSE($Q$3:$U$3))</f>
        <v>9.5025067862202308E-4</v>
      </c>
      <c r="AA56" s="11">
        <f ca="1">AVEDEV(Q56*$Q$3,R56*$R$3,S56*$S$3,T56*$T$3,U56*$U$3)</f>
        <v>8.3836507655448632E-5</v>
      </c>
      <c r="AB56" s="11" cm="1">
        <f t="array" aca="1" ref="AB56" ca="1">MMULT(_xlfn.ANCHORARRAY(Q56),TRANSPOSE($Q$6:$U$6))</f>
        <v>-2.3067580977711506E-2</v>
      </c>
      <c r="AD56" s="2" t="s">
        <v>47</v>
      </c>
      <c r="AE56" s="10" cm="1">
        <f t="array" aca="1" ref="AE56:AI56" ca="1">_xlfn.LET(_xlpm.array,_xlfn.RANDARRAY(1,COLUMNS(_xlfn.ANCHORARRAY(Q55)),-1,1,FALSE),_xlpm.array/SUM(_xlpm.array))</f>
        <v>0.79972960414541439</v>
      </c>
      <c r="AF56" s="10">
        <f ca="1"/>
        <v>-0.40085920346200515</v>
      </c>
      <c r="AG56" s="10">
        <f ca="1"/>
        <v>9.9286005901585775E-2</v>
      </c>
      <c r="AH56" s="10">
        <f ca="1"/>
        <v>0.18982584557449564</v>
      </c>
      <c r="AI56" s="10">
        <f ca="1"/>
        <v>0.31201774784050934</v>
      </c>
      <c r="AJ56" s="1"/>
      <c r="AK56" s="2" cm="1">
        <f t="array" aca="1" ref="AK56" ca="1">MMULT(MMULT(_xlfn.ANCHORARRAY(AE56),$Q$9:$U$13),TRANSPOSE(_xlfn.ANCHORARRAY(AE56)))</f>
        <v>3.7779409814572574E-4</v>
      </c>
      <c r="AL56" s="2">
        <f t="shared" ca="1" si="7"/>
        <v>1.9436926149618557E-2</v>
      </c>
      <c r="AM56" s="2" cm="1">
        <f t="array" aca="1" ref="AM56" ca="1">MMULT(_xlfn.ANCHORARRAY(AE57),TRANSPOSE($Q$3:$U$3))</f>
        <v>4.0022200297441617E-4</v>
      </c>
    </row>
    <row r="57" spans="1:39" x14ac:dyDescent="0.35">
      <c r="A57" s="3">
        <v>43913</v>
      </c>
      <c r="B57" s="4">
        <v>15.6159267425537</v>
      </c>
      <c r="C57" s="4">
        <v>41.567276000976499</v>
      </c>
      <c r="D57" s="4">
        <v>15.7009572982788</v>
      </c>
      <c r="E57" s="4">
        <v>6.0705814361572203</v>
      </c>
      <c r="F57" s="4">
        <v>129.16830444335901</v>
      </c>
      <c r="I57" s="5">
        <f>B57/B56-1</f>
        <v>-8.0833918343602318E-2</v>
      </c>
      <c r="J57" s="5">
        <f>C57/C56-1</f>
        <v>-8.7051793663175836E-2</v>
      </c>
      <c r="K57" s="5">
        <f>D57/D56-1</f>
        <v>4.4629092884142629E-2</v>
      </c>
      <c r="L57" s="5">
        <f>E57/E56-1</f>
        <v>-3.5751606893576482E-2</v>
      </c>
      <c r="M57" s="5">
        <f>F57/F56-1</f>
        <v>-9.9745499102295021E-3</v>
      </c>
      <c r="N57" s="5">
        <f>SUMPRODUCT(I57:M57,$AJ$13:$AN$13)</f>
        <v>2.9430231404602724E-2</v>
      </c>
      <c r="P57" s="2" t="s">
        <v>48</v>
      </c>
      <c r="Q57" s="10" cm="1">
        <f t="array" aca="1" ref="Q57:U57" ca="1">_xlfn.LET(_xlpm.array,_xlfn.RANDARRAY(1,COLUMNS(_xlfn.ANCHORARRAY(Q56)),0,1,FALSE),_xlpm.array/SUM(_xlpm.array))</f>
        <v>0.30996032227741666</v>
      </c>
      <c r="R57" s="2">
        <f ca="1"/>
        <v>0.18280121893563703</v>
      </c>
      <c r="S57" s="2">
        <f ca="1"/>
        <v>0.11518165474767231</v>
      </c>
      <c r="T57" s="2">
        <f ca="1"/>
        <v>0.16574061748171171</v>
      </c>
      <c r="U57" s="2">
        <f ca="1"/>
        <v>0.22631618655756239</v>
      </c>
      <c r="V57" s="12"/>
      <c r="X57" s="2" cm="1">
        <f t="array" aca="1" ref="X57" ca="1">MMULT(MMULT(_xlfn.ANCHORARRAY(Q57),$Q$9:$U$13),TRANSPOSE(_xlfn.ANCHORARRAY(Q57)))</f>
        <v>2.6791661233628876E-4</v>
      </c>
      <c r="Y57" s="2">
        <f t="shared" ca="1" si="6"/>
        <v>1.6368158489466333E-2</v>
      </c>
      <c r="Z57" s="2" cm="1">
        <f t="array" aca="1" ref="Z57" ca="1">MMULT(_xlfn.ANCHORARRAY(Q57),TRANSPOSE($Q$3:$U$3))</f>
        <v>8.2050210805704603E-4</v>
      </c>
      <c r="AA57" s="11">
        <f ca="1">AVEDEV(Q57*$Q$3,R57*$R$3,S57*$S$3,T57*$T$3,U57*$U$3)</f>
        <v>1.487043372809214E-5</v>
      </c>
      <c r="AB57" s="11" cm="1">
        <f t="array" aca="1" ref="AB57" ca="1">MMULT(_xlfn.ANCHORARRAY(Q57),TRANSPOSE($Q$6:$U$6))</f>
        <v>-2.2316659151779893E-2</v>
      </c>
      <c r="AD57" s="2" t="s">
        <v>48</v>
      </c>
      <c r="AE57" s="10" cm="1">
        <f t="array" aca="1" ref="AE57:AI57" ca="1">_xlfn.LET(_xlpm.array,_xlfn.RANDARRAY(1,COLUMNS(_xlfn.ANCHORARRAY(Q56)),-1,1,FALSE),_xlpm.array/SUM(_xlpm.array))</f>
        <v>-0.98868324785049355</v>
      </c>
      <c r="AF57" s="10">
        <f ca="1"/>
        <v>1.3185655621068868</v>
      </c>
      <c r="AG57" s="10">
        <f ca="1"/>
        <v>-0.72058666225527812</v>
      </c>
      <c r="AH57" s="10">
        <f ca="1"/>
        <v>0.18069660197182821</v>
      </c>
      <c r="AI57" s="10">
        <f ca="1"/>
        <v>1.2100077460270566</v>
      </c>
      <c r="AJ57" s="1"/>
      <c r="AK57" s="2" cm="1">
        <f t="array" aca="1" ref="AK57" ca="1">MMULT(MMULT(_xlfn.ANCHORARRAY(AE57),$Q$9:$U$13),TRANSPOSE(_xlfn.ANCHORARRAY(AE57)))</f>
        <v>1.1054585664379574E-3</v>
      </c>
      <c r="AL57" s="2">
        <f t="shared" ca="1" si="7"/>
        <v>3.3248437052558685E-2</v>
      </c>
      <c r="AM57" s="2" cm="1">
        <f t="array" aca="1" ref="AM57" ca="1">MMULT(_xlfn.ANCHORARRAY(AE58),TRANSPOSE($Q$3:$U$3))</f>
        <v>1.0169778097535245E-3</v>
      </c>
    </row>
    <row r="58" spans="1:39" x14ac:dyDescent="0.35">
      <c r="A58" s="3">
        <v>43914</v>
      </c>
      <c r="B58" s="4">
        <v>18.163885116577099</v>
      </c>
      <c r="C58" s="4">
        <v>51.019962310791001</v>
      </c>
      <c r="D58" s="4">
        <v>17.972370147705</v>
      </c>
      <c r="E58" s="4">
        <v>6.8782272338867099</v>
      </c>
      <c r="F58" s="4">
        <v>140.90916442871</v>
      </c>
      <c r="I58" s="5">
        <f>B58/B57-1</f>
        <v>0.16316408344054034</v>
      </c>
      <c r="J58" s="5">
        <f>C58/C57-1</f>
        <v>0.22740692244525329</v>
      </c>
      <c r="K58" s="5">
        <f>D58/D57-1</f>
        <v>0.14466715667554886</v>
      </c>
      <c r="L58" s="5">
        <f>E58/E57-1</f>
        <v>0.13304257692995258</v>
      </c>
      <c r="M58" s="5">
        <f>F58/F57-1</f>
        <v>9.0895828012509172E-2</v>
      </c>
      <c r="N58" s="5">
        <f>SUMPRODUCT(I58:M58,$AJ$13:$AN$13)</f>
        <v>0.11321314699845805</v>
      </c>
      <c r="P58" s="2" t="s">
        <v>49</v>
      </c>
      <c r="Q58" s="10" cm="1">
        <f t="array" aca="1" ref="Q58:U58" ca="1">_xlfn.LET(_xlpm.array,_xlfn.RANDARRAY(1,COLUMNS(_xlfn.ANCHORARRAY(Q57)),0,1,FALSE),_xlpm.array/SUM(_xlpm.array))</f>
        <v>8.1704068816792583E-2</v>
      </c>
      <c r="R58" s="2">
        <f ca="1"/>
        <v>0.29897994660341637</v>
      </c>
      <c r="S58" s="2">
        <f ca="1"/>
        <v>0.28979743971411875</v>
      </c>
      <c r="T58" s="2">
        <f ca="1"/>
        <v>1.7486379993361431E-2</v>
      </c>
      <c r="U58" s="2">
        <f ca="1"/>
        <v>0.31203216487231078</v>
      </c>
      <c r="V58" s="12"/>
      <c r="X58" s="2" cm="1">
        <f t="array" aca="1" ref="X58" ca="1">MMULT(MMULT(_xlfn.ANCHORARRAY(Q58),$Q$9:$U$13),TRANSPOSE(_xlfn.ANCHORARRAY(Q58)))</f>
        <v>2.9093510221638437E-4</v>
      </c>
      <c r="Y58" s="2">
        <f t="shared" ca="1" si="6"/>
        <v>1.7056819815439935E-2</v>
      </c>
      <c r="Z58" s="2" cm="1">
        <f t="array" aca="1" ref="Z58" ca="1">MMULT(_xlfn.ANCHORARRAY(Q58),TRANSPOSE($Q$3:$U$3))</f>
        <v>9.8700726237068684E-4</v>
      </c>
      <c r="AA58" s="11">
        <f ca="1">AVEDEV(Q58*$Q$3,R58*$R$3,S58*$S$3,T58*$T$3,U58*$U$3)</f>
        <v>1.3416509331991085E-4</v>
      </c>
      <c r="AB58" s="11" cm="1">
        <f t="array" aca="1" ref="AB58" ca="1">MMULT(_xlfn.ANCHORARRAY(Q58),TRANSPOSE($Q$6:$U$6))</f>
        <v>-2.2513332042640069E-2</v>
      </c>
      <c r="AD58" s="2" t="s">
        <v>49</v>
      </c>
      <c r="AE58" s="10" cm="1">
        <f t="array" aca="1" ref="AE58:AI58" ca="1">_xlfn.LET(_xlpm.array,_xlfn.RANDARRAY(1,COLUMNS(_xlfn.ANCHORARRAY(Q57)),-1,1,FALSE),_xlpm.array/SUM(_xlpm.array))</f>
        <v>0.18257036611655236</v>
      </c>
      <c r="AF58" s="10">
        <f ca="1"/>
        <v>7.5623817637170798E-2</v>
      </c>
      <c r="AG58" s="10">
        <f ca="1"/>
        <v>0.28426381690552976</v>
      </c>
      <c r="AH58" s="10">
        <f ca="1"/>
        <v>0.22342069963355043</v>
      </c>
      <c r="AI58" s="10">
        <f ca="1"/>
        <v>0.23412129970719656</v>
      </c>
      <c r="AJ58" s="1"/>
      <c r="AK58" s="2" cm="1">
        <f t="array" aca="1" ref="AK58" ca="1">MMULT(MMULT(_xlfn.ANCHORARRAY(AE58),$Q$9:$U$13),TRANSPOSE(_xlfn.ANCHORARRAY(AE58)))</f>
        <v>2.9236192765323189E-4</v>
      </c>
      <c r="AL58" s="2">
        <f t="shared" ca="1" si="7"/>
        <v>1.7098594318049418E-2</v>
      </c>
      <c r="AM58" s="2" cm="1">
        <f t="array" aca="1" ref="AM58" ca="1">MMULT(_xlfn.ANCHORARRAY(AE59),TRANSPOSE($Q$3:$U$3))</f>
        <v>1.2127704720509831E-3</v>
      </c>
    </row>
    <row r="59" spans="1:39" x14ac:dyDescent="0.35">
      <c r="A59" s="3">
        <v>43915</v>
      </c>
      <c r="B59" s="4">
        <v>18.224342346191399</v>
      </c>
      <c r="C59" s="4">
        <v>53.105228424072202</v>
      </c>
      <c r="D59" s="4">
        <v>18.1990432739257</v>
      </c>
      <c r="E59" s="4">
        <v>7.7255902290344203</v>
      </c>
      <c r="F59" s="4">
        <v>139.56027221679599</v>
      </c>
      <c r="I59" s="5">
        <f>B59/B58-1</f>
        <v>3.3284305216798593E-3</v>
      </c>
      <c r="J59" s="5">
        <f>C59/C58-1</f>
        <v>4.0871572985073712E-2</v>
      </c>
      <c r="K59" s="5">
        <f>D59/D58-1</f>
        <v>1.2612311250981278E-2</v>
      </c>
      <c r="L59" s="5">
        <f>E59/E58-1</f>
        <v>0.12319496962430065</v>
      </c>
      <c r="M59" s="5">
        <f>F59/F58-1</f>
        <v>-9.572778444772112E-3</v>
      </c>
      <c r="N59" s="5">
        <f>SUMPRODUCT(I59:M59,$AJ$13:$AN$13)</f>
        <v>5.8631135596211748E-2</v>
      </c>
      <c r="P59" s="2" t="s">
        <v>50</v>
      </c>
      <c r="Q59" s="10" cm="1">
        <f t="array" aca="1" ref="Q59:U59" ca="1">_xlfn.LET(_xlpm.array,_xlfn.RANDARRAY(1,COLUMNS(_xlfn.ANCHORARRAY(Q58)),0,1,FALSE),_xlpm.array/SUM(_xlpm.array))</f>
        <v>0.18048826129528417</v>
      </c>
      <c r="R59" s="2">
        <f ca="1"/>
        <v>0.25309882853153137</v>
      </c>
      <c r="S59" s="2">
        <f ca="1"/>
        <v>0.15022403294107201</v>
      </c>
      <c r="T59" s="2">
        <f ca="1"/>
        <v>0.13868958925357017</v>
      </c>
      <c r="U59" s="2">
        <f ca="1"/>
        <v>0.27749928797854234</v>
      </c>
      <c r="V59" s="12"/>
      <c r="X59" s="2" cm="1">
        <f t="array" aca="1" ref="X59" ca="1">MMULT(MMULT(_xlfn.ANCHORARRAY(Q59),$Q$9:$U$13),TRANSPOSE(_xlfn.ANCHORARRAY(Q59)))</f>
        <v>2.6119688900729074E-4</v>
      </c>
      <c r="Y59" s="2">
        <f t="shared" ca="1" si="6"/>
        <v>1.6161586834444529E-2</v>
      </c>
      <c r="Z59" s="2" cm="1">
        <f t="array" aca="1" ref="Z59" ca="1">MMULT(_xlfn.ANCHORARRAY(Q59),TRANSPOSE($Q$3:$U$3))</f>
        <v>8.7445312461257403E-4</v>
      </c>
      <c r="AA59" s="11">
        <f ca="1">AVEDEV(Q59*$Q$3,R59*$R$3,S59*$S$3,T59*$T$3,U59*$U$3)</f>
        <v>4.6544443466577012E-5</v>
      </c>
      <c r="AB59" s="11" cm="1">
        <f t="array" aca="1" ref="AB59" ca="1">MMULT(_xlfn.ANCHORARRAY(Q59),TRANSPOSE($Q$6:$U$6))</f>
        <v>-2.2268021887785934E-2</v>
      </c>
      <c r="AD59" s="2" t="s">
        <v>50</v>
      </c>
      <c r="AE59" s="10" cm="1">
        <f t="array" aca="1" ref="AE59:AI59" ca="1">_xlfn.LET(_xlpm.array,_xlfn.RANDARRAY(1,COLUMNS(_xlfn.ANCHORARRAY(Q58)),-1,1,FALSE),_xlpm.array/SUM(_xlpm.array))</f>
        <v>0.71778747964783618</v>
      </c>
      <c r="AF59" s="10">
        <f ca="1"/>
        <v>0.7039211517143491</v>
      </c>
      <c r="AG59" s="10">
        <f ca="1"/>
        <v>0.67154152572168224</v>
      </c>
      <c r="AH59" s="10">
        <f ca="1"/>
        <v>0.30969988097640927</v>
      </c>
      <c r="AI59" s="10">
        <f ca="1"/>
        <v>-1.4029500380602768</v>
      </c>
      <c r="AJ59" s="1"/>
      <c r="AK59" s="2" cm="1">
        <f t="array" aca="1" ref="AK59" ca="1">MMULT(MMULT(_xlfn.ANCHORARRAY(AE59),$Q$9:$U$13),TRANSPOSE(_xlfn.ANCHORARRAY(AE59)))</f>
        <v>1.5357409446253335E-3</v>
      </c>
      <c r="AL59" s="2">
        <f t="shared" ca="1" si="7"/>
        <v>3.9188530779111046E-2</v>
      </c>
      <c r="AM59" s="2" cm="1">
        <f t="array" aca="1" ref="AM59" ca="1">MMULT(_xlfn.ANCHORARRAY(AE60),TRANSPOSE($Q$3:$U$3))</f>
        <v>-8.5107310768300828E-4</v>
      </c>
    </row>
    <row r="60" spans="1:39" x14ac:dyDescent="0.35">
      <c r="A60" s="3">
        <v>43916</v>
      </c>
      <c r="B60" s="4">
        <v>19.6235542297363</v>
      </c>
      <c r="C60" s="4">
        <v>58.5560302734375</v>
      </c>
      <c r="D60" s="4">
        <v>19.679395675659102</v>
      </c>
      <c r="E60" s="4">
        <v>7.8315129280090297</v>
      </c>
      <c r="F60" s="4">
        <v>148.28988647460901</v>
      </c>
      <c r="I60" s="5">
        <f>B60/B59-1</f>
        <v>7.6777085118647115E-2</v>
      </c>
      <c r="J60" s="5">
        <f>C60/C59-1</f>
        <v>0.10264152911344016</v>
      </c>
      <c r="K60" s="5">
        <f>D60/D59-1</f>
        <v>8.1342320002851354E-2</v>
      </c>
      <c r="L60" s="5">
        <f>E60/E59-1</f>
        <v>1.3710628681356862E-2</v>
      </c>
      <c r="M60" s="5">
        <f>F60/F59-1</f>
        <v>6.2550854330896133E-2</v>
      </c>
      <c r="N60" s="5">
        <f>SUMPRODUCT(I60:M60,$AJ$13:$AN$13)</f>
        <v>4.4086289016214072E-2</v>
      </c>
      <c r="P60" s="2" t="s">
        <v>51</v>
      </c>
      <c r="Q60" s="10" cm="1">
        <f t="array" aca="1" ref="Q60:U60" ca="1">_xlfn.LET(_xlpm.array,_xlfn.RANDARRAY(1,COLUMNS(_xlfn.ANCHORARRAY(Q59)),0,1,FALSE),_xlpm.array/SUM(_xlpm.array))</f>
        <v>0.14818162570137094</v>
      </c>
      <c r="R60" s="2">
        <f ca="1"/>
        <v>0.32451036359650376</v>
      </c>
      <c r="S60" s="2">
        <f ca="1"/>
        <v>9.9436649728043239E-2</v>
      </c>
      <c r="T60" s="2">
        <f ca="1"/>
        <v>7.2752866768035593E-2</v>
      </c>
      <c r="U60" s="2">
        <f ca="1"/>
        <v>0.35511849420604646</v>
      </c>
      <c r="V60" s="12"/>
      <c r="X60" s="2" cm="1">
        <f t="array" aca="1" ref="X60" ca="1">MMULT(MMULT(_xlfn.ANCHORARRAY(Q60),$Q$9:$U$13),TRANSPOSE(_xlfn.ANCHORARRAY(Q60)))</f>
        <v>2.5219849462803208E-4</v>
      </c>
      <c r="Y60" s="2">
        <f t="shared" ca="1" si="6"/>
        <v>1.5880758628857506E-2</v>
      </c>
      <c r="Z60" s="2" cm="1">
        <f t="array" aca="1" ref="Z60" ca="1">MMULT(_xlfn.ANCHORARRAY(Q60),TRANSPOSE($Q$3:$U$3))</f>
        <v>8.1970740141909602E-4</v>
      </c>
      <c r="AA60" s="11">
        <f ca="1">AVEDEV(Q60*$Q$3,R60*$R$3,S60*$S$3,T60*$T$3,U60*$U$3)</f>
        <v>7.2280365967181397E-5</v>
      </c>
      <c r="AB60" s="11" cm="1">
        <f t="array" aca="1" ref="AB60" ca="1">MMULT(_xlfn.ANCHORARRAY(Q60),TRANSPOSE($Q$6:$U$6))</f>
        <v>-2.1565228237418969E-2</v>
      </c>
      <c r="AD60" s="2" t="s">
        <v>51</v>
      </c>
      <c r="AE60" s="10" cm="1">
        <f t="array" aca="1" ref="AE60:AI60" ca="1">_xlfn.LET(_xlpm.array,_xlfn.RANDARRAY(1,COLUMNS(_xlfn.ANCHORARRAY(Q59)),-1,1,FALSE),_xlpm.array/SUM(_xlpm.array))</f>
        <v>1.0582268389150564</v>
      </c>
      <c r="AF60" s="10">
        <f ca="1"/>
        <v>1.4600999852854342</v>
      </c>
      <c r="AG60" s="10">
        <f ca="1"/>
        <v>-1.2486804902389341</v>
      </c>
      <c r="AH60" s="10">
        <f ca="1"/>
        <v>-0.86085836631165802</v>
      </c>
      <c r="AI60" s="10">
        <f ca="1"/>
        <v>0.59121203235010167</v>
      </c>
      <c r="AJ60" s="1"/>
      <c r="AK60" s="2" cm="1">
        <f t="array" aca="1" ref="AK60" ca="1">MMULT(MMULT(_xlfn.ANCHORARRAY(AE60),$Q$9:$U$13),TRANSPOSE(_xlfn.ANCHORARRAY(AE60)))</f>
        <v>1.8841156833808105E-3</v>
      </c>
      <c r="AL60" s="2">
        <f t="shared" ca="1" si="7"/>
        <v>4.3406401410170027E-2</v>
      </c>
      <c r="AM60" s="2" cm="1">
        <f t="array" aca="1" ref="AM60" ca="1">MMULT(_xlfn.ANCHORARRAY(AE61),TRANSPOSE($Q$3:$U$3))</f>
        <v>1.3441046943145187E-3</v>
      </c>
    </row>
    <row r="61" spans="1:39" x14ac:dyDescent="0.35">
      <c r="A61" s="3">
        <v>43917</v>
      </c>
      <c r="B61" s="4">
        <v>18.656200408935501</v>
      </c>
      <c r="C61" s="4">
        <v>52.729564666747997</v>
      </c>
      <c r="D61" s="4">
        <v>17.9261054992675</v>
      </c>
      <c r="E61" s="4">
        <v>7.2026100158691397</v>
      </c>
      <c r="F61" s="4">
        <v>142.20100402832</v>
      </c>
      <c r="I61" s="5">
        <f>B61/B60-1</f>
        <v>-4.929554602982833E-2</v>
      </c>
      <c r="J61" s="5">
        <f>C61/C60-1</f>
        <v>-9.9502401024827214E-2</v>
      </c>
      <c r="K61" s="5">
        <f>D61/D60-1</f>
        <v>-8.9092683804320116E-2</v>
      </c>
      <c r="L61" s="5">
        <f>E61/E60-1</f>
        <v>-8.0304140198843132E-2</v>
      </c>
      <c r="M61" s="5">
        <f>F61/F60-1</f>
        <v>-4.106067238328881E-2</v>
      </c>
      <c r="N61" s="5">
        <f>SUMPRODUCT(I61:M61,$AJ$13:$AN$13)</f>
        <v>-8.0110103299850466E-2</v>
      </c>
      <c r="P61" s="2" t="s">
        <v>52</v>
      </c>
      <c r="Q61" s="10" cm="1">
        <f t="array" aca="1" ref="Q61:U61" ca="1">_xlfn.LET(_xlpm.array,_xlfn.RANDARRAY(1,COLUMNS(_xlfn.ANCHORARRAY(Q60)),0,1,FALSE),_xlpm.array/SUM(_xlpm.array))</f>
        <v>0.22453288944325805</v>
      </c>
      <c r="R61" s="2">
        <f ca="1"/>
        <v>0.34345706575083751</v>
      </c>
      <c r="S61" s="2">
        <f ca="1"/>
        <v>0.25697293742797855</v>
      </c>
      <c r="T61" s="2">
        <f ca="1"/>
        <v>0.1069079134984323</v>
      </c>
      <c r="U61" s="2">
        <f ca="1"/>
        <v>6.8129193879493621E-2</v>
      </c>
      <c r="V61" s="12"/>
      <c r="X61" s="2" cm="1">
        <f t="array" aca="1" ref="X61" ca="1">MMULT(MMULT(_xlfn.ANCHORARRAY(Q61),$Q$9:$U$13),TRANSPOSE(_xlfn.ANCHORARRAY(Q61)))</f>
        <v>3.1637746531985465E-4</v>
      </c>
      <c r="Y61" s="2">
        <f t="shared" ca="1" si="6"/>
        <v>1.7787002707591142E-2</v>
      </c>
      <c r="Z61" s="2" cm="1">
        <f t="array" aca="1" ref="Z61" ca="1">MMULT(_xlfn.ANCHORARRAY(Q61),TRANSPOSE($Q$3:$U$3))</f>
        <v>9.4357583813709119E-4</v>
      </c>
      <c r="AA61" s="11">
        <f ca="1">AVEDEV(Q61*$Q$3,R61*$R$3,S61*$S$3,T61*$T$3,U61*$U$3)</f>
        <v>1.1627986998408632E-4</v>
      </c>
      <c r="AB61" s="11" cm="1">
        <f t="array" aca="1" ref="AB61" ca="1">MMULT(_xlfn.ANCHORARRAY(Q61),TRANSPOSE($Q$6:$U$6))</f>
        <v>-2.2965161288109097E-2</v>
      </c>
      <c r="AD61" s="2" t="s">
        <v>52</v>
      </c>
      <c r="AE61" s="10" cm="1">
        <f t="array" aca="1" ref="AE61:AI61" ca="1">_xlfn.LET(_xlpm.array,_xlfn.RANDARRAY(1,COLUMNS(_xlfn.ANCHORARRAY(Q60)),-1,1,FALSE),_xlpm.array/SUM(_xlpm.array))</f>
        <v>-0.14914872303893728</v>
      </c>
      <c r="AF61" s="10">
        <f ca="1"/>
        <v>0.49992966940909656</v>
      </c>
      <c r="AG61" s="10">
        <f ca="1"/>
        <v>0.61500729995165082</v>
      </c>
      <c r="AH61" s="10">
        <f ca="1"/>
        <v>0.11645544557525128</v>
      </c>
      <c r="AI61" s="10">
        <f ca="1"/>
        <v>-8.2243691897061433E-2</v>
      </c>
      <c r="AJ61" s="1"/>
      <c r="AK61" s="2" cm="1">
        <f t="array" aca="1" ref="AK61" ca="1">MMULT(MMULT(_xlfn.ANCHORARRAY(AE61),$Q$9:$U$13),TRANSPOSE(_xlfn.ANCHORARRAY(AE61)))</f>
        <v>5.3075790656609181E-4</v>
      </c>
      <c r="AL61" s="2">
        <f t="shared" ca="1" si="7"/>
        <v>2.3038183664648822E-2</v>
      </c>
      <c r="AM61" s="2" cm="1">
        <f t="array" aca="1" ref="AM61" ca="1">MMULT(_xlfn.ANCHORARRAY(AE62),TRANSPOSE($Q$3:$U$3))</f>
        <v>1.6525336170195959E-3</v>
      </c>
    </row>
    <row r="62" spans="1:39" x14ac:dyDescent="0.35">
      <c r="A62" s="3">
        <v>43920</v>
      </c>
      <c r="B62" s="4">
        <v>19.036235809326101</v>
      </c>
      <c r="C62" s="4">
        <v>55.159824371337798</v>
      </c>
      <c r="D62" s="4">
        <v>18.411846160888601</v>
      </c>
      <c r="E62" s="4">
        <v>7.5534715652465803</v>
      </c>
      <c r="F62" s="4">
        <v>152.20353698730401</v>
      </c>
      <c r="I62" s="5">
        <f>B62/B61-1</f>
        <v>2.0370460868794016E-2</v>
      </c>
      <c r="J62" s="5">
        <f>C62/C61-1</f>
        <v>4.6089128934575729E-2</v>
      </c>
      <c r="K62" s="5">
        <f>D62/D61-1</f>
        <v>2.7096831581234992E-2</v>
      </c>
      <c r="L62" s="5">
        <f>E62/E61-1</f>
        <v>4.8713112136351322E-2</v>
      </c>
      <c r="M62" s="5">
        <f>F62/F61-1</f>
        <v>7.0340804042367866E-2</v>
      </c>
      <c r="N62" s="5">
        <f>SUMPRODUCT(I62:M62,$AJ$13:$AN$13)</f>
        <v>5.296578869336583E-2</v>
      </c>
      <c r="P62" s="2" t="s">
        <v>53</v>
      </c>
      <c r="Q62" s="10" cm="1">
        <f t="array" aca="1" ref="Q62:U62" ca="1">_xlfn.LET(_xlpm.array,_xlfn.RANDARRAY(1,COLUMNS(_xlfn.ANCHORARRAY(Q61)),0,1,FALSE),_xlpm.array/SUM(_xlpm.array))</f>
        <v>0.24661337368553926</v>
      </c>
      <c r="R62" s="2">
        <f ca="1"/>
        <v>0.21993936768204903</v>
      </c>
      <c r="S62" s="2">
        <f ca="1"/>
        <v>0.29767039705480353</v>
      </c>
      <c r="T62" s="2">
        <f ca="1"/>
        <v>0.22880972913775979</v>
      </c>
      <c r="U62" s="2">
        <f ca="1"/>
        <v>6.9671324398484068E-3</v>
      </c>
      <c r="V62" s="12"/>
      <c r="X62" s="2" cm="1">
        <f t="array" aca="1" ref="X62" ca="1">MMULT(MMULT(_xlfn.ANCHORARRAY(Q62),$Q$9:$U$13),TRANSPOSE(_xlfn.ANCHORARRAY(Q62)))</f>
        <v>3.3912949827431853E-4</v>
      </c>
      <c r="Y62" s="2">
        <f t="shared" ca="1" si="6"/>
        <v>1.8415468994145073E-2</v>
      </c>
      <c r="Z62" s="2" cm="1">
        <f t="array" aca="1" ref="Z62" ca="1">MMULT(_xlfn.ANCHORARRAY(Q62),TRANSPOSE($Q$3:$U$3))</f>
        <v>1.0084503673442025E-3</v>
      </c>
      <c r="AA62" s="11">
        <f ca="1">AVEDEV(Q62*$Q$3,R62*$R$3,S62*$S$3,T62*$T$3,U62*$U$3)</f>
        <v>1.2551709844867029E-4</v>
      </c>
      <c r="AB62" s="11" cm="1">
        <f t="array" aca="1" ref="AB62" ca="1">MMULT(_xlfn.ANCHORARRAY(Q62),TRANSPOSE($Q$6:$U$6))</f>
        <v>-2.3839242246057882E-2</v>
      </c>
      <c r="AD62" s="2" t="s">
        <v>53</v>
      </c>
      <c r="AE62" s="10" cm="1">
        <f t="array" aca="1" ref="AE62:AI62" ca="1">_xlfn.LET(_xlpm.array,_xlfn.RANDARRAY(1,COLUMNS(_xlfn.ANCHORARRAY(Q61)),-1,1,FALSE),_xlpm.array/SUM(_xlpm.array))</f>
        <v>-0.23494797072308521</v>
      </c>
      <c r="AF62" s="10">
        <f ca="1"/>
        <v>-0.57867948136278602</v>
      </c>
      <c r="AG62" s="10">
        <f ca="1"/>
        <v>0.97298255835639103</v>
      </c>
      <c r="AH62" s="10">
        <f ca="1"/>
        <v>-0.11129116510615454</v>
      </c>
      <c r="AI62" s="10">
        <f ca="1"/>
        <v>0.9519360588356347</v>
      </c>
      <c r="AJ62" s="1"/>
      <c r="AK62" s="2" cm="1">
        <f t="array" aca="1" ref="AK62" ca="1">MMULT(MMULT(_xlfn.ANCHORARRAY(AE62),$Q$9:$U$13),TRANSPOSE(_xlfn.ANCHORARRAY(AE62)))</f>
        <v>1.2624796981051804E-3</v>
      </c>
      <c r="AL62" s="2">
        <f t="shared" ca="1" si="7"/>
        <v>3.5531390320464248E-2</v>
      </c>
      <c r="AM62" s="2" cm="1">
        <f t="array" aca="1" ref="AM62" ca="1">MMULT(_xlfn.ANCHORARRAY(AE63),TRANSPOSE($Q$3:$U$3))</f>
        <v>1.8289862057595369E-3</v>
      </c>
    </row>
    <row r="63" spans="1:39" x14ac:dyDescent="0.35">
      <c r="A63" s="3">
        <v>43921</v>
      </c>
      <c r="B63" s="4">
        <v>18.336627960205</v>
      </c>
      <c r="C63" s="4">
        <v>55.550804138183501</v>
      </c>
      <c r="D63" s="4">
        <v>18.2961921691894</v>
      </c>
      <c r="E63" s="4">
        <v>8.0632143020629794</v>
      </c>
      <c r="F63" s="4">
        <v>149.809814453125</v>
      </c>
      <c r="I63" s="5">
        <f>B63/B62-1</f>
        <v>-3.6751375436227418E-2</v>
      </c>
      <c r="J63" s="5">
        <f>C63/C62-1</f>
        <v>7.0881256657673308E-3</v>
      </c>
      <c r="K63" s="5">
        <f>D63/D62-1</f>
        <v>-6.2814989158924694E-3</v>
      </c>
      <c r="L63" s="5">
        <f>E63/E62-1</f>
        <v>6.7484564205115838E-2</v>
      </c>
      <c r="M63" s="5">
        <f>F63/F62-1</f>
        <v>-1.5727115030044758E-2</v>
      </c>
      <c r="N63" s="5">
        <f>SUMPRODUCT(I63:M63,$AJ$13:$AN$13)</f>
        <v>3.3405184873384459E-2</v>
      </c>
      <c r="P63" s="2" t="s">
        <v>54</v>
      </c>
      <c r="Q63" s="10" cm="1">
        <f t="array" aca="1" ref="Q63:U63" ca="1">_xlfn.LET(_xlpm.array,_xlfn.RANDARRAY(1,COLUMNS(_xlfn.ANCHORARRAY(Q62)),0,1,FALSE),_xlpm.array/SUM(_xlpm.array))</f>
        <v>0.12530045111988727</v>
      </c>
      <c r="R63" s="2">
        <f ca="1"/>
        <v>0.23095380876598895</v>
      </c>
      <c r="S63" s="2">
        <f ca="1"/>
        <v>0.28769940411949613</v>
      </c>
      <c r="T63" s="2">
        <f ca="1"/>
        <v>9.7644032660179514E-2</v>
      </c>
      <c r="U63" s="2">
        <f ca="1"/>
        <v>0.25840230333444819</v>
      </c>
      <c r="V63" s="12"/>
      <c r="X63" s="2" cm="1">
        <f t="array" aca="1" ref="X63" ca="1">MMULT(MMULT(_xlfn.ANCHORARRAY(Q63),$Q$9:$U$13),TRANSPOSE(_xlfn.ANCHORARRAY(Q63)))</f>
        <v>2.895269048271498E-4</v>
      </c>
      <c r="Y63" s="2">
        <f t="shared" ca="1" si="6"/>
        <v>1.701549014360591E-2</v>
      </c>
      <c r="Z63" s="2" cm="1">
        <f t="array" aca="1" ref="Z63" ca="1">MMULT(_xlfn.ANCHORARRAY(Q63),TRANSPOSE($Q$3:$U$3))</f>
        <v>9.9695383288983205E-4</v>
      </c>
      <c r="AA63" s="11">
        <f ca="1">AVEDEV(Q63*$Q$3,R63*$R$3,S63*$S$3,T63*$T$3,U63*$U$3)</f>
        <v>1.0713331526131115E-4</v>
      </c>
      <c r="AB63" s="11" cm="1">
        <f t="array" aca="1" ref="AB63" ca="1">MMULT(_xlfn.ANCHORARRAY(Q63),TRANSPOSE($Q$6:$U$6))</f>
        <v>-2.2934662864507047E-2</v>
      </c>
      <c r="AD63" s="2" t="s">
        <v>54</v>
      </c>
      <c r="AE63" s="10" cm="1">
        <f t="array" aca="1" ref="AE63:AI63" ca="1">_xlfn.LET(_xlpm.array,_xlfn.RANDARRAY(1,COLUMNS(_xlfn.ANCHORARRAY(Q62)),-1,1,FALSE),_xlpm.array/SUM(_xlpm.array))</f>
        <v>0.29189774906760252</v>
      </c>
      <c r="AF63" s="10">
        <f ca="1"/>
        <v>-3.2828691354024435E-2</v>
      </c>
      <c r="AG63" s="10">
        <f ca="1"/>
        <v>1.0465284622012252</v>
      </c>
      <c r="AH63" s="10">
        <f ca="1"/>
        <v>0.92995164146465081</v>
      </c>
      <c r="AI63" s="10">
        <f ca="1"/>
        <v>-1.235549161379454</v>
      </c>
      <c r="AJ63" s="1"/>
      <c r="AK63" s="2" cm="1">
        <f t="array" aca="1" ref="AK63" ca="1">MMULT(MMULT(_xlfn.ANCHORARRAY(AE63),$Q$9:$U$13),TRANSPOSE(_xlfn.ANCHORARRAY(AE63)))</f>
        <v>1.6690164893021515E-3</v>
      </c>
      <c r="AL63" s="2">
        <f t="shared" ca="1" si="7"/>
        <v>4.0853598241796907E-2</v>
      </c>
      <c r="AM63" s="2" cm="1">
        <f t="array" aca="1" ref="AM63" ca="1">MMULT(_xlfn.ANCHORARRAY(AE64),TRANSPOSE($Q$3:$U$3))</f>
        <v>1.2119238326425393E-3</v>
      </c>
    </row>
    <row r="64" spans="1:39" x14ac:dyDescent="0.35">
      <c r="A64" s="3">
        <v>43922</v>
      </c>
      <c r="B64" s="4">
        <v>17.075605392456001</v>
      </c>
      <c r="C64" s="4">
        <v>52.560909271240199</v>
      </c>
      <c r="D64" s="4">
        <v>17.0702800750732</v>
      </c>
      <c r="E64" s="4">
        <v>8.2154760360717702</v>
      </c>
      <c r="F64" s="4">
        <v>144.49029541015599</v>
      </c>
      <c r="I64" s="5">
        <f>B64/B63-1</f>
        <v>-6.87706905809361E-2</v>
      </c>
      <c r="J64" s="5">
        <f>C64/C63-1</f>
        <v>-5.3822710819917075E-2</v>
      </c>
      <c r="K64" s="5">
        <f>D64/D63-1</f>
        <v>-6.7003673921867901E-2</v>
      </c>
      <c r="L64" s="5">
        <f>E64/E63-1</f>
        <v>1.8883503315772598E-2</v>
      </c>
      <c r="M64" s="5">
        <f>F64/F63-1</f>
        <v>-3.5508481619763721E-2</v>
      </c>
      <c r="N64" s="5">
        <f>SUMPRODUCT(I64:M64,$AJ$13:$AN$13)</f>
        <v>-1.6272278396842962E-2</v>
      </c>
      <c r="P64" s="2" t="s">
        <v>55</v>
      </c>
      <c r="Q64" s="10" cm="1">
        <f t="array" aca="1" ref="Q64:U64" ca="1">_xlfn.LET(_xlpm.array,_xlfn.RANDARRAY(1,COLUMNS(_xlfn.ANCHORARRAY(Q63)),0,1,FALSE),_xlpm.array/SUM(_xlpm.array))</f>
        <v>7.0109483714666423E-2</v>
      </c>
      <c r="R64" s="2">
        <f ca="1"/>
        <v>4.5079459007309058E-2</v>
      </c>
      <c r="S64" s="2">
        <f ca="1"/>
        <v>0.17295664962173876</v>
      </c>
      <c r="T64" s="2">
        <f ca="1"/>
        <v>0.16230613871525962</v>
      </c>
      <c r="U64" s="2">
        <f ca="1"/>
        <v>0.54954826894102615</v>
      </c>
      <c r="V64" s="12"/>
      <c r="X64" s="2" cm="1">
        <f t="array" aca="1" ref="X64" ca="1">MMULT(MMULT(_xlfn.ANCHORARRAY(Q64),$Q$9:$U$13),TRANSPOSE(_xlfn.ANCHORARRAY(Q64)))</f>
        <v>2.634519581196877E-4</v>
      </c>
      <c r="Y64" s="2">
        <f t="shared" ca="1" si="6"/>
        <v>1.6231203224643814E-2</v>
      </c>
      <c r="Z64" s="2" cm="1">
        <f t="array" aca="1" ref="Z64" ca="1">MMULT(_xlfn.ANCHORARRAY(Q64),TRANSPOSE($Q$3:$U$3))</f>
        <v>9.3557221873214781E-4</v>
      </c>
      <c r="AA64" s="11">
        <f ca="1">AVEDEV(Q64*$Q$3,R64*$R$3,S64*$S$3,T64*$T$3,U64*$U$3)</f>
        <v>1.307907747382179E-4</v>
      </c>
      <c r="AB64" s="11" cm="1">
        <f t="array" aca="1" ref="AB64" ca="1">MMULT(_xlfn.ANCHORARRAY(Q64),TRANSPOSE($Q$6:$U$6))</f>
        <v>-2.2285577853734403E-2</v>
      </c>
      <c r="AD64" s="2" t="s">
        <v>55</v>
      </c>
      <c r="AE64" s="10" cm="1">
        <f t="array" aca="1" ref="AE64:AI64" ca="1">_xlfn.LET(_xlpm.array,_xlfn.RANDARRAY(1,COLUMNS(_xlfn.ANCHORARRAY(Q63)),-1,1,FALSE),_xlpm.array/SUM(_xlpm.array))</f>
        <v>1.6069841335045021</v>
      </c>
      <c r="AF64" s="10">
        <f ca="1"/>
        <v>-1.5645605209368072</v>
      </c>
      <c r="AG64" s="10">
        <f ca="1"/>
        <v>0.88446024083731256</v>
      </c>
      <c r="AH64" s="10">
        <f ca="1"/>
        <v>0.17680129632386407</v>
      </c>
      <c r="AI64" s="10">
        <f ca="1"/>
        <v>-0.10368514972887155</v>
      </c>
      <c r="AJ64" s="1"/>
      <c r="AK64" s="2" cm="1">
        <f t="array" aca="1" ref="AK64" ca="1">MMULT(MMULT(_xlfn.ANCHORARRAY(AE64),$Q$9:$U$13),TRANSPOSE(_xlfn.ANCHORARRAY(AE64)))</f>
        <v>1.6283149482457923E-3</v>
      </c>
      <c r="AL64" s="2">
        <f t="shared" ca="1" si="7"/>
        <v>4.035238466616059E-2</v>
      </c>
      <c r="AM64" s="2" cm="1">
        <f t="array" aca="1" ref="AM64" ca="1">MMULT(_xlfn.ANCHORARRAY(AE65),TRANSPOSE($Q$3:$U$3))</f>
        <v>8.3779976256742736E-4</v>
      </c>
    </row>
    <row r="65" spans="1:39" x14ac:dyDescent="0.35">
      <c r="A65" s="3">
        <v>43923</v>
      </c>
      <c r="B65" s="4">
        <v>17.766576766967699</v>
      </c>
      <c r="C65" s="4">
        <v>58.356719970703097</v>
      </c>
      <c r="D65" s="4">
        <v>17.1813030242919</v>
      </c>
      <c r="E65" s="4">
        <v>9.0694599151611293</v>
      </c>
      <c r="F65" s="4">
        <v>147.48251342773401</v>
      </c>
      <c r="I65" s="5">
        <f>B65/B64-1</f>
        <v>4.0465410076586217E-2</v>
      </c>
      <c r="J65" s="5">
        <f>C65/C64-1</f>
        <v>0.11026846338509211</v>
      </c>
      <c r="K65" s="5">
        <f>D65/D64-1</f>
        <v>6.5038739101195286E-3</v>
      </c>
      <c r="L65" s="5">
        <f>E65/E64-1</f>
        <v>0.10394819184424176</v>
      </c>
      <c r="M65" s="5">
        <f>F65/F64-1</f>
        <v>2.0708781922579522E-2</v>
      </c>
      <c r="N65" s="5">
        <f>SUMPRODUCT(I65:M65,$AJ$13:$AN$13)</f>
        <v>4.3558819867211683E-2</v>
      </c>
      <c r="P65" s="2" t="s">
        <v>56</v>
      </c>
      <c r="Q65" s="10" cm="1">
        <f t="array" aca="1" ref="Q65:U65" ca="1">_xlfn.LET(_xlpm.array,_xlfn.RANDARRAY(1,COLUMNS(_xlfn.ANCHORARRAY(Q64)),0,1,FALSE),_xlpm.array/SUM(_xlpm.array))</f>
        <v>0.10253580943415612</v>
      </c>
      <c r="R65" s="2">
        <f ca="1"/>
        <v>0.29391443201759443</v>
      </c>
      <c r="S65" s="2">
        <f ca="1"/>
        <v>0.1008270317569083</v>
      </c>
      <c r="T65" s="2">
        <f ca="1"/>
        <v>9.7714781325081976E-2</v>
      </c>
      <c r="U65" s="2">
        <f ca="1"/>
        <v>0.40500794546625923</v>
      </c>
      <c r="V65" s="12"/>
      <c r="X65" s="2" cm="1">
        <f t="array" aca="1" ref="X65" ca="1">MMULT(MMULT(_xlfn.ANCHORARRAY(Q65),$Q$9:$U$13),TRANSPOSE(_xlfn.ANCHORARRAY(Q65)))</f>
        <v>2.4834927099134436E-4</v>
      </c>
      <c r="Y65" s="2">
        <f t="shared" ca="1" si="6"/>
        <v>1.5759101211406199E-2</v>
      </c>
      <c r="Z65" s="2" cm="1">
        <f t="array" aca="1" ref="Z65" ca="1">MMULT(_xlfn.ANCHORARRAY(Q65),TRANSPOSE($Q$3:$U$3))</f>
        <v>8.4008338080477491E-4</v>
      </c>
      <c r="AA65" s="11">
        <f ca="1">AVEDEV(Q65*$Q$3,R65*$R$3,S65*$S$3,T65*$T$3,U65*$U$3)</f>
        <v>7.5346526578787281E-5</v>
      </c>
      <c r="AB65" s="11" cm="1">
        <f t="array" aca="1" ref="AB65" ca="1">MMULT(_xlfn.ANCHORARRAY(Q65),TRANSPOSE($Q$6:$U$6))</f>
        <v>-2.1618761051930682E-2</v>
      </c>
      <c r="AD65" s="2" t="s">
        <v>56</v>
      </c>
      <c r="AE65" s="10" cm="1">
        <f t="array" aca="1" ref="AE65:AI65" ca="1">_xlfn.LET(_xlpm.array,_xlfn.RANDARRAY(1,COLUMNS(_xlfn.ANCHORARRAY(Q64)),-1,1,FALSE),_xlpm.array/SUM(_xlpm.array))</f>
        <v>0.34240450166083086</v>
      </c>
      <c r="AF65" s="10">
        <f ca="1"/>
        <v>0.41581600436868854</v>
      </c>
      <c r="AG65" s="10">
        <f ca="1"/>
        <v>0.17769681594623216</v>
      </c>
      <c r="AH65" s="10">
        <f ca="1"/>
        <v>8.776654471271618E-2</v>
      </c>
      <c r="AI65" s="10">
        <f ca="1"/>
        <v>-2.3683866688467847E-2</v>
      </c>
      <c r="AJ65" s="1"/>
      <c r="AK65" s="2" cm="1">
        <f t="array" aca="1" ref="AK65" ca="1">MMULT(MMULT(_xlfn.ANCHORARRAY(AE65),$Q$9:$U$13),TRANSPOSE(_xlfn.ANCHORARRAY(AE65)))</f>
        <v>3.4063143901886373E-4</v>
      </c>
      <c r="AL65" s="2">
        <f t="shared" ca="1" si="7"/>
        <v>1.8456203266621868E-2</v>
      </c>
      <c r="AM65" s="2" cm="1">
        <f t="array" aca="1" ref="AM65" ca="1">MMULT(_xlfn.ANCHORARRAY(AE66),TRANSPOSE($Q$3:$U$3))</f>
        <v>3.8133360386848481E-4</v>
      </c>
    </row>
    <row r="66" spans="1:39" x14ac:dyDescent="0.35">
      <c r="A66" s="3">
        <v>43924</v>
      </c>
      <c r="B66" s="4">
        <v>17.3001708984375</v>
      </c>
      <c r="C66" s="4">
        <v>57.582408905029297</v>
      </c>
      <c r="D66" s="4">
        <v>16.857477188110298</v>
      </c>
      <c r="E66" s="4">
        <v>8.5199966430663991</v>
      </c>
      <c r="F66" s="4">
        <v>146.12413024902301</v>
      </c>
      <c r="I66" s="5">
        <f>B66/B65-1</f>
        <v>-2.6251870275727951E-2</v>
      </c>
      <c r="J66" s="5">
        <f>C66/C65-1</f>
        <v>-1.326858442459633E-2</v>
      </c>
      <c r="K66" s="5">
        <f>D66/D65-1</f>
        <v>-1.8847571439940203E-2</v>
      </c>
      <c r="L66" s="5">
        <f>E66/E65-1</f>
        <v>-6.0583902154549452E-2</v>
      </c>
      <c r="M66" s="5">
        <f>F66/F65-1</f>
        <v>-9.2104694118642083E-3</v>
      </c>
      <c r="N66" s="5">
        <f>SUMPRODUCT(I66:M66,$AJ$13:$AN$13)</f>
        <v>-3.3171262702345695E-2</v>
      </c>
      <c r="P66" s="2" t="s">
        <v>57</v>
      </c>
      <c r="Q66" s="10" cm="1">
        <f t="array" aca="1" ref="Q66:U66" ca="1">_xlfn.LET(_xlpm.array,_xlfn.RANDARRAY(1,COLUMNS(_xlfn.ANCHORARRAY(Q65)),0,1,FALSE),_xlpm.array/SUM(_xlpm.array))</f>
        <v>0.42145187437005333</v>
      </c>
      <c r="R66" s="2">
        <f ca="1"/>
        <v>0.23340886912307904</v>
      </c>
      <c r="S66" s="2">
        <f ca="1"/>
        <v>7.7065235800413993E-3</v>
      </c>
      <c r="T66" s="2">
        <f ca="1"/>
        <v>0.13324743803666883</v>
      </c>
      <c r="U66" s="2">
        <f ca="1"/>
        <v>0.20418529489015749</v>
      </c>
      <c r="V66" s="12"/>
      <c r="X66" s="2" cm="1">
        <f t="array" aca="1" ref="X66" ca="1">MMULT(MMULT(_xlfn.ANCHORARRAY(Q66),$Q$9:$U$13),TRANSPOSE(_xlfn.ANCHORARRAY(Q66)))</f>
        <v>2.8363631187324558E-4</v>
      </c>
      <c r="Y66" s="2">
        <f t="shared" ca="1" si="6"/>
        <v>1.6841505629641478E-2</v>
      </c>
      <c r="Z66" s="2" cm="1">
        <f t="array" aca="1" ref="Z66" ca="1">MMULT(_xlfn.ANCHORARRAY(Q66),TRANSPOSE($Q$3:$U$3))</f>
        <v>6.8946077163531861E-4</v>
      </c>
      <c r="AA66" s="11">
        <f ca="1">AVEDEV(Q66*$Q$3,R66*$R$3,S66*$S$3,T66*$T$3,U66*$U$3)</f>
        <v>5.0856417434354738E-5</v>
      </c>
      <c r="AB66" s="11" cm="1">
        <f t="array" aca="1" ref="AB66" ca="1">MMULT(_xlfn.ANCHORARRAY(Q66),TRANSPOSE($Q$6:$U$6))</f>
        <v>-2.1587127694703966E-2</v>
      </c>
      <c r="AD66" s="2" t="s">
        <v>57</v>
      </c>
      <c r="AE66" s="10" cm="1">
        <f t="array" aca="1" ref="AE66:AI66" ca="1">_xlfn.LET(_xlpm.array,_xlfn.RANDARRAY(1,COLUMNS(_xlfn.ANCHORARRAY(Q65)),-1,1,FALSE),_xlpm.array/SUM(_xlpm.array))</f>
        <v>0.549898744168975</v>
      </c>
      <c r="AF66" s="10">
        <f ca="1"/>
        <v>0.34609238249185387</v>
      </c>
      <c r="AG66" s="10">
        <f ca="1"/>
        <v>-0.31625837369267118</v>
      </c>
      <c r="AH66" s="10">
        <f ca="1"/>
        <v>0.16077177682602126</v>
      </c>
      <c r="AI66" s="10">
        <f ca="1"/>
        <v>0.25949547020582109</v>
      </c>
      <c r="AJ66" s="1"/>
      <c r="AK66" s="2" cm="1">
        <f t="array" aca="1" ref="AK66" ca="1">MMULT(MMULT(_xlfn.ANCHORARRAY(AE66),$Q$9:$U$13),TRANSPOSE(_xlfn.ANCHORARRAY(AE66)))</f>
        <v>3.9693713047878992E-4</v>
      </c>
      <c r="AL66" s="2">
        <f t="shared" ca="1" si="7"/>
        <v>1.9923281117295664E-2</v>
      </c>
      <c r="AM66" s="2" cm="1">
        <f t="array" aca="1" ref="AM66" ca="1">MMULT(_xlfn.ANCHORARRAY(AE67),TRANSPOSE($Q$3:$U$3))</f>
        <v>7.5324371940531116E-4</v>
      </c>
    </row>
    <row r="67" spans="1:39" x14ac:dyDescent="0.35">
      <c r="A67" s="3">
        <v>43927</v>
      </c>
      <c r="B67" s="4">
        <v>18.474819183349599</v>
      </c>
      <c r="C67" s="4">
        <v>61.630287170410099</v>
      </c>
      <c r="D67" s="4">
        <v>18.000125885009702</v>
      </c>
      <c r="E67" s="4">
        <v>8.6325368881225497</v>
      </c>
      <c r="F67" s="4">
        <v>156.99104309082</v>
      </c>
      <c r="I67" s="5">
        <f>B67/B66-1</f>
        <v>6.7898074059961511E-2</v>
      </c>
      <c r="J67" s="5">
        <f>C67/C66-1</f>
        <v>7.0297133141077328E-2</v>
      </c>
      <c r="K67" s="5">
        <f>D67/D66-1</f>
        <v>6.7782900379976363E-2</v>
      </c>
      <c r="L67" s="5">
        <f>E67/E66-1</f>
        <v>1.3208954154663388E-2</v>
      </c>
      <c r="M67" s="5">
        <f>F67/F66-1</f>
        <v>7.4367681937799857E-2</v>
      </c>
      <c r="N67" s="5">
        <f>SUMPRODUCT(I67:M67,$AJ$13:$AN$13)</f>
        <v>4.4366809682148081E-2</v>
      </c>
      <c r="P67" s="2" t="s">
        <v>58</v>
      </c>
      <c r="Q67" s="10" cm="1">
        <f t="array" aca="1" ref="Q67:U67" ca="1">_xlfn.LET(_xlpm.array,_xlfn.RANDARRAY(1,COLUMNS(_xlfn.ANCHORARRAY(Q66)),0,1,FALSE),_xlpm.array/SUM(_xlpm.array))</f>
        <v>0.23682573462145115</v>
      </c>
      <c r="R67" s="2">
        <f ca="1"/>
        <v>0.22783746444852879</v>
      </c>
      <c r="S67" s="2">
        <f ca="1"/>
        <v>0.1250744308033106</v>
      </c>
      <c r="T67" s="2">
        <f ca="1"/>
        <v>0.19703826496859708</v>
      </c>
      <c r="U67" s="2">
        <f ca="1"/>
        <v>0.21322410515811235</v>
      </c>
      <c r="V67" s="12"/>
      <c r="X67" s="2" cm="1">
        <f t="array" aca="1" ref="X67" ca="1">MMULT(MMULT(_xlfn.ANCHORARRAY(Q67),$Q$9:$U$13),TRANSPOSE(_xlfn.ANCHORARRAY(Q67)))</f>
        <v>2.7003979871608098E-4</v>
      </c>
      <c r="Y67" s="2">
        <f t="shared" ca="1" si="6"/>
        <v>1.6432887716895075E-2</v>
      </c>
      <c r="Z67" s="2" cm="1">
        <f t="array" aca="1" ref="Z67" ca="1">MMULT(_xlfn.ANCHORARRAY(Q67),TRANSPOSE($Q$3:$U$3))</f>
        <v>8.5424551366786432E-4</v>
      </c>
      <c r="AA67" s="11">
        <f ca="1">AVEDEV(Q67*$Q$3,R67*$R$3,S67*$S$3,T67*$T$3,U67*$U$3)</f>
        <v>2.5088173204402109E-5</v>
      </c>
      <c r="AB67" s="11" cm="1">
        <f t="array" aca="1" ref="AB67" ca="1">MMULT(_xlfn.ANCHORARRAY(Q67),TRANSPOSE($Q$6:$U$6))</f>
        <v>-2.2456634190564154E-2</v>
      </c>
      <c r="AD67" s="2" t="s">
        <v>58</v>
      </c>
      <c r="AE67" s="10" cm="1">
        <f t="array" aca="1" ref="AE67:AI67" ca="1">_xlfn.LET(_xlpm.array,_xlfn.RANDARRAY(1,COLUMNS(_xlfn.ANCHORARRAY(Q66)),-1,1,FALSE),_xlpm.array/SUM(_xlpm.array))</f>
        <v>0.20274599967677731</v>
      </c>
      <c r="AF67" s="10">
        <f ca="1"/>
        <v>0.28363773472964121</v>
      </c>
      <c r="AG67" s="10">
        <f ca="1"/>
        <v>-0.12574934734793938</v>
      </c>
      <c r="AH67" s="10">
        <f ca="1"/>
        <v>0.61640926823068365</v>
      </c>
      <c r="AI67" s="10">
        <f ca="1"/>
        <v>2.2956344710837254E-2</v>
      </c>
      <c r="AJ67" s="1"/>
      <c r="AK67" s="2" cm="1">
        <f t="array" aca="1" ref="AK67" ca="1">MMULT(MMULT(_xlfn.ANCHORARRAY(AE67),$Q$9:$U$13),TRANSPOSE(_xlfn.ANCHORARRAY(AE67)))</f>
        <v>4.5325203305119922E-4</v>
      </c>
      <c r="AL67" s="2">
        <f t="shared" ca="1" si="7"/>
        <v>2.1289716603355695E-2</v>
      </c>
      <c r="AM67" s="2" cm="1">
        <f t="array" aca="1" ref="AM67" ca="1">MMULT(_xlfn.ANCHORARRAY(AE68),TRANSPOSE($Q$3:$U$3))</f>
        <v>1.1512376949166903E-2</v>
      </c>
    </row>
    <row r="68" spans="1:39" x14ac:dyDescent="0.35">
      <c r="A68" s="3">
        <v>43928</v>
      </c>
      <c r="B68" s="4">
        <v>19.122604370117099</v>
      </c>
      <c r="C68" s="4">
        <v>62.036598205566399</v>
      </c>
      <c r="D68" s="4">
        <v>17.750320434570298</v>
      </c>
      <c r="E68" s="4">
        <v>8.5729570388793892</v>
      </c>
      <c r="F68" s="4">
        <v>155.30018615722599</v>
      </c>
      <c r="I68" s="5">
        <f>B68/B67-1</f>
        <v>3.5063140826369521E-2</v>
      </c>
      <c r="J68" s="5">
        <f>C68/C67-1</f>
        <v>6.5927168898765043E-3</v>
      </c>
      <c r="K68" s="5">
        <f>D68/D67-1</f>
        <v>-1.3877983522739612E-2</v>
      </c>
      <c r="L68" s="5">
        <f>E68/E67-1</f>
        <v>-6.901777544111698E-3</v>
      </c>
      <c r="M68" s="5">
        <f>F68/F67-1</f>
        <v>-1.0770403841548037E-2</v>
      </c>
      <c r="N68" s="5">
        <f>SUMPRODUCT(I68:M68,$AJ$13:$AN$13)</f>
        <v>-2.4405312584445796E-2</v>
      </c>
      <c r="P68" s="2" t="s">
        <v>59</v>
      </c>
      <c r="Q68" s="10" cm="1">
        <f t="array" aca="1" ref="Q68:U68" ca="1">_xlfn.LET(_xlpm.array,_xlfn.RANDARRAY(1,COLUMNS(_xlfn.ANCHORARRAY(Q67)),0,1,FALSE),_xlpm.array/SUM(_xlpm.array))</f>
        <v>2.2911953523297276E-2</v>
      </c>
      <c r="R68" s="2">
        <f ca="1"/>
        <v>5.5011828664276299E-2</v>
      </c>
      <c r="S68" s="2">
        <f ca="1"/>
        <v>0.18491747008720563</v>
      </c>
      <c r="T68" s="2">
        <f ca="1"/>
        <v>0.54354629679607813</v>
      </c>
      <c r="U68" s="2">
        <f ca="1"/>
        <v>0.1936124509291427</v>
      </c>
      <c r="V68" s="12"/>
      <c r="X68" s="2" cm="1">
        <f t="array" aca="1" ref="X68" ca="1">MMULT(MMULT(_xlfn.ANCHORARRAY(Q68),$Q$9:$U$13),TRANSPOSE(_xlfn.ANCHORARRAY(Q68)))</f>
        <v>3.3078247604899596E-4</v>
      </c>
      <c r="Y68" s="2">
        <f t="shared" ca="1" si="6"/>
        <v>1.8187426317348918E-2</v>
      </c>
      <c r="Z68" s="2" cm="1">
        <f t="array" aca="1" ref="Z68" ca="1">MMULT(_xlfn.ANCHORARRAY(Q68),TRANSPOSE($Q$3:$U$3))</f>
        <v>1.0555042426169837E-3</v>
      </c>
      <c r="AA68" s="11">
        <f ca="1">AVEDEV(Q68*$Q$3,R68*$R$3,S68*$S$3,T68*$T$3,U68*$U$3)</f>
        <v>1.7336024937035266E-4</v>
      </c>
      <c r="AB68" s="11" cm="1">
        <f t="array" aca="1" ref="AB68" ca="1">MMULT(_xlfn.ANCHORARRAY(Q68),TRANSPOSE($Q$6:$U$6))</f>
        <v>-2.4223561580558769E-2</v>
      </c>
      <c r="AD68" s="2" t="s">
        <v>59</v>
      </c>
      <c r="AE68" s="10" cm="1">
        <f t="array" aca="1" ref="AE68:AI68" ca="1">_xlfn.LET(_xlpm.array,_xlfn.RANDARRAY(1,COLUMNS(_xlfn.ANCHORARRAY(Q67)),-1,1,FALSE),_xlpm.array/SUM(_xlpm.array))</f>
        <v>-18.40826252479625</v>
      </c>
      <c r="AF68" s="10">
        <f ca="1"/>
        <v>-1.1749315894964039</v>
      </c>
      <c r="AG68" s="10">
        <f ca="1"/>
        <v>12.740915625344616</v>
      </c>
      <c r="AH68" s="10">
        <f ca="1"/>
        <v>-19.329729262941715</v>
      </c>
      <c r="AI68" s="10">
        <f ca="1"/>
        <v>27.172007751889755</v>
      </c>
      <c r="AJ68" s="1"/>
      <c r="AK68" s="2" cm="1">
        <f t="array" aca="1" ref="AK68" ca="1">MMULT(MMULT(_xlfn.ANCHORARRAY(AE68),$Q$9:$U$13),TRANSPOSE(_xlfn.ANCHORARRAY(AE68)))</f>
        <v>0.63424411302836736</v>
      </c>
      <c r="AL68" s="2">
        <f t="shared" ca="1" si="7"/>
        <v>0.79639444562877715</v>
      </c>
      <c r="AM68" s="2" cm="1">
        <f t="array" aca="1" ref="AM68" ca="1">MMULT(_xlfn.ANCHORARRAY(AE69),TRANSPOSE($Q$3:$U$3))</f>
        <v>-1.3641865902448745E-4</v>
      </c>
    </row>
    <row r="69" spans="1:39" x14ac:dyDescent="0.35">
      <c r="A69" s="3">
        <v>43929</v>
      </c>
      <c r="B69" s="4">
        <v>20.2540683746337</v>
      </c>
      <c r="C69" s="4">
        <v>65.915802001953097</v>
      </c>
      <c r="D69" s="4">
        <v>18.680162429809499</v>
      </c>
      <c r="E69" s="4">
        <v>8.8642406463622994</v>
      </c>
      <c r="F69" s="4">
        <v>156.85809326171801</v>
      </c>
      <c r="I69" s="5">
        <f>B69/B68-1</f>
        <v>5.9168928176160929E-2</v>
      </c>
      <c r="J69" s="5">
        <f>C69/C68-1</f>
        <v>6.2530891580038661E-2</v>
      </c>
      <c r="K69" s="5">
        <f>D69/D68-1</f>
        <v>5.2384518841037453E-2</v>
      </c>
      <c r="L69" s="5">
        <f>E69/E68-1</f>
        <v>3.3977028715051816E-2</v>
      </c>
      <c r="M69" s="5">
        <f>F69/F68-1</f>
        <v>1.0031585557243261E-2</v>
      </c>
      <c r="N69" s="5">
        <f>SUMPRODUCT(I69:M69,$AJ$13:$AN$13)</f>
        <v>2.7341119492008983E-2</v>
      </c>
      <c r="P69" s="2" t="s">
        <v>60</v>
      </c>
      <c r="Q69" s="10" cm="1">
        <f t="array" aca="1" ref="Q69:U69" ca="1">_xlfn.LET(_xlpm.array,_xlfn.RANDARRAY(1,COLUMNS(_xlfn.ANCHORARRAY(Q68)),0,1,FALSE),_xlpm.array/SUM(_xlpm.array))</f>
        <v>0.44245615172981878</v>
      </c>
      <c r="R69" s="2">
        <f ca="1"/>
        <v>8.5085286646039093E-2</v>
      </c>
      <c r="S69" s="2">
        <f ca="1"/>
        <v>8.807665104767836E-3</v>
      </c>
      <c r="T69" s="2">
        <f ca="1"/>
        <v>0.20754365605808064</v>
      </c>
      <c r="U69" s="2">
        <f ca="1"/>
        <v>0.25610724046129379</v>
      </c>
      <c r="V69" s="12"/>
      <c r="X69" s="2" cm="1">
        <f t="array" aca="1" ref="X69" ca="1">MMULT(MMULT(_xlfn.ANCHORARRAY(Q69),$Q$9:$U$13),TRANSPOSE(_xlfn.ANCHORARRAY(Q69)))</f>
        <v>2.7597424128618961E-4</v>
      </c>
      <c r="Y69" s="2">
        <f t="shared" ca="1" si="6"/>
        <v>1.6612472461563017E-2</v>
      </c>
      <c r="Z69" s="2" cm="1">
        <f t="array" aca="1" ref="Z69" ca="1">MMULT(_xlfn.ANCHORARRAY(Q69),TRANSPOSE($Q$3:$U$3))</f>
        <v>7.0922768671849998E-4</v>
      </c>
      <c r="AA69" s="11">
        <f ca="1">AVEDEV(Q69*$Q$3,R69*$R$3,S69*$S$3,T69*$T$3,U69*$U$3)</f>
        <v>8.2901928369175532E-5</v>
      </c>
      <c r="AB69" s="11" cm="1">
        <f t="array" aca="1" ref="AB69" ca="1">MMULT(_xlfn.ANCHORARRAY(Q69),TRANSPOSE($Q$6:$U$6))</f>
        <v>-2.1930294555044173E-2</v>
      </c>
      <c r="AD69" s="2" t="s">
        <v>60</v>
      </c>
      <c r="AE69" s="10" cm="1">
        <f t="array" aca="1" ref="AE69:AI69" ca="1">_xlfn.LET(_xlpm.array,_xlfn.RANDARRAY(1,COLUMNS(_xlfn.ANCHORARRAY(Q68)),-1,1,FALSE),_xlpm.array/SUM(_xlpm.array))</f>
        <v>1.3203531775089676</v>
      </c>
      <c r="AF69" s="10">
        <f ca="1"/>
        <v>1.6974543618888642</v>
      </c>
      <c r="AG69" s="10">
        <f ca="1"/>
        <v>-0.73773424697747902</v>
      </c>
      <c r="AH69" s="10">
        <f ca="1"/>
        <v>0.50676736894298802</v>
      </c>
      <c r="AI69" s="10">
        <f ca="1"/>
        <v>-1.786840661363341</v>
      </c>
      <c r="AJ69" s="1"/>
      <c r="AK69" s="2" cm="1">
        <f t="array" aca="1" ref="AK69" ca="1">MMULT(MMULT(_xlfn.ANCHORARRAY(AE69),$Q$9:$U$13),TRANSPOSE(_xlfn.ANCHORARRAY(AE69)))</f>
        <v>3.7907814465279726E-3</v>
      </c>
      <c r="AL69" s="2">
        <f t="shared" ca="1" si="7"/>
        <v>6.1569322284137355E-2</v>
      </c>
      <c r="AM69" s="2" cm="1">
        <f t="array" aca="1" ref="AM69" ca="1">MMULT(_xlfn.ANCHORARRAY(AE70),TRANSPOSE($Q$3:$U$3))</f>
        <v>-1.5194401562885736E-4</v>
      </c>
    </row>
    <row r="70" spans="1:39" x14ac:dyDescent="0.35">
      <c r="A70" s="3">
        <v>43930</v>
      </c>
      <c r="B70" s="4">
        <v>21.471906661987301</v>
      </c>
      <c r="C70" s="4">
        <v>64.635513305664006</v>
      </c>
      <c r="D70" s="4">
        <v>19.226039886474599</v>
      </c>
      <c r="E70" s="4">
        <v>8.7715578079223597</v>
      </c>
      <c r="F70" s="4">
        <v>156.86756896972599</v>
      </c>
      <c r="I70" s="5">
        <f>B70/B69-1</f>
        <v>6.0128082162437479E-2</v>
      </c>
      <c r="J70" s="5">
        <f>C70/C69-1</f>
        <v>-1.9423092147936805E-2</v>
      </c>
      <c r="K70" s="5">
        <f>D70/D69-1</f>
        <v>2.9222307820728322E-2</v>
      </c>
      <c r="L70" s="5">
        <f>E70/E69-1</f>
        <v>-1.0455812532343067E-2</v>
      </c>
      <c r="M70" s="5">
        <f>F70/F69-1</f>
        <v>6.0409430020058608E-5</v>
      </c>
      <c r="N70" s="5">
        <f>SUMPRODUCT(I70:M70,$AJ$13:$AN$13)</f>
        <v>-6.4036204312096934E-3</v>
      </c>
      <c r="P70" s="2" t="s">
        <v>61</v>
      </c>
      <c r="Q70" s="10" cm="1">
        <f t="array" aca="1" ref="Q70:U70" ca="1">_xlfn.LET(_xlpm.array,_xlfn.RANDARRAY(1,COLUMNS(_xlfn.ANCHORARRAY(Q69)),0,1,FALSE),_xlpm.array/SUM(_xlpm.array))</f>
        <v>0.18406413032277194</v>
      </c>
      <c r="R70" s="2">
        <f ca="1"/>
        <v>0.19923425684687532</v>
      </c>
      <c r="S70" s="2">
        <f ca="1"/>
        <v>0.29851882949519287</v>
      </c>
      <c r="T70" s="2">
        <f ca="1"/>
        <v>0.30642040013849048</v>
      </c>
      <c r="U70" s="2">
        <f ca="1"/>
        <v>1.1762383196669425E-2</v>
      </c>
      <c r="V70" s="12"/>
      <c r="X70" s="2" cm="1">
        <f t="array" aca="1" ref="X70" ca="1">MMULT(MMULT(_xlfn.ANCHORARRAY(Q70),$Q$9:$U$13),TRANSPOSE(_xlfn.ANCHORARRAY(Q70)))</f>
        <v>3.4456028436486824E-4</v>
      </c>
      <c r="Y70" s="2">
        <f t="shared" ca="1" si="6"/>
        <v>1.8562335100004747E-2</v>
      </c>
      <c r="Z70" s="2" cm="1">
        <f t="array" aca="1" ref="Z70" ca="1">MMULT(_xlfn.ANCHORARRAY(Q70),TRANSPOSE($Q$3:$U$3))</f>
        <v>1.0458741802014694E-3</v>
      </c>
      <c r="AA70" s="11">
        <f ca="1">AVEDEV(Q70*$Q$3,R70*$R$3,S70*$S$3,T70*$T$3,U70*$U$3)</f>
        <v>1.5179578665745769E-4</v>
      </c>
      <c r="AB70" s="11" cm="1">
        <f t="array" aca="1" ref="AB70" ca="1">MMULT(_xlfn.ANCHORARRAY(Q70),TRANSPOSE($Q$6:$U$6))</f>
        <v>-2.4133641604083992E-2</v>
      </c>
      <c r="AD70" s="2" t="s">
        <v>61</v>
      </c>
      <c r="AE70" s="10" cm="1">
        <f t="array" aca="1" ref="AE70:AI70" ca="1">_xlfn.LET(_xlpm.array,_xlfn.RANDARRAY(1,COLUMNS(_xlfn.ANCHORARRAY(Q69)),-1,1,FALSE),_xlpm.array/SUM(_xlpm.array))</f>
        <v>-3.6720819967371821</v>
      </c>
      <c r="AF70" s="10">
        <f ca="1"/>
        <v>3.8282125637130044</v>
      </c>
      <c r="AG70" s="10">
        <f ca="1"/>
        <v>-1.6776215528075882</v>
      </c>
      <c r="AH70" s="10">
        <f ca="1"/>
        <v>-1.110928713604193</v>
      </c>
      <c r="AI70" s="10">
        <f ca="1"/>
        <v>3.6324196994359585</v>
      </c>
      <c r="AJ70" s="1"/>
      <c r="AK70" s="2" cm="1">
        <f t="array" aca="1" ref="AK70" ca="1">MMULT(MMULT(_xlfn.ANCHORARRAY(AE70),$Q$9:$U$13),TRANSPOSE(_xlfn.ANCHORARRAY(AE70)))</f>
        <v>7.9565386818552328E-3</v>
      </c>
      <c r="AL70" s="2">
        <f t="shared" ca="1" si="7"/>
        <v>8.9199432071371584E-2</v>
      </c>
      <c r="AM70" s="2" cm="1">
        <f t="array" aca="1" ref="AM70" ca="1">MMULT(_xlfn.ANCHORARRAY(AE71),TRANSPOSE($Q$3:$U$3))</f>
        <v>1.729098415662537E-3</v>
      </c>
    </row>
    <row r="71" spans="1:39" x14ac:dyDescent="0.35">
      <c r="A71" s="3">
        <v>43934</v>
      </c>
      <c r="B71" s="4">
        <v>20.6600131988525</v>
      </c>
      <c r="C71" s="4">
        <v>65.095504760742102</v>
      </c>
      <c r="D71" s="4">
        <v>18.717168807983398</v>
      </c>
      <c r="E71" s="4">
        <v>8.7185993194580007</v>
      </c>
      <c r="F71" s="4">
        <v>157.21905517578099</v>
      </c>
      <c r="I71" s="5">
        <f>B71/B70-1</f>
        <v>-3.7811894207426588E-2</v>
      </c>
      <c r="J71" s="5">
        <f>C71/C70-1</f>
        <v>7.1166984147363888E-3</v>
      </c>
      <c r="K71" s="5">
        <f>D71/D70-1</f>
        <v>-2.6467805200445227E-2</v>
      </c>
      <c r="L71" s="5">
        <f>E71/E70-1</f>
        <v>-6.0375237356957712E-3</v>
      </c>
      <c r="M71" s="5">
        <f>F71/F70-1</f>
        <v>2.2406556585499171E-3</v>
      </c>
      <c r="N71" s="5">
        <f>SUMPRODUCT(I71:M71,$AJ$13:$AN$13)</f>
        <v>-5.1511027481998799E-3</v>
      </c>
      <c r="P71" s="2" t="s">
        <v>62</v>
      </c>
      <c r="Q71" s="10" cm="1">
        <f t="array" aca="1" ref="Q71:U71" ca="1">_xlfn.LET(_xlpm.array,_xlfn.RANDARRAY(1,COLUMNS(_xlfn.ANCHORARRAY(Q70)),0,1,FALSE),_xlpm.array/SUM(_xlpm.array))</f>
        <v>0.41513397303527294</v>
      </c>
      <c r="R71" s="2">
        <f ca="1"/>
        <v>0.18721652881616999</v>
      </c>
      <c r="S71" s="2">
        <f ca="1"/>
        <v>0.28619791242926768</v>
      </c>
      <c r="T71" s="2">
        <f ca="1"/>
        <v>9.7553487156390589E-2</v>
      </c>
      <c r="U71" s="2">
        <f ca="1"/>
        <v>1.3898098562898762E-2</v>
      </c>
      <c r="V71" s="12"/>
      <c r="X71" s="2" cm="1">
        <f t="array" aca="1" ref="X71" ca="1">MMULT(MMULT(_xlfn.ANCHORARRAY(Q71),$Q$9:$U$13),TRANSPOSE(_xlfn.ANCHORARRAY(Q71)))</f>
        <v>3.3993674093648778E-4</v>
      </c>
      <c r="Y71" s="2">
        <f t="shared" ca="1" si="6"/>
        <v>1.8437373482589319E-2</v>
      </c>
      <c r="Z71" s="2" cm="1">
        <f t="array" aca="1" ref="Z71" ca="1">MMULT(_xlfn.ANCHORARRAY(Q71),TRANSPOSE($Q$3:$U$3))</f>
        <v>9.2278106197918298E-4</v>
      </c>
      <c r="AA71" s="11">
        <f ca="1">AVEDEV(Q71*$Q$3,R71*$R$3,S71*$S$3,T71*$T$3,U71*$U$3)</f>
        <v>1.226653960665984E-4</v>
      </c>
      <c r="AB71" s="11" cm="1">
        <f t="array" aca="1" ref="AB71" ca="1">MMULT(_xlfn.ANCHORARRAY(Q71),TRANSPOSE($Q$6:$U$6))</f>
        <v>-2.3331868317951115E-2</v>
      </c>
      <c r="AD71" s="2" t="s">
        <v>62</v>
      </c>
      <c r="AE71" s="10" cm="1">
        <f t="array" aca="1" ref="AE71:AI71" ca="1">_xlfn.LET(_xlpm.array,_xlfn.RANDARRAY(1,COLUMNS(_xlfn.ANCHORARRAY(Q70)),-1,1,FALSE),_xlpm.array/SUM(_xlpm.array))</f>
        <v>0.29507863783802235</v>
      </c>
      <c r="AF71" s="10">
        <f ca="1"/>
        <v>-0.46690315715091907</v>
      </c>
      <c r="AG71" s="10">
        <f ca="1"/>
        <v>0.96994967360391982</v>
      </c>
      <c r="AH71" s="10">
        <f ca="1"/>
        <v>0.74182311053813665</v>
      </c>
      <c r="AI71" s="10">
        <f ca="1"/>
        <v>-0.5399482648291597</v>
      </c>
      <c r="AJ71" s="1"/>
      <c r="AK71" s="2" cm="1">
        <f t="array" aca="1" ref="AK71" ca="1">MMULT(MMULT(_xlfn.ANCHORARRAY(AE71),$Q$9:$U$13),TRANSPOSE(_xlfn.ANCHORARRAY(AE71)))</f>
        <v>1.0482928985746836E-3</v>
      </c>
      <c r="AL71" s="2">
        <f t="shared" ca="1" si="7"/>
        <v>3.2377351630031193E-2</v>
      </c>
      <c r="AM71" s="2" cm="1">
        <f t="array" aca="1" ref="AM71" ca="1">MMULT(_xlfn.ANCHORARRAY(AE72),TRANSPOSE($Q$3:$U$3))</f>
        <v>3.3208546749325047E-3</v>
      </c>
    </row>
    <row r="72" spans="1:39" x14ac:dyDescent="0.35">
      <c r="A72" s="3">
        <v>43935</v>
      </c>
      <c r="B72" s="4">
        <v>20.495906829833899</v>
      </c>
      <c r="C72" s="4">
        <v>64.865493774414006</v>
      </c>
      <c r="D72" s="4">
        <v>19.1242656707763</v>
      </c>
      <c r="E72" s="4">
        <v>8.4802770614624006</v>
      </c>
      <c r="F72" s="4">
        <v>164.99879455566401</v>
      </c>
      <c r="I72" s="5">
        <f>B72/B71-1</f>
        <v>-7.9431880047257097E-3</v>
      </c>
      <c r="J72" s="5">
        <f>C72/C71-1</f>
        <v>-3.5334388629982838E-3</v>
      </c>
      <c r="K72" s="5">
        <f>D72/D71-1</f>
        <v>2.1749916719203011E-2</v>
      </c>
      <c r="L72" s="5">
        <f>E72/E71-1</f>
        <v>-2.7334924941867289E-2</v>
      </c>
      <c r="M72" s="5">
        <f>F72/F71-1</f>
        <v>4.9483438067890351E-2</v>
      </c>
      <c r="N72" s="5">
        <f>SUMPRODUCT(I72:M72,$AJ$13:$AN$13)</f>
        <v>1.7494944932469607E-2</v>
      </c>
      <c r="P72" s="2" t="s">
        <v>63</v>
      </c>
      <c r="Q72" s="10" cm="1">
        <f t="array" aca="1" ref="Q72:U72" ca="1">_xlfn.LET(_xlpm.array,_xlfn.RANDARRAY(1,COLUMNS(_xlfn.ANCHORARRAY(Q71)),0,1,FALSE),_xlpm.array/SUM(_xlpm.array))</f>
        <v>0.23908296125835804</v>
      </c>
      <c r="R72" s="2">
        <f ca="1"/>
        <v>0.21925231637861883</v>
      </c>
      <c r="S72" s="2">
        <f ca="1"/>
        <v>0.13231431823393566</v>
      </c>
      <c r="T72" s="2">
        <f ca="1"/>
        <v>0.24403884482217988</v>
      </c>
      <c r="U72" s="2">
        <f ca="1"/>
        <v>0.16531155930690755</v>
      </c>
      <c r="V72" s="12"/>
      <c r="X72" s="2" cm="1">
        <f t="array" aca="1" ref="X72" ca="1">MMULT(MMULT(_xlfn.ANCHORARRAY(Q72),$Q$9:$U$13),TRANSPOSE(_xlfn.ANCHORARRAY(Q72)))</f>
        <v>2.8181682996222579E-4</v>
      </c>
      <c r="Y72" s="2">
        <f t="shared" ca="1" si="6"/>
        <v>1.6787400929334648E-2</v>
      </c>
      <c r="Z72" s="2" cm="1">
        <f t="array" aca="1" ref="Z72" ca="1">MMULT(_xlfn.ANCHORARRAY(Q72),TRANSPOSE($Q$3:$U$3))</f>
        <v>8.7225161678919057E-4</v>
      </c>
      <c r="AA72" s="11">
        <f ca="1">AVEDEV(Q72*$Q$3,R72*$R$3,S72*$S$3,T72*$T$3,U72*$U$3)</f>
        <v>4.6116868760335213E-5</v>
      </c>
      <c r="AB72" s="11" cm="1">
        <f t="array" aca="1" ref="AB72" ca="1">MMULT(_xlfn.ANCHORARRAY(Q72),TRANSPOSE($Q$6:$U$6))</f>
        <v>-2.2743377722599489E-2</v>
      </c>
      <c r="AD72" s="2" t="s">
        <v>63</v>
      </c>
      <c r="AE72" s="10" cm="1">
        <f t="array" aca="1" ref="AE72:AI72" ca="1">_xlfn.LET(_xlpm.array,_xlfn.RANDARRAY(1,COLUMNS(_xlfn.ANCHORARRAY(Q71)),-1,1,FALSE),_xlpm.array/SUM(_xlpm.array))</f>
        <v>-3.18674002010922</v>
      </c>
      <c r="AF72" s="10">
        <f ca="1"/>
        <v>3.0853814362647176</v>
      </c>
      <c r="AG72" s="10">
        <f ca="1"/>
        <v>2.3089753574064642</v>
      </c>
      <c r="AH72" s="10">
        <f ca="1"/>
        <v>-0.54014781889864538</v>
      </c>
      <c r="AI72" s="10">
        <f ca="1"/>
        <v>-0.66746895466331602</v>
      </c>
      <c r="AJ72" s="1"/>
      <c r="AK72" s="2" cm="1">
        <f t="array" aca="1" ref="AK72" ca="1">MMULT(MMULT(_xlfn.ANCHORARRAY(AE72),$Q$9:$U$13),TRANSPOSE(_xlfn.ANCHORARRAY(AE72)))</f>
        <v>6.6435086046191137E-3</v>
      </c>
      <c r="AL72" s="2">
        <f t="shared" ca="1" si="7"/>
        <v>8.1507721134988886E-2</v>
      </c>
      <c r="AM72" s="2" cm="1">
        <f t="array" aca="1" ref="AM72" ca="1">MMULT(_xlfn.ANCHORARRAY(AE73),TRANSPOSE($Q$3:$U$3))</f>
        <v>9.9322690419384116E-4</v>
      </c>
    </row>
    <row r="73" spans="1:39" x14ac:dyDescent="0.35">
      <c r="A73" s="3">
        <v>43936</v>
      </c>
      <c r="B73" s="4">
        <v>19.1657905578613</v>
      </c>
      <c r="C73" s="4">
        <v>63.240207672119098</v>
      </c>
      <c r="D73" s="4">
        <v>18.712541580200099</v>
      </c>
      <c r="E73" s="4">
        <v>8.1294145584106392</v>
      </c>
      <c r="F73" s="4">
        <v>163.26994323730401</v>
      </c>
      <c r="I73" s="5">
        <f>B73/B72-1</f>
        <v>-6.4896678298540955E-2</v>
      </c>
      <c r="J73" s="5">
        <f>C73/C72-1</f>
        <v>-2.5056251139430885E-2</v>
      </c>
      <c r="K73" s="5">
        <f>D73/D72-1</f>
        <v>-2.1528883653052056E-2</v>
      </c>
      <c r="L73" s="5">
        <f>E73/E72-1</f>
        <v>-4.1373943387559065E-2</v>
      </c>
      <c r="M73" s="5">
        <f>F73/F72-1</f>
        <v>-1.0477963327039652E-2</v>
      </c>
      <c r="N73" s="5">
        <f>SUMPRODUCT(I73:M73,$AJ$13:$AN$13)</f>
        <v>-1.4451994149240577E-2</v>
      </c>
      <c r="P73" s="2" t="s">
        <v>64</v>
      </c>
      <c r="Q73" s="10" cm="1">
        <f t="array" aca="1" ref="Q73:U73" ca="1">_xlfn.LET(_xlpm.array,_xlfn.RANDARRAY(1,COLUMNS(_xlfn.ANCHORARRAY(Q72)),0,1,FALSE),_xlpm.array/SUM(_xlpm.array))</f>
        <v>8.8814362008850387E-2</v>
      </c>
      <c r="R73" s="2">
        <f ca="1"/>
        <v>0.48626081775083813</v>
      </c>
      <c r="S73" s="2">
        <f ca="1"/>
        <v>6.1022007856192113E-2</v>
      </c>
      <c r="T73" s="2">
        <f ca="1"/>
        <v>0.1229983957295098</v>
      </c>
      <c r="U73" s="2">
        <f ca="1"/>
        <v>0.2409044166546096</v>
      </c>
      <c r="V73" s="12"/>
      <c r="X73" s="2" cm="1">
        <f t="array" aca="1" ref="X73" ca="1">MMULT(MMULT(_xlfn.ANCHORARRAY(Q73),$Q$9:$U$13),TRANSPOSE(_xlfn.ANCHORARRAY(Q73)))</f>
        <v>2.8079249796947049E-4</v>
      </c>
      <c r="Y73" s="2">
        <f t="shared" ca="1" si="6"/>
        <v>1.6756864204542282E-2</v>
      </c>
      <c r="Z73" s="2" cm="1">
        <f t="array" aca="1" ref="Z73" ca="1">MMULT(_xlfn.ANCHORARRAY(Q73),TRANSPOSE($Q$3:$U$3))</f>
        <v>8.0923992185662045E-4</v>
      </c>
      <c r="AA73" s="11">
        <f ca="1">AVEDEV(Q73*$Q$3,R73*$R$3,S73*$S$3,T73*$T$3,U73*$U$3)</f>
        <v>8.6258932529430059E-5</v>
      </c>
      <c r="AB73" s="11" cm="1">
        <f t="array" aca="1" ref="AB73" ca="1">MMULT(_xlfn.ANCHORARRAY(Q73),TRANSPOSE($Q$6:$U$6))</f>
        <v>-2.1536556014054308E-2</v>
      </c>
      <c r="AD73" s="2" t="s">
        <v>64</v>
      </c>
      <c r="AE73" s="10" cm="1">
        <f t="array" aca="1" ref="AE73:AI73" ca="1">_xlfn.LET(_xlpm.array,_xlfn.RANDARRAY(1,COLUMNS(_xlfn.ANCHORARRAY(Q72)),-1,1,FALSE),_xlpm.array/SUM(_xlpm.array))</f>
        <v>0.13230427050118188</v>
      </c>
      <c r="AF73" s="10">
        <f ca="1"/>
        <v>2.112033498870132E-2</v>
      </c>
      <c r="AG73" s="10">
        <f ca="1"/>
        <v>0.1495501691829009</v>
      </c>
      <c r="AH73" s="10">
        <f ca="1"/>
        <v>0.52409694845489141</v>
      </c>
      <c r="AI73" s="10">
        <f ca="1"/>
        <v>0.17292827687232445</v>
      </c>
      <c r="AJ73" s="1"/>
      <c r="AK73" s="2" cm="1">
        <f t="array" aca="1" ref="AK73" ca="1">MMULT(MMULT(_xlfn.ANCHORARRAY(AE73),$Q$9:$U$13),TRANSPOSE(_xlfn.ANCHORARRAY(AE73)))</f>
        <v>3.1922658160154149E-4</v>
      </c>
      <c r="AL73" s="2">
        <f t="shared" ca="1" si="7"/>
        <v>1.7866913040632999E-2</v>
      </c>
      <c r="AM73" s="2" cm="1">
        <f t="array" aca="1" ref="AM73" ca="1">MMULT(_xlfn.ANCHORARRAY(AE74),TRANSPOSE($Q$3:$U$3))</f>
        <v>9.3793743377094941E-4</v>
      </c>
    </row>
    <row r="74" spans="1:39" x14ac:dyDescent="0.35">
      <c r="A74" s="3">
        <v>43937</v>
      </c>
      <c r="B74" s="4">
        <v>18.500726699829102</v>
      </c>
      <c r="C74" s="4">
        <v>61.323600769042898</v>
      </c>
      <c r="D74" s="4">
        <v>19.013238906860298</v>
      </c>
      <c r="E74" s="4">
        <v>7.8513741493225098</v>
      </c>
      <c r="F74" s="4">
        <v>168.17144775390599</v>
      </c>
      <c r="I74" s="5">
        <f>B74/B73-1</f>
        <v>-3.4700570061244163E-2</v>
      </c>
      <c r="J74" s="5">
        <f>C74/C73-1</f>
        <v>-3.0306777501636573E-2</v>
      </c>
      <c r="K74" s="5">
        <f>D74/D73-1</f>
        <v>1.6069293707187793E-2</v>
      </c>
      <c r="L74" s="5">
        <f>E74/E73-1</f>
        <v>-3.4201775182011174E-2</v>
      </c>
      <c r="M74" s="5">
        <f>F74/F73-1</f>
        <v>3.0020862501789036E-2</v>
      </c>
      <c r="N74" s="5">
        <f>SUMPRODUCT(I74:M74,$AJ$13:$AN$13)</f>
        <v>1.3442957327042112E-2</v>
      </c>
      <c r="P74" s="2" t="s">
        <v>65</v>
      </c>
      <c r="Q74" s="10" cm="1">
        <f t="array" aca="1" ref="Q74:U74" ca="1">_xlfn.LET(_xlpm.array,_xlfn.RANDARRAY(1,COLUMNS(_xlfn.ANCHORARRAY(Q73)),0,1,FALSE),_xlpm.array/SUM(_xlpm.array))</f>
        <v>7.7049298518450257E-2</v>
      </c>
      <c r="R74" s="2">
        <f ca="1"/>
        <v>0.32463512801376443</v>
      </c>
      <c r="S74" s="2">
        <f ca="1"/>
        <v>0.27332570149729535</v>
      </c>
      <c r="T74" s="2">
        <f ca="1"/>
        <v>0.25579521214231882</v>
      </c>
      <c r="U74" s="2">
        <f ca="1"/>
        <v>6.9194659828171315E-2</v>
      </c>
      <c r="V74" s="12"/>
      <c r="X74" s="2" cm="1">
        <f t="array" aca="1" ref="X74" ca="1">MMULT(MMULT(_xlfn.ANCHORARRAY(Q74),$Q$9:$U$13),TRANSPOSE(_xlfn.ANCHORARRAY(Q74)))</f>
        <v>3.3015485383041694E-4</v>
      </c>
      <c r="Y74" s="2">
        <f t="shared" ca="1" si="6"/>
        <v>1.8170163836091765E-2</v>
      </c>
      <c r="Z74" s="2" cm="1">
        <f t="array" aca="1" ref="Z74" ca="1">MMULT(_xlfn.ANCHORARRAY(Q74),TRANSPOSE($Q$3:$U$3))</f>
        <v>1.0343509840691175E-3</v>
      </c>
      <c r="AA74" s="11">
        <f ca="1">AVEDEV(Q74*$Q$3,R74*$R$3,S74*$S$3,T74*$T$3,U74*$U$3)</f>
        <v>1.2866263082205544E-4</v>
      </c>
      <c r="AB74" s="11" cm="1">
        <f t="array" aca="1" ref="AB74" ca="1">MMULT(_xlfn.ANCHORARRAY(Q74),TRANSPOSE($Q$6:$U$6))</f>
        <v>-2.3602474803513247E-2</v>
      </c>
      <c r="AD74" s="2" t="s">
        <v>65</v>
      </c>
      <c r="AE74" s="10" cm="1">
        <f t="array" aca="1" ref="AE74:AI74" ca="1">_xlfn.LET(_xlpm.array,_xlfn.RANDARRAY(1,COLUMNS(_xlfn.ANCHORARRAY(Q73)),-1,1,FALSE),_xlpm.array/SUM(_xlpm.array))</f>
        <v>1.3815827135351872</v>
      </c>
      <c r="AF74" s="10">
        <f ca="1"/>
        <v>-0.62789385028423117</v>
      </c>
      <c r="AG74" s="10">
        <f ca="1"/>
        <v>0.33990552766916715</v>
      </c>
      <c r="AH74" s="10">
        <f ca="1"/>
        <v>0.8328487467888005</v>
      </c>
      <c r="AI74" s="10">
        <f ca="1"/>
        <v>-0.92644313770892384</v>
      </c>
      <c r="AJ74" s="1"/>
      <c r="AK74" s="2" cm="1">
        <f t="array" aca="1" ref="AK74" ca="1">MMULT(MMULT(_xlfn.ANCHORARRAY(AE74),$Q$9:$U$13),TRANSPOSE(_xlfn.ANCHORARRAY(AE74)))</f>
        <v>1.2020423827820547E-3</v>
      </c>
      <c r="AL74" s="2">
        <f t="shared" ca="1" si="7"/>
        <v>3.4670482874947887E-2</v>
      </c>
      <c r="AM74" s="2" cm="1">
        <f t="array" aca="1" ref="AM74" ca="1">MMULT(_xlfn.ANCHORARRAY(AE75),TRANSPOSE($Q$3:$U$3))</f>
        <v>1.3445144029626472E-3</v>
      </c>
    </row>
    <row r="75" spans="1:39" x14ac:dyDescent="0.35">
      <c r="A75" s="3">
        <v>43938</v>
      </c>
      <c r="B75" s="4">
        <v>20.107231140136701</v>
      </c>
      <c r="C75" s="4">
        <v>66.828117370605398</v>
      </c>
      <c r="D75" s="4">
        <v>19.202903747558501</v>
      </c>
      <c r="E75" s="4">
        <v>8.6325368881225497</v>
      </c>
      <c r="F75" s="4">
        <v>169.65333557128901</v>
      </c>
      <c r="I75" s="5">
        <f>B75/B74-1</f>
        <v>8.6834666895676094E-2</v>
      </c>
      <c r="J75" s="5">
        <f>C75/C74-1</f>
        <v>8.9761796967755103E-2</v>
      </c>
      <c r="K75" s="5">
        <f>D75/D74-1</f>
        <v>9.9754093254342813E-3</v>
      </c>
      <c r="L75" s="5">
        <f>E75/E74-1</f>
        <v>9.9493760447965096E-2</v>
      </c>
      <c r="M75" s="5">
        <f>F75/F74-1</f>
        <v>8.8117682114001727E-3</v>
      </c>
      <c r="N75" s="5">
        <f>SUMPRODUCT(I75:M75,$AJ$13:$AN$13)</f>
        <v>2.6572068344308395E-2</v>
      </c>
      <c r="P75" s="2" t="s">
        <v>66</v>
      </c>
      <c r="Q75" s="10" cm="1">
        <f t="array" aca="1" ref="Q75:U75" ca="1">_xlfn.LET(_xlpm.array,_xlfn.RANDARRAY(1,COLUMNS(_xlfn.ANCHORARRAY(Q74)),0,1,FALSE),_xlpm.array/SUM(_xlpm.array))</f>
        <v>0.31280917588179119</v>
      </c>
      <c r="R75" s="2">
        <f ca="1"/>
        <v>0.16371639374597402</v>
      </c>
      <c r="S75" s="2">
        <f ca="1"/>
        <v>0.28336390742670814</v>
      </c>
      <c r="T75" s="2">
        <f ca="1"/>
        <v>0.10611367726876296</v>
      </c>
      <c r="U75" s="2">
        <f ca="1"/>
        <v>0.13399684567676351</v>
      </c>
      <c r="V75" s="12"/>
      <c r="X75" s="2" cm="1">
        <f t="array" aca="1" ref="X75" ca="1">MMULT(MMULT(_xlfn.ANCHORARRAY(Q75),$Q$9:$U$13),TRANSPOSE(_xlfn.ANCHORARRAY(Q75)))</f>
        <v>3.0765298772750742E-4</v>
      </c>
      <c r="Y75" s="2">
        <f t="shared" ca="1" si="6"/>
        <v>1.7540039558892318E-2</v>
      </c>
      <c r="Z75" s="2" cm="1">
        <f t="array" aca="1" ref="Z75" ca="1">MMULT(_xlfn.ANCHORARRAY(Q75),TRANSPOSE($Q$3:$U$3))</f>
        <v>9.496149473065831E-4</v>
      </c>
      <c r="AA75" s="11">
        <f ca="1">AVEDEV(Q75*$Q$3,R75*$R$3,S75*$S$3,T75*$T$3,U75*$U$3)</f>
        <v>1.0810408611550177E-4</v>
      </c>
      <c r="AB75" s="11" cm="1">
        <f t="array" aca="1" ref="AB75" ca="1">MMULT(_xlfn.ANCHORARRAY(Q75),TRANSPOSE($Q$6:$U$6))</f>
        <v>-2.3192661829295278E-2</v>
      </c>
      <c r="AD75" s="2" t="s">
        <v>66</v>
      </c>
      <c r="AE75" s="10" cm="1">
        <f t="array" aca="1" ref="AE75:AI75" ca="1">_xlfn.LET(_xlpm.array,_xlfn.RANDARRAY(1,COLUMNS(_xlfn.ANCHORARRAY(Q74)),-1,1,FALSE),_xlpm.array/SUM(_xlpm.array))</f>
        <v>-0.35428173619486442</v>
      </c>
      <c r="AF75" s="10">
        <f ca="1"/>
        <v>2.4040978432588553E-2</v>
      </c>
      <c r="AG75" s="10">
        <f ca="1"/>
        <v>0.44919759417983013</v>
      </c>
      <c r="AH75" s="10">
        <f ca="1"/>
        <v>0.4036972313049067</v>
      </c>
      <c r="AI75" s="10">
        <f ca="1"/>
        <v>0.47734593227753908</v>
      </c>
      <c r="AJ75" s="1"/>
      <c r="AK75" s="2" cm="1">
        <f t="array" aca="1" ref="AK75" ca="1">MMULT(MMULT(_xlfn.ANCHORARRAY(AE75),$Q$9:$U$13),TRANSPOSE(_xlfn.ANCHORARRAY(AE75)))</f>
        <v>4.2704042920283045E-4</v>
      </c>
      <c r="AL75" s="2">
        <f t="shared" ca="1" si="7"/>
        <v>2.0664956549744557E-2</v>
      </c>
      <c r="AM75" s="2" cm="1">
        <f t="array" aca="1" ref="AM75" ca="1">MMULT(_xlfn.ANCHORARRAY(AE76),TRANSPOSE($Q$3:$U$3))</f>
        <v>7.7735481809073346E-4</v>
      </c>
    </row>
    <row r="76" spans="1:39" x14ac:dyDescent="0.35">
      <c r="A76" s="3">
        <v>43941</v>
      </c>
      <c r="B76" s="4">
        <v>19.433544158935501</v>
      </c>
      <c r="C76" s="4">
        <v>64.068191528320298</v>
      </c>
      <c r="D76" s="4">
        <v>18.948472976684499</v>
      </c>
      <c r="E76" s="4">
        <v>8.2154760360717702</v>
      </c>
      <c r="F76" s="4">
        <v>166.29063415527301</v>
      </c>
      <c r="I76" s="5">
        <f>B76/B75-1</f>
        <v>-3.3504711638612017E-2</v>
      </c>
      <c r="J76" s="5">
        <f>C76/C75-1</f>
        <v>-4.1298871655765956E-2</v>
      </c>
      <c r="K76" s="5">
        <f>D76/D75-1</f>
        <v>-1.324959882207144E-2</v>
      </c>
      <c r="L76" s="5">
        <f>E76/E75-1</f>
        <v>-4.8312663757581031E-2</v>
      </c>
      <c r="M76" s="5">
        <f>F76/F75-1</f>
        <v>-1.9821015629857608E-2</v>
      </c>
      <c r="N76" s="5">
        <f>SUMPRODUCT(I76:M76,$AJ$13:$AN$13)</f>
        <v>-2.5051207332118824E-2</v>
      </c>
      <c r="P76" s="2" t="s">
        <v>67</v>
      </c>
      <c r="Q76" s="10" cm="1">
        <f t="array" aca="1" ref="Q76:U76" ca="1">_xlfn.LET(_xlpm.array,_xlfn.RANDARRAY(1,COLUMNS(_xlfn.ANCHORARRAY(Q75)),0,1,FALSE),_xlpm.array/SUM(_xlpm.array))</f>
        <v>2.7116626378340409E-2</v>
      </c>
      <c r="R76" s="2">
        <f ca="1"/>
        <v>4.6059049606115364E-2</v>
      </c>
      <c r="S76" s="2">
        <f ca="1"/>
        <v>0.30824435640589481</v>
      </c>
      <c r="T76" s="2">
        <f ca="1"/>
        <v>0.1299810564337153</v>
      </c>
      <c r="U76" s="2">
        <f ca="1"/>
        <v>0.48859891117593413</v>
      </c>
      <c r="V76" s="12"/>
      <c r="X76" s="2" cm="1">
        <f t="array" aca="1" ref="X76" ca="1">MMULT(MMULT(_xlfn.ANCHORARRAY(Q76),$Q$9:$U$13),TRANSPOSE(_xlfn.ANCHORARRAY(Q76)))</f>
        <v>3.011398873034606E-4</v>
      </c>
      <c r="Y76" s="2">
        <f t="shared" ca="1" si="6"/>
        <v>1.7353382589669963E-2</v>
      </c>
      <c r="Z76" s="2" cm="1">
        <f t="array" aca="1" ref="Z76" ca="1">MMULT(_xlfn.ANCHORARRAY(Q76),TRANSPOSE($Q$3:$U$3))</f>
        <v>1.0545027293851752E-3</v>
      </c>
      <c r="AA76" s="11">
        <f ca="1">AVEDEV(Q76*$Q$3,R76*$R$3,S76*$S$3,T76*$T$3,U76*$U$3)</f>
        <v>1.8099788960659085E-4</v>
      </c>
      <c r="AB76" s="11" cm="1">
        <f t="array" aca="1" ref="AB76" ca="1">MMULT(_xlfn.ANCHORARRAY(Q76),TRANSPOSE($Q$6:$U$6))</f>
        <v>-2.3009653592976756E-2</v>
      </c>
      <c r="AD76" s="2" t="s">
        <v>67</v>
      </c>
      <c r="AE76" s="10" cm="1">
        <f t="array" aca="1" ref="AE76:AI76" ca="1">_xlfn.LET(_xlpm.array,_xlfn.RANDARRAY(1,COLUMNS(_xlfn.ANCHORARRAY(Q75)),-1,1,FALSE),_xlpm.array/SUM(_xlpm.array))</f>
        <v>0.26978176987762986</v>
      </c>
      <c r="AF76" s="10">
        <f ca="1"/>
        <v>0.23245626045006837</v>
      </c>
      <c r="AG76" s="10">
        <f ca="1"/>
        <v>3.5848812706550111E-2</v>
      </c>
      <c r="AH76" s="10">
        <f ca="1"/>
        <v>0.22969039613170023</v>
      </c>
      <c r="AI76" s="10">
        <f ca="1"/>
        <v>0.23222276083405138</v>
      </c>
      <c r="AJ76" s="1"/>
      <c r="AK76" s="2" cm="1">
        <f t="array" aca="1" ref="AK76" ca="1">MMULT(MMULT(_xlfn.ANCHORARRAY(AE76),$Q$9:$U$13),TRANSPOSE(_xlfn.ANCHORARRAY(AE76)))</f>
        <v>2.7062027892399534E-4</v>
      </c>
      <c r="AL76" s="2">
        <f t="shared" ca="1" si="7"/>
        <v>1.6450540383950777E-2</v>
      </c>
      <c r="AM76" s="2" cm="1">
        <f t="array" aca="1" ref="AM76" ca="1">MMULT(_xlfn.ANCHORARRAY(AE77),TRANSPOSE($Q$3:$U$3))</f>
        <v>-8.1132852963825659E-4</v>
      </c>
    </row>
    <row r="77" spans="1:39" x14ac:dyDescent="0.35">
      <c r="A77" s="3">
        <v>43942</v>
      </c>
      <c r="B77" s="4">
        <v>18.690748214721602</v>
      </c>
      <c r="C77" s="4">
        <v>62.588592529296797</v>
      </c>
      <c r="D77" s="4">
        <v>17.301589965820298</v>
      </c>
      <c r="E77" s="4">
        <v>7.95729303359985</v>
      </c>
      <c r="F77" s="4">
        <v>159.413330078125</v>
      </c>
      <c r="I77" s="5">
        <f>B77/B76-1</f>
        <v>-3.8222361198709254E-2</v>
      </c>
      <c r="J77" s="5">
        <f>C77/C76-1</f>
        <v>-2.3094127736842274E-2</v>
      </c>
      <c r="K77" s="5">
        <f>D77/D76-1</f>
        <v>-8.6913758849625489E-2</v>
      </c>
      <c r="L77" s="5">
        <f>E77/E76-1</f>
        <v>-3.142642025103759E-2</v>
      </c>
      <c r="M77" s="5">
        <f>F77/F76-1</f>
        <v>-4.1357134225168513E-2</v>
      </c>
      <c r="N77" s="5">
        <f>SUMPRODUCT(I77:M77,$AJ$13:$AN$13)</f>
        <v>-6.1941976132638452E-2</v>
      </c>
      <c r="P77" s="2" t="s">
        <v>68</v>
      </c>
      <c r="Q77" s="10" cm="1">
        <f t="array" aca="1" ref="Q77:U77" ca="1">_xlfn.LET(_xlpm.array,_xlfn.RANDARRAY(1,COLUMNS(_xlfn.ANCHORARRAY(Q76)),0,1,FALSE),_xlpm.array/SUM(_xlpm.array))</f>
        <v>0.30385256034268893</v>
      </c>
      <c r="R77" s="2">
        <f ca="1"/>
        <v>0.21398449780871337</v>
      </c>
      <c r="S77" s="2">
        <f ca="1"/>
        <v>4.683651742170121E-2</v>
      </c>
      <c r="T77" s="2">
        <f ca="1"/>
        <v>0.29872169998847953</v>
      </c>
      <c r="U77" s="2">
        <f ca="1"/>
        <v>0.13660472443841695</v>
      </c>
      <c r="V77" s="12"/>
      <c r="X77" s="2" cm="1">
        <f t="array" aca="1" ref="X77" ca="1">MMULT(MMULT(_xlfn.ANCHORARRAY(Q77),$Q$9:$U$13),TRANSPOSE(_xlfn.ANCHORARRAY(Q77)))</f>
        <v>2.9645638012830292E-4</v>
      </c>
      <c r="Y77" s="2">
        <f t="shared" ca="1" si="6"/>
        <v>1.721790870368126E-2</v>
      </c>
      <c r="Z77" s="2" cm="1">
        <f t="array" aca="1" ref="Z77" ca="1">MMULT(_xlfn.ANCHORARRAY(Q77),TRANSPOSE($Q$3:$U$3))</f>
        <v>7.9641615016331981E-4</v>
      </c>
      <c r="AA77" s="11">
        <f ca="1">AVEDEV(Q77*$Q$3,R77*$R$3,S77*$S$3,T77*$T$3,U77*$U$3)</f>
        <v>5.8358389942672159E-5</v>
      </c>
      <c r="AB77" s="11" cm="1">
        <f t="array" aca="1" ref="AB77" ca="1">MMULT(_xlfn.ANCHORARRAY(Q77),TRANSPOSE($Q$6:$U$6))</f>
        <v>-2.2511796164328302E-2</v>
      </c>
      <c r="AD77" s="2" t="s">
        <v>68</v>
      </c>
      <c r="AE77" s="10" cm="1">
        <f t="array" aca="1" ref="AE77:AI77" ca="1">_xlfn.LET(_xlpm.array,_xlfn.RANDARRAY(1,COLUMNS(_xlfn.ANCHORARRAY(Q76)),-1,1,FALSE),_xlpm.array/SUM(_xlpm.array))</f>
        <v>0.79114214796955806</v>
      </c>
      <c r="AF77" s="10">
        <f ca="1"/>
        <v>2.7821219354217921</v>
      </c>
      <c r="AG77" s="10">
        <f ca="1"/>
        <v>-1.4543233034931251</v>
      </c>
      <c r="AH77" s="10">
        <f ca="1"/>
        <v>-0.10667153971585806</v>
      </c>
      <c r="AI77" s="10">
        <f ca="1"/>
        <v>-1.012269240182367</v>
      </c>
      <c r="AJ77" s="1"/>
      <c r="AK77" s="2" cm="1">
        <f t="array" aca="1" ref="AK77" ca="1">MMULT(MMULT(_xlfn.ANCHORARRAY(AE77),$Q$9:$U$13),TRANSPOSE(_xlfn.ANCHORARRAY(AE77)))</f>
        <v>4.5027447942572211E-3</v>
      </c>
      <c r="AL77" s="2">
        <f t="shared" ca="1" si="7"/>
        <v>6.71024946947371E-2</v>
      </c>
      <c r="AM77" s="2" cm="1">
        <f t="array" aca="1" ref="AM77" ca="1">MMULT(_xlfn.ANCHORARRAY(AE78),TRANSPOSE($Q$3:$U$3))</f>
        <v>1.2561673963241804E-3</v>
      </c>
    </row>
    <row r="78" spans="1:39" x14ac:dyDescent="0.35">
      <c r="A78" s="3">
        <v>43943</v>
      </c>
      <c r="B78" s="4">
        <v>18.828941345214801</v>
      </c>
      <c r="C78" s="4">
        <v>64.735176086425696</v>
      </c>
      <c r="D78" s="4">
        <v>17.9261054992675</v>
      </c>
      <c r="E78" s="4">
        <v>8.3280143737792898</v>
      </c>
      <c r="F78" s="4">
        <v>164.82778930664</v>
      </c>
      <c r="I78" s="5">
        <f>B78/B77-1</f>
        <v>7.3936649782886388E-3</v>
      </c>
      <c r="J78" s="5">
        <f>C78/C77-1</f>
        <v>3.4296721980512812E-2</v>
      </c>
      <c r="K78" s="5">
        <f>D78/D77-1</f>
        <v>3.6095846374867735E-2</v>
      </c>
      <c r="L78" s="5">
        <f>E78/E77-1</f>
        <v>4.6588876218842223E-2</v>
      </c>
      <c r="M78" s="5">
        <f>F78/F77-1</f>
        <v>3.3964908868420851E-2</v>
      </c>
      <c r="N78" s="5">
        <f>SUMPRODUCT(I78:M78,$AJ$13:$AN$13)</f>
        <v>4.8646947431318942E-2</v>
      </c>
      <c r="P78" s="2" t="s">
        <v>69</v>
      </c>
      <c r="Q78" s="10" cm="1">
        <f t="array" aca="1" ref="Q78:U78" ca="1">_xlfn.LET(_xlpm.array,_xlfn.RANDARRAY(1,COLUMNS(_xlfn.ANCHORARRAY(Q77)),0,1,FALSE),_xlpm.array/SUM(_xlpm.array))</f>
        <v>0.10918389274193327</v>
      </c>
      <c r="R78" s="2">
        <f ca="1"/>
        <v>0.16844028708808934</v>
      </c>
      <c r="S78" s="2">
        <f ca="1"/>
        <v>0.31408326521046187</v>
      </c>
      <c r="T78" s="2">
        <f ca="1"/>
        <v>0.13978857326955699</v>
      </c>
      <c r="U78" s="2">
        <f ca="1"/>
        <v>0.26850398168995854</v>
      </c>
      <c r="V78" s="12"/>
      <c r="X78" s="2" cm="1">
        <f t="array" aca="1" ref="X78" ca="1">MMULT(MMULT(_xlfn.ANCHORARRAY(Q78),$Q$9:$U$13),TRANSPOSE(_xlfn.ANCHORARRAY(Q78)))</f>
        <v>2.9644055937423587E-4</v>
      </c>
      <c r="Y78" s="2">
        <f t="shared" ca="1" si="6"/>
        <v>1.721744927026753E-2</v>
      </c>
      <c r="Z78" s="2" cm="1">
        <f t="array" aca="1" ref="Z78" ca="1">MMULT(_xlfn.ANCHORARRAY(Q78),TRANSPOSE($Q$3:$U$3))</f>
        <v>1.0367421405024827E-3</v>
      </c>
      <c r="AA78" s="11">
        <f ca="1">AVEDEV(Q78*$Q$3,R78*$R$3,S78*$S$3,T78*$T$3,U78*$U$3)</f>
        <v>1.2108921497669762E-4</v>
      </c>
      <c r="AB78" s="11" cm="1">
        <f t="array" aca="1" ref="AB78" ca="1">MMULT(_xlfn.ANCHORARRAY(Q78),TRANSPOSE($Q$6:$U$6))</f>
        <v>-2.3278882516231225E-2</v>
      </c>
      <c r="AD78" s="2" t="s">
        <v>69</v>
      </c>
      <c r="AE78" s="10" cm="1">
        <f t="array" aca="1" ref="AE78:AI78" ca="1">_xlfn.LET(_xlpm.array,_xlfn.RANDARRAY(1,COLUMNS(_xlfn.ANCHORARRAY(Q77)),-1,1,FALSE),_xlpm.array/SUM(_xlpm.array))</f>
        <v>3.2828220018647915E-2</v>
      </c>
      <c r="AF78" s="10">
        <f ca="1"/>
        <v>-3.9915161600070956E-2</v>
      </c>
      <c r="AG78" s="10">
        <f ca="1"/>
        <v>0.92391291264562947</v>
      </c>
      <c r="AH78" s="10">
        <f ca="1"/>
        <v>-1.1505579705252094</v>
      </c>
      <c r="AI78" s="10">
        <f ca="1"/>
        <v>1.233731999461003</v>
      </c>
      <c r="AJ78" s="1"/>
      <c r="AK78" s="2" cm="1">
        <f t="array" aca="1" ref="AK78" ca="1">MMULT(MMULT(_xlfn.ANCHORARRAY(AE78),$Q$9:$U$13),TRANSPOSE(_xlfn.ANCHORARRAY(AE78)))</f>
        <v>1.870526055897607E-3</v>
      </c>
      <c r="AL78" s="2">
        <f t="shared" ca="1" si="7"/>
        <v>4.3249578678845033E-2</v>
      </c>
      <c r="AM78" s="2" cm="1">
        <f t="array" aca="1" ref="AM78" ca="1">MMULT(_xlfn.ANCHORARRAY(AE79),TRANSPOSE($Q$3:$U$3))</f>
        <v>1.3019372993315899E-3</v>
      </c>
    </row>
    <row r="79" spans="1:39" x14ac:dyDescent="0.35">
      <c r="A79" s="3">
        <v>43944</v>
      </c>
      <c r="B79" s="4">
        <v>18.889404296875</v>
      </c>
      <c r="C79" s="4">
        <v>66.544471740722599</v>
      </c>
      <c r="D79" s="4">
        <v>18.000125885009702</v>
      </c>
      <c r="E79" s="4">
        <v>8.28167629241943</v>
      </c>
      <c r="F79" s="4">
        <v>162.8330078125</v>
      </c>
      <c r="I79" s="5">
        <f>B79/B78-1</f>
        <v>3.2111710664797233E-3</v>
      </c>
      <c r="J79" s="5">
        <f>C79/C78-1</f>
        <v>2.7949188735987507E-2</v>
      </c>
      <c r="K79" s="5">
        <f>D79/D78-1</f>
        <v>4.1291950304112035E-3</v>
      </c>
      <c r="L79" s="5">
        <f>E79/E78-1</f>
        <v>-5.5641212034593934E-3</v>
      </c>
      <c r="M79" s="5">
        <f>F79/F78-1</f>
        <v>-1.210221590989724E-2</v>
      </c>
      <c r="N79" s="5">
        <f>SUMPRODUCT(I79:M79,$AJ$13:$AN$13)</f>
        <v>-6.3369860879440099E-3</v>
      </c>
      <c r="P79" s="2" t="s">
        <v>70</v>
      </c>
      <c r="Q79" s="10" cm="1">
        <f t="array" aca="1" ref="Q79:U79" ca="1">_xlfn.LET(_xlpm.array,_xlfn.RANDARRAY(1,COLUMNS(_xlfn.ANCHORARRAY(Q78)),0,1,FALSE),_xlpm.array/SUM(_xlpm.array))</f>
        <v>0.12866813694652582</v>
      </c>
      <c r="R79" s="2">
        <f ca="1"/>
        <v>0.42924661324546737</v>
      </c>
      <c r="S79" s="2">
        <f ca="1"/>
        <v>9.2032532851798632E-2</v>
      </c>
      <c r="T79" s="2">
        <f ca="1"/>
        <v>0.25740030561594784</v>
      </c>
      <c r="U79" s="2">
        <f ca="1"/>
        <v>9.2652411340260338E-2</v>
      </c>
      <c r="V79" s="12"/>
      <c r="X79" s="2" cm="1">
        <f t="array" aca="1" ref="X79" ca="1">MMULT(MMULT(_xlfn.ANCHORARRAY(Q79),$Q$9:$U$13),TRANSPOSE(_xlfn.ANCHORARRAY(Q79)))</f>
        <v>3.1852964317324254E-4</v>
      </c>
      <c r="Y79" s="2">
        <f t="shared" ca="1" si="6"/>
        <v>1.7847398778904521E-2</v>
      </c>
      <c r="Z79" s="2" cm="1">
        <f t="array" aca="1" ref="Z79" ca="1">MMULT(_xlfn.ANCHORARRAY(Q79),TRANSPOSE($Q$3:$U$3))</f>
        <v>8.6213875223696123E-4</v>
      </c>
      <c r="AA79" s="11">
        <f ca="1">AVEDEV(Q79*$Q$3,R79*$R$3,S79*$S$3,T79*$T$3,U79*$U$3)</f>
        <v>9.2624679416091298E-5</v>
      </c>
      <c r="AB79" s="11" cm="1">
        <f t="array" aca="1" ref="AB79" ca="1">MMULT(_xlfn.ANCHORARRAY(Q79),TRANSPOSE($Q$6:$U$6))</f>
        <v>-2.2463060452525892E-2</v>
      </c>
      <c r="AD79" s="2" t="s">
        <v>70</v>
      </c>
      <c r="AE79" s="10" cm="1">
        <f t="array" aca="1" ref="AE79:AI79" ca="1">_xlfn.LET(_xlpm.array,_xlfn.RANDARRAY(1,COLUMNS(_xlfn.ANCHORARRAY(Q78)),-1,1,FALSE),_xlpm.array/SUM(_xlpm.array))</f>
        <v>-0.46914292494412235</v>
      </c>
      <c r="AF79" s="10">
        <f ca="1"/>
        <v>0.20770144209588973</v>
      </c>
      <c r="AG79" s="10">
        <f ca="1"/>
        <v>0.42335221293201114</v>
      </c>
      <c r="AH79" s="10">
        <f ca="1"/>
        <v>0.23432330736004589</v>
      </c>
      <c r="AI79" s="10">
        <f ca="1"/>
        <v>0.60376596255617554</v>
      </c>
      <c r="AJ79" s="1"/>
      <c r="AK79" s="2" cm="1">
        <f t="array" aca="1" ref="AK79" ca="1">MMULT(MMULT(_xlfn.ANCHORARRAY(AE79),$Q$9:$U$13),TRANSPOSE(_xlfn.ANCHORARRAY(AE79)))</f>
        <v>4.3107109737198048E-4</v>
      </c>
      <c r="AL79" s="2">
        <f t="shared" ca="1" si="7"/>
        <v>2.076225174136901E-2</v>
      </c>
      <c r="AM79" s="2" cm="1">
        <f t="array" aca="1" ref="AM79" ca="1">MMULT(_xlfn.ANCHORARRAY(AE80),TRANSPOSE($Q$3:$U$3))</f>
        <v>2.1318615430531928E-3</v>
      </c>
    </row>
    <row r="80" spans="1:39" x14ac:dyDescent="0.35">
      <c r="A80" s="3">
        <v>43945</v>
      </c>
      <c r="B80" s="4">
        <v>19.1571540832519</v>
      </c>
      <c r="C80" s="4">
        <v>66.705451965332003</v>
      </c>
      <c r="D80" s="4">
        <v>18.360958099365199</v>
      </c>
      <c r="E80" s="4">
        <v>8.40083408355712</v>
      </c>
      <c r="F80" s="4">
        <v>165.80618286132801</v>
      </c>
      <c r="I80" s="5">
        <f>B80/B79-1</f>
        <v>1.417460191802844E-2</v>
      </c>
      <c r="J80" s="5">
        <f>C80/C79-1</f>
        <v>2.4191374639899177E-3</v>
      </c>
      <c r="K80" s="5">
        <f>D80/D79-1</f>
        <v>2.0046093936264775E-2</v>
      </c>
      <c r="L80" s="5">
        <f>E80/E79-1</f>
        <v>1.4388124690017268E-2</v>
      </c>
      <c r="M80" s="5">
        <f>F80/F79-1</f>
        <v>1.8259043966390331E-2</v>
      </c>
      <c r="N80" s="5">
        <f>SUMPRODUCT(I80:M80,$AJ$13:$AN$13)</f>
        <v>1.9081017448923959E-2</v>
      </c>
      <c r="P80" s="2" t="s">
        <v>71</v>
      </c>
      <c r="Q80" s="10" cm="1">
        <f t="array" aca="1" ref="Q80:U80" ca="1">_xlfn.LET(_xlpm.array,_xlfn.RANDARRAY(1,COLUMNS(_xlfn.ANCHORARRAY(Q79)),0,1,FALSE),_xlpm.array/SUM(_xlpm.array))</f>
        <v>0.26753225288479598</v>
      </c>
      <c r="R80" s="2">
        <f ca="1"/>
        <v>0.11612016558263034</v>
      </c>
      <c r="S80" s="2">
        <f ca="1"/>
        <v>0.19762958569353875</v>
      </c>
      <c r="T80" s="2">
        <f ca="1"/>
        <v>0.30326464022837746</v>
      </c>
      <c r="U80" s="2">
        <f ca="1"/>
        <v>0.11545335561065738</v>
      </c>
      <c r="V80" s="12"/>
      <c r="X80" s="2" cm="1">
        <f t="array" aca="1" ref="X80" ca="1">MMULT(MMULT(_xlfn.ANCHORARRAY(Q80),$Q$9:$U$13),TRANSPOSE(_xlfn.ANCHORARRAY(Q80)))</f>
        <v>3.0005472665327749E-4</v>
      </c>
      <c r="Y80" s="2">
        <f t="shared" ca="1" si="6"/>
        <v>1.7322087826046762E-2</v>
      </c>
      <c r="Z80" s="2" cm="1">
        <f t="array" aca="1" ref="Z80" ca="1">MMULT(_xlfn.ANCHORARRAY(Q80),TRANSPOSE($Q$3:$U$3))</f>
        <v>9.3984363309669778E-4</v>
      </c>
      <c r="AA80" s="11">
        <f ca="1">AVEDEV(Q80*$Q$3,R80*$R$3,S80*$S$3,T80*$T$3,U80*$U$3)</f>
        <v>1.0193339886972199E-4</v>
      </c>
      <c r="AB80" s="11" cm="1">
        <f t="array" aca="1" ref="AB80" ca="1">MMULT(_xlfn.ANCHORARRAY(Q80),TRANSPOSE($Q$6:$U$6))</f>
        <v>-2.3493798302066778E-2</v>
      </c>
      <c r="AD80" s="2" t="s">
        <v>71</v>
      </c>
      <c r="AE80" s="10" cm="1">
        <f t="array" aca="1" ref="AE80:AI80" ca="1">_xlfn.LET(_xlpm.array,_xlfn.RANDARRAY(1,COLUMNS(_xlfn.ANCHORARRAY(Q79)),-1,1,FALSE),_xlpm.array/SUM(_xlpm.array))</f>
        <v>-1.5536471306194559</v>
      </c>
      <c r="AF80" s="10">
        <f ca="1"/>
        <v>0.65882015869722654</v>
      </c>
      <c r="AG80" s="10">
        <f ca="1"/>
        <v>1.2747328371519899</v>
      </c>
      <c r="AH80" s="10">
        <f ca="1"/>
        <v>-0.4052285335005209</v>
      </c>
      <c r="AI80" s="10">
        <f ca="1"/>
        <v>1.0253226682707604</v>
      </c>
      <c r="AJ80" s="1"/>
      <c r="AK80" s="2" cm="1">
        <f t="array" aca="1" ref="AK80" ca="1">MMULT(MMULT(_xlfn.ANCHORARRAY(AE80),$Q$9:$U$13),TRANSPOSE(_xlfn.ANCHORARRAY(AE80)))</f>
        <v>2.0869181185481384E-3</v>
      </c>
      <c r="AL80" s="2">
        <f t="shared" ca="1" si="7"/>
        <v>4.5682798935136826E-2</v>
      </c>
      <c r="AM80" s="2" cm="1">
        <f t="array" aca="1" ref="AM80" ca="1">MMULT(_xlfn.ANCHORARRAY(AE81),TRANSPOSE($Q$3:$U$3))</f>
        <v>2.2060943403062985E-4</v>
      </c>
    </row>
    <row r="81" spans="1:39" x14ac:dyDescent="0.35">
      <c r="A81" s="3">
        <v>43948</v>
      </c>
      <c r="B81" s="4">
        <v>20.2713413238525</v>
      </c>
      <c r="C81" s="4">
        <v>68.775360107421804</v>
      </c>
      <c r="D81" s="4">
        <v>18.592266082763601</v>
      </c>
      <c r="E81" s="4">
        <v>8.5398578643798793</v>
      </c>
      <c r="F81" s="4">
        <v>165.33123779296801</v>
      </c>
      <c r="I81" s="5">
        <f>B81/B80-1</f>
        <v>5.8160373704707835E-2</v>
      </c>
      <c r="J81" s="5">
        <f>C81/C80-1</f>
        <v>3.1030569182944223E-2</v>
      </c>
      <c r="K81" s="5">
        <f>D81/D80-1</f>
        <v>1.2597816636071846E-2</v>
      </c>
      <c r="L81" s="5">
        <f>E81/E80-1</f>
        <v>1.6548806873220911E-2</v>
      </c>
      <c r="M81" s="5">
        <f>F81/F80-1</f>
        <v>-2.8644593353748249E-3</v>
      </c>
      <c r="N81" s="5">
        <f>SUMPRODUCT(I81:M81,$AJ$13:$AN$13)</f>
        <v>-4.5023558986689461E-3</v>
      </c>
      <c r="P81" s="2" t="s">
        <v>72</v>
      </c>
      <c r="Q81" s="10" cm="1">
        <f t="array" aca="1" ref="Q81:U81" ca="1">_xlfn.LET(_xlpm.array,_xlfn.RANDARRAY(1,COLUMNS(_xlfn.ANCHORARRAY(Q80)),0,1,FALSE),_xlpm.array/SUM(_xlpm.array))</f>
        <v>0.12873773551786113</v>
      </c>
      <c r="R81" s="2">
        <f ca="1"/>
        <v>0.23679199457550476</v>
      </c>
      <c r="S81" s="2">
        <f ca="1"/>
        <v>0.23275780361649226</v>
      </c>
      <c r="T81" s="2">
        <f ca="1"/>
        <v>0.21419830970554318</v>
      </c>
      <c r="U81" s="2">
        <f ca="1"/>
        <v>0.18751415658459877</v>
      </c>
      <c r="V81" s="12"/>
      <c r="X81" s="2" cm="1">
        <f t="array" aca="1" ref="X81" ca="1">MMULT(MMULT(_xlfn.ANCHORARRAY(Q81),$Q$9:$U$13),TRANSPOSE(_xlfn.ANCHORARRAY(Q81)))</f>
        <v>2.8820647697207381E-4</v>
      </c>
      <c r="Y81" s="2">
        <f t="shared" ca="1" si="6"/>
        <v>1.6976645044651014E-2</v>
      </c>
      <c r="Z81" s="2" cm="1">
        <f t="array" aca="1" ref="Z81" ca="1">MMULT(_xlfn.ANCHORARRAY(Q81),TRANSPOSE($Q$3:$U$3))</f>
        <v>9.7859366530264635E-4</v>
      </c>
      <c r="AA81" s="11">
        <f ca="1">AVEDEV(Q81*$Q$3,R81*$R$3,S81*$S$3,T81*$T$3,U81*$U$3)</f>
        <v>8.2156019466151663E-5</v>
      </c>
      <c r="AB81" s="11" cm="1">
        <f t="array" aca="1" ref="AB81" ca="1">MMULT(_xlfn.ANCHORARRAY(Q81),TRANSPOSE($Q$6:$U$6))</f>
        <v>-2.3143441678113323E-2</v>
      </c>
      <c r="AD81" s="2" t="s">
        <v>72</v>
      </c>
      <c r="AE81" s="10" cm="1">
        <f t="array" aca="1" ref="AE81:AI81" ca="1">_xlfn.LET(_xlpm.array,_xlfn.RANDARRAY(1,COLUMNS(_xlfn.ANCHORARRAY(Q80)),-1,1,FALSE),_xlpm.array/SUM(_xlpm.array))</f>
        <v>0.71006368639511996</v>
      </c>
      <c r="AF81" s="10">
        <f ca="1"/>
        <v>0.61060326212216942</v>
      </c>
      <c r="AG81" s="10">
        <f ca="1"/>
        <v>-0.46140346168793928</v>
      </c>
      <c r="AH81" s="10">
        <f ca="1"/>
        <v>0.21620146529511222</v>
      </c>
      <c r="AI81" s="10">
        <f ca="1"/>
        <v>-7.5464952124462317E-2</v>
      </c>
      <c r="AJ81" s="1"/>
      <c r="AK81" s="2" cm="1">
        <f t="array" aca="1" ref="AK81" ca="1">MMULT(MMULT(_xlfn.ANCHORARRAY(AE81),$Q$9:$U$13),TRANSPOSE(_xlfn.ANCHORARRAY(AE81)))</f>
        <v>6.9277513926837414E-4</v>
      </c>
      <c r="AL81" s="2">
        <f t="shared" ca="1" si="7"/>
        <v>2.632062193923947E-2</v>
      </c>
      <c r="AM81" s="2" cm="1">
        <f t="array" aca="1" ref="AM81" ca="1">MMULT(_xlfn.ANCHORARRAY(AE82),TRANSPOSE($Q$3:$U$3))</f>
        <v>5.0381184705898096E-5</v>
      </c>
    </row>
    <row r="82" spans="1:39" x14ac:dyDescent="0.35">
      <c r="A82" s="3">
        <v>43949</v>
      </c>
      <c r="B82" s="4">
        <v>20.6341037750244</v>
      </c>
      <c r="C82" s="4">
        <v>68.928695678710895</v>
      </c>
      <c r="D82" s="4">
        <v>18.892957687377901</v>
      </c>
      <c r="E82" s="4">
        <v>8.6060571670532209</v>
      </c>
      <c r="F82" s="4">
        <v>161.30364990234301</v>
      </c>
      <c r="I82" s="5">
        <f>B82/B81-1</f>
        <v>1.7895335359237041E-2</v>
      </c>
      <c r="J82" s="5">
        <f>C82/C81-1</f>
        <v>2.2295131722989137E-3</v>
      </c>
      <c r="K82" s="5">
        <f>D82/D81-1</f>
        <v>1.6172940042691319E-2</v>
      </c>
      <c r="L82" s="5">
        <f>E82/E81-1</f>
        <v>7.7518038033703718E-3</v>
      </c>
      <c r="M82" s="5">
        <f>F82/F81-1</f>
        <v>-2.4360719392111818E-2</v>
      </c>
      <c r="N82" s="5">
        <f>SUMPRODUCT(I82:M82,$AJ$13:$AN$13)</f>
        <v>-1.3433245441218742E-3</v>
      </c>
      <c r="P82" s="2" t="s">
        <v>73</v>
      </c>
      <c r="Q82" s="10" cm="1">
        <f t="array" aca="1" ref="Q82:U82" ca="1">_xlfn.LET(_xlpm.array,_xlfn.RANDARRAY(1,COLUMNS(_xlfn.ANCHORARRAY(Q81)),0,1,FALSE),_xlpm.array/SUM(_xlpm.array))</f>
        <v>0.24963705915211098</v>
      </c>
      <c r="R82" s="2">
        <f ca="1"/>
        <v>4.4479199412360462E-2</v>
      </c>
      <c r="S82" s="2">
        <f ca="1"/>
        <v>0.11107303288776012</v>
      </c>
      <c r="T82" s="2">
        <f ca="1"/>
        <v>0.18423590263303413</v>
      </c>
      <c r="U82" s="2">
        <f ca="1"/>
        <v>0.41057480591473433</v>
      </c>
      <c r="V82" s="12"/>
      <c r="X82" s="2" cm="1">
        <f t="array" aca="1" ref="X82" ca="1">MMULT(MMULT(_xlfn.ANCHORARRAY(Q82),$Q$9:$U$13),TRANSPOSE(_xlfn.ANCHORARRAY(Q82)))</f>
        <v>2.5073335498373414E-4</v>
      </c>
      <c r="Y82" s="2">
        <f t="shared" ca="1" si="6"/>
        <v>1.5834562039530306E-2</v>
      </c>
      <c r="Z82" s="2" cm="1">
        <f t="array" aca="1" ref="Z82" ca="1">MMULT(_xlfn.ANCHORARRAY(Q82),TRANSPOSE($Q$3:$U$3))</f>
        <v>8.4198849942715166E-4</v>
      </c>
      <c r="AA82" s="11">
        <f ca="1">AVEDEV(Q82*$Q$3,R82*$R$3,S82*$S$3,T82*$T$3,U82*$U$3)</f>
        <v>7.0975141199043144E-5</v>
      </c>
      <c r="AB82" s="11" cm="1">
        <f t="array" aca="1" ref="AB82" ca="1">MMULT(_xlfn.ANCHORARRAY(Q82),TRANSPOSE($Q$6:$U$6))</f>
        <v>-2.2226735775671622E-2</v>
      </c>
      <c r="AD82" s="2" t="s">
        <v>73</v>
      </c>
      <c r="AE82" s="10" cm="1">
        <f t="array" aca="1" ref="AE82:AI82" ca="1">_xlfn.LET(_xlpm.array,_xlfn.RANDARRAY(1,COLUMNS(_xlfn.ANCHORARRAY(Q81)),-1,1,FALSE),_xlpm.array/SUM(_xlpm.array))</f>
        <v>-0.30613398540186415</v>
      </c>
      <c r="AF82" s="10">
        <f ca="1"/>
        <v>0.93112612063093736</v>
      </c>
      <c r="AG82" s="10">
        <f ca="1"/>
        <v>-1.1246779038822281</v>
      </c>
      <c r="AH82" s="10">
        <f ca="1"/>
        <v>0.800213166495505</v>
      </c>
      <c r="AI82" s="10">
        <f ca="1"/>
        <v>0.69947260215764995</v>
      </c>
      <c r="AJ82" s="1"/>
      <c r="AK82" s="2" cm="1">
        <f t="array" aca="1" ref="AK82" ca="1">MMULT(MMULT(_xlfn.ANCHORARRAY(AE82),$Q$9:$U$13),TRANSPOSE(_xlfn.ANCHORARRAY(AE82)))</f>
        <v>1.5421233202309943E-3</v>
      </c>
      <c r="AL82" s="2">
        <f t="shared" ca="1" si="7"/>
        <v>3.9269878026688528E-2</v>
      </c>
      <c r="AM82" s="2" cm="1">
        <f t="array" aca="1" ref="AM82" ca="1">MMULT(_xlfn.ANCHORARRAY(AE83),TRANSPOSE($Q$3:$U$3))</f>
        <v>1.3922567365471884E-3</v>
      </c>
    </row>
    <row r="83" spans="1:39" x14ac:dyDescent="0.35">
      <c r="A83" s="3">
        <v>43950</v>
      </c>
      <c r="B83" s="4">
        <v>21.402809143066399</v>
      </c>
      <c r="C83" s="4">
        <v>72.539573669433594</v>
      </c>
      <c r="D83" s="4">
        <v>20.0726108551025</v>
      </c>
      <c r="E83" s="4">
        <v>9.1886215209960902</v>
      </c>
      <c r="F83" s="4">
        <v>168.54194641113199</v>
      </c>
      <c r="I83" s="5">
        <f>B83/B82-1</f>
        <v>3.7254119511235695E-2</v>
      </c>
      <c r="J83" s="5">
        <f>C83/C82-1</f>
        <v>5.2385700253979151E-2</v>
      </c>
      <c r="K83" s="5">
        <f>D83/D82-1</f>
        <v>6.2438776778328764E-2</v>
      </c>
      <c r="L83" s="5">
        <f>E83/E82-1</f>
        <v>6.7692363951882051E-2</v>
      </c>
      <c r="M83" s="5">
        <f>F83/F82-1</f>
        <v>4.4873730465313066E-2</v>
      </c>
      <c r="N83" s="5">
        <f>SUMPRODUCT(I83:M83,$AJ$13:$AN$13)</f>
        <v>6.6639111428330663E-2</v>
      </c>
      <c r="P83" s="2" t="s">
        <v>74</v>
      </c>
      <c r="Q83" s="10" cm="1">
        <f t="array" aca="1" ref="Q83:U83" ca="1">_xlfn.LET(_xlpm.array,_xlfn.RANDARRAY(1,COLUMNS(_xlfn.ANCHORARRAY(Q82)),0,1,FALSE),_xlpm.array/SUM(_xlpm.array))</f>
        <v>0.32446651942668991</v>
      </c>
      <c r="R83" s="2">
        <f ca="1"/>
        <v>0.225649700590208</v>
      </c>
      <c r="S83" s="2">
        <f ca="1"/>
        <v>0.13972563349194042</v>
      </c>
      <c r="T83" s="2">
        <f ca="1"/>
        <v>0.15212059330500269</v>
      </c>
      <c r="U83" s="2">
        <f ca="1"/>
        <v>0.15803755318615886</v>
      </c>
      <c r="V83" s="12"/>
      <c r="X83" s="2" cm="1">
        <f t="array" aca="1" ref="X83" ca="1">MMULT(MMULT(_xlfn.ANCHORARRAY(Q83),$Q$9:$U$13),TRANSPOSE(_xlfn.ANCHORARRAY(Q83)))</f>
        <v>2.8226846218591374E-4</v>
      </c>
      <c r="Y83" s="2">
        <f t="shared" ca="1" si="6"/>
        <v>1.6800847067511619E-2</v>
      </c>
      <c r="Z83" s="2" cm="1">
        <f t="array" aca="1" ref="Z83" ca="1">MMULT(_xlfn.ANCHORARRAY(Q83),TRANSPOSE($Q$3:$U$3))</f>
        <v>8.3288627989787378E-4</v>
      </c>
      <c r="AA83" s="11">
        <f ca="1">AVEDEV(Q83*$Q$3,R83*$R$3,S83*$S$3,T83*$T$3,U83*$U$3)</f>
        <v>2.4134912337325035E-5</v>
      </c>
      <c r="AB83" s="11" cm="1">
        <f t="array" aca="1" ref="AB83" ca="1">MMULT(_xlfn.ANCHORARRAY(Q83),TRANSPOSE($Q$6:$U$6))</f>
        <v>-2.2462011213705842E-2</v>
      </c>
      <c r="AD83" s="2" t="s">
        <v>74</v>
      </c>
      <c r="AE83" s="10" cm="1">
        <f t="array" aca="1" ref="AE83:AI83" ca="1">_xlfn.LET(_xlpm.array,_xlfn.RANDARRAY(1,COLUMNS(_xlfn.ANCHORARRAY(Q82)),-1,1,FALSE),_xlpm.array/SUM(_xlpm.array))</f>
        <v>1.459243559849932</v>
      </c>
      <c r="AF83" s="10">
        <f ca="1"/>
        <v>-2.5519532624362116</v>
      </c>
      <c r="AG83" s="10">
        <f ca="1"/>
        <v>1.5331722950345248</v>
      </c>
      <c r="AH83" s="10">
        <f ca="1"/>
        <v>-1.5722640396945919</v>
      </c>
      <c r="AI83" s="10">
        <f ca="1"/>
        <v>2.1318014472463465</v>
      </c>
      <c r="AJ83" s="1"/>
      <c r="AK83" s="2" cm="1">
        <f t="array" aca="1" ref="AK83" ca="1">MMULT(MMULT(_xlfn.ANCHORARRAY(AE83),$Q$9:$U$13),TRANSPOSE(_xlfn.ANCHORARRAY(AE83)))</f>
        <v>7.7240416538290526E-3</v>
      </c>
      <c r="AL83" s="2">
        <f t="shared" ca="1" si="7"/>
        <v>8.7886527146252932E-2</v>
      </c>
      <c r="AM83" s="2" cm="1">
        <f t="array" aca="1" ref="AM83" ca="1">MMULT(_xlfn.ANCHORARRAY(AE84),TRANSPOSE($Q$3:$U$3))</f>
        <v>8.7144993756546455E-4</v>
      </c>
    </row>
    <row r="84" spans="1:39" x14ac:dyDescent="0.35">
      <c r="A84" s="3">
        <v>43951</v>
      </c>
      <c r="B84" s="4">
        <v>20.7722969055175</v>
      </c>
      <c r="C84" s="4">
        <v>70.530982971191406</v>
      </c>
      <c r="D84" s="4">
        <v>19.7487888336181</v>
      </c>
      <c r="E84" s="4">
        <v>8.9900197982787997</v>
      </c>
      <c r="F84" s="4">
        <v>170.23274230957</v>
      </c>
      <c r="I84" s="5">
        <f>B84/B83-1</f>
        <v>-2.9459321593453436E-2</v>
      </c>
      <c r="J84" s="5">
        <f>C84/C83-1</f>
        <v>-2.7689585100064584E-2</v>
      </c>
      <c r="K84" s="5">
        <f>D84/D83-1</f>
        <v>-1.6132531229841707E-2</v>
      </c>
      <c r="L84" s="5">
        <f>E84/E83-1</f>
        <v>-2.1613875624704293E-2</v>
      </c>
      <c r="M84" s="5">
        <f>F84/F83-1</f>
        <v>1.0031899681006262E-2</v>
      </c>
      <c r="N84" s="5">
        <f>SUMPRODUCT(I84:M84,$AJ$13:$AN$13)</f>
        <v>-5.7206882068582491E-3</v>
      </c>
      <c r="P84" s="2" t="s">
        <v>75</v>
      </c>
      <c r="Q84" s="10" cm="1">
        <f t="array" aca="1" ref="Q84:U84" ca="1">_xlfn.LET(_xlpm.array,_xlfn.RANDARRAY(1,COLUMNS(_xlfn.ANCHORARRAY(Q83)),0,1,FALSE),_xlpm.array/SUM(_xlpm.array))</f>
        <v>0.39207946197037225</v>
      </c>
      <c r="R84" s="2">
        <f ca="1"/>
        <v>3.4023345125674148E-2</v>
      </c>
      <c r="S84" s="2">
        <f ca="1"/>
        <v>0.15881354372194353</v>
      </c>
      <c r="T84" s="2">
        <f ca="1"/>
        <v>0.12497424795092976</v>
      </c>
      <c r="U84" s="2">
        <f ca="1"/>
        <v>0.29010940123108031</v>
      </c>
      <c r="V84" s="12"/>
      <c r="X84" s="2" cm="1">
        <f t="array" aca="1" ref="X84" ca="1">MMULT(MMULT(_xlfn.ANCHORARRAY(Q84),$Q$9:$U$13),TRANSPOSE(_xlfn.ANCHORARRAY(Q84)))</f>
        <v>2.7320053608198937E-4</v>
      </c>
      <c r="Y84" s="2">
        <f t="shared" ca="1" si="6"/>
        <v>1.6528779025747467E-2</v>
      </c>
      <c r="Z84" s="2" cm="1">
        <f t="array" aca="1" ref="Z84" ca="1">MMULT(_xlfn.ANCHORARRAY(Q84),TRANSPOSE($Q$3:$U$3))</f>
        <v>8.3159852342763784E-4</v>
      </c>
      <c r="AA84" s="11">
        <f ca="1">AVEDEV(Q84*$Q$3,R84*$R$3,S84*$S$3,T84*$T$3,U84*$U$3)</f>
        <v>7.2047360817857576E-5</v>
      </c>
      <c r="AB84" s="11" cm="1">
        <f t="array" aca="1" ref="AB84" ca="1">MMULT(_xlfn.ANCHORARRAY(Q84),TRANSPOSE($Q$6:$U$6))</f>
        <v>-2.2469429582655003E-2</v>
      </c>
      <c r="AD84" s="2" t="s">
        <v>75</v>
      </c>
      <c r="AE84" s="10" cm="1">
        <f t="array" aca="1" ref="AE84:AI84" ca="1">_xlfn.LET(_xlpm.array,_xlfn.RANDARRAY(1,COLUMNS(_xlfn.ANCHORARRAY(Q83)),-1,1,FALSE),_xlpm.array/SUM(_xlpm.array))</f>
        <v>0.35313646809624488</v>
      </c>
      <c r="AF84" s="10">
        <f ca="1"/>
        <v>-6.8136531255204524E-2</v>
      </c>
      <c r="AG84" s="10">
        <f ca="1"/>
        <v>0.13997527187097963</v>
      </c>
      <c r="AH84" s="10">
        <f ca="1"/>
        <v>0.29052340941068788</v>
      </c>
      <c r="AI84" s="10">
        <f ca="1"/>
        <v>0.28450138187729213</v>
      </c>
      <c r="AJ84" s="1"/>
      <c r="AK84" s="2" cm="1">
        <f t="array" aca="1" ref="AK84" ca="1">MMULT(MMULT(_xlfn.ANCHORARRAY(AE84),$Q$9:$U$13),TRANSPOSE(_xlfn.ANCHORARRAY(AE84)))</f>
        <v>2.7349612953163512E-4</v>
      </c>
      <c r="AL84" s="2">
        <f t="shared" ca="1" si="7"/>
        <v>1.6537718389537145E-2</v>
      </c>
      <c r="AM84" s="2" cm="1">
        <f t="array" aca="1" ref="AM84" ca="1">MMULT(_xlfn.ANCHORARRAY(AE85),TRANSPOSE($Q$3:$U$3))</f>
        <v>1.0279484989165302E-3</v>
      </c>
    </row>
    <row r="85" spans="1:39" x14ac:dyDescent="0.35">
      <c r="A85" s="3">
        <v>43952</v>
      </c>
      <c r="B85" s="4">
        <v>19.934501647949201</v>
      </c>
      <c r="C85" s="4">
        <v>68.568389892578097</v>
      </c>
      <c r="D85" s="4">
        <v>18.504369735717699</v>
      </c>
      <c r="E85" s="4">
        <v>8.5795774459838796</v>
      </c>
      <c r="F85" s="4">
        <v>165.82522583007801</v>
      </c>
      <c r="I85" s="5">
        <f>B85/B84-1</f>
        <v>-4.0332335965492794E-2</v>
      </c>
      <c r="J85" s="5">
        <f>C85/C84-1</f>
        <v>-2.7825970884525097E-2</v>
      </c>
      <c r="K85" s="5">
        <f>D85/D84-1</f>
        <v>-6.3012426148485789E-2</v>
      </c>
      <c r="L85" s="5">
        <f>E85/E84-1</f>
        <v>-4.5655333525906339E-2</v>
      </c>
      <c r="M85" s="5">
        <f>F85/F84-1</f>
        <v>-2.5891120707418724E-2</v>
      </c>
      <c r="N85" s="5">
        <f>SUMPRODUCT(I85:M85,$AJ$13:$AN$13)</f>
        <v>-5.0214143307973649E-2</v>
      </c>
      <c r="P85" s="2" t="s">
        <v>76</v>
      </c>
      <c r="Q85" s="10" cm="1">
        <f t="array" aca="1" ref="Q85:U85" ca="1">_xlfn.LET(_xlpm.array,_xlfn.RANDARRAY(1,COLUMNS(_xlfn.ANCHORARRAY(Q84)),0,1,FALSE),_xlpm.array/SUM(_xlpm.array))</f>
        <v>0.25888943829499228</v>
      </c>
      <c r="R85" s="2">
        <f ca="1"/>
        <v>0.15430242542069217</v>
      </c>
      <c r="S85" s="2">
        <f ca="1"/>
        <v>0.38785264662344854</v>
      </c>
      <c r="T85" s="2">
        <f ca="1"/>
        <v>4.496954760376827E-2</v>
      </c>
      <c r="U85" s="2">
        <f ca="1"/>
        <v>0.15398594205709884</v>
      </c>
      <c r="V85" s="12"/>
      <c r="X85" s="2" cm="1">
        <f t="array" aca="1" ref="X85" ca="1">MMULT(MMULT(_xlfn.ANCHORARRAY(Q85),$Q$9:$U$13),TRANSPOSE(_xlfn.ANCHORARRAY(Q85)))</f>
        <v>3.3959014907796213E-4</v>
      </c>
      <c r="Y85" s="2">
        <f t="shared" ca="1" si="6"/>
        <v>1.8427971919827806E-2</v>
      </c>
      <c r="Z85" s="2" cm="1">
        <f t="array" aca="1" ref="Z85" ca="1">MMULT(_xlfn.ANCHORARRAY(Q85),TRANSPOSE($Q$3:$U$3))</f>
        <v>1.0378486355974556E-3</v>
      </c>
      <c r="AA85" s="11">
        <f ca="1">AVEDEV(Q85*$Q$3,R85*$R$3,S85*$S$3,T85*$T$3,U85*$U$3)</f>
        <v>1.6892130834955007E-4</v>
      </c>
      <c r="AB85" s="11" cm="1">
        <f t="array" aca="1" ref="AB85" ca="1">MMULT(_xlfn.ANCHORARRAY(Q85),TRANSPOSE($Q$6:$U$6))</f>
        <v>-2.3534361213192686E-2</v>
      </c>
      <c r="AD85" s="2" t="s">
        <v>76</v>
      </c>
      <c r="AE85" s="10" cm="1">
        <f t="array" aca="1" ref="AE85:AI85" ca="1">_xlfn.LET(_xlpm.array,_xlfn.RANDARRAY(1,COLUMNS(_xlfn.ANCHORARRAY(Q84)),-1,1,FALSE),_xlpm.array/SUM(_xlpm.array))</f>
        <v>0.46900421682978155</v>
      </c>
      <c r="AF85" s="10">
        <f ca="1"/>
        <v>-6.5821228207906118E-2</v>
      </c>
      <c r="AG85" s="10">
        <f ca="1"/>
        <v>0.64601180471665165</v>
      </c>
      <c r="AH85" s="10">
        <f ca="1"/>
        <v>-0.67709342360518332</v>
      </c>
      <c r="AI85" s="10">
        <f ca="1"/>
        <v>0.62789863026665627</v>
      </c>
      <c r="AJ85" s="1"/>
      <c r="AK85" s="2" cm="1">
        <f t="array" aca="1" ref="AK85" ca="1">MMULT(MMULT(_xlfn.ANCHORARRAY(AE85),$Q$9:$U$13),TRANSPOSE(_xlfn.ANCHORARRAY(AE85)))</f>
        <v>8.7342421172277151E-4</v>
      </c>
      <c r="AL85" s="2">
        <f t="shared" ca="1" si="7"/>
        <v>2.9553751229290191E-2</v>
      </c>
      <c r="AM85" s="2" cm="1">
        <f t="array" aca="1" ref="AM85" ca="1">MMULT(_xlfn.ANCHORARRAY(AE86),TRANSPOSE($Q$3:$U$3))</f>
        <v>-3.8020919492827475E-4</v>
      </c>
    </row>
    <row r="86" spans="1:39" x14ac:dyDescent="0.35">
      <c r="A86" s="3">
        <v>43955</v>
      </c>
      <c r="B86" s="4">
        <v>19.804935455322202</v>
      </c>
      <c r="C86" s="4">
        <v>70.101661682128906</v>
      </c>
      <c r="D86" s="4">
        <v>18.758804321288999</v>
      </c>
      <c r="E86" s="4">
        <v>8.7119779586791992</v>
      </c>
      <c r="F86" s="4">
        <v>169.88130187988199</v>
      </c>
      <c r="I86" s="5">
        <f>B86/B85-1</f>
        <v>-6.4995952703100768E-3</v>
      </c>
      <c r="J86" s="5">
        <f>C86/C85-1</f>
        <v>2.2361204513521304E-2</v>
      </c>
      <c r="K86" s="5">
        <f>D86/D85-1</f>
        <v>1.3749973071505606E-2</v>
      </c>
      <c r="L86" s="5">
        <f>E86/E85-1</f>
        <v>1.5432055194897432E-2</v>
      </c>
      <c r="M86" s="5">
        <f>F86/F85-1</f>
        <v>2.4459945882782996E-2</v>
      </c>
      <c r="N86" s="5">
        <f>SUMPRODUCT(I86:M86,$AJ$13:$AN$13)</f>
        <v>2.3687886362959217E-2</v>
      </c>
      <c r="P86" s="2" t="s">
        <v>77</v>
      </c>
      <c r="Q86" s="10" cm="1">
        <f t="array" aca="1" ref="Q86:U86" ca="1">_xlfn.LET(_xlpm.array,_xlfn.RANDARRAY(1,COLUMNS(_xlfn.ANCHORARRAY(Q85)),0,1,FALSE),_xlpm.array/SUM(_xlpm.array))</f>
        <v>0.24253822053195404</v>
      </c>
      <c r="R86" s="2">
        <f ca="1"/>
        <v>0.1142504543805907</v>
      </c>
      <c r="S86" s="2">
        <f ca="1"/>
        <v>0.24350379652101492</v>
      </c>
      <c r="T86" s="2">
        <f ca="1"/>
        <v>0.17033206685055577</v>
      </c>
      <c r="U86" s="2">
        <f ca="1"/>
        <v>0.2293754617158846</v>
      </c>
      <c r="V86" s="12"/>
      <c r="X86" s="2" cm="1">
        <f t="array" aca="1" ref="X86" ca="1">MMULT(MMULT(_xlfn.ANCHORARRAY(Q86),$Q$9:$U$13),TRANSPOSE(_xlfn.ANCHORARRAY(Q86)))</f>
        <v>2.8198978326930609E-4</v>
      </c>
      <c r="Y86" s="2">
        <f t="shared" ca="1" si="6"/>
        <v>1.679255142226178E-2</v>
      </c>
      <c r="Z86" s="2" cm="1">
        <f t="array" aca="1" ref="Z86" ca="1">MMULT(_xlfn.ANCHORARRAY(Q86),TRANSPOSE($Q$3:$U$3))</f>
        <v>9.5160249178389785E-4</v>
      </c>
      <c r="AA86" s="11">
        <f ca="1">AVEDEV(Q86*$Q$3,R86*$R$3,S86*$S$3,T86*$T$3,U86*$U$3)</f>
        <v>8.2051942185486359E-5</v>
      </c>
      <c r="AB86" s="11" cm="1">
        <f t="array" aca="1" ref="AB86" ca="1">MMULT(_xlfn.ANCHORARRAY(Q86),TRANSPOSE($Q$6:$U$6))</f>
        <v>-2.3108879100121462E-2</v>
      </c>
      <c r="AD86" s="2" t="s">
        <v>77</v>
      </c>
      <c r="AE86" s="10" cm="1">
        <f t="array" aca="1" ref="AE86:AI86" ca="1">_xlfn.LET(_xlpm.array,_xlfn.RANDARRAY(1,COLUMNS(_xlfn.ANCHORARRAY(Q85)),-1,1,FALSE),_xlpm.array/SUM(_xlpm.array))</f>
        <v>0.61243198549059796</v>
      </c>
      <c r="AF86" s="10">
        <f ca="1"/>
        <v>0.7120219199735448</v>
      </c>
      <c r="AG86" s="10">
        <f ca="1"/>
        <v>-0.90139592628552578</v>
      </c>
      <c r="AH86" s="10">
        <f ca="1"/>
        <v>-0.73542551686070057</v>
      </c>
      <c r="AI86" s="10">
        <f ca="1"/>
        <v>1.3123675376820836</v>
      </c>
      <c r="AJ86" s="1"/>
      <c r="AK86" s="2" cm="1">
        <f t="array" aca="1" ref="AK86" ca="1">MMULT(MMULT(_xlfn.ANCHORARRAY(AE86),$Q$9:$U$13),TRANSPOSE(_xlfn.ANCHORARRAY(AE86)))</f>
        <v>1.1351959131194805E-3</v>
      </c>
      <c r="AL86" s="2">
        <f t="shared" ca="1" si="7"/>
        <v>3.3692668536633906E-2</v>
      </c>
      <c r="AM86" s="2" cm="1">
        <f t="array" aca="1" ref="AM86" ca="1">MMULT(_xlfn.ANCHORARRAY(AE87),TRANSPOSE($Q$3:$U$3))</f>
        <v>2.2757658162488024E-3</v>
      </c>
    </row>
    <row r="87" spans="1:39" x14ac:dyDescent="0.35">
      <c r="A87" s="3">
        <v>43956</v>
      </c>
      <c r="B87" s="4">
        <v>19.5717372894287</v>
      </c>
      <c r="C87" s="4">
        <v>71.213294982910099</v>
      </c>
      <c r="D87" s="4">
        <v>18.592266082763601</v>
      </c>
      <c r="E87" s="4">
        <v>8.8708610534667898</v>
      </c>
      <c r="F87" s="4">
        <v>171.70512390136699</v>
      </c>
      <c r="I87" s="5">
        <f>B87/B86-1</f>
        <v>-1.1774750108101695E-2</v>
      </c>
      <c r="J87" s="5">
        <f>C87/C86-1</f>
        <v>1.5857445802380798E-2</v>
      </c>
      <c r="K87" s="5">
        <f>D87/D86-1</f>
        <v>-8.877870661319065E-3</v>
      </c>
      <c r="L87" s="5">
        <f>E87/E86-1</f>
        <v>1.8237315973613777E-2</v>
      </c>
      <c r="M87" s="5">
        <f>F87/F86-1</f>
        <v>1.073586087051881E-2</v>
      </c>
      <c r="N87" s="5">
        <f>SUMPRODUCT(I87:M87,$AJ$13:$AN$13)</f>
        <v>1.0371208431278195E-2</v>
      </c>
      <c r="P87" s="2" t="s">
        <v>78</v>
      </c>
      <c r="Q87" s="10" cm="1">
        <f t="array" aca="1" ref="Q87:U87" ca="1">_xlfn.LET(_xlpm.array,_xlfn.RANDARRAY(1,COLUMNS(_xlfn.ANCHORARRAY(Q86)),0,1,FALSE),_xlpm.array/SUM(_xlpm.array))</f>
        <v>0.10611220918993174</v>
      </c>
      <c r="R87" s="2">
        <f ca="1"/>
        <v>0.28549047547568229</v>
      </c>
      <c r="S87" s="2">
        <f ca="1"/>
        <v>0.20066542280811908</v>
      </c>
      <c r="T87" s="2">
        <f ca="1"/>
        <v>0.11807238526473664</v>
      </c>
      <c r="U87" s="2">
        <f ca="1"/>
        <v>0.28965950726153022</v>
      </c>
      <c r="V87" s="12"/>
      <c r="X87" s="2" cm="1">
        <f t="array" aca="1" ref="X87" ca="1">MMULT(MMULT(_xlfn.ANCHORARRAY(Q87),$Q$9:$U$13),TRANSPOSE(_xlfn.ANCHORARRAY(Q87)))</f>
        <v>2.6815196001636962E-4</v>
      </c>
      <c r="Y87" s="2">
        <f t="shared" ca="1" si="6"/>
        <v>1.6375346103712423E-2</v>
      </c>
      <c r="Z87" s="2" cm="1">
        <f t="array" aca="1" ref="Z87" ca="1">MMULT(_xlfn.ANCHORARRAY(Q87),TRANSPOSE($Q$3:$U$3))</f>
        <v>9.3046017829912235E-4</v>
      </c>
      <c r="AA87" s="11">
        <f ca="1">AVEDEV(Q87*$Q$3,R87*$R$3,S87*$S$3,T87*$T$3,U87*$U$3)</f>
        <v>7.9051267284585279E-5</v>
      </c>
      <c r="AB87" s="11" cm="1">
        <f t="array" aca="1" ref="AB87" ca="1">MMULT(_xlfn.ANCHORARRAY(Q87),TRANSPOSE($Q$6:$U$6))</f>
        <v>-2.2423601928258194E-2</v>
      </c>
      <c r="AD87" s="2" t="s">
        <v>78</v>
      </c>
      <c r="AE87" s="10" cm="1">
        <f t="array" aca="1" ref="AE87:AI87" ca="1">_xlfn.LET(_xlpm.array,_xlfn.RANDARRAY(1,COLUMNS(_xlfn.ANCHORARRAY(Q86)),-1,1,FALSE),_xlpm.array/SUM(_xlpm.array))</f>
        <v>1.2732657853302396</v>
      </c>
      <c r="AF87" s="10">
        <f ca="1"/>
        <v>-1.5939169127957336</v>
      </c>
      <c r="AG87" s="10">
        <f ca="1"/>
        <v>1.7790232635409136</v>
      </c>
      <c r="AH87" s="10">
        <f ca="1"/>
        <v>0.98933976938008361</v>
      </c>
      <c r="AI87" s="10">
        <f ca="1"/>
        <v>-1.4477119054555032</v>
      </c>
      <c r="AJ87" s="1"/>
      <c r="AK87" s="2" cm="1">
        <f t="array" aca="1" ref="AK87" ca="1">MMULT(MMULT(_xlfn.ANCHORARRAY(AE87),$Q$9:$U$13),TRANSPOSE(_xlfn.ANCHORARRAY(AE87)))</f>
        <v>3.2675321186630838E-3</v>
      </c>
      <c r="AL87" s="2">
        <f t="shared" ca="1" si="7"/>
        <v>5.7162331291359031E-2</v>
      </c>
      <c r="AM87" s="2" cm="1">
        <f t="array" aca="1" ref="AM87" ca="1">MMULT(_xlfn.ANCHORARRAY(AE88),TRANSPOSE($Q$3:$U$3))</f>
        <v>-9.3485769320636545E-3</v>
      </c>
    </row>
    <row r="88" spans="1:39" x14ac:dyDescent="0.35">
      <c r="A88" s="3">
        <v>43957</v>
      </c>
      <c r="B88" s="4">
        <v>19.303979873657202</v>
      </c>
      <c r="C88" s="4">
        <v>69.036026000976506</v>
      </c>
      <c r="D88" s="4">
        <v>18.731050491333001</v>
      </c>
      <c r="E88" s="4">
        <v>8.5133771896362305</v>
      </c>
      <c r="F88" s="4">
        <v>173.39593505859301</v>
      </c>
      <c r="I88" s="5">
        <f>B88/B87-1</f>
        <v>-1.3680820042282216E-2</v>
      </c>
      <c r="J88" s="5">
        <f>C88/C87-1</f>
        <v>-3.0573911549186095E-2</v>
      </c>
      <c r="K88" s="5">
        <f>D88/D87-1</f>
        <v>7.4646311510173646E-3</v>
      </c>
      <c r="L88" s="5">
        <f>E88/E87-1</f>
        <v>-4.0298665673593415E-2</v>
      </c>
      <c r="M88" s="5">
        <f>F88/F87-1</f>
        <v>9.8471793899248539E-3</v>
      </c>
      <c r="N88" s="5">
        <f>SUMPRODUCT(I88:M88,$AJ$13:$AN$13)</f>
        <v>-6.6954438340039134E-3</v>
      </c>
      <c r="P88" s="2" t="s">
        <v>79</v>
      </c>
      <c r="Q88" s="10" cm="1">
        <f t="array" aca="1" ref="Q88:U88" ca="1">_xlfn.LET(_xlpm.array,_xlfn.RANDARRAY(1,COLUMNS(_xlfn.ANCHORARRAY(Q87)),0,1,FALSE),_xlpm.array/SUM(_xlpm.array))</f>
        <v>9.4946926371571025E-2</v>
      </c>
      <c r="R88" s="2">
        <f ca="1"/>
        <v>0.18251788539549302</v>
      </c>
      <c r="S88" s="2">
        <f ca="1"/>
        <v>0.30056467426449646</v>
      </c>
      <c r="T88" s="2">
        <f ca="1"/>
        <v>2.0918819174706216E-2</v>
      </c>
      <c r="U88" s="2">
        <f ca="1"/>
        <v>0.40105169479373326</v>
      </c>
      <c r="V88" s="12"/>
      <c r="X88" s="2" cm="1">
        <f t="array" aca="1" ref="X88" ca="1">MMULT(MMULT(_xlfn.ANCHORARRAY(Q88),$Q$9:$U$13),TRANSPOSE(_xlfn.ANCHORARRAY(Q88)))</f>
        <v>2.9323268146944537E-4</v>
      </c>
      <c r="Y88" s="2">
        <f t="shared" ca="1" si="6"/>
        <v>1.7124038118079665E-2</v>
      </c>
      <c r="Z88" s="2" cm="1">
        <f t="array" aca="1" ref="Z88" ca="1">MMULT(_xlfn.ANCHORARRAY(Q88),TRANSPOSE($Q$3:$U$3))</f>
        <v>9.9777231339560641E-4</v>
      </c>
      <c r="AA88" s="11">
        <f ca="1">AVEDEV(Q88*$Q$3,R88*$R$3,S88*$S$3,T88*$T$3,U88*$U$3)</f>
        <v>1.583017031917244E-4</v>
      </c>
      <c r="AB88" s="11" cm="1">
        <f t="array" aca="1" ref="AB88" ca="1">MMULT(_xlfn.ANCHORARRAY(Q88),TRANSPOSE($Q$6:$U$6))</f>
        <v>-2.2571122382354373E-2</v>
      </c>
      <c r="AD88" s="2" t="s">
        <v>79</v>
      </c>
      <c r="AE88" s="10" cm="1">
        <f t="array" aca="1" ref="AE88:AI88" ca="1">_xlfn.LET(_xlpm.array,_xlfn.RANDARRAY(1,COLUMNS(_xlfn.ANCHORARRAY(Q87)),-1,1,FALSE),_xlpm.array/SUM(_xlpm.array))</f>
        <v>-1.0480230135862927</v>
      </c>
      <c r="AF88" s="10">
        <f ca="1"/>
        <v>14.831745650335561</v>
      </c>
      <c r="AG88" s="10">
        <f ca="1"/>
        <v>-6.7641460080384643</v>
      </c>
      <c r="AH88" s="10">
        <f ca="1"/>
        <v>-15.802758239929942</v>
      </c>
      <c r="AI88" s="10">
        <f ca="1"/>
        <v>9.7831816112191383</v>
      </c>
      <c r="AJ88" s="1"/>
      <c r="AK88" s="2" cm="1">
        <f t="array" aca="1" ref="AK88" ca="1">MMULT(MMULT(_xlfn.ANCHORARRAY(AE88),$Q$9:$U$13),TRANSPOSE(_xlfn.ANCHORARRAY(AE88)))</f>
        <v>0.11898305526114088</v>
      </c>
      <c r="AL88" s="2">
        <f t="shared" ca="1" si="7"/>
        <v>0.34493920516685384</v>
      </c>
      <c r="AM88" s="2" cm="1">
        <f t="array" aca="1" ref="AM88" ca="1">MMULT(_xlfn.ANCHORARRAY(AE89),TRANSPOSE($Q$3:$U$3))</f>
        <v>1.2678593829307044E-3</v>
      </c>
    </row>
    <row r="89" spans="1:39" x14ac:dyDescent="0.35">
      <c r="A89" s="3">
        <v>43958</v>
      </c>
      <c r="B89" s="4">
        <v>19.7272014617919</v>
      </c>
      <c r="C89" s="4">
        <v>71.021621704101506</v>
      </c>
      <c r="D89" s="4">
        <v>19.313938140869102</v>
      </c>
      <c r="E89" s="4">
        <v>8.8377590179443306</v>
      </c>
      <c r="F89" s="4">
        <v>174.40287780761699</v>
      </c>
      <c r="I89" s="5">
        <f>B89/B88-1</f>
        <v>2.1924058712485373E-2</v>
      </c>
      <c r="J89" s="5">
        <f>C89/C88-1</f>
        <v>2.8761732361259007E-2</v>
      </c>
      <c r="K89" s="5">
        <f>D89/D88-1</f>
        <v>3.1118791218132991E-2</v>
      </c>
      <c r="L89" s="5">
        <f>E89/E88-1</f>
        <v>3.8102602654911832E-2</v>
      </c>
      <c r="M89" s="5">
        <f>F89/F88-1</f>
        <v>5.8071877445322606E-3</v>
      </c>
      <c r="N89" s="5">
        <f>SUMPRODUCT(I89:M89,$AJ$13:$AN$13)</f>
        <v>2.866324410341687E-2</v>
      </c>
      <c r="P89" s="2" t="s">
        <v>80</v>
      </c>
      <c r="Q89" s="10" cm="1">
        <f t="array" aca="1" ref="Q89:U89" ca="1">_xlfn.LET(_xlpm.array,_xlfn.RANDARRAY(1,COLUMNS(_xlfn.ANCHORARRAY(Q88)),0,1,FALSE),_xlpm.array/SUM(_xlpm.array))</f>
        <v>0.24214245219690689</v>
      </c>
      <c r="R89" s="2">
        <f ca="1"/>
        <v>0.21860967460928182</v>
      </c>
      <c r="S89" s="2">
        <f ca="1"/>
        <v>0.14710874518661785</v>
      </c>
      <c r="T89" s="2">
        <f ca="1"/>
        <v>0.14043650464983692</v>
      </c>
      <c r="U89" s="2">
        <f ca="1"/>
        <v>0.25170262335735655</v>
      </c>
      <c r="V89" s="12"/>
      <c r="X89" s="2" cm="1">
        <f t="array" aca="1" ref="X89" ca="1">MMULT(MMULT(_xlfn.ANCHORARRAY(Q89),$Q$9:$U$13),TRANSPOSE(_xlfn.ANCHORARRAY(Q89)))</f>
        <v>2.642194817593111E-4</v>
      </c>
      <c r="Y89" s="2">
        <f t="shared" ca="1" si="6"/>
        <v>1.6254829490317979E-2</v>
      </c>
      <c r="Z89" s="2" cm="1">
        <f t="array" aca="1" ref="Z89" ca="1">MMULT(_xlfn.ANCHORARRAY(Q89),TRANSPOSE($Q$3:$U$3))</f>
        <v>8.5759808033638999E-4</v>
      </c>
      <c r="AA89" s="11">
        <f ca="1">AVEDEV(Q89*$Q$3,R89*$R$3,S89*$S$3,T89*$T$3,U89*$U$3)</f>
        <v>3.5352478497072161E-5</v>
      </c>
      <c r="AB89" s="11" cm="1">
        <f t="array" aca="1" ref="AB89" ca="1">MMULT(_xlfn.ANCHORARRAY(Q89),TRANSPOSE($Q$6:$U$6))</f>
        <v>-2.2329950799413092E-2</v>
      </c>
      <c r="AD89" s="2" t="s">
        <v>80</v>
      </c>
      <c r="AE89" s="10" cm="1">
        <f t="array" aca="1" ref="AE89:AI89" ca="1">_xlfn.LET(_xlpm.array,_xlfn.RANDARRAY(1,COLUMNS(_xlfn.ANCHORARRAY(Q88)),-1,1,FALSE),_xlpm.array/SUM(_xlpm.array))</f>
        <v>-1.5151490034772855E-2</v>
      </c>
      <c r="AF89" s="10">
        <f ca="1"/>
        <v>0.62890561477153883</v>
      </c>
      <c r="AG89" s="10">
        <f ca="1"/>
        <v>0.76087796253002615</v>
      </c>
      <c r="AH89" s="10">
        <f ca="1"/>
        <v>-0.5172817915692306</v>
      </c>
      <c r="AI89" s="10">
        <f ca="1"/>
        <v>0.14264970430243851</v>
      </c>
      <c r="AJ89" s="1"/>
      <c r="AK89" s="2" cm="1">
        <f t="array" aca="1" ref="AK89" ca="1">MMULT(MMULT(_xlfn.ANCHORARRAY(AE89),$Q$9:$U$13),TRANSPOSE(_xlfn.ANCHORARRAY(AE89)))</f>
        <v>6.985440057004186E-4</v>
      </c>
      <c r="AL89" s="2">
        <f t="shared" ca="1" si="7"/>
        <v>2.6429983081727816E-2</v>
      </c>
      <c r="AM89" s="2" cm="1">
        <f t="array" aca="1" ref="AM89" ca="1">MMULT(_xlfn.ANCHORARRAY(AE90),TRANSPOSE($Q$3:$U$3))</f>
        <v>1.2571625321554127E-3</v>
      </c>
    </row>
    <row r="90" spans="1:39" x14ac:dyDescent="0.35">
      <c r="A90" s="3">
        <v>43959</v>
      </c>
      <c r="B90" s="4">
        <v>20.357713699340799</v>
      </c>
      <c r="C90" s="4">
        <v>73.191230773925696</v>
      </c>
      <c r="D90" s="4">
        <v>20.192893981933501</v>
      </c>
      <c r="E90" s="4">
        <v>9.11579990386962</v>
      </c>
      <c r="F90" s="4">
        <v>175.42872619628901</v>
      </c>
      <c r="I90" s="5">
        <f>B90/B89-1</f>
        <v>3.1961565291969585E-2</v>
      </c>
      <c r="J90" s="5">
        <f>C90/C89-1</f>
        <v>3.0548571234594757E-2</v>
      </c>
      <c r="K90" s="5">
        <f>D90/D89-1</f>
        <v>4.550888765686234E-2</v>
      </c>
      <c r="L90" s="5">
        <f>E90/E89-1</f>
        <v>3.1460564308299244E-2</v>
      </c>
      <c r="M90" s="5">
        <f>F90/F89-1</f>
        <v>5.8820611309156057E-3</v>
      </c>
      <c r="N90" s="5">
        <f>SUMPRODUCT(I90:M90,$AJ$13:$AN$13)</f>
        <v>3.0115728275067647E-2</v>
      </c>
      <c r="P90" s="2" t="s">
        <v>81</v>
      </c>
      <c r="Q90" s="10" cm="1">
        <f t="array" aca="1" ref="Q90:U90" ca="1">_xlfn.LET(_xlpm.array,_xlfn.RANDARRAY(1,COLUMNS(_xlfn.ANCHORARRAY(Q89)),0,1,FALSE),_xlpm.array/SUM(_xlpm.array))</f>
        <v>0.31270234634702998</v>
      </c>
      <c r="R90" s="2">
        <f ca="1"/>
        <v>6.7131421509752501E-2</v>
      </c>
      <c r="S90" s="2">
        <f ca="1"/>
        <v>3.6633031479216649E-2</v>
      </c>
      <c r="T90" s="2">
        <f ca="1"/>
        <v>0.26513795589319561</v>
      </c>
      <c r="U90" s="2">
        <f ca="1"/>
        <v>0.31839524477080527</v>
      </c>
      <c r="V90" s="12"/>
      <c r="X90" s="2" cm="1">
        <f t="array" aca="1" ref="X90" ca="1">MMULT(MMULT(_xlfn.ANCHORARRAY(Q90),$Q$9:$U$13),TRANSPOSE(_xlfn.ANCHORARRAY(Q90)))</f>
        <v>2.5909690025865381E-4</v>
      </c>
      <c r="Y90" s="2">
        <f t="shared" ref="Y90:Y153" ca="1" si="8">SQRT(X90)</f>
        <v>1.6096487202450535E-2</v>
      </c>
      <c r="Z90" s="2" cm="1">
        <f t="array" aca="1" ref="Z90" ca="1">MMULT(_xlfn.ANCHORARRAY(Q90),TRANSPOSE($Q$3:$U$3))</f>
        <v>7.8183914619814245E-4</v>
      </c>
      <c r="AA90" s="11">
        <f ca="1">AVEDEV(Q90*$Q$3,R90*$R$3,S90*$S$3,T90*$T$3,U90*$U$3)</f>
        <v>8.16886406464582E-5</v>
      </c>
      <c r="AB90" s="11" cm="1">
        <f t="array" aca="1" ref="AB90" ca="1">MMULT(_xlfn.ANCHORARRAY(Q90),TRANSPOSE($Q$6:$U$6))</f>
        <v>-2.2215232043454044E-2</v>
      </c>
      <c r="AD90" s="2" t="s">
        <v>81</v>
      </c>
      <c r="AE90" s="10" cm="1">
        <f t="array" aca="1" ref="AE90:AI90" ca="1">_xlfn.LET(_xlpm.array,_xlfn.RANDARRAY(1,COLUMNS(_xlfn.ANCHORARRAY(Q89)),-1,1,FALSE),_xlpm.array/SUM(_xlpm.array))</f>
        <v>-1.6463218290266162</v>
      </c>
      <c r="AF90" s="10">
        <f ca="1"/>
        <v>0.61214891120174109</v>
      </c>
      <c r="AG90" s="10">
        <f ca="1"/>
        <v>0.17156793835188558</v>
      </c>
      <c r="AH90" s="10">
        <f ca="1"/>
        <v>-0.21951193099281741</v>
      </c>
      <c r="AI90" s="10">
        <f ca="1"/>
        <v>2.0821169104658068</v>
      </c>
      <c r="AJ90" s="1"/>
      <c r="AK90" s="2" cm="1">
        <f t="array" aca="1" ref="AK90" ca="1">MMULT(MMULT(_xlfn.ANCHORARRAY(AE90),$Q$9:$U$13),TRANSPOSE(_xlfn.ANCHORARRAY(AE90)))</f>
        <v>1.6611688544912518E-3</v>
      </c>
      <c r="AL90" s="2">
        <f t="shared" ref="AL90:AL153" ca="1" si="9">SQRT(AK90)</f>
        <v>4.0757439253359035E-2</v>
      </c>
      <c r="AM90" s="2" cm="1">
        <f t="array" aca="1" ref="AM90" ca="1">MMULT(_xlfn.ANCHORARRAY(AE91),TRANSPOSE($Q$3:$U$3))</f>
        <v>1.1690340209050828E-3</v>
      </c>
    </row>
    <row r="91" spans="1:39" x14ac:dyDescent="0.35">
      <c r="A91" s="3">
        <v>43962</v>
      </c>
      <c r="B91" s="4">
        <v>19.502641677856399</v>
      </c>
      <c r="C91" s="4">
        <v>71.581283569335895</v>
      </c>
      <c r="D91" s="4">
        <v>20.063362121581999</v>
      </c>
      <c r="E91" s="4">
        <v>8.9900197982787997</v>
      </c>
      <c r="F91" s="4">
        <v>177.38557434082</v>
      </c>
      <c r="I91" s="5">
        <f>B91/B90-1</f>
        <v>-4.2002360093711721E-2</v>
      </c>
      <c r="J91" s="5">
        <f>C91/C90-1</f>
        <v>-2.1996449404746765E-2</v>
      </c>
      <c r="K91" s="5">
        <f>D91/D90-1</f>
        <v>-6.4147249258770245E-3</v>
      </c>
      <c r="L91" s="5">
        <f>E91/E90-1</f>
        <v>-1.3798032747233457E-2</v>
      </c>
      <c r="M91" s="5">
        <f>F91/F90-1</f>
        <v>1.1154661992708315E-2</v>
      </c>
      <c r="N91" s="5">
        <f>SUMPRODUCT(I91:M91,$AJ$13:$AN$13)</f>
        <v>6.8072618934940151E-3</v>
      </c>
      <c r="P91" s="2" t="s">
        <v>82</v>
      </c>
      <c r="Q91" s="10" cm="1">
        <f t="array" aca="1" ref="Q91:U91" ca="1">_xlfn.LET(_xlpm.array,_xlfn.RANDARRAY(1,COLUMNS(_xlfn.ANCHORARRAY(Q90)),0,1,FALSE),_xlpm.array/SUM(_xlpm.array))</f>
        <v>0.27248620567717841</v>
      </c>
      <c r="R91" s="2">
        <f ca="1"/>
        <v>0.21194333032843382</v>
      </c>
      <c r="S91" s="2">
        <f ca="1"/>
        <v>0.18645451191755513</v>
      </c>
      <c r="T91" s="2">
        <f ca="1"/>
        <v>0.25419821541545812</v>
      </c>
      <c r="U91" s="2">
        <f ca="1"/>
        <v>7.4917736661374426E-2</v>
      </c>
      <c r="V91" s="12"/>
      <c r="X91" s="2" cm="1">
        <f t="array" aca="1" ref="X91" ca="1">MMULT(MMULT(_xlfn.ANCHORARRAY(Q91),$Q$9:$U$13),TRANSPOSE(_xlfn.ANCHORARRAY(Q91)))</f>
        <v>3.0661068606529379E-4</v>
      </c>
      <c r="Y91" s="2">
        <f t="shared" ca="1" si="8"/>
        <v>1.7510302283664146E-2</v>
      </c>
      <c r="Z91" s="2" cm="1">
        <f t="array" aca="1" ref="Z91" ca="1">MMULT(_xlfn.ANCHORARRAY(Q91),TRANSPOSE($Q$3:$U$3))</f>
        <v>9.1305602641858637E-4</v>
      </c>
      <c r="AA91" s="11">
        <f ca="1">AVEDEV(Q91*$Q$3,R91*$R$3,S91*$S$3,T91*$T$3,U91*$U$3)</f>
        <v>7.8909244579095434E-5</v>
      </c>
      <c r="AB91" s="11" cm="1">
        <f t="array" aca="1" ref="AB91" ca="1">MMULT(_xlfn.ANCHORARRAY(Q91),TRANSPOSE($Q$6:$U$6))</f>
        <v>-2.3220651360213479E-2</v>
      </c>
      <c r="AD91" s="2" t="s">
        <v>82</v>
      </c>
      <c r="AE91" s="10" cm="1">
        <f t="array" aca="1" ref="AE91:AI91" ca="1">_xlfn.LET(_xlpm.array,_xlfn.RANDARRAY(1,COLUMNS(_xlfn.ANCHORARRAY(Q90)),-1,1,FALSE),_xlpm.array/SUM(_xlpm.array))</f>
        <v>1.2243429107864725</v>
      </c>
      <c r="AF91" s="10">
        <f ca="1"/>
        <v>-0.6104005347729502</v>
      </c>
      <c r="AG91" s="10">
        <f ca="1"/>
        <v>1.1204488581637475</v>
      </c>
      <c r="AH91" s="10">
        <f ca="1"/>
        <v>-1.0336493806126668</v>
      </c>
      <c r="AI91" s="10">
        <f ca="1"/>
        <v>0.29925814643539683</v>
      </c>
      <c r="AJ91" s="1"/>
      <c r="AK91" s="2" cm="1">
        <f t="array" aca="1" ref="AK91" ca="1">MMULT(MMULT(_xlfn.ANCHORARRAY(AE91),$Q$9:$U$13),TRANSPOSE(_xlfn.ANCHORARRAY(AE91)))</f>
        <v>2.1159219938687861E-3</v>
      </c>
      <c r="AL91" s="2">
        <f t="shared" ca="1" si="9"/>
        <v>4.5999152099454897E-2</v>
      </c>
      <c r="AM91" s="2" cm="1">
        <f t="array" aca="1" ref="AM91" ca="1">MMULT(_xlfn.ANCHORARRAY(AE92),TRANSPOSE($Q$3:$U$3))</f>
        <v>8.7912485994193755E-4</v>
      </c>
    </row>
    <row r="92" spans="1:39" x14ac:dyDescent="0.35">
      <c r="A92" s="3">
        <v>43963</v>
      </c>
      <c r="B92" s="4">
        <v>18.889404296875</v>
      </c>
      <c r="C92" s="4">
        <v>69.840988159179602</v>
      </c>
      <c r="D92" s="4">
        <v>19.5452365875244</v>
      </c>
      <c r="E92" s="4">
        <v>9.02974128723144</v>
      </c>
      <c r="F92" s="4">
        <v>173.36747741699199</v>
      </c>
      <c r="I92" s="5">
        <f>B92/B91-1</f>
        <v>-3.1443811105737463E-2</v>
      </c>
      <c r="J92" s="5">
        <f>C92/C91-1</f>
        <v>-2.431215708042711E-2</v>
      </c>
      <c r="K92" s="5">
        <f>D92/D91-1</f>
        <v>-2.5824462067614129E-2</v>
      </c>
      <c r="L92" s="5">
        <f>E92/E91-1</f>
        <v>4.4183983844223729E-3</v>
      </c>
      <c r="M92" s="5">
        <f>F92/F91-1</f>
        <v>-2.2651768266724104E-2</v>
      </c>
      <c r="N92" s="5">
        <f>SUMPRODUCT(I92:M92,$AJ$13:$AN$13)</f>
        <v>-9.0578190655402589E-3</v>
      </c>
      <c r="P92" s="2" t="s">
        <v>83</v>
      </c>
      <c r="Q92" s="10" cm="1">
        <f t="array" aca="1" ref="Q92:U92" ca="1">_xlfn.LET(_xlpm.array,_xlfn.RANDARRAY(1,COLUMNS(_xlfn.ANCHORARRAY(Q91)),0,1,FALSE),_xlpm.array/SUM(_xlpm.array))</f>
        <v>7.3435078509889118E-2</v>
      </c>
      <c r="R92" s="2">
        <f ca="1"/>
        <v>8.0501372368013524E-2</v>
      </c>
      <c r="S92" s="2">
        <f ca="1"/>
        <v>8.7666368971344583E-2</v>
      </c>
      <c r="T92" s="2">
        <f ca="1"/>
        <v>0.40401500926940515</v>
      </c>
      <c r="U92" s="2">
        <f ca="1"/>
        <v>0.35438217088134755</v>
      </c>
      <c r="V92" s="12"/>
      <c r="X92" s="2" cm="1">
        <f t="array" aca="1" ref="X92" ca="1">MMULT(MMULT(_xlfn.ANCHORARRAY(Q92),$Q$9:$U$13),TRANSPOSE(_xlfn.ANCHORARRAY(Q92)))</f>
        <v>2.7052933134792917E-4</v>
      </c>
      <c r="Y92" s="2">
        <f t="shared" ca="1" si="8"/>
        <v>1.6447775878456309E-2</v>
      </c>
      <c r="Z92" s="2" cm="1">
        <f t="array" aca="1" ref="Z92" ca="1">MMULT(_xlfn.ANCHORARRAY(Q92),TRANSPOSE($Q$3:$U$3))</f>
        <v>9.2227780907807872E-4</v>
      </c>
      <c r="AA92" s="11">
        <f ca="1">AVEDEV(Q92*$Q$3,R92*$R$3,S92*$S$3,T92*$T$3,U92*$U$3)</f>
        <v>1.2595523430728077E-4</v>
      </c>
      <c r="AB92" s="11" cm="1">
        <f t="array" aca="1" ref="AB92" ca="1">MMULT(_xlfn.ANCHORARRAY(Q92),TRANSPOSE($Q$6:$U$6))</f>
        <v>-2.2925010272957722E-2</v>
      </c>
      <c r="AD92" s="2" t="s">
        <v>83</v>
      </c>
      <c r="AE92" s="10" cm="1">
        <f t="array" aca="1" ref="AE92:AI92" ca="1">_xlfn.LET(_xlpm.array,_xlfn.RANDARRAY(1,COLUMNS(_xlfn.ANCHORARRAY(Q91)),-1,1,FALSE),_xlpm.array/SUM(_xlpm.array))</f>
        <v>0.64373911677211992</v>
      </c>
      <c r="AF92" s="10">
        <f ca="1"/>
        <v>-0.39883279923408904</v>
      </c>
      <c r="AG92" s="10">
        <f ca="1"/>
        <v>6.7940980032392892E-2</v>
      </c>
      <c r="AH92" s="10">
        <f ca="1"/>
        <v>0.80729050628579346</v>
      </c>
      <c r="AI92" s="10">
        <f ca="1"/>
        <v>-0.12013780385621722</v>
      </c>
      <c r="AJ92" s="1"/>
      <c r="AK92" s="2" cm="1">
        <f t="array" aca="1" ref="AK92" ca="1">MMULT(MMULT(_xlfn.ANCHORARRAY(AE92),$Q$9:$U$13),TRANSPOSE(_xlfn.ANCHORARRAY(AE92)))</f>
        <v>5.1297475594314318E-4</v>
      </c>
      <c r="AL92" s="2">
        <f t="shared" ca="1" si="9"/>
        <v>2.2648946022787532E-2</v>
      </c>
      <c r="AM92" s="2" cm="1">
        <f t="array" aca="1" ref="AM92" ca="1">MMULT(_xlfn.ANCHORARRAY(AE93),TRANSPOSE($Q$3:$U$3))</f>
        <v>-1.1318341880300099E-3</v>
      </c>
    </row>
    <row r="93" spans="1:39" x14ac:dyDescent="0.35">
      <c r="A93" s="3">
        <v>43964</v>
      </c>
      <c r="B93" s="4">
        <v>18.025688171386701</v>
      </c>
      <c r="C93" s="4">
        <v>68.001045227050696</v>
      </c>
      <c r="D93" s="4">
        <v>18.980857849121001</v>
      </c>
      <c r="E93" s="4">
        <v>8.8708610534667898</v>
      </c>
      <c r="F93" s="4">
        <v>170.74571228027301</v>
      </c>
      <c r="I93" s="5">
        <f>B93/B92-1</f>
        <v>-4.5724900156390302E-2</v>
      </c>
      <c r="J93" s="5">
        <f>C93/C92-1</f>
        <v>-2.6344743690271955E-2</v>
      </c>
      <c r="K93" s="5">
        <f>D93/D92-1</f>
        <v>-2.8875513267700104E-2</v>
      </c>
      <c r="L93" s="5">
        <f>E93/E92-1</f>
        <v>-1.759521438220113E-2</v>
      </c>
      <c r="M93" s="5">
        <f>F93/F92-1</f>
        <v>-1.5122589171745138E-2</v>
      </c>
      <c r="N93" s="5">
        <f>SUMPRODUCT(I93:M93,$AJ$13:$AN$13)</f>
        <v>-1.4220456868359885E-2</v>
      </c>
      <c r="P93" s="2" t="s">
        <v>84</v>
      </c>
      <c r="Q93" s="10" cm="1">
        <f t="array" aca="1" ref="Q93:U93" ca="1">_xlfn.LET(_xlpm.array,_xlfn.RANDARRAY(1,COLUMNS(_xlfn.ANCHORARRAY(Q92)),0,1,FALSE),_xlpm.array/SUM(_xlpm.array))</f>
        <v>5.5278080822298493E-2</v>
      </c>
      <c r="R93" s="2">
        <f ca="1"/>
        <v>0.23208768318526235</v>
      </c>
      <c r="S93" s="2">
        <f ca="1"/>
        <v>0.17861308260102166</v>
      </c>
      <c r="T93" s="2">
        <f ca="1"/>
        <v>0.28244283886943899</v>
      </c>
      <c r="U93" s="2">
        <f ca="1"/>
        <v>0.25157831452197854</v>
      </c>
      <c r="V93" s="12"/>
      <c r="X93" s="2" cm="1">
        <f t="array" aca="1" ref="X93" ca="1">MMULT(MMULT(_xlfn.ANCHORARRAY(Q93),$Q$9:$U$13),TRANSPOSE(_xlfn.ANCHORARRAY(Q93)))</f>
        <v>2.7884547137212368E-4</v>
      </c>
      <c r="Y93" s="2">
        <f t="shared" ca="1" si="8"/>
        <v>1.6698666754328732E-2</v>
      </c>
      <c r="Z93" s="2" cm="1">
        <f t="array" aca="1" ref="Z93" ca="1">MMULT(_xlfn.ANCHORARRAY(Q93),TRANSPOSE($Q$3:$U$3))</f>
        <v>9.6861122641349491E-4</v>
      </c>
      <c r="AA93" s="11">
        <f ca="1">AVEDEV(Q93*$Q$3,R93*$R$3,S93*$S$3,T93*$T$3,U93*$U$3)</f>
        <v>7.6468694096318724E-5</v>
      </c>
      <c r="AB93" s="11" cm="1">
        <f t="array" aca="1" ref="AB93" ca="1">MMULT(_xlfn.ANCHORARRAY(Q93),TRANSPOSE($Q$6:$U$6))</f>
        <v>-2.2995925130395542E-2</v>
      </c>
      <c r="AD93" s="2" t="s">
        <v>84</v>
      </c>
      <c r="AE93" s="10" cm="1">
        <f t="array" aca="1" ref="AE93:AI93" ca="1">_xlfn.LET(_xlpm.array,_xlfn.RANDARRAY(1,COLUMNS(_xlfn.ANCHORARRAY(Q92)),-1,1,FALSE),_xlpm.array/SUM(_xlpm.array))</f>
        <v>1.4630598409950317</v>
      </c>
      <c r="AF93" s="10">
        <f ca="1"/>
        <v>-1.7516001079535004</v>
      </c>
      <c r="AG93" s="10">
        <f ca="1"/>
        <v>-2.5887615252077931</v>
      </c>
      <c r="AH93" s="10">
        <f ca="1"/>
        <v>2.5012903044430219</v>
      </c>
      <c r="AI93" s="10">
        <f ca="1"/>
        <v>1.3760114877232397</v>
      </c>
      <c r="AJ93" s="1"/>
      <c r="AK93" s="2" cm="1">
        <f t="array" aca="1" ref="AK93" ca="1">MMULT(MMULT(_xlfn.ANCHORARRAY(AE93),$Q$9:$U$13),TRANSPOSE(_xlfn.ANCHORARRAY(AE93)))</f>
        <v>6.2934164289608196E-3</v>
      </c>
      <c r="AL93" s="2">
        <f t="shared" ca="1" si="9"/>
        <v>7.9331055892133559E-2</v>
      </c>
      <c r="AM93" s="2" cm="1">
        <f t="array" aca="1" ref="AM93" ca="1">MMULT(_xlfn.ANCHORARRAY(AE94),TRANSPOSE($Q$3:$U$3))</f>
        <v>1.0911546845947951E-3</v>
      </c>
    </row>
    <row r="94" spans="1:39" x14ac:dyDescent="0.35">
      <c r="A94" s="3">
        <v>43965</v>
      </c>
      <c r="B94" s="4">
        <v>18.751205444335898</v>
      </c>
      <c r="C94" s="4">
        <v>69.036026000976506</v>
      </c>
      <c r="D94" s="4">
        <v>19.364822387695298</v>
      </c>
      <c r="E94" s="4">
        <v>8.9039611816406197</v>
      </c>
      <c r="F94" s="4">
        <v>171.48667907714801</v>
      </c>
      <c r="I94" s="5">
        <f>B94/B93-1</f>
        <v>4.0249074878642155E-2</v>
      </c>
      <c r="J94" s="5">
        <f>C94/C93-1</f>
        <v>1.5220071551401704E-2</v>
      </c>
      <c r="K94" s="5">
        <f>D94/D93-1</f>
        <v>2.0229040311372293E-2</v>
      </c>
      <c r="L94" s="5">
        <f>E94/E93-1</f>
        <v>3.7313320515706128E-3</v>
      </c>
      <c r="M94" s="5">
        <f>F94/F93-1</f>
        <v>4.3395924089661975E-3</v>
      </c>
      <c r="N94" s="5">
        <f>SUMPRODUCT(I94:M94,$AJ$13:$AN$13)</f>
        <v>1.5866149149564705E-3</v>
      </c>
      <c r="P94" s="2" t="s">
        <v>85</v>
      </c>
      <c r="Q94" s="10" cm="1">
        <f t="array" aca="1" ref="Q94:U94" ca="1">_xlfn.LET(_xlpm.array,_xlfn.RANDARRAY(1,COLUMNS(_xlfn.ANCHORARRAY(Q93)),0,1,FALSE),_xlpm.array/SUM(_xlpm.array))</f>
        <v>0.25773907899114201</v>
      </c>
      <c r="R94" s="2">
        <f ca="1"/>
        <v>0.18389978841150628</v>
      </c>
      <c r="S94" s="2">
        <f ca="1"/>
        <v>0.1910038718743309</v>
      </c>
      <c r="T94" s="2">
        <f ca="1"/>
        <v>0.21905077416027721</v>
      </c>
      <c r="U94" s="2">
        <f ca="1"/>
        <v>0.14830648656274364</v>
      </c>
      <c r="V94" s="12"/>
      <c r="X94" s="2" cm="1">
        <f t="array" aca="1" ref="X94" ca="1">MMULT(MMULT(_xlfn.ANCHORARRAY(Q94),$Q$9:$U$13),TRANSPOSE(_xlfn.ANCHORARRAY(Q94)))</f>
        <v>2.8745940135471525E-4</v>
      </c>
      <c r="Y94" s="2">
        <f t="shared" ca="1" si="8"/>
        <v>1.6954627726810025E-2</v>
      </c>
      <c r="Z94" s="2" cm="1">
        <f t="array" aca="1" ref="Z94" ca="1">MMULT(_xlfn.ANCHORARRAY(Q94),TRANSPOSE($Q$3:$U$3))</f>
        <v>9.1269496692402102E-4</v>
      </c>
      <c r="AA94" s="11">
        <f ca="1">AVEDEV(Q94*$Q$3,R94*$R$3,S94*$S$3,T94*$T$3,U94*$U$3)</f>
        <v>6.7559388551712568E-5</v>
      </c>
      <c r="AB94" s="11" cm="1">
        <f t="array" aca="1" ref="AB94" ca="1">MMULT(_xlfn.ANCHORARRAY(Q94),TRANSPOSE($Q$6:$U$6))</f>
        <v>-2.3040681916745024E-2</v>
      </c>
      <c r="AD94" s="2" t="s">
        <v>85</v>
      </c>
      <c r="AE94" s="10" cm="1">
        <f t="array" aca="1" ref="AE94:AI94" ca="1">_xlfn.LET(_xlpm.array,_xlfn.RANDARRAY(1,COLUMNS(_xlfn.ANCHORARRAY(Q93)),-1,1,FALSE),_xlpm.array/SUM(_xlpm.array))</f>
        <v>0.34108797465162866</v>
      </c>
      <c r="AF94" s="10">
        <f ca="1"/>
        <v>-0.46006760833571209</v>
      </c>
      <c r="AG94" s="10">
        <f ca="1"/>
        <v>0.31932533206106894</v>
      </c>
      <c r="AH94" s="10">
        <f ca="1"/>
        <v>0.48119843567724507</v>
      </c>
      <c r="AI94" s="10">
        <f ca="1"/>
        <v>0.31845586594576947</v>
      </c>
      <c r="AJ94" s="1"/>
      <c r="AK94" s="2" cm="1">
        <f t="array" aca="1" ref="AK94" ca="1">MMULT(MMULT(_xlfn.ANCHORARRAY(AE94),$Q$9:$U$13),TRANSPOSE(_xlfn.ANCHORARRAY(AE94)))</f>
        <v>3.6578749131947622E-4</v>
      </c>
      <c r="AL94" s="2">
        <f t="shared" ca="1" si="9"/>
        <v>1.9125571659939375E-2</v>
      </c>
      <c r="AM94" s="2" cm="1">
        <f t="array" aca="1" ref="AM94" ca="1">MMULT(_xlfn.ANCHORARRAY(AE95),TRANSPOSE($Q$3:$U$3))</f>
        <v>1.0606404672494488E-3</v>
      </c>
    </row>
    <row r="95" spans="1:39" x14ac:dyDescent="0.35">
      <c r="A95" s="3">
        <v>43966</v>
      </c>
      <c r="B95" s="4">
        <v>18.5180053710937</v>
      </c>
      <c r="C95" s="4">
        <v>68.353713989257798</v>
      </c>
      <c r="D95" s="4">
        <v>19.4712219238281</v>
      </c>
      <c r="E95" s="4">
        <v>9.10662841796875</v>
      </c>
      <c r="F95" s="4">
        <v>173.98490905761699</v>
      </c>
      <c r="I95" s="5">
        <f>B95/B94-1</f>
        <v>-1.2436537690041716E-2</v>
      </c>
      <c r="J95" s="5">
        <f>C95/C94-1</f>
        <v>-9.8834195889122567E-3</v>
      </c>
      <c r="K95" s="5">
        <f>D95/D94-1</f>
        <v>5.4944751881851328E-3</v>
      </c>
      <c r="L95" s="5">
        <f>E95/E94-1</f>
        <v>2.2761468990455169E-2</v>
      </c>
      <c r="M95" s="5">
        <f>F95/F94-1</f>
        <v>1.4568070207628736E-2</v>
      </c>
      <c r="N95" s="5">
        <f>SUMPRODUCT(I95:M95,$AJ$13:$AN$13)</f>
        <v>2.228328186544791E-2</v>
      </c>
      <c r="P95" s="2" t="s">
        <v>86</v>
      </c>
      <c r="Q95" s="10" cm="1">
        <f t="array" aca="1" ref="Q95:U95" ca="1">_xlfn.LET(_xlpm.array,_xlfn.RANDARRAY(1,COLUMNS(_xlfn.ANCHORARRAY(Q94)),0,1,FALSE),_xlpm.array/SUM(_xlpm.array))</f>
        <v>0.11743108175637106</v>
      </c>
      <c r="R95" s="2">
        <f ca="1"/>
        <v>0.26454336930687183</v>
      </c>
      <c r="S95" s="2">
        <f ca="1"/>
        <v>0.10104353553479428</v>
      </c>
      <c r="T95" s="2">
        <f ca="1"/>
        <v>0.34531980562651221</v>
      </c>
      <c r="U95" s="2">
        <f ca="1"/>
        <v>0.17166220777545074</v>
      </c>
      <c r="V95" s="12"/>
      <c r="X95" s="2" cm="1">
        <f t="array" aca="1" ref="X95" ca="1">MMULT(MMULT(_xlfn.ANCHORARRAY(Q95),$Q$9:$U$13),TRANSPOSE(_xlfn.ANCHORARRAY(Q95)))</f>
        <v>2.9625816123663373E-4</v>
      </c>
      <c r="Y95" s="2">
        <f t="shared" ca="1" si="8"/>
        <v>1.7212151557450154E-2</v>
      </c>
      <c r="Z95" s="2" cm="1">
        <f t="array" aca="1" ref="Z95" ca="1">MMULT(_xlfn.ANCHORARRAY(Q95),TRANSPOSE($Q$3:$U$3))</f>
        <v>9.0103970762751709E-4</v>
      </c>
      <c r="AA95" s="11">
        <f ca="1">AVEDEV(Q95*$Q$3,R95*$R$3,S95*$S$3,T95*$T$3,U95*$U$3)</f>
        <v>7.4219457249835192E-5</v>
      </c>
      <c r="AB95" s="11" cm="1">
        <f t="array" aca="1" ref="AB95" ca="1">MMULT(_xlfn.ANCHORARRAY(Q95),TRANSPOSE($Q$6:$U$6))</f>
        <v>-2.2874962539445425E-2</v>
      </c>
      <c r="AD95" s="2" t="s">
        <v>86</v>
      </c>
      <c r="AE95" s="10" cm="1">
        <f t="array" aca="1" ref="AE95:AI95" ca="1">_xlfn.LET(_xlpm.array,_xlfn.RANDARRAY(1,COLUMNS(_xlfn.ANCHORARRAY(Q94)),-1,1,FALSE),_xlpm.array/SUM(_xlpm.array))</f>
        <v>0.21375890067228587</v>
      </c>
      <c r="AF95" s="10">
        <f ca="1"/>
        <v>8.3541662458264943E-2</v>
      </c>
      <c r="AG95" s="10">
        <f ca="1"/>
        <v>0.30955877873462662</v>
      </c>
      <c r="AH95" s="10">
        <f ca="1"/>
        <v>0.34106934899483915</v>
      </c>
      <c r="AI95" s="10">
        <f ca="1"/>
        <v>5.2071309139983479E-2</v>
      </c>
      <c r="AJ95" s="1"/>
      <c r="AK95" s="2" cm="1">
        <f t="array" aca="1" ref="AK95" ca="1">MMULT(MMULT(_xlfn.ANCHORARRAY(AE95),$Q$9:$U$13),TRANSPOSE(_xlfn.ANCHORARRAY(AE95)))</f>
        <v>3.3785157937368956E-4</v>
      </c>
      <c r="AL95" s="2">
        <f t="shared" ca="1" si="9"/>
        <v>1.8380739358733359E-2</v>
      </c>
      <c r="AM95" s="2" cm="1">
        <f t="array" aca="1" ref="AM95" ca="1">MMULT(_xlfn.ANCHORARRAY(AE96),TRANSPOSE($Q$3:$U$3))</f>
        <v>1.1199689975365428E-3</v>
      </c>
    </row>
    <row r="96" spans="1:39" x14ac:dyDescent="0.35">
      <c r="A96" s="3">
        <v>43969</v>
      </c>
      <c r="B96" s="4">
        <v>19.804935455322202</v>
      </c>
      <c r="C96" s="4">
        <v>71.994285583496094</v>
      </c>
      <c r="D96" s="4">
        <v>20.253032684326101</v>
      </c>
      <c r="E96" s="4">
        <v>9.7213964462280202</v>
      </c>
      <c r="F96" s="4">
        <v>175.64723205566401</v>
      </c>
      <c r="I96" s="5">
        <f>B96/B95-1</f>
        <v>6.9496150283948843E-2</v>
      </c>
      <c r="J96" s="5">
        <f>C96/C95-1</f>
        <v>5.3260772264846157E-2</v>
      </c>
      <c r="K96" s="5">
        <f>D96/D95-1</f>
        <v>4.0152115956382461E-2</v>
      </c>
      <c r="L96" s="5">
        <f>E96/E95-1</f>
        <v>6.7507753697981121E-2</v>
      </c>
      <c r="M96" s="5">
        <f>F96/F95-1</f>
        <v>9.5544090981851681E-3</v>
      </c>
      <c r="N96" s="5">
        <f>SUMPRODUCT(I96:M96,$AJ$13:$AN$13)</f>
        <v>3.3797026681100004E-2</v>
      </c>
      <c r="P96" s="2" t="s">
        <v>87</v>
      </c>
      <c r="Q96" s="10" cm="1">
        <f t="array" aca="1" ref="Q96:U96" ca="1">_xlfn.LET(_xlpm.array,_xlfn.RANDARRAY(1,COLUMNS(_xlfn.ANCHORARRAY(Q95)),0,1,FALSE),_xlpm.array/SUM(_xlpm.array))</f>
        <v>0.41764730639906028</v>
      </c>
      <c r="R96" s="2">
        <f ca="1"/>
        <v>5.6993055276133915E-2</v>
      </c>
      <c r="S96" s="2">
        <f ca="1"/>
        <v>6.4217797645506156E-2</v>
      </c>
      <c r="T96" s="2">
        <f ca="1"/>
        <v>0.40761905109400576</v>
      </c>
      <c r="U96" s="2">
        <f ca="1"/>
        <v>5.3522789585293933E-2</v>
      </c>
      <c r="V96" s="12"/>
      <c r="X96" s="2" cm="1">
        <f t="array" aca="1" ref="X96" ca="1">MMULT(MMULT(_xlfn.ANCHORARRAY(Q96),$Q$9:$U$13),TRANSPOSE(_xlfn.ANCHORARRAY(Q96)))</f>
        <v>3.3120048885806674E-4</v>
      </c>
      <c r="Y96" s="2">
        <f t="shared" ca="1" si="8"/>
        <v>1.819891449669641E-2</v>
      </c>
      <c r="Z96" s="2" cm="1">
        <f t="array" aca="1" ref="Z96" ca="1">MMULT(_xlfn.ANCHORARRAY(Q96),TRANSPOSE($Q$3:$U$3))</f>
        <v>8.1554369748274708E-4</v>
      </c>
      <c r="AA96" s="11">
        <f ca="1">AVEDEV(Q96*$Q$3,R96*$R$3,S96*$S$3,T96*$T$3,U96*$U$3)</f>
        <v>1.2099232040170347E-4</v>
      </c>
      <c r="AB96" s="11" cm="1">
        <f t="array" aca="1" ref="AB96" ca="1">MMULT(_xlfn.ANCHORARRAY(Q96),TRANSPOSE($Q$6:$U$6))</f>
        <v>-2.327664869624672E-2</v>
      </c>
      <c r="AD96" s="2" t="s">
        <v>87</v>
      </c>
      <c r="AE96" s="10" cm="1">
        <f t="array" aca="1" ref="AE96:AI96" ca="1">_xlfn.LET(_xlpm.array,_xlfn.RANDARRAY(1,COLUMNS(_xlfn.ANCHORARRAY(Q95)),-1,1,FALSE),_xlpm.array/SUM(_xlpm.array))</f>
        <v>-1.8707047098638077</v>
      </c>
      <c r="AF96" s="10">
        <f ca="1"/>
        <v>-0.62883385859682706</v>
      </c>
      <c r="AG96" s="10">
        <f ca="1"/>
        <v>-1.110076900391288</v>
      </c>
      <c r="AH96" s="10">
        <f ca="1"/>
        <v>3.1430909744071331</v>
      </c>
      <c r="AI96" s="10">
        <f ca="1"/>
        <v>1.4665244944447895</v>
      </c>
      <c r="AJ96" s="1"/>
      <c r="AK96" s="2" cm="1">
        <f t="array" aca="1" ref="AK96" ca="1">MMULT(MMULT(_xlfn.ANCHORARRAY(AE96),$Q$9:$U$13),TRANSPOSE(_xlfn.ANCHORARRAY(AE96)))</f>
        <v>4.7854197108286121E-3</v>
      </c>
      <c r="AL96" s="2">
        <f t="shared" ca="1" si="9"/>
        <v>6.9176728101498206E-2</v>
      </c>
      <c r="AM96" s="2" cm="1">
        <f t="array" aca="1" ref="AM96" ca="1">MMULT(_xlfn.ANCHORARRAY(AE97),TRANSPOSE($Q$3:$U$3))</f>
        <v>9.750080026871325E-4</v>
      </c>
    </row>
    <row r="97" spans="1:39" x14ac:dyDescent="0.35">
      <c r="A97" s="3">
        <v>43970</v>
      </c>
      <c r="B97" s="4">
        <v>19.18306350708</v>
      </c>
      <c r="C97" s="4">
        <v>69.715057373046804</v>
      </c>
      <c r="D97" s="4">
        <v>20.373311996459901</v>
      </c>
      <c r="E97" s="4">
        <v>9.7686843872070295</v>
      </c>
      <c r="F97" s="4">
        <v>174.43132019042901</v>
      </c>
      <c r="I97" s="5">
        <f>B97/B96-1</f>
        <v>-3.1399847257522095E-2</v>
      </c>
      <c r="J97" s="5">
        <f>C97/C96-1</f>
        <v>-3.1658460001050104E-2</v>
      </c>
      <c r="K97" s="5">
        <f>D97/D96-1</f>
        <v>5.9388297055820161E-3</v>
      </c>
      <c r="L97" s="5">
        <f>E97/E96-1</f>
        <v>4.8643156608798588E-3</v>
      </c>
      <c r="M97" s="5">
        <f>F97/F96-1</f>
        <v>-6.9224652788703045E-3</v>
      </c>
      <c r="N97" s="5">
        <f>SUMPRODUCT(I97:M97,$AJ$13:$AN$13)</f>
        <v>1.3171087404167715E-2</v>
      </c>
      <c r="P97" s="2" t="s">
        <v>88</v>
      </c>
      <c r="Q97" s="10" cm="1">
        <f t="array" aca="1" ref="Q97:U97" ca="1">_xlfn.LET(_xlpm.array,_xlfn.RANDARRAY(1,COLUMNS(_xlfn.ANCHORARRAY(Q96)),0,1,FALSE),_xlpm.array/SUM(_xlpm.array))</f>
        <v>0.25145439770477224</v>
      </c>
      <c r="R97" s="2">
        <f ca="1"/>
        <v>0.20992908568986587</v>
      </c>
      <c r="S97" s="2">
        <f ca="1"/>
        <v>0.15753615307317362</v>
      </c>
      <c r="T97" s="2">
        <f ca="1"/>
        <v>0.25818381055361567</v>
      </c>
      <c r="U97" s="2">
        <f ca="1"/>
        <v>0.12289655297857251</v>
      </c>
      <c r="V97" s="12"/>
      <c r="X97" s="2" cm="1">
        <f t="array" aca="1" ref="X97" ca="1">MMULT(MMULT(_xlfn.ANCHORARRAY(Q97),$Q$9:$U$13),TRANSPOSE(_xlfn.ANCHORARRAY(Q97)))</f>
        <v>2.9304514201732094E-4</v>
      </c>
      <c r="Y97" s="2">
        <f t="shared" ca="1" si="8"/>
        <v>1.7118561330243875E-2</v>
      </c>
      <c r="Z97" s="2" cm="1">
        <f t="array" aca="1" ref="Z97" ca="1">MMULT(_xlfn.ANCHORARRAY(Q97),TRANSPOSE($Q$3:$U$3))</f>
        <v>8.9470090482548852E-4</v>
      </c>
      <c r="AA97" s="11">
        <f ca="1">AVEDEV(Q97*$Q$3,R97*$R$3,S97*$S$3,T97*$T$3,U97*$U$3)</f>
        <v>6.4689390086768433E-5</v>
      </c>
      <c r="AB97" s="11" cm="1">
        <f t="array" aca="1" ref="AB97" ca="1">MMULT(_xlfn.ANCHORARRAY(Q97),TRANSPOSE($Q$6:$U$6))</f>
        <v>-2.3005604097332915E-2</v>
      </c>
      <c r="AD97" s="2" t="s">
        <v>88</v>
      </c>
      <c r="AE97" s="10" cm="1">
        <f t="array" aca="1" ref="AE97:AI97" ca="1">_xlfn.LET(_xlpm.array,_xlfn.RANDARRAY(1,COLUMNS(_xlfn.ANCHORARRAY(Q96)),-1,1,FALSE),_xlpm.array/SUM(_xlpm.array))</f>
        <v>0.47005754450099951</v>
      </c>
      <c r="AF97" s="10">
        <f ca="1"/>
        <v>0.15044403264123746</v>
      </c>
      <c r="AG97" s="10">
        <f ca="1"/>
        <v>0.24757876267761642</v>
      </c>
      <c r="AH97" s="10">
        <f ca="1"/>
        <v>0.48011359207263837</v>
      </c>
      <c r="AI97" s="10">
        <f ca="1"/>
        <v>-0.34819393189249176</v>
      </c>
      <c r="AJ97" s="1"/>
      <c r="AK97" s="2" cm="1">
        <f t="array" aca="1" ref="AK97" ca="1">MMULT(MMULT(_xlfn.ANCHORARRAY(AE97),$Q$9:$U$13),TRANSPOSE(_xlfn.ANCHORARRAY(AE97)))</f>
        <v>5.12426824971327E-4</v>
      </c>
      <c r="AL97" s="2">
        <f t="shared" ca="1" si="9"/>
        <v>2.2636846621632772E-2</v>
      </c>
      <c r="AM97" s="2" cm="1">
        <f t="array" aca="1" ref="AM97" ca="1">MMULT(_xlfn.ANCHORARRAY(AE98),TRANSPOSE($Q$3:$U$3))</f>
        <v>-3.3147576853848119E-4</v>
      </c>
    </row>
    <row r="98" spans="1:39" x14ac:dyDescent="0.35">
      <c r="A98" s="3">
        <v>43971</v>
      </c>
      <c r="B98" s="4">
        <v>19.787664413452099</v>
      </c>
      <c r="C98" s="4">
        <v>72.344337463378906</v>
      </c>
      <c r="D98" s="4">
        <v>20.660129547119102</v>
      </c>
      <c r="E98" s="4">
        <v>10.268602371215801</v>
      </c>
      <c r="F98" s="4">
        <v>176.85084533691401</v>
      </c>
      <c r="I98" s="5">
        <f>B98/B97-1</f>
        <v>3.1517432351144237E-2</v>
      </c>
      <c r="J98" s="5">
        <f>C98/C97-1</f>
        <v>3.7714665804013725E-2</v>
      </c>
      <c r="K98" s="5">
        <f>D98/D97-1</f>
        <v>1.4078101327316794E-2</v>
      </c>
      <c r="L98" s="5">
        <f>E98/E97-1</f>
        <v>5.1175569216204586E-2</v>
      </c>
      <c r="M98" s="5">
        <f>F98/F97-1</f>
        <v>1.3870932948530035E-2</v>
      </c>
      <c r="N98" s="5">
        <f>SUMPRODUCT(I98:M98,$AJ$13:$AN$13)</f>
        <v>2.55248683652353E-2</v>
      </c>
      <c r="P98" s="2" t="s">
        <v>89</v>
      </c>
      <c r="Q98" s="10" cm="1">
        <f t="array" aca="1" ref="Q98:U98" ca="1">_xlfn.LET(_xlpm.array,_xlfn.RANDARRAY(1,COLUMNS(_xlfn.ANCHORARRAY(Q97)),0,1,FALSE),_xlpm.array/SUM(_xlpm.array))</f>
        <v>5.7027611622586037E-2</v>
      </c>
      <c r="R98" s="2">
        <f ca="1"/>
        <v>0.34559186642627449</v>
      </c>
      <c r="S98" s="2">
        <f ca="1"/>
        <v>0.30775315851591523</v>
      </c>
      <c r="T98" s="2">
        <f ca="1"/>
        <v>0.19422888682391939</v>
      </c>
      <c r="U98" s="2">
        <f ca="1"/>
        <v>9.5398476611304905E-2</v>
      </c>
      <c r="V98" s="12"/>
      <c r="X98" s="2" cm="1">
        <f t="array" aca="1" ref="X98" ca="1">MMULT(MMULT(_xlfn.ANCHORARRAY(Q98),$Q$9:$U$13),TRANSPOSE(_xlfn.ANCHORARRAY(Q98)))</f>
        <v>3.2880663012659983E-4</v>
      </c>
      <c r="Y98" s="2">
        <f t="shared" ca="1" si="8"/>
        <v>1.8133025950640445E-2</v>
      </c>
      <c r="Z98" s="2" cm="1">
        <f t="array" aca="1" ref="Z98" ca="1">MMULT(_xlfn.ANCHORARRAY(Q98),TRANSPOSE($Q$3:$U$3))</f>
        <v>1.0525335593151446E-3</v>
      </c>
      <c r="AA98" s="11">
        <f ca="1">AVEDEV(Q98*$Q$3,R98*$R$3,S98*$S$3,T98*$T$3,U98*$U$3)</f>
        <v>1.3245704784528041E-4</v>
      </c>
      <c r="AB98" s="11" cm="1">
        <f t="array" aca="1" ref="AB98" ca="1">MMULT(_xlfn.ANCHORARRAY(Q98),TRANSPOSE($Q$6:$U$6))</f>
        <v>-2.3514509837808489E-2</v>
      </c>
      <c r="AD98" s="2" t="s">
        <v>89</v>
      </c>
      <c r="AE98" s="10" cm="1">
        <f t="array" aca="1" ref="AE98:AI98" ca="1">_xlfn.LET(_xlpm.array,_xlfn.RANDARRAY(1,COLUMNS(_xlfn.ANCHORARRAY(Q97)),-1,1,FALSE),_xlpm.array/SUM(_xlpm.array))</f>
        <v>1.2964344860455672</v>
      </c>
      <c r="AF98" s="10">
        <f ca="1"/>
        <v>0.68260365839242787</v>
      </c>
      <c r="AG98" s="10">
        <f ca="1"/>
        <v>-0.80064751187066485</v>
      </c>
      <c r="AH98" s="10">
        <f ca="1"/>
        <v>-0.20311563536115193</v>
      </c>
      <c r="AI98" s="10">
        <f ca="1"/>
        <v>2.472500279382164E-2</v>
      </c>
      <c r="AJ98" s="1"/>
      <c r="AK98" s="2" cm="1">
        <f t="array" aca="1" ref="AK98" ca="1">MMULT(MMULT(_xlfn.ANCHORARRAY(AE98),$Q$9:$U$13),TRANSPOSE(_xlfn.ANCHORARRAY(AE98)))</f>
        <v>1.1760385660563102E-3</v>
      </c>
      <c r="AL98" s="2">
        <f t="shared" ca="1" si="9"/>
        <v>3.429341869887443E-2</v>
      </c>
      <c r="AM98" s="2" cm="1">
        <f t="array" aca="1" ref="AM98" ca="1">MMULT(_xlfn.ANCHORARRAY(AE99),TRANSPOSE($Q$3:$U$3))</f>
        <v>-3.4100017883225233E-3</v>
      </c>
    </row>
    <row r="99" spans="1:39" x14ac:dyDescent="0.35">
      <c r="A99" s="3">
        <v>43972</v>
      </c>
      <c r="B99" s="4">
        <v>19.779024124145501</v>
      </c>
      <c r="C99" s="4">
        <v>71.597549438476506</v>
      </c>
      <c r="D99" s="4">
        <v>20.5352249145507</v>
      </c>
      <c r="E99" s="4">
        <v>10.174022674560501</v>
      </c>
      <c r="F99" s="4">
        <v>174.726638793945</v>
      </c>
      <c r="I99" s="5">
        <f>B99/B98-1</f>
        <v>-4.366502850494669E-4</v>
      </c>
      <c r="J99" s="5">
        <f>C99/C98-1</f>
        <v>-1.0322688009692937E-2</v>
      </c>
      <c r="K99" s="5">
        <f>D99/D98-1</f>
        <v>-6.0456848677320485E-3</v>
      </c>
      <c r="L99" s="5">
        <f>E99/E98-1</f>
        <v>-9.2105715302034374E-3</v>
      </c>
      <c r="M99" s="5">
        <f>F99/F98-1</f>
        <v>-1.201128860267664E-2</v>
      </c>
      <c r="N99" s="5">
        <f>SUMPRODUCT(I99:M99,$AJ$13:$AN$13)</f>
        <v>-1.0999370089729277E-2</v>
      </c>
      <c r="P99" s="2" t="s">
        <v>90</v>
      </c>
      <c r="Q99" s="10" cm="1">
        <f t="array" aca="1" ref="Q99:U99" ca="1">_xlfn.LET(_xlpm.array,_xlfn.RANDARRAY(1,COLUMNS(_xlfn.ANCHORARRAY(Q98)),0,1,FALSE),_xlpm.array/SUM(_xlpm.array))</f>
        <v>0.27732763985353492</v>
      </c>
      <c r="R99" s="2">
        <f ca="1"/>
        <v>0.23932842400729568</v>
      </c>
      <c r="S99" s="2">
        <f ca="1"/>
        <v>0.18655699196021791</v>
      </c>
      <c r="T99" s="2">
        <f ca="1"/>
        <v>0.16422015864528303</v>
      </c>
      <c r="U99" s="2">
        <f ca="1"/>
        <v>0.13256678553366849</v>
      </c>
      <c r="V99" s="12"/>
      <c r="X99" s="2" cm="1">
        <f t="array" aca="1" ref="X99" ca="1">MMULT(MMULT(_xlfn.ANCHORARRAY(Q99),$Q$9:$U$13),TRANSPOSE(_xlfn.ANCHORARRAY(Q99)))</f>
        <v>2.8986408739301424E-4</v>
      </c>
      <c r="Y99" s="2">
        <f t="shared" ca="1" si="8"/>
        <v>1.7025395366716576E-2</v>
      </c>
      <c r="Z99" s="2" cm="1">
        <f t="array" aca="1" ref="Z99" ca="1">MMULT(_xlfn.ANCHORARRAY(Q99),TRANSPOSE($Q$3:$U$3))</f>
        <v>8.8785073089591544E-4</v>
      </c>
      <c r="AA99" s="11">
        <f ca="1">AVEDEV(Q99*$Q$3,R99*$R$3,S99*$S$3,T99*$T$3,U99*$U$3)</f>
        <v>5.0159421201956633E-5</v>
      </c>
      <c r="AB99" s="11" cm="1">
        <f t="array" aca="1" ref="AB99" ca="1">MMULT(_xlfn.ANCHORARRAY(Q99),TRANSPOSE($Q$6:$U$6))</f>
        <v>-2.2788443242566358E-2</v>
      </c>
      <c r="AD99" s="2" t="s">
        <v>90</v>
      </c>
      <c r="AE99" s="10" cm="1">
        <f t="array" aca="1" ref="AE99:AI99" ca="1">_xlfn.LET(_xlpm.array,_xlfn.RANDARRAY(1,COLUMNS(_xlfn.ANCHORARRAY(Q98)),-1,1,FALSE),_xlpm.array/SUM(_xlpm.array))</f>
        <v>3.871912245993105</v>
      </c>
      <c r="AF99" s="10">
        <f ca="1"/>
        <v>1.309045874323798</v>
      </c>
      <c r="AG99" s="10">
        <f ca="1"/>
        <v>-4.6366605591886065</v>
      </c>
      <c r="AH99" s="10">
        <f ca="1"/>
        <v>3.301061645168677</v>
      </c>
      <c r="AI99" s="10">
        <f ca="1"/>
        <v>-2.8453592062969735</v>
      </c>
      <c r="AJ99" s="1"/>
      <c r="AK99" s="2" cm="1">
        <f t="array" aca="1" ref="AK99" ca="1">MMULT(MMULT(_xlfn.ANCHORARRAY(AE99),$Q$9:$U$13),TRANSPOSE(_xlfn.ANCHORARRAY(AE99)))</f>
        <v>2.9946871191917687E-2</v>
      </c>
      <c r="AL99" s="2">
        <f t="shared" ca="1" si="9"/>
        <v>0.17305164313556137</v>
      </c>
      <c r="AM99" s="2" cm="1">
        <f t="array" aca="1" ref="AM99" ca="1">MMULT(_xlfn.ANCHORARRAY(AE100),TRANSPOSE($Q$3:$U$3))</f>
        <v>1.6145335381287185E-3</v>
      </c>
    </row>
    <row r="100" spans="1:39" x14ac:dyDescent="0.35">
      <c r="A100" s="3">
        <v>43973</v>
      </c>
      <c r="B100" s="4">
        <v>19.5717372894287</v>
      </c>
      <c r="C100" s="4">
        <v>70.228439331054602</v>
      </c>
      <c r="D100" s="4">
        <v>19.924577713012599</v>
      </c>
      <c r="E100" s="4">
        <v>9.9848651885986293</v>
      </c>
      <c r="F100" s="4">
        <v>174.80282592773401</v>
      </c>
      <c r="I100" s="5">
        <f>B100/B99-1</f>
        <v>-1.0480134581753786E-2</v>
      </c>
      <c r="J100" s="5">
        <f>C100/C99-1</f>
        <v>-1.9122304019614123E-2</v>
      </c>
      <c r="K100" s="5">
        <f>D100/D99-1</f>
        <v>-2.9736572356965585E-2</v>
      </c>
      <c r="L100" s="5">
        <f>E100/E99-1</f>
        <v>-1.859220212225865E-2</v>
      </c>
      <c r="M100" s="5">
        <f>F100/F99-1</f>
        <v>4.3603616663667744E-4</v>
      </c>
      <c r="N100" s="5">
        <f>SUMPRODUCT(I100:M100,$AJ$13:$AN$13)</f>
        <v>-2.0367215473000147E-2</v>
      </c>
      <c r="P100" s="2" t="s">
        <v>91</v>
      </c>
      <c r="Q100" s="10" cm="1">
        <f t="array" aca="1" ref="Q100:U100" ca="1">_xlfn.LET(_xlpm.array,_xlfn.RANDARRAY(1,COLUMNS(_xlfn.ANCHORARRAY(Q99)),0,1,FALSE),_xlpm.array/SUM(_xlpm.array))</f>
        <v>0.33565516941276541</v>
      </c>
      <c r="R100" s="2">
        <f ca="1"/>
        <v>0.19564811847455943</v>
      </c>
      <c r="S100" s="2">
        <f ca="1"/>
        <v>3.7174587703996453E-2</v>
      </c>
      <c r="T100" s="2">
        <f ca="1"/>
        <v>0.17161279674985744</v>
      </c>
      <c r="U100" s="2">
        <f ca="1"/>
        <v>0.25990932765882135</v>
      </c>
      <c r="V100" s="12"/>
      <c r="X100" s="2" cm="1">
        <f t="array" aca="1" ref="X100" ca="1">MMULT(MMULT(_xlfn.ANCHORARRAY(Q100),$Q$9:$U$13),TRANSPOSE(_xlfn.ANCHORARRAY(Q100)))</f>
        <v>2.6493156052924649E-4</v>
      </c>
      <c r="Y100" s="2">
        <f t="shared" ca="1" si="8"/>
        <v>1.6276718358724726E-2</v>
      </c>
      <c r="Z100" s="2" cm="1">
        <f t="array" aca="1" ref="Z100" ca="1">MMULT(_xlfn.ANCHORARRAY(Q100),TRANSPOSE($Q$3:$U$3))</f>
        <v>7.4795214933951718E-4</v>
      </c>
      <c r="AA100" s="11">
        <f ca="1">AVEDEV(Q100*$Q$3,R100*$R$3,S100*$S$3,T100*$T$3,U100*$U$3)</f>
        <v>3.8375761816901437E-5</v>
      </c>
      <c r="AB100" s="11" cm="1">
        <f t="array" aca="1" ref="AB100" ca="1">MMULT(_xlfn.ANCHORARRAY(Q100),TRANSPOSE($Q$6:$U$6))</f>
        <v>-2.1842525858968342E-2</v>
      </c>
      <c r="AD100" s="2" t="s">
        <v>91</v>
      </c>
      <c r="AE100" s="10" cm="1">
        <f t="array" aca="1" ref="AE100:AI100" ca="1">_xlfn.LET(_xlpm.array,_xlfn.RANDARRAY(1,COLUMNS(_xlfn.ANCHORARRAY(Q99)),-1,1,FALSE),_xlpm.array/SUM(_xlpm.array))</f>
        <v>-0.14519393052232979</v>
      </c>
      <c r="AF100" s="10">
        <f ca="1"/>
        <v>-0.53448797369091816</v>
      </c>
      <c r="AG100" s="10">
        <f ca="1"/>
        <v>0.71737869110115471</v>
      </c>
      <c r="AH100" s="10">
        <f ca="1"/>
        <v>0.69163683596343317</v>
      </c>
      <c r="AI100" s="10">
        <f ca="1"/>
        <v>0.2706663771486601</v>
      </c>
      <c r="AJ100" s="1"/>
      <c r="AK100" s="2" cm="1">
        <f t="array" aca="1" ref="AK100" ca="1">MMULT(MMULT(_xlfn.ANCHORARRAY(AE100),$Q$9:$U$13),TRANSPOSE(_xlfn.ANCHORARRAY(AE100)))</f>
        <v>6.7506937565334842E-4</v>
      </c>
      <c r="AL100" s="2">
        <f t="shared" ca="1" si="9"/>
        <v>2.5982097214300243E-2</v>
      </c>
      <c r="AM100" s="2" cm="1">
        <f t="array" aca="1" ref="AM100" ca="1">MMULT(_xlfn.ANCHORARRAY(AE101),TRANSPOSE($Q$3:$U$3))</f>
        <v>1.0887801747209919E-3</v>
      </c>
    </row>
    <row r="101" spans="1:39" x14ac:dyDescent="0.35">
      <c r="A101" s="3">
        <v>43977</v>
      </c>
      <c r="B101" s="4">
        <v>20.970952987670898</v>
      </c>
      <c r="C101" s="4">
        <v>72.577690124511705</v>
      </c>
      <c r="D101" s="4">
        <v>20.567607879638601</v>
      </c>
      <c r="E101" s="4">
        <v>10.133490562438899</v>
      </c>
      <c r="F101" s="4">
        <v>172.95492553710901</v>
      </c>
      <c r="I101" s="5">
        <f>B101/B100-1</f>
        <v>7.1491645199936116E-2</v>
      </c>
      <c r="J101" s="5">
        <f>C101/C100-1</f>
        <v>3.3451559166548073E-2</v>
      </c>
      <c r="K101" s="5">
        <f>D101/D100-1</f>
        <v>3.2273214312895648E-2</v>
      </c>
      <c r="L101" s="5">
        <f>E101/E100-1</f>
        <v>1.4885065650158236E-2</v>
      </c>
      <c r="M101" s="5">
        <f>F101/F100-1</f>
        <v>-1.0571341629161957E-2</v>
      </c>
      <c r="N101" s="5">
        <f>SUMPRODUCT(I101:M101,$AJ$13:$AN$13)</f>
        <v>-1.5446591548482934E-3</v>
      </c>
      <c r="P101" s="2" t="s">
        <v>92</v>
      </c>
      <c r="Q101" s="10" cm="1">
        <f t="array" aca="1" ref="Q101:U101" ca="1">_xlfn.LET(_xlpm.array,_xlfn.RANDARRAY(1,COLUMNS(_xlfn.ANCHORARRAY(Q100)),0,1,FALSE),_xlpm.array/SUM(_xlpm.array))</f>
        <v>4.3081525216675146E-2</v>
      </c>
      <c r="R101" s="2">
        <f ca="1"/>
        <v>0.34510061871118741</v>
      </c>
      <c r="S101" s="2">
        <f ca="1"/>
        <v>0.3017075755417476</v>
      </c>
      <c r="T101" s="2">
        <f ca="1"/>
        <v>4.4617321062539669E-3</v>
      </c>
      <c r="U101" s="2">
        <f ca="1"/>
        <v>0.30564854842413586</v>
      </c>
      <c r="V101" s="12"/>
      <c r="X101" s="2" cm="1">
        <f t="array" aca="1" ref="X101" ca="1">MMULT(MMULT(_xlfn.ANCHORARRAY(Q101),$Q$9:$U$13),TRANSPOSE(_xlfn.ANCHORARRAY(Q101)))</f>
        <v>2.977716430610037E-4</v>
      </c>
      <c r="Y101" s="2">
        <f t="shared" ca="1" si="8"/>
        <v>1.7256061052888162E-2</v>
      </c>
      <c r="Z101" s="2" cm="1">
        <f t="array" aca="1" ref="Z101" ca="1">MMULT(_xlfn.ANCHORARRAY(Q101),TRANSPOSE($Q$3:$U$3))</f>
        <v>1.0022099483042845E-3</v>
      </c>
      <c r="AA101" s="11">
        <f ca="1">AVEDEV(Q101*$Q$3,R101*$R$3,S101*$S$3,T101*$T$3,U101*$U$3)</f>
        <v>1.4977190954797943E-4</v>
      </c>
      <c r="AB101" s="11" cm="1">
        <f t="array" aca="1" ref="AB101" ca="1">MMULT(_xlfn.ANCHORARRAY(Q101),TRANSPOSE($Q$6:$U$6))</f>
        <v>-2.2495916361648483E-2</v>
      </c>
      <c r="AD101" s="2" t="s">
        <v>92</v>
      </c>
      <c r="AE101" s="10" cm="1">
        <f t="array" aca="1" ref="AE101:AI101" ca="1">_xlfn.LET(_xlpm.array,_xlfn.RANDARRAY(1,COLUMNS(_xlfn.ANCHORARRAY(Q100)),-1,1,FALSE),_xlpm.array/SUM(_xlpm.array))</f>
        <v>-0.21142145343102123</v>
      </c>
      <c r="AF101" s="10">
        <f ca="1"/>
        <v>0.77662530833257959</v>
      </c>
      <c r="AG101" s="10">
        <f ca="1"/>
        <v>0.20613063405346516</v>
      </c>
      <c r="AH101" s="10">
        <f ca="1"/>
        <v>0.46525420816687341</v>
      </c>
      <c r="AI101" s="10">
        <f ca="1"/>
        <v>-0.23658869712189695</v>
      </c>
      <c r="AJ101" s="1"/>
      <c r="AK101" s="2" cm="1">
        <f t="array" aca="1" ref="AK101" ca="1">MMULT(MMULT(_xlfn.ANCHORARRAY(AE101),$Q$9:$U$13),TRANSPOSE(_xlfn.ANCHORARRAY(AE101)))</f>
        <v>6.0622490558560752E-4</v>
      </c>
      <c r="AL101" s="2">
        <f t="shared" ca="1" si="9"/>
        <v>2.4621634908868411E-2</v>
      </c>
      <c r="AM101" s="2" cm="1">
        <f t="array" aca="1" ref="AM101" ca="1">MMULT(_xlfn.ANCHORARRAY(AE102),TRANSPOSE($Q$3:$U$3))</f>
        <v>1.5754429421626056E-3</v>
      </c>
    </row>
    <row r="102" spans="1:39" x14ac:dyDescent="0.35">
      <c r="A102" s="3">
        <v>43978</v>
      </c>
      <c r="B102" s="4">
        <v>22.439262390136701</v>
      </c>
      <c r="C102" s="4">
        <v>73.044441223144503</v>
      </c>
      <c r="D102" s="4">
        <v>21.081106185913001</v>
      </c>
      <c r="E102" s="4">
        <v>10.3091382980346</v>
      </c>
      <c r="F102" s="4">
        <v>173.18351745605401</v>
      </c>
      <c r="I102" s="5">
        <f>B102/B101-1</f>
        <v>7.0016341333130727E-2</v>
      </c>
      <c r="J102" s="5">
        <f>C102/C101-1</f>
        <v>6.4310547474306645E-3</v>
      </c>
      <c r="K102" s="5">
        <f>D102/D101-1</f>
        <v>2.4966360175640467E-2</v>
      </c>
      <c r="L102" s="5">
        <f>E102/E101-1</f>
        <v>1.7333389172607738E-2</v>
      </c>
      <c r="M102" s="5">
        <f>F102/F101-1</f>
        <v>1.3216849316959323E-3</v>
      </c>
      <c r="N102" s="5">
        <f>SUMPRODUCT(I102:M102,$AJ$13:$AN$13)</f>
        <v>1.0795901219786954E-3</v>
      </c>
      <c r="P102" s="2" t="s">
        <v>93</v>
      </c>
      <c r="Q102" s="10" cm="1">
        <f t="array" aca="1" ref="Q102:U102" ca="1">_xlfn.LET(_xlpm.array,_xlfn.RANDARRAY(1,COLUMNS(_xlfn.ANCHORARRAY(Q101)),0,1,FALSE),_xlpm.array/SUM(_xlpm.array))</f>
        <v>0.13505540553348627</v>
      </c>
      <c r="R102" s="2">
        <f ca="1"/>
        <v>0.23819366989989532</v>
      </c>
      <c r="S102" s="2">
        <f ca="1"/>
        <v>0.25531842258473114</v>
      </c>
      <c r="T102" s="2">
        <f ca="1"/>
        <v>0.10336174947022046</v>
      </c>
      <c r="U102" s="2">
        <f ca="1"/>
        <v>0.2680707525116669</v>
      </c>
      <c r="V102" s="12"/>
      <c r="X102" s="2" cm="1">
        <f t="array" aca="1" ref="X102" ca="1">MMULT(MMULT(_xlfn.ANCHORARRAY(Q102),$Q$9:$U$13),TRANSPOSE(_xlfn.ANCHORARRAY(Q102)))</f>
        <v>2.8000581827804965E-4</v>
      </c>
      <c r="Y102" s="2">
        <f t="shared" ca="1" si="8"/>
        <v>1.6733374384087916E-2</v>
      </c>
      <c r="Z102" s="2" cm="1">
        <f t="array" aca="1" ref="Z102" ca="1">MMULT(_xlfn.ANCHORARRAY(Q102),TRANSPOSE($Q$3:$U$3))</f>
        <v>9.678481098114285E-4</v>
      </c>
      <c r="AA102" s="11">
        <f ca="1">AVEDEV(Q102*$Q$3,R102*$R$3,S102*$S$3,T102*$T$3,U102*$U$3)</f>
        <v>9.3013204115078083E-5</v>
      </c>
      <c r="AB102" s="11" cm="1">
        <f t="array" aca="1" ref="AB102" ca="1">MMULT(_xlfn.ANCHORARRAY(Q102),TRANSPOSE($Q$6:$U$6))</f>
        <v>-2.2753908571875574E-2</v>
      </c>
      <c r="AD102" s="2" t="s">
        <v>93</v>
      </c>
      <c r="AE102" s="10" cm="1">
        <f t="array" aca="1" ref="AE102:AI102" ca="1">_xlfn.LET(_xlpm.array,_xlfn.RANDARRAY(1,COLUMNS(_xlfn.ANCHORARRAY(Q101)),-1,1,FALSE),_xlpm.array/SUM(_xlpm.array))</f>
        <v>-0.67760560063721187</v>
      </c>
      <c r="AF102" s="10">
        <f ca="1"/>
        <v>0.14116506411685187</v>
      </c>
      <c r="AG102" s="10">
        <f ca="1"/>
        <v>0.54784309537303844</v>
      </c>
      <c r="AH102" s="10">
        <f ca="1"/>
        <v>0.66566779553881883</v>
      </c>
      <c r="AI102" s="10">
        <f ca="1"/>
        <v>0.32292964560850279</v>
      </c>
      <c r="AJ102" s="1"/>
      <c r="AK102" s="2" cm="1">
        <f t="array" aca="1" ref="AK102" ca="1">MMULT(MMULT(_xlfn.ANCHORARRAY(AE102),$Q$9:$U$13),TRANSPOSE(_xlfn.ANCHORARRAY(AE102)))</f>
        <v>6.3897688579585114E-4</v>
      </c>
      <c r="AL102" s="2">
        <f t="shared" ca="1" si="9"/>
        <v>2.5277992123502437E-2</v>
      </c>
      <c r="AM102" s="2" cm="1">
        <f t="array" aca="1" ref="AM102" ca="1">MMULT(_xlfn.ANCHORARRAY(AE103),TRANSPOSE($Q$3:$U$3))</f>
        <v>1.2536401659983473E-3</v>
      </c>
    </row>
    <row r="103" spans="1:39" x14ac:dyDescent="0.35">
      <c r="A103" s="3">
        <v>43979</v>
      </c>
      <c r="B103" s="4">
        <v>21.471906661987301</v>
      </c>
      <c r="C103" s="4">
        <v>70.687423706054602</v>
      </c>
      <c r="D103" s="4">
        <v>21.085725784301701</v>
      </c>
      <c r="E103" s="4">
        <v>10.113224029541</v>
      </c>
      <c r="F103" s="4">
        <v>172.79296875</v>
      </c>
      <c r="I103" s="5">
        <f>B103/B102-1</f>
        <v>-4.3109961073168224E-2</v>
      </c>
      <c r="J103" s="5">
        <f>C103/C102-1</f>
        <v>-3.2268266792395806E-2</v>
      </c>
      <c r="K103" s="5">
        <f>D103/D102-1</f>
        <v>2.1913453440070008E-4</v>
      </c>
      <c r="L103" s="5">
        <f>E103/E102-1</f>
        <v>-1.9003942214156799E-2</v>
      </c>
      <c r="M103" s="5">
        <f>F103/F102-1</f>
        <v>-2.2551147579797926E-3</v>
      </c>
      <c r="N103" s="5">
        <f>SUMPRODUCT(I103:M103,$AJ$13:$AN$13)</f>
        <v>4.0062095419981583E-3</v>
      </c>
      <c r="P103" s="2" t="s">
        <v>94</v>
      </c>
      <c r="Q103" s="10" cm="1">
        <f t="array" aca="1" ref="Q103:U103" ca="1">_xlfn.LET(_xlpm.array,_xlfn.RANDARRAY(1,COLUMNS(_xlfn.ANCHORARRAY(Q102)),0,1,FALSE),_xlpm.array/SUM(_xlpm.array))</f>
        <v>0.22820598108642523</v>
      </c>
      <c r="R103" s="2">
        <f ca="1"/>
        <v>4.7509015252994467E-2</v>
      </c>
      <c r="S103" s="2">
        <f ca="1"/>
        <v>0.36019159564521369</v>
      </c>
      <c r="T103" s="2">
        <f ca="1"/>
        <v>0.18480682995715386</v>
      </c>
      <c r="U103" s="2">
        <f ca="1"/>
        <v>0.17928657805821277</v>
      </c>
      <c r="V103" s="12"/>
      <c r="X103" s="2" cm="1">
        <f t="array" aca="1" ref="X103" ca="1">MMULT(MMULT(_xlfn.ANCHORARRAY(Q103),$Q$9:$U$13),TRANSPOSE(_xlfn.ANCHORARRAY(Q103)))</f>
        <v>3.2336356627700935E-4</v>
      </c>
      <c r="Y103" s="2">
        <f t="shared" ca="1" si="8"/>
        <v>1.7982312595353506E-2</v>
      </c>
      <c r="Z103" s="2" cm="1">
        <f t="array" aca="1" ref="Z103" ca="1">MMULT(_xlfn.ANCHORARRAY(Q103),TRANSPOSE($Q$3:$U$3))</f>
        <v>1.0615590478126424E-3</v>
      </c>
      <c r="AA103" s="11">
        <f ca="1">AVEDEV(Q103*$Q$3,R103*$R$3,S103*$S$3,T103*$T$3,U103*$U$3)</f>
        <v>1.4905584810217146E-4</v>
      </c>
      <c r="AB103" s="11" cm="1">
        <f t="array" aca="1" ref="AB103" ca="1">MMULT(_xlfn.ANCHORARRAY(Q103),TRANSPOSE($Q$6:$U$6))</f>
        <v>-2.394854295537124E-2</v>
      </c>
      <c r="AD103" s="2" t="s">
        <v>94</v>
      </c>
      <c r="AE103" s="10" cm="1">
        <f t="array" aca="1" ref="AE103:AI103" ca="1">_xlfn.LET(_xlpm.array,_xlfn.RANDARRAY(1,COLUMNS(_xlfn.ANCHORARRAY(Q102)),-1,1,FALSE),_xlpm.array/SUM(_xlpm.array))</f>
        <v>0.11877649596332916</v>
      </c>
      <c r="AF103" s="10">
        <f ca="1"/>
        <v>-0.38921064344369266</v>
      </c>
      <c r="AG103" s="10">
        <f ca="1"/>
        <v>0.51635330071434338</v>
      </c>
      <c r="AH103" s="10">
        <f ca="1"/>
        <v>0.24212763838545392</v>
      </c>
      <c r="AI103" s="10">
        <f ca="1"/>
        <v>0.51195320838056624</v>
      </c>
      <c r="AJ103" s="1"/>
      <c r="AK103" s="2" cm="1">
        <f t="array" aca="1" ref="AK103" ca="1">MMULT(MMULT(_xlfn.ANCHORARRAY(AE103),$Q$9:$U$13),TRANSPOSE(_xlfn.ANCHORARRAY(AE103)))</f>
        <v>4.6263223130792554E-4</v>
      </c>
      <c r="AL103" s="2">
        <f t="shared" ca="1" si="9"/>
        <v>2.1508887263359897E-2</v>
      </c>
      <c r="AM103" s="2" cm="1">
        <f t="array" aca="1" ref="AM103" ca="1">MMULT(_xlfn.ANCHORARRAY(AE104),TRANSPOSE($Q$3:$U$3))</f>
        <v>1.1258742295249479E-3</v>
      </c>
    </row>
    <row r="104" spans="1:39" x14ac:dyDescent="0.35">
      <c r="A104" s="3">
        <v>43980</v>
      </c>
      <c r="B104" s="4">
        <v>20.832756042480401</v>
      </c>
      <c r="C104" s="4">
        <v>71.333061218261705</v>
      </c>
      <c r="D104" s="4">
        <v>22.963922500610298</v>
      </c>
      <c r="E104" s="4">
        <v>9.8565073013305593</v>
      </c>
      <c r="F104" s="4">
        <v>174.55522155761699</v>
      </c>
      <c r="I104" s="5">
        <f>B104/B103-1</f>
        <v>-2.9766831123498538E-2</v>
      </c>
      <c r="J104" s="5">
        <f>C104/C103-1</f>
        <v>9.1336970334625622E-3</v>
      </c>
      <c r="K104" s="5">
        <f>D104/D103-1</f>
        <v>8.9074321440095305E-2</v>
      </c>
      <c r="L104" s="5">
        <f>E104/E103-1</f>
        <v>-2.5384261978234068E-2</v>
      </c>
      <c r="M104" s="5">
        <f>F104/F103-1</f>
        <v>1.01986372499141E-2</v>
      </c>
      <c r="N104" s="5">
        <f>SUMPRODUCT(I104:M104,$AJ$13:$AN$13)</f>
        <v>4.6234141127844894E-2</v>
      </c>
      <c r="P104" s="2" t="s">
        <v>95</v>
      </c>
      <c r="Q104" s="10" cm="1">
        <f t="array" aca="1" ref="Q104:U104" ca="1">_xlfn.LET(_xlpm.array,_xlfn.RANDARRAY(1,COLUMNS(_xlfn.ANCHORARRAY(Q103)),0,1,FALSE),_xlpm.array/SUM(_xlpm.array))</f>
        <v>3.7668658958079422E-2</v>
      </c>
      <c r="R104" s="2">
        <f ca="1"/>
        <v>0.43408640695051404</v>
      </c>
      <c r="S104" s="2">
        <f ca="1"/>
        <v>0.39560608065857344</v>
      </c>
      <c r="T104" s="2">
        <f ca="1"/>
        <v>2.027068282975052E-2</v>
      </c>
      <c r="U104" s="2">
        <f ca="1"/>
        <v>0.11236817060308256</v>
      </c>
      <c r="V104" s="12"/>
      <c r="X104" s="2" cm="1">
        <f t="array" aca="1" ref="X104" ca="1">MMULT(MMULT(_xlfn.ANCHORARRAY(Q104),$Q$9:$U$13),TRANSPOSE(_xlfn.ANCHORARRAY(Q104)))</f>
        <v>3.5598383970384285E-4</v>
      </c>
      <c r="Y104" s="2">
        <f t="shared" ca="1" si="8"/>
        <v>1.8867534012261454E-2</v>
      </c>
      <c r="Z104" s="2" cm="1">
        <f t="array" aca="1" ref="Z104" ca="1">MMULT(_xlfn.ANCHORARRAY(Q104),TRANSPOSE($Q$3:$U$3))</f>
        <v>1.0852504815639782E-3</v>
      </c>
      <c r="AA104" s="11">
        <f ca="1">AVEDEV(Q104*$Q$3,R104*$R$3,S104*$S$3,T104*$T$3,U104*$U$3)</f>
        <v>2.101404933335535E-4</v>
      </c>
      <c r="AB104" s="11" cm="1">
        <f t="array" aca="1" ref="AB104" ca="1">MMULT(_xlfn.ANCHORARRAY(Q104),TRANSPOSE($Q$6:$U$6))</f>
        <v>-2.3268590358253721E-2</v>
      </c>
      <c r="AD104" s="2" t="s">
        <v>95</v>
      </c>
      <c r="AE104" s="10" cm="1">
        <f t="array" aca="1" ref="AE104:AI104" ca="1">_xlfn.LET(_xlpm.array,_xlfn.RANDARRAY(1,COLUMNS(_xlfn.ANCHORARRAY(Q103)),-1,1,FALSE),_xlpm.array/SUM(_xlpm.array))</f>
        <v>0.58076045002523113</v>
      </c>
      <c r="AF104" s="10">
        <f ca="1"/>
        <v>0.17070445673437618</v>
      </c>
      <c r="AG104" s="10">
        <f ca="1"/>
        <v>0.46480149703590518</v>
      </c>
      <c r="AH104" s="10">
        <f ca="1"/>
        <v>0.45420837034370537</v>
      </c>
      <c r="AI104" s="10">
        <f ca="1"/>
        <v>-0.67047477413921786</v>
      </c>
      <c r="AJ104" s="1"/>
      <c r="AK104" s="2" cm="1">
        <f t="array" aca="1" ref="AK104" ca="1">MMULT(MMULT(_xlfn.ANCHORARRAY(AE104),$Q$9:$U$13),TRANSPOSE(_xlfn.ANCHORARRAY(AE104)))</f>
        <v>7.4263013641867083E-4</v>
      </c>
      <c r="AL104" s="2">
        <f t="shared" ca="1" si="9"/>
        <v>2.7251241006946286E-2</v>
      </c>
      <c r="AM104" s="2" cm="1">
        <f t="array" aca="1" ref="AM104" ca="1">MMULT(_xlfn.ANCHORARRAY(AE105),TRANSPOSE($Q$3:$U$3))</f>
        <v>1.6129235499025968E-3</v>
      </c>
    </row>
    <row r="105" spans="1:39" x14ac:dyDescent="0.35">
      <c r="A105" s="3">
        <v>43983</v>
      </c>
      <c r="B105" s="4">
        <v>21.255975723266602</v>
      </c>
      <c r="C105" s="4">
        <v>72.180961608886705</v>
      </c>
      <c r="D105" s="4">
        <v>22.8390197753906</v>
      </c>
      <c r="E105" s="4">
        <v>10.059179306030201</v>
      </c>
      <c r="F105" s="4">
        <v>174.15509033203099</v>
      </c>
      <c r="I105" s="5">
        <f>B105/B104-1</f>
        <v>2.0315107608575911E-2</v>
      </c>
      <c r="J105" s="5">
        <f>C105/C104-1</f>
        <v>1.1886499417579133E-2</v>
      </c>
      <c r="K105" s="5">
        <f>D105/D104-1</f>
        <v>-5.4390849479821757E-3</v>
      </c>
      <c r="L105" s="5">
        <f>E105/E104-1</f>
        <v>2.0562253798795727E-2</v>
      </c>
      <c r="M105" s="5">
        <f>F105/F104-1</f>
        <v>-2.2922902106020659E-3</v>
      </c>
      <c r="N105" s="5">
        <f>SUMPRODUCT(I105:M105,$AJ$13:$AN$13)</f>
        <v>-2.5468860635289464E-4</v>
      </c>
      <c r="P105" s="2" t="s">
        <v>96</v>
      </c>
      <c r="Q105" s="10" cm="1">
        <f t="array" aca="1" ref="Q105:U105" ca="1">_xlfn.LET(_xlpm.array,_xlfn.RANDARRAY(1,COLUMNS(_xlfn.ANCHORARRAY(Q104)),0,1,FALSE),_xlpm.array/SUM(_xlpm.array))</f>
        <v>0.15887334845084808</v>
      </c>
      <c r="R105" s="2">
        <f ca="1"/>
        <v>0.13419670979504134</v>
      </c>
      <c r="S105" s="2">
        <f ca="1"/>
        <v>0.28084180411484877</v>
      </c>
      <c r="T105" s="2">
        <f ca="1"/>
        <v>0.22047995796202352</v>
      </c>
      <c r="U105" s="2">
        <f ca="1"/>
        <v>0.20560817967723827</v>
      </c>
      <c r="V105" s="12"/>
      <c r="X105" s="2" cm="1">
        <f t="array" aca="1" ref="X105" ca="1">MMULT(MMULT(_xlfn.ANCHORARRAY(Q105),$Q$9:$U$13),TRANSPOSE(_xlfn.ANCHORARRAY(Q105)))</f>
        <v>2.9417280023965231E-4</v>
      </c>
      <c r="Y105" s="2">
        <f t="shared" ca="1" si="8"/>
        <v>1.7151466416596928E-2</v>
      </c>
      <c r="Z105" s="2" cm="1">
        <f t="array" aca="1" ref="Z105" ca="1">MMULT(_xlfn.ANCHORARRAY(Q105),TRANSPOSE($Q$3:$U$3))</f>
        <v>1.0173360703439461E-3</v>
      </c>
      <c r="AA105" s="11">
        <f ca="1">AVEDEV(Q105*$Q$3,R105*$R$3,S105*$S$3,T105*$T$3,U105*$U$3)</f>
        <v>1.0975959203179111E-4</v>
      </c>
      <c r="AB105" s="11" cm="1">
        <f t="array" aca="1" ref="AB105" ca="1">MMULT(_xlfn.ANCHORARRAY(Q105),TRANSPOSE($Q$6:$U$6))</f>
        <v>-2.3509098108916368E-2</v>
      </c>
      <c r="AD105" s="2" t="s">
        <v>96</v>
      </c>
      <c r="AE105" s="10" cm="1">
        <f t="array" aca="1" ref="AE105:AI105" ca="1">_xlfn.LET(_xlpm.array,_xlfn.RANDARRAY(1,COLUMNS(_xlfn.ANCHORARRAY(Q104)),-1,1,FALSE),_xlpm.array/SUM(_xlpm.array))</f>
        <v>0.80956752911914698</v>
      </c>
      <c r="AF105" s="10">
        <f ca="1"/>
        <v>-2.4968579663393697</v>
      </c>
      <c r="AG105" s="10">
        <f ca="1"/>
        <v>1.1462294369027515</v>
      </c>
      <c r="AH105" s="10">
        <f ca="1"/>
        <v>-5.9964964561499634E-2</v>
      </c>
      <c r="AI105" s="10">
        <f ca="1"/>
        <v>1.6010259648789709</v>
      </c>
      <c r="AJ105" s="1"/>
      <c r="AK105" s="2" cm="1">
        <f t="array" aca="1" ref="AK105" ca="1">MMULT(MMULT(_xlfn.ANCHORARRAY(AE105),$Q$9:$U$13),TRANSPOSE(_xlfn.ANCHORARRAY(AE105)))</f>
        <v>3.6096131697319145E-3</v>
      </c>
      <c r="AL105" s="2">
        <f t="shared" ca="1" si="9"/>
        <v>6.0080056339287119E-2</v>
      </c>
      <c r="AM105" s="2" cm="1">
        <f t="array" aca="1" ref="AM105" ca="1">MMULT(_xlfn.ANCHORARRAY(AE106),TRANSPOSE($Q$3:$U$3))</f>
        <v>9.8853534005637696E-4</v>
      </c>
    </row>
    <row r="106" spans="1:39" x14ac:dyDescent="0.35">
      <c r="A106" s="3">
        <v>43984</v>
      </c>
      <c r="B106" s="4">
        <v>21.454631805419901</v>
      </c>
      <c r="C106" s="4">
        <v>73.658966064453097</v>
      </c>
      <c r="D106" s="4">
        <v>22.7372436523437</v>
      </c>
      <c r="E106" s="4">
        <v>10.2956275939941</v>
      </c>
      <c r="F106" s="4">
        <v>176.13641357421801</v>
      </c>
      <c r="I106" s="5">
        <f>B106/B105-1</f>
        <v>9.3458933496923802E-3</v>
      </c>
      <c r="J106" s="5">
        <f>C106/C105-1</f>
        <v>2.047637524663326E-2</v>
      </c>
      <c r="K106" s="5">
        <f>D106/D105-1</f>
        <v>-4.4562386673251408E-3</v>
      </c>
      <c r="L106" s="5">
        <f>E106/E105-1</f>
        <v>2.3505723555613978E-2</v>
      </c>
      <c r="M106" s="5">
        <f>F106/F105-1</f>
        <v>1.1376774795439859E-2</v>
      </c>
      <c r="N106" s="5">
        <f>SUMPRODUCT(I106:M106,$AJ$13:$AN$13)</f>
        <v>9.0895276711745882E-3</v>
      </c>
      <c r="P106" s="2" t="s">
        <v>97</v>
      </c>
      <c r="Q106" s="10" cm="1">
        <f t="array" aca="1" ref="Q106:U106" ca="1">_xlfn.LET(_xlpm.array,_xlfn.RANDARRAY(1,COLUMNS(_xlfn.ANCHORARRAY(Q105)),0,1,FALSE),_xlpm.array/SUM(_xlpm.array))</f>
        <v>0.19903250048742763</v>
      </c>
      <c r="R106" s="2">
        <f ca="1"/>
        <v>0.44214842323689024</v>
      </c>
      <c r="S106" s="2">
        <f ca="1"/>
        <v>0.18271315020969789</v>
      </c>
      <c r="T106" s="2">
        <f ca="1"/>
        <v>0.10363235290687887</v>
      </c>
      <c r="U106" s="2">
        <f ca="1"/>
        <v>7.2473573159105381E-2</v>
      </c>
      <c r="V106" s="12"/>
      <c r="X106" s="2" cm="1">
        <f t="array" aca="1" ref="X106" ca="1">MMULT(MMULT(_xlfn.ANCHORARRAY(Q106),$Q$9:$U$13),TRANSPOSE(_xlfn.ANCHORARRAY(Q106)))</f>
        <v>3.1253475929045739E-4</v>
      </c>
      <c r="Y106" s="2">
        <f t="shared" ca="1" si="8"/>
        <v>1.7678652643526242E-2</v>
      </c>
      <c r="Z106" s="2" cm="1">
        <f t="array" aca="1" ref="Z106" ca="1">MMULT(_xlfn.ANCHORARRAY(Q106),TRANSPOSE($Q$3:$U$3))</f>
        <v>8.8206213862573901E-4</v>
      </c>
      <c r="AA106" s="11">
        <f ca="1">AVEDEV(Q106*$Q$3,R106*$R$3,S106*$S$3,T106*$T$3,U106*$U$3)</f>
        <v>1.0671019438608282E-4</v>
      </c>
      <c r="AB106" s="11" cm="1">
        <f t="array" aca="1" ref="AB106" ca="1">MMULT(_xlfn.ANCHORARRAY(Q106),TRANSPOSE($Q$6:$U$6))</f>
        <v>-2.2435865062722923E-2</v>
      </c>
      <c r="AD106" s="2" t="s">
        <v>97</v>
      </c>
      <c r="AE106" s="10" cm="1">
        <f t="array" aca="1" ref="AE106:AI106" ca="1">_xlfn.LET(_xlpm.array,_xlfn.RANDARRAY(1,COLUMNS(_xlfn.ANCHORARRAY(Q105)),-1,1,FALSE),_xlpm.array/SUM(_xlpm.array))</f>
        <v>0.13737252740954592</v>
      </c>
      <c r="AF106" s="10">
        <f ca="1"/>
        <v>0.29620949615347125</v>
      </c>
      <c r="AG106" s="10">
        <f ca="1"/>
        <v>0.11585351365072838</v>
      </c>
      <c r="AH106" s="10">
        <f ca="1"/>
        <v>0.66072673319274189</v>
      </c>
      <c r="AI106" s="10">
        <f ca="1"/>
        <v>-0.21016227040648741</v>
      </c>
      <c r="AJ106" s="1"/>
      <c r="AK106" s="2" cm="1">
        <f t="array" aca="1" ref="AK106" ca="1">MMULT(MMULT(_xlfn.ANCHORARRAY(AE106),$Q$9:$U$13),TRANSPOSE(_xlfn.ANCHORARRAY(AE106)))</f>
        <v>5.2030722761069648E-4</v>
      </c>
      <c r="AL106" s="2">
        <f t="shared" ca="1" si="9"/>
        <v>2.2810243918263928E-2</v>
      </c>
      <c r="AM106" s="2" cm="1">
        <f t="array" aca="1" ref="AM106" ca="1">MMULT(_xlfn.ANCHORARRAY(AE107),TRANSPOSE($Q$3:$U$3))</f>
        <v>2.9845587758235757E-4</v>
      </c>
    </row>
    <row r="107" spans="1:39" x14ac:dyDescent="0.35">
      <c r="A107" s="3">
        <v>43985</v>
      </c>
      <c r="B107" s="4">
        <v>22.447900772094702</v>
      </c>
      <c r="C107" s="4">
        <v>75.595909118652301</v>
      </c>
      <c r="D107" s="4">
        <v>22.5799541473388</v>
      </c>
      <c r="E107" s="4">
        <v>10.6942129135131</v>
      </c>
      <c r="F107" s="4">
        <v>176.56506347656199</v>
      </c>
      <c r="I107" s="5">
        <f>B107/B106-1</f>
        <v>4.6296248552905928E-2</v>
      </c>
      <c r="J107" s="5">
        <f>C107/C106-1</f>
        <v>2.6296093438296975E-2</v>
      </c>
      <c r="K107" s="5">
        <f>D107/D106-1</f>
        <v>-6.9177032805683991E-3</v>
      </c>
      <c r="L107" s="5">
        <f>E107/E106-1</f>
        <v>3.8714038156499875E-2</v>
      </c>
      <c r="M107" s="5">
        <f>F107/F106-1</f>
        <v>2.4336245620406594E-3</v>
      </c>
      <c r="N107" s="5">
        <f>SUMPRODUCT(I107:M107,$AJ$13:$AN$13)</f>
        <v>1.0494715241291443E-3</v>
      </c>
      <c r="P107" s="2" t="s">
        <v>98</v>
      </c>
      <c r="Q107" s="10" cm="1">
        <f t="array" aca="1" ref="Q107:U107" ca="1">_xlfn.LET(_xlpm.array,_xlfn.RANDARRAY(1,COLUMNS(_xlfn.ANCHORARRAY(Q106)),0,1,FALSE),_xlpm.array/SUM(_xlpm.array))</f>
        <v>0.31031761492185916</v>
      </c>
      <c r="R107" s="2">
        <f ca="1"/>
        <v>4.6236053264326123E-2</v>
      </c>
      <c r="S107" s="2">
        <f ca="1"/>
        <v>0.32310864174566017</v>
      </c>
      <c r="T107" s="2">
        <f ca="1"/>
        <v>0.29496817995544594</v>
      </c>
      <c r="U107" s="2">
        <f ca="1"/>
        <v>2.5369510112708684E-2</v>
      </c>
      <c r="V107" s="12"/>
      <c r="X107" s="2" cm="1">
        <f t="array" aca="1" ref="X107" ca="1">MMULT(MMULT(_xlfn.ANCHORARRAY(Q107),$Q$9:$U$13),TRANSPOSE(_xlfn.ANCHORARRAY(Q107)))</f>
        <v>3.447070038237822E-4</v>
      </c>
      <c r="Y107" s="2">
        <f t="shared" ca="1" si="8"/>
        <v>1.8566286753785265E-2</v>
      </c>
      <c r="Z107" s="2" cm="1">
        <f t="array" aca="1" ref="Z107" ca="1">MMULT(_xlfn.ANCHORARRAY(Q107),TRANSPOSE($Q$3:$U$3))</f>
        <v>1.0369583300288117E-3</v>
      </c>
      <c r="AA107" s="11">
        <f ca="1">AVEDEV(Q107*$Q$3,R107*$R$3,S107*$S$3,T107*$T$3,U107*$U$3)</f>
        <v>1.6451595861577111E-4</v>
      </c>
      <c r="AB107" s="11" cm="1">
        <f t="array" aca="1" ref="AB107" ca="1">MMULT(_xlfn.ANCHORARRAY(Q107),TRANSPOSE($Q$6:$U$6))</f>
        <v>-2.4363577481345877E-2</v>
      </c>
      <c r="AD107" s="2" t="s">
        <v>98</v>
      </c>
      <c r="AE107" s="10" cm="1">
        <f t="array" aca="1" ref="AE107:AI107" ca="1">_xlfn.LET(_xlpm.array,_xlfn.RANDARRAY(1,COLUMNS(_xlfn.ANCHORARRAY(Q106)),-1,1,FALSE),_xlpm.array/SUM(_xlpm.array))</f>
        <v>-0.1292439828368199</v>
      </c>
      <c r="AF107" s="10">
        <f ca="1"/>
        <v>0.49603326774991874</v>
      </c>
      <c r="AG107" s="10">
        <f ca="1"/>
        <v>-0.80966689082025811</v>
      </c>
      <c r="AH107" s="10">
        <f ca="1"/>
        <v>0.83045352888522295</v>
      </c>
      <c r="AI107" s="10">
        <f ca="1"/>
        <v>0.61242407702193635</v>
      </c>
      <c r="AJ107" s="1"/>
      <c r="AK107" s="2" cm="1">
        <f t="array" aca="1" ref="AK107" ca="1">MMULT(MMULT(_xlfn.ANCHORARRAY(AE107),$Q$9:$U$13),TRANSPOSE(_xlfn.ANCHORARRAY(AE107)))</f>
        <v>9.6790794413130011E-4</v>
      </c>
      <c r="AL107" s="2">
        <f t="shared" ca="1" si="9"/>
        <v>3.1111218943193148E-2</v>
      </c>
      <c r="AM107" s="2" cm="1">
        <f t="array" aca="1" ref="AM107" ca="1">MMULT(_xlfn.ANCHORARRAY(AE108),TRANSPOSE($Q$3:$U$3))</f>
        <v>7.108829086994806E-4</v>
      </c>
    </row>
    <row r="108" spans="1:39" x14ac:dyDescent="0.35">
      <c r="A108" s="3">
        <v>43986</v>
      </c>
      <c r="B108" s="4">
        <v>23.291540145873999</v>
      </c>
      <c r="C108" s="4">
        <v>74.895835876464801</v>
      </c>
      <c r="D108" s="4">
        <v>22.7603740692138</v>
      </c>
      <c r="E108" s="4">
        <v>10.700965881347599</v>
      </c>
      <c r="F108" s="4">
        <v>174.240798950195</v>
      </c>
      <c r="I108" s="5">
        <f>B108/B107-1</f>
        <v>3.7582105442484748E-2</v>
      </c>
      <c r="J108" s="5">
        <f>C108/C107-1</f>
        <v>-9.2607291895742128E-3</v>
      </c>
      <c r="K108" s="5">
        <f>D108/D107-1</f>
        <v>7.9902696302092124E-3</v>
      </c>
      <c r="L108" s="5">
        <f>E108/E107-1</f>
        <v>6.3146001385172568E-4</v>
      </c>
      <c r="M108" s="5">
        <f>F108/F107-1</f>
        <v>-1.3163784956107816E-2</v>
      </c>
      <c r="N108" s="5">
        <f>SUMPRODUCT(I108:M108,$AJ$13:$AN$13)</f>
        <v>-1.0507789344726536E-2</v>
      </c>
      <c r="P108" s="2" t="s">
        <v>99</v>
      </c>
      <c r="Q108" s="10" cm="1">
        <f t="array" aca="1" ref="Q108:U108" ca="1">_xlfn.LET(_xlpm.array,_xlfn.RANDARRAY(1,COLUMNS(_xlfn.ANCHORARRAY(Q107)),0,1,FALSE),_xlpm.array/SUM(_xlpm.array))</f>
        <v>0.20199250497672314</v>
      </c>
      <c r="R108" s="2">
        <f ca="1"/>
        <v>3.6512678748307985E-2</v>
      </c>
      <c r="S108" s="2">
        <f ca="1"/>
        <v>0.23770679960048324</v>
      </c>
      <c r="T108" s="2">
        <f ca="1"/>
        <v>8.4942314990562762E-2</v>
      </c>
      <c r="U108" s="2">
        <f ca="1"/>
        <v>0.43884570168392284</v>
      </c>
      <c r="V108" s="12"/>
      <c r="X108" s="2" cm="1">
        <f t="array" aca="1" ref="X108" ca="1">MMULT(MMULT(_xlfn.ANCHORARRAY(Q108),$Q$9:$U$13),TRANSPOSE(_xlfn.ANCHORARRAY(Q108)))</f>
        <v>2.7718920174518041E-4</v>
      </c>
      <c r="Y108" s="2">
        <f t="shared" ca="1" si="8"/>
        <v>1.6649000022379134E-2</v>
      </c>
      <c r="Z108" s="2" cm="1">
        <f t="array" aca="1" ref="Z108" ca="1">MMULT(_xlfn.ANCHORARRAY(Q108),TRANSPOSE($Q$3:$U$3))</f>
        <v>9.3779227697883701E-4</v>
      </c>
      <c r="AA108" s="11">
        <f ca="1">AVEDEV(Q108*$Q$3,R108*$R$3,S108*$S$3,T108*$T$3,U108*$U$3)</f>
        <v>1.3862877038236767E-4</v>
      </c>
      <c r="AB108" s="11" cm="1">
        <f t="array" aca="1" ref="AB108" ca="1">MMULT(_xlfn.ANCHORARRAY(Q108),TRANSPOSE($Q$6:$U$6))</f>
        <v>-2.2541847663776222E-2</v>
      </c>
      <c r="AD108" s="2" t="s">
        <v>99</v>
      </c>
      <c r="AE108" s="10" cm="1">
        <f t="array" aca="1" ref="AE108:AI108" ca="1">_xlfn.LET(_xlpm.array,_xlfn.RANDARRAY(1,COLUMNS(_xlfn.ANCHORARRAY(Q107)),-1,1,FALSE),_xlpm.array/SUM(_xlpm.array))</f>
        <v>-0.49173913361952082</v>
      </c>
      <c r="AF108" s="10">
        <f ca="1"/>
        <v>0.59750630928544224</v>
      </c>
      <c r="AG108" s="10">
        <f ca="1"/>
        <v>-0.43682704675200612</v>
      </c>
      <c r="AH108" s="10">
        <f ca="1"/>
        <v>0.84056509867897133</v>
      </c>
      <c r="AI108" s="10">
        <f ca="1"/>
        <v>0.49049477240711331</v>
      </c>
      <c r="AJ108" s="1"/>
      <c r="AK108" s="2" cm="1">
        <f t="array" aca="1" ref="AK108" ca="1">MMULT(MMULT(_xlfn.ANCHORARRAY(AE108),$Q$9:$U$13),TRANSPOSE(_xlfn.ANCHORARRAY(AE108)))</f>
        <v>7.641502606987136E-4</v>
      </c>
      <c r="AL108" s="2">
        <f t="shared" ca="1" si="9"/>
        <v>2.764326790918023E-2</v>
      </c>
      <c r="AM108" s="2" cm="1">
        <f t="array" aca="1" ref="AM108" ca="1">MMULT(_xlfn.ANCHORARRAY(AE109),TRANSPOSE($Q$3:$U$3))</f>
        <v>1.9312272111471104E-3</v>
      </c>
    </row>
    <row r="109" spans="1:39" x14ac:dyDescent="0.35">
      <c r="A109" s="3">
        <v>43987</v>
      </c>
      <c r="B109" s="4">
        <v>24.448297500610298</v>
      </c>
      <c r="C109" s="4">
        <v>78.419692993164006</v>
      </c>
      <c r="D109" s="4">
        <v>23.371019363403299</v>
      </c>
      <c r="E109" s="4">
        <v>11.288706779479901</v>
      </c>
      <c r="F109" s="4">
        <v>178.31770324707</v>
      </c>
      <c r="I109" s="5">
        <f>B109/B108-1</f>
        <v>4.9664270696208712E-2</v>
      </c>
      <c r="J109" s="5">
        <f>C109/C108-1</f>
        <v>4.7050107331888968E-2</v>
      </c>
      <c r="K109" s="5">
        <f>D109/D108-1</f>
        <v>2.6829317142703424E-2</v>
      </c>
      <c r="L109" s="5">
        <f>E109/E108-1</f>
        <v>5.4924097941174477E-2</v>
      </c>
      <c r="M109" s="5">
        <f>F109/F108-1</f>
        <v>2.3398103781883783E-2</v>
      </c>
      <c r="N109" s="5">
        <f>SUMPRODUCT(I109:M109,$AJ$13:$AN$13)</f>
        <v>3.1543961770892172E-2</v>
      </c>
      <c r="P109" s="2" t="s">
        <v>100</v>
      </c>
      <c r="Q109" s="10" cm="1">
        <f t="array" aca="1" ref="Q109:U109" ca="1">_xlfn.LET(_xlpm.array,_xlfn.RANDARRAY(1,COLUMNS(_xlfn.ANCHORARRAY(Q108)),0,1,FALSE),_xlpm.array/SUM(_xlpm.array))</f>
        <v>0.2308135305367896</v>
      </c>
      <c r="R109" s="2">
        <f ca="1"/>
        <v>0.13039369459686453</v>
      </c>
      <c r="S109" s="2">
        <f ca="1"/>
        <v>4.4874266458596775E-2</v>
      </c>
      <c r="T109" s="2">
        <f ca="1"/>
        <v>0.16991205407340804</v>
      </c>
      <c r="U109" s="2">
        <f ca="1"/>
        <v>0.42400645433434114</v>
      </c>
      <c r="V109" s="12"/>
      <c r="X109" s="2" cm="1">
        <f t="array" aca="1" ref="X109" ca="1">MMULT(MMULT(_xlfn.ANCHORARRAY(Q109),$Q$9:$U$13),TRANSPOSE(_xlfn.ANCHORARRAY(Q109)))</f>
        <v>2.4444858844270469E-4</v>
      </c>
      <c r="Y109" s="2">
        <f t="shared" ca="1" si="8"/>
        <v>1.5634851724359418E-2</v>
      </c>
      <c r="Z109" s="2" cm="1">
        <f t="array" aca="1" ref="Z109" ca="1">MMULT(_xlfn.ANCHORARRAY(Q109),TRANSPOSE($Q$3:$U$3))</f>
        <v>7.8329254162677196E-4</v>
      </c>
      <c r="AA109" s="11">
        <f ca="1">AVEDEV(Q109*$Q$3,R109*$R$3,S109*$S$3,T109*$T$3,U109*$U$3)</f>
        <v>7.3828401311059523E-5</v>
      </c>
      <c r="AB109" s="11" cm="1">
        <f t="array" aca="1" ref="AB109" ca="1">MMULT(_xlfn.ANCHORARRAY(Q109),TRANSPOSE($Q$6:$U$6))</f>
        <v>-2.1702301880016758E-2</v>
      </c>
      <c r="AD109" s="2" t="s">
        <v>100</v>
      </c>
      <c r="AE109" s="10" cm="1">
        <f t="array" aca="1" ref="AE109:AI109" ca="1">_xlfn.LET(_xlpm.array,_xlfn.RANDARRAY(1,COLUMNS(_xlfn.ANCHORARRAY(Q108)),-1,1,FALSE),_xlpm.array/SUM(_xlpm.array))</f>
        <v>-0.36366718115590191</v>
      </c>
      <c r="AF109" s="10">
        <f ca="1"/>
        <v>-0.72239804811933728</v>
      </c>
      <c r="AG109" s="10">
        <f ca="1"/>
        <v>1.0899033392957151</v>
      </c>
      <c r="AH109" s="10">
        <f ca="1"/>
        <v>0.43487858512138478</v>
      </c>
      <c r="AI109" s="10">
        <f ca="1"/>
        <v>0.56128330485813915</v>
      </c>
      <c r="AJ109" s="1"/>
      <c r="AK109" s="2" cm="1">
        <f t="array" aca="1" ref="AK109" ca="1">MMULT(MMULT(_xlfn.ANCHORARRAY(AE109),$Q$9:$U$13),TRANSPOSE(_xlfn.ANCHORARRAY(AE109)))</f>
        <v>1.2158432206950691E-3</v>
      </c>
      <c r="AL109" s="2">
        <f t="shared" ca="1" si="9"/>
        <v>3.4868943498406559E-2</v>
      </c>
      <c r="AM109" s="2" cm="1">
        <f t="array" aca="1" ref="AM109" ca="1">MMULT(_xlfn.ANCHORARRAY(AE110),TRANSPOSE($Q$3:$U$3))</f>
        <v>-9.114626039894028E-4</v>
      </c>
    </row>
    <row r="110" spans="1:39" x14ac:dyDescent="0.35">
      <c r="A110" s="3">
        <v>43990</v>
      </c>
      <c r="B110" s="4">
        <v>24.822278976440401</v>
      </c>
      <c r="C110" s="4">
        <v>80.310005187988196</v>
      </c>
      <c r="D110" s="4">
        <v>23.898391723632798</v>
      </c>
      <c r="E110" s="4">
        <v>11.4913778305053</v>
      </c>
      <c r="F110" s="4">
        <v>179.42274475097599</v>
      </c>
      <c r="I110" s="5">
        <f>B110/B109-1</f>
        <v>1.5296831029676605E-2</v>
      </c>
      <c r="J110" s="5">
        <f>C110/C109-1</f>
        <v>2.4105070074540658E-2</v>
      </c>
      <c r="K110" s="5">
        <f>D110/D109-1</f>
        <v>2.2565227131483789E-2</v>
      </c>
      <c r="L110" s="5">
        <f>E110/E109-1</f>
        <v>1.795343390385562E-2</v>
      </c>
      <c r="M110" s="5">
        <f>F110/F109-1</f>
        <v>6.1970375559114999E-3</v>
      </c>
      <c r="N110" s="5">
        <f>SUMPRODUCT(I110:M110,$AJ$13:$AN$13)</f>
        <v>1.6994278483912641E-2</v>
      </c>
      <c r="P110" s="2" t="s">
        <v>101</v>
      </c>
      <c r="Q110" s="10" cm="1">
        <f t="array" aca="1" ref="Q110:U110" ca="1">_xlfn.LET(_xlpm.array,_xlfn.RANDARRAY(1,COLUMNS(_xlfn.ANCHORARRAY(Q109)),0,1,FALSE),_xlpm.array/SUM(_xlpm.array))</f>
        <v>0.26641479415688918</v>
      </c>
      <c r="R110" s="2">
        <f ca="1"/>
        <v>0.32511303825656729</v>
      </c>
      <c r="S110" s="2">
        <f ca="1"/>
        <v>7.311157454115895E-2</v>
      </c>
      <c r="T110" s="2">
        <f ca="1"/>
        <v>0.1693516993615653</v>
      </c>
      <c r="U110" s="2">
        <f ca="1"/>
        <v>0.16600889368381927</v>
      </c>
      <c r="V110" s="12"/>
      <c r="X110" s="2" cm="1">
        <f t="array" aca="1" ref="X110" ca="1">MMULT(MMULT(_xlfn.ANCHORARRAY(Q110),$Q$9:$U$13),TRANSPOSE(_xlfn.ANCHORARRAY(Q110)))</f>
        <v>2.8290256480510234E-4</v>
      </c>
      <c r="Y110" s="2">
        <f t="shared" ca="1" si="8"/>
        <v>1.6819707631379993E-2</v>
      </c>
      <c r="Z110" s="2" cm="1">
        <f t="array" aca="1" ref="Z110" ca="1">MMULT(_xlfn.ANCHORARRAY(Q110),TRANSPOSE($Q$3:$U$3))</f>
        <v>7.9153294155210989E-4</v>
      </c>
      <c r="AA110" s="11">
        <f ca="1">AVEDEV(Q110*$Q$3,R110*$R$3,S110*$S$3,T110*$T$3,U110*$U$3)</f>
        <v>3.7523862348059402E-5</v>
      </c>
      <c r="AB110" s="11" cm="1">
        <f t="array" aca="1" ref="AB110" ca="1">MMULT(_xlfn.ANCHORARRAY(Q110),TRANSPOSE($Q$6:$U$6))</f>
        <v>-2.2041840852211555E-2</v>
      </c>
      <c r="AD110" s="2" t="s">
        <v>101</v>
      </c>
      <c r="AE110" s="10" cm="1">
        <f t="array" aca="1" ref="AE110:AI110" ca="1">_xlfn.LET(_xlpm.array,_xlfn.RANDARRAY(1,COLUMNS(_xlfn.ANCHORARRAY(Q109)),-1,1,FALSE),_xlpm.array/SUM(_xlpm.array))</f>
        <v>0.32160412632639701</v>
      </c>
      <c r="AF110" s="10">
        <f ca="1"/>
        <v>0.39713965929488992</v>
      </c>
      <c r="AG110" s="10">
        <f ca="1"/>
        <v>0.22196835428983827</v>
      </c>
      <c r="AH110" s="10">
        <f ca="1"/>
        <v>-6.8964172238101051</v>
      </c>
      <c r="AI110" s="10">
        <f ca="1"/>
        <v>6.9557050838989793</v>
      </c>
      <c r="AJ110" s="1"/>
      <c r="AK110" s="2" cm="1">
        <f t="array" aca="1" ref="AK110" ca="1">MMULT(MMULT(_xlfn.ANCHORARRAY(AE110),$Q$9:$U$13),TRANSPOSE(_xlfn.ANCHORARRAY(AE110)))</f>
        <v>3.3288494138390787E-2</v>
      </c>
      <c r="AL110" s="2">
        <f t="shared" ca="1" si="9"/>
        <v>0.18245134731865037</v>
      </c>
      <c r="AM110" s="2" cm="1">
        <f t="array" aca="1" ref="AM110" ca="1">MMULT(_xlfn.ANCHORARRAY(AE111),TRANSPOSE($Q$3:$U$3))</f>
        <v>-1.5997832845691339E-3</v>
      </c>
    </row>
    <row r="111" spans="1:39" x14ac:dyDescent="0.35">
      <c r="A111" s="3">
        <v>43991</v>
      </c>
      <c r="B111" s="4">
        <v>24.543968200683501</v>
      </c>
      <c r="C111" s="4">
        <v>78.979759216308594</v>
      </c>
      <c r="D111" s="4">
        <v>23.144340515136701</v>
      </c>
      <c r="E111" s="4">
        <v>11.160350799560501</v>
      </c>
      <c r="F111" s="4">
        <v>180.79443359375</v>
      </c>
      <c r="I111" s="5">
        <f>B111/B110-1</f>
        <v>-1.1212136324027844E-2</v>
      </c>
      <c r="J111" s="5">
        <f>C111/C110-1</f>
        <v>-1.65638885038768E-2</v>
      </c>
      <c r="K111" s="5">
        <f>D111/D110-1</f>
        <v>-3.1552382989455618E-2</v>
      </c>
      <c r="L111" s="5">
        <f>E111/E110-1</f>
        <v>-2.8806557040187752E-2</v>
      </c>
      <c r="M111" s="5">
        <f>F111/F110-1</f>
        <v>7.6450109191996685E-3</v>
      </c>
      <c r="N111" s="5">
        <f>SUMPRODUCT(I111:M111,$AJ$13:$AN$13)</f>
        <v>-2.354936641894461E-2</v>
      </c>
      <c r="P111" s="2" t="s">
        <v>102</v>
      </c>
      <c r="Q111" s="10" cm="1">
        <f t="array" aca="1" ref="Q111:U111" ca="1">_xlfn.LET(_xlpm.array,_xlfn.RANDARRAY(1,COLUMNS(_xlfn.ANCHORARRAY(Q110)),0,1,FALSE),_xlpm.array/SUM(_xlpm.array))</f>
        <v>2.3375010288177765E-2</v>
      </c>
      <c r="R111" s="2">
        <f ca="1"/>
        <v>0.18652861415082023</v>
      </c>
      <c r="S111" s="2">
        <f ca="1"/>
        <v>0.17406474714792172</v>
      </c>
      <c r="T111" s="2">
        <f ca="1"/>
        <v>0.29525628132991977</v>
      </c>
      <c r="U111" s="2">
        <f ca="1"/>
        <v>0.32077534708316047</v>
      </c>
      <c r="V111" s="12"/>
      <c r="X111" s="2" cm="1">
        <f t="array" aca="1" ref="X111" ca="1">MMULT(MMULT(_xlfn.ANCHORARRAY(Q111),$Q$9:$U$13),TRANSPOSE(_xlfn.ANCHORARRAY(Q111)))</f>
        <v>2.7170453252139747E-4</v>
      </c>
      <c r="Y111" s="2">
        <f t="shared" ca="1" si="8"/>
        <v>1.6483462394818557E-2</v>
      </c>
      <c r="Z111" s="2" cm="1">
        <f t="array" aca="1" ref="Z111" ca="1">MMULT(_xlfn.ANCHORARRAY(Q111),TRANSPOSE($Q$3:$U$3))</f>
        <v>9.7775714580618364E-4</v>
      </c>
      <c r="AA111" s="11">
        <f ca="1">AVEDEV(Q111*$Q$3,R111*$R$3,S111*$S$3,T111*$T$3,U111*$U$3)</f>
        <v>9.7204847684610466E-5</v>
      </c>
      <c r="AB111" s="11" cm="1">
        <f t="array" aca="1" ref="AB111" ca="1">MMULT(_xlfn.ANCHORARRAY(Q111),TRANSPOSE($Q$6:$U$6))</f>
        <v>-2.2959907101052453E-2</v>
      </c>
      <c r="AD111" s="2" t="s">
        <v>102</v>
      </c>
      <c r="AE111" s="10" cm="1">
        <f t="array" aca="1" ref="AE111:AI111" ca="1">_xlfn.LET(_xlpm.array,_xlfn.RANDARRAY(1,COLUMNS(_xlfn.ANCHORARRAY(Q110)),-1,1,FALSE),_xlpm.array/SUM(_xlpm.array))</f>
        <v>3.0483113423918886</v>
      </c>
      <c r="AF111" s="10">
        <f ca="1"/>
        <v>3.5852704458572782</v>
      </c>
      <c r="AG111" s="10">
        <f ca="1"/>
        <v>-0.65274061049518406</v>
      </c>
      <c r="AH111" s="10">
        <f ca="1"/>
        <v>-3.4954913243184151</v>
      </c>
      <c r="AI111" s="10">
        <f ca="1"/>
        <v>-1.4853498534355678</v>
      </c>
      <c r="AJ111" s="1"/>
      <c r="AK111" s="2" cm="1">
        <f t="array" aca="1" ref="AK111" ca="1">MMULT(MMULT(_xlfn.ANCHORARRAY(AE111),$Q$9:$U$13),TRANSPOSE(_xlfn.ANCHORARRAY(AE111)))</f>
        <v>8.0020815895268608E-3</v>
      </c>
      <c r="AL111" s="2">
        <f t="shared" ca="1" si="9"/>
        <v>8.9454354782351767E-2</v>
      </c>
      <c r="AM111" s="2" cm="1">
        <f t="array" aca="1" ref="AM111" ca="1">MMULT(_xlfn.ANCHORARRAY(AE112),TRANSPOSE($Q$3:$U$3))</f>
        <v>3.7104600945837604E-2</v>
      </c>
    </row>
    <row r="112" spans="1:39" x14ac:dyDescent="0.35">
      <c r="A112" s="3">
        <v>43992</v>
      </c>
      <c r="B112" s="4">
        <v>23.134992599487301</v>
      </c>
      <c r="C112" s="4">
        <v>75.907089233398395</v>
      </c>
      <c r="D112" s="4">
        <v>22.848272323608398</v>
      </c>
      <c r="E112" s="4">
        <v>10.876612663269</v>
      </c>
      <c r="F112" s="4">
        <v>187.50036621093699</v>
      </c>
      <c r="I112" s="5">
        <f>B112/B111-1</f>
        <v>-5.7406185897721396E-2</v>
      </c>
      <c r="J112" s="5">
        <f>C112/C111-1</f>
        <v>-3.8904524569324361E-2</v>
      </c>
      <c r="K112" s="5">
        <f>D112/D111-1</f>
        <v>-1.2792250067988342E-2</v>
      </c>
      <c r="L112" s="5">
        <f>E112/E111-1</f>
        <v>-2.5423765022034472E-2</v>
      </c>
      <c r="M112" s="5">
        <f>F112/F111-1</f>
        <v>3.7091477231292469E-2</v>
      </c>
      <c r="N112" s="5">
        <f>SUMPRODUCT(I112:M112,$AJ$13:$AN$13)</f>
        <v>1.1727478075027418E-2</v>
      </c>
      <c r="P112" s="2" t="s">
        <v>103</v>
      </c>
      <c r="Q112" s="10" cm="1">
        <f t="array" aca="1" ref="Q112:U112" ca="1">_xlfn.LET(_xlpm.array,_xlfn.RANDARRAY(1,COLUMNS(_xlfn.ANCHORARRAY(Q111)),0,1,FALSE),_xlpm.array/SUM(_xlpm.array))</f>
        <v>1.3340814789593914E-3</v>
      </c>
      <c r="R112" s="2">
        <f ca="1"/>
        <v>0.17988059414966123</v>
      </c>
      <c r="S112" s="2">
        <f ca="1"/>
        <v>5.5887276819433236E-2</v>
      </c>
      <c r="T112" s="2">
        <f ca="1"/>
        <v>0.70883771725563727</v>
      </c>
      <c r="U112" s="2">
        <f ca="1"/>
        <v>5.4060330296308842E-2</v>
      </c>
      <c r="V112" s="12"/>
      <c r="X112" s="2" cm="1">
        <f t="array" aca="1" ref="X112" ca="1">MMULT(MMULT(_xlfn.ANCHORARRAY(Q112),$Q$9:$U$13),TRANSPOSE(_xlfn.ANCHORARRAY(Q112)))</f>
        <v>4.3282681217066154E-4</v>
      </c>
      <c r="Y112" s="2">
        <f t="shared" ca="1" si="8"/>
        <v>2.0804490192520016E-2</v>
      </c>
      <c r="Z112" s="2" cm="1">
        <f t="array" aca="1" ref="Z112" ca="1">MMULT(_xlfn.ANCHORARRAY(Q112),TRANSPOSE($Q$3:$U$3))</f>
        <v>9.8830385889487607E-4</v>
      </c>
      <c r="AA112" s="11">
        <f ca="1">AVEDEV(Q112*$Q$3,R112*$R$3,S112*$S$3,T112*$T$3,U112*$U$3)</f>
        <v>2.1059999214903833E-4</v>
      </c>
      <c r="AB112" s="11" cm="1">
        <f t="array" aca="1" ref="AB112" ca="1">MMULT(_xlfn.ANCHORARRAY(Q112),TRANSPOSE($Q$6:$U$6))</f>
        <v>-2.4176344389469018E-2</v>
      </c>
      <c r="AD112" s="2" t="s">
        <v>103</v>
      </c>
      <c r="AE112" s="10" cm="1">
        <f t="array" aca="1" ref="AE112:AI112" ca="1">_xlfn.LET(_xlpm.array,_xlfn.RANDARRAY(1,COLUMNS(_xlfn.ANCHORARRAY(Q111)),-1,1,FALSE),_xlpm.array/SUM(_xlpm.array))</f>
        <v>-36.096964743937306</v>
      </c>
      <c r="AF112" s="10">
        <f ca="1"/>
        <v>37.538074125794367</v>
      </c>
      <c r="AG112" s="10">
        <f ca="1"/>
        <v>31.467721765940386</v>
      </c>
      <c r="AH112" s="10">
        <f ca="1"/>
        <v>5.2225807084121572</v>
      </c>
      <c r="AI112" s="10">
        <f ca="1"/>
        <v>-37.131411856209603</v>
      </c>
      <c r="AJ112" s="1"/>
      <c r="AK112" s="2" cm="1">
        <f t="array" aca="1" ref="AK112" ca="1">MMULT(MMULT(_xlfn.ANCHORARRAY(AE112),$Q$9:$U$13),TRANSPOSE(_xlfn.ANCHORARRAY(AE112)))</f>
        <v>1.4278846303834594</v>
      </c>
      <c r="AL112" s="2">
        <f t="shared" ca="1" si="9"/>
        <v>1.1949412664995127</v>
      </c>
      <c r="AM112" s="2" cm="1">
        <f t="array" aca="1" ref="AM112" ca="1">MMULT(_xlfn.ANCHORARRAY(AE113),TRANSPOSE($Q$3:$U$3))</f>
        <v>9.2473557638184654E-4</v>
      </c>
    </row>
    <row r="113" spans="1:39" x14ac:dyDescent="0.35">
      <c r="A113" s="3">
        <v>43993</v>
      </c>
      <c r="B113" s="4">
        <v>20.812795639038001</v>
      </c>
      <c r="C113" s="4">
        <v>69.520576477050696</v>
      </c>
      <c r="D113" s="4">
        <v>21.552965164184499</v>
      </c>
      <c r="E113" s="4">
        <v>9.8159751892089808</v>
      </c>
      <c r="F113" s="4">
        <v>177.43185424804599</v>
      </c>
      <c r="I113" s="5">
        <f>B113/B112-1</f>
        <v>-0.10037595432387403</v>
      </c>
      <c r="J113" s="5">
        <f>C113/C112-1</f>
        <v>-8.4135919593893438E-2</v>
      </c>
      <c r="K113" s="5">
        <f>D113/D112-1</f>
        <v>-5.669168946684422E-2</v>
      </c>
      <c r="L113" s="5">
        <f>E113/E112-1</f>
        <v>-9.751542202489738E-2</v>
      </c>
      <c r="M113" s="5">
        <f>F113/F112-1</f>
        <v>-5.3698625588624038E-2</v>
      </c>
      <c r="N113" s="5">
        <f>SUMPRODUCT(I113:M113,$AJ$13:$AN$13)</f>
        <v>-6.1233830262547029E-2</v>
      </c>
      <c r="P113" s="2" t="s">
        <v>104</v>
      </c>
      <c r="Q113" s="10" cm="1">
        <f t="array" aca="1" ref="Q113:U113" ca="1">_xlfn.LET(_xlpm.array,_xlfn.RANDARRAY(1,COLUMNS(_xlfn.ANCHORARRAY(Q112)),0,1,FALSE),_xlpm.array/SUM(_xlpm.array))</f>
        <v>0.24746245683861209</v>
      </c>
      <c r="R113" s="2">
        <f ca="1"/>
        <v>4.1882857080654902E-2</v>
      </c>
      <c r="S113" s="2">
        <f ca="1"/>
        <v>0.22652674475922763</v>
      </c>
      <c r="T113" s="2">
        <f ca="1"/>
        <v>4.4780868975373006E-2</v>
      </c>
      <c r="U113" s="2">
        <f ca="1"/>
        <v>0.43934707234613235</v>
      </c>
      <c r="V113" s="12"/>
      <c r="X113" s="2" cm="1">
        <f t="array" aca="1" ref="X113" ca="1">MMULT(MMULT(_xlfn.ANCHORARRAY(Q113),$Q$9:$U$13),TRANSPOSE(_xlfn.ANCHORARRAY(Q113)))</f>
        <v>2.7896248331612112E-4</v>
      </c>
      <c r="Y113" s="2">
        <f t="shared" ca="1" si="8"/>
        <v>1.6702170018177909E-2</v>
      </c>
      <c r="Z113" s="2" cm="1">
        <f t="array" aca="1" ref="Z113" ca="1">MMULT(_xlfn.ANCHORARRAY(Q113),TRANSPOSE($Q$3:$U$3))</f>
        <v>9.0602115976209908E-4</v>
      </c>
      <c r="AA113" s="11">
        <f ca="1">AVEDEV(Q113*$Q$3,R113*$R$3,S113*$S$3,T113*$T$3,U113*$U$3)</f>
        <v>1.3660297216059542E-4</v>
      </c>
      <c r="AB113" s="11" cm="1">
        <f t="array" aca="1" ref="AB113" ca="1">MMULT(_xlfn.ANCHORARRAY(Q113),TRANSPOSE($Q$6:$U$6))</f>
        <v>-2.2330957361585649E-2</v>
      </c>
      <c r="AD113" s="2" t="s">
        <v>104</v>
      </c>
      <c r="AE113" s="10" cm="1">
        <f t="array" aca="1" ref="AE113:AI113" ca="1">_xlfn.LET(_xlpm.array,_xlfn.RANDARRAY(1,COLUMNS(_xlfn.ANCHORARRAY(Q112)),-1,1,FALSE),_xlpm.array/SUM(_xlpm.array))</f>
        <v>-4.9928969595370506E-2</v>
      </c>
      <c r="AF113" s="10">
        <f ca="1"/>
        <v>0.40776256630762009</v>
      </c>
      <c r="AG113" s="10">
        <f ca="1"/>
        <v>0.12697563783644433</v>
      </c>
      <c r="AH113" s="10">
        <f ca="1"/>
        <v>0.20288522275502996</v>
      </c>
      <c r="AI113" s="10">
        <f ca="1"/>
        <v>0.31230554269627614</v>
      </c>
      <c r="AJ113" s="1"/>
      <c r="AK113" s="2" cm="1">
        <f t="array" aca="1" ref="AK113" ca="1">MMULT(MMULT(_xlfn.ANCHORARRAY(AE113),$Q$9:$U$13),TRANSPOSE(_xlfn.ANCHORARRAY(AE113)))</f>
        <v>2.7748169084115934E-4</v>
      </c>
      <c r="AL113" s="2">
        <f t="shared" ca="1" si="9"/>
        <v>1.6657781690283955E-2</v>
      </c>
      <c r="AM113" s="2" cm="1">
        <f t="array" aca="1" ref="AM113" ca="1">MMULT(_xlfn.ANCHORARRAY(AE114),TRANSPOSE($Q$3:$U$3))</f>
        <v>9.5860993012083996E-4</v>
      </c>
    </row>
    <row r="114" spans="1:39" x14ac:dyDescent="0.35">
      <c r="A114" s="3">
        <v>43994</v>
      </c>
      <c r="B114" s="4">
        <v>21.5520725250244</v>
      </c>
      <c r="C114" s="4">
        <v>71.869812011718693</v>
      </c>
      <c r="D114" s="4">
        <v>21.696372985839801</v>
      </c>
      <c r="E114" s="4">
        <v>10.0929565429687</v>
      </c>
      <c r="F114" s="4">
        <v>178.83215332031199</v>
      </c>
      <c r="I114" s="5">
        <f>B114/B113-1</f>
        <v>3.5520306777036659E-2</v>
      </c>
      <c r="J114" s="5">
        <f>C114/C113-1</f>
        <v>3.3791945546416624E-2</v>
      </c>
      <c r="K114" s="5">
        <f>D114/D113-1</f>
        <v>6.653739778395229E-3</v>
      </c>
      <c r="L114" s="5">
        <f>E114/E113-1</f>
        <v>2.8217405649539007E-2</v>
      </c>
      <c r="M114" s="5">
        <f>F114/F113-1</f>
        <v>7.8920387672238856E-3</v>
      </c>
      <c r="N114" s="5">
        <f>SUMPRODUCT(I114:M114,$AJ$13:$AN$13)</f>
        <v>7.9054609228763582E-3</v>
      </c>
      <c r="P114" s="2" t="s">
        <v>105</v>
      </c>
      <c r="Q114" s="10" cm="1">
        <f t="array" aca="1" ref="Q114:U114" ca="1">_xlfn.LET(_xlpm.array,_xlfn.RANDARRAY(1,COLUMNS(_xlfn.ANCHORARRAY(Q113)),0,1,FALSE),_xlpm.array/SUM(_xlpm.array))</f>
        <v>0.24311352421997715</v>
      </c>
      <c r="R114" s="2">
        <f ca="1"/>
        <v>2.060641520770564E-2</v>
      </c>
      <c r="S114" s="2">
        <f ca="1"/>
        <v>0.30692526271241527</v>
      </c>
      <c r="T114" s="2">
        <f ca="1"/>
        <v>8.8819552427746126E-2</v>
      </c>
      <c r="U114" s="2">
        <f ca="1"/>
        <v>0.3405352454321558</v>
      </c>
      <c r="V114" s="12"/>
      <c r="X114" s="2" cm="1">
        <f t="array" aca="1" ref="X114" ca="1">MMULT(MMULT(_xlfn.ANCHORARRAY(Q114),$Q$9:$U$13),TRANSPOSE(_xlfn.ANCHORARRAY(Q114)))</f>
        <v>2.9974834018823047E-4</v>
      </c>
      <c r="Y114" s="2">
        <f t="shared" ca="1" si="8"/>
        <v>1.731324175849891E-2</v>
      </c>
      <c r="Z114" s="2" cm="1">
        <f t="array" aca="1" ref="Z114" ca="1">MMULT(_xlfn.ANCHORARRAY(Q114),TRANSPOSE($Q$3:$U$3))</f>
        <v>9.8825526790418533E-4</v>
      </c>
      <c r="AA114" s="11">
        <f ca="1">AVEDEV(Q114*$Q$3,R114*$R$3,S114*$S$3,T114*$T$3,U114*$U$3)</f>
        <v>1.454417757569377E-4</v>
      </c>
      <c r="AB114" s="11" cm="1">
        <f t="array" aca="1" ref="AB114" ca="1">MMULT(_xlfn.ANCHORARRAY(Q114),TRANSPOSE($Q$6:$U$6))</f>
        <v>-2.3100750892605451E-2</v>
      </c>
      <c r="AD114" s="2" t="s">
        <v>105</v>
      </c>
      <c r="AE114" s="10" cm="1">
        <f t="array" aca="1" ref="AE114:AI114" ca="1">_xlfn.LET(_xlpm.array,_xlfn.RANDARRAY(1,COLUMNS(_xlfn.ANCHORARRAY(Q113)),-1,1,FALSE),_xlpm.array/SUM(_xlpm.array))</f>
        <v>0.44049745870640283</v>
      </c>
      <c r="AF114" s="10">
        <f ca="1"/>
        <v>-0.20604139100992966</v>
      </c>
      <c r="AG114" s="10">
        <f ca="1"/>
        <v>0.2190163792111452</v>
      </c>
      <c r="AH114" s="10">
        <f ca="1"/>
        <v>0.43422000196741267</v>
      </c>
      <c r="AI114" s="10">
        <f ca="1"/>
        <v>0.11230755112496894</v>
      </c>
      <c r="AJ114" s="1"/>
      <c r="AK114" s="2" cm="1">
        <f t="array" aca="1" ref="AK114" ca="1">MMULT(MMULT(_xlfn.ANCHORARRAY(AE114),$Q$9:$U$13),TRANSPOSE(_xlfn.ANCHORARRAY(AE114)))</f>
        <v>3.3446148200098788E-4</v>
      </c>
      <c r="AL114" s="2">
        <f t="shared" ca="1" si="9"/>
        <v>1.8288288110181003E-2</v>
      </c>
      <c r="AM114" s="2" cm="1">
        <f t="array" aca="1" ref="AM114" ca="1">MMULT(_xlfn.ANCHORARRAY(AE115),TRANSPOSE($Q$3:$U$3))</f>
        <v>-4.9469459909666121E-3</v>
      </c>
    </row>
    <row r="115" spans="1:39" x14ac:dyDescent="0.35">
      <c r="A115" s="3">
        <v>43997</v>
      </c>
      <c r="B115" s="4">
        <v>21.873872756958001</v>
      </c>
      <c r="C115" s="4">
        <v>70.967453002929602</v>
      </c>
      <c r="D115" s="4">
        <v>21.770391464233398</v>
      </c>
      <c r="E115" s="4">
        <v>10.268602371215801</v>
      </c>
      <c r="F115" s="4">
        <v>179.97520446777301</v>
      </c>
      <c r="I115" s="5">
        <f>B115/B114-1</f>
        <v>1.4931289395020197E-2</v>
      </c>
      <c r="J115" s="5">
        <f>C115/C114-1</f>
        <v>-1.2555466384717384E-2</v>
      </c>
      <c r="K115" s="5">
        <f>D115/D114-1</f>
        <v>3.4115600078366004E-3</v>
      </c>
      <c r="L115" s="5">
        <f>E115/E114-1</f>
        <v>1.7402812297796499E-2</v>
      </c>
      <c r="M115" s="5">
        <f>F115/F114-1</f>
        <v>6.3917540902931336E-3</v>
      </c>
      <c r="N115" s="5">
        <f>SUMPRODUCT(I115:M115,$AJ$13:$AN$13)</f>
        <v>8.1360329529093674E-3</v>
      </c>
      <c r="P115" s="2" t="s">
        <v>106</v>
      </c>
      <c r="Q115" s="10" cm="1">
        <f t="array" aca="1" ref="Q115:U115" ca="1">_xlfn.LET(_xlpm.array,_xlfn.RANDARRAY(1,COLUMNS(_xlfn.ANCHORARRAY(Q114)),0,1,FALSE),_xlpm.array/SUM(_xlpm.array))</f>
        <v>0.25958985872105927</v>
      </c>
      <c r="R115" s="2">
        <f ca="1"/>
        <v>0.22618960801634938</v>
      </c>
      <c r="S115" s="2">
        <f ca="1"/>
        <v>0.20294602542289264</v>
      </c>
      <c r="T115" s="2">
        <f ca="1"/>
        <v>8.1690528885977706E-2</v>
      </c>
      <c r="U115" s="2">
        <f ca="1"/>
        <v>0.22958397895372101</v>
      </c>
      <c r="V115" s="12"/>
      <c r="X115" s="2" cm="1">
        <f t="array" aca="1" ref="X115" ca="1">MMULT(MMULT(_xlfn.ANCHORARRAY(Q115),$Q$9:$U$13),TRANSPOSE(_xlfn.ANCHORARRAY(Q115)))</f>
        <v>2.7558712772115086E-4</v>
      </c>
      <c r="Y115" s="2">
        <f t="shared" ca="1" si="8"/>
        <v>1.6600817079925639E-2</v>
      </c>
      <c r="Z115" s="2" cm="1">
        <f t="array" aca="1" ref="Z115" ca="1">MMULT(_xlfn.ANCHORARRAY(Q115),TRANSPOSE($Q$3:$U$3))</f>
        <v>8.8574718426930531E-4</v>
      </c>
      <c r="AA115" s="11">
        <f ca="1">AVEDEV(Q115*$Q$3,R115*$R$3,S115*$S$3,T115*$T$3,U115*$U$3)</f>
        <v>6.0974026138056986E-5</v>
      </c>
      <c r="AB115" s="11" cm="1">
        <f t="array" aca="1" ref="AB115" ca="1">MMULT(_xlfn.ANCHORARRAY(Q115),TRANSPOSE($Q$6:$U$6))</f>
        <v>-2.245566069110783E-2</v>
      </c>
      <c r="AD115" s="2" t="s">
        <v>106</v>
      </c>
      <c r="AE115" s="10" cm="1">
        <f t="array" aca="1" ref="AE115:AI115" ca="1">_xlfn.LET(_xlpm.array,_xlfn.RANDARRAY(1,COLUMNS(_xlfn.ANCHORARRAY(Q114)),-1,1,FALSE),_xlpm.array/SUM(_xlpm.array))</f>
        <v>5.5110314758525911</v>
      </c>
      <c r="AF115" s="10">
        <f ca="1"/>
        <v>3.2372347140166151</v>
      </c>
      <c r="AG115" s="10">
        <f ca="1"/>
        <v>-7.0701016114584263</v>
      </c>
      <c r="AH115" s="10">
        <f ca="1"/>
        <v>7.3557433150341822</v>
      </c>
      <c r="AI115" s="10">
        <f ca="1"/>
        <v>-8.0339078934449617</v>
      </c>
      <c r="AJ115" s="1"/>
      <c r="AK115" s="2" cm="1">
        <f t="array" aca="1" ref="AK115" ca="1">MMULT(MMULT(_xlfn.ANCHORARRAY(AE115),$Q$9:$U$13),TRANSPOSE(_xlfn.ANCHORARRAY(AE115)))</f>
        <v>0.10680802228491215</v>
      </c>
      <c r="AL115" s="2">
        <f t="shared" ca="1" si="9"/>
        <v>0.32681496643347313</v>
      </c>
      <c r="AM115" s="2" cm="1">
        <f t="array" aca="1" ref="AM115" ca="1">MMULT(_xlfn.ANCHORARRAY(AE116),TRANSPOSE($Q$3:$U$3))</f>
        <v>1.2949157875625516E-3</v>
      </c>
    </row>
    <row r="116" spans="1:39" x14ac:dyDescent="0.35">
      <c r="A116" s="3">
        <v>43998</v>
      </c>
      <c r="B116" s="4">
        <v>22.439201354980401</v>
      </c>
      <c r="C116" s="4">
        <v>73.145561218261705</v>
      </c>
      <c r="D116" s="4">
        <v>22.057207107543899</v>
      </c>
      <c r="E116" s="4">
        <v>10.322649002075099</v>
      </c>
      <c r="F116" s="4">
        <v>184.38554382324199</v>
      </c>
      <c r="I116" s="5">
        <f>B116/B115-1</f>
        <v>2.5844924870131791E-2</v>
      </c>
      <c r="J116" s="5">
        <f>C116/C115-1</f>
        <v>3.0691649808006982E-2</v>
      </c>
      <c r="K116" s="5">
        <f>D116/D115-1</f>
        <v>1.3174574457317956E-2</v>
      </c>
      <c r="L116" s="5">
        <f>E116/E115-1</f>
        <v>5.2632898719302545E-3</v>
      </c>
      <c r="M116" s="5">
        <f>F116/F115-1</f>
        <v>2.4505260980318688E-2</v>
      </c>
      <c r="N116" s="5">
        <f>SUMPRODUCT(I116:M116,$AJ$13:$AN$13)</f>
        <v>9.0246217652134118E-3</v>
      </c>
      <c r="P116" s="2" t="s">
        <v>107</v>
      </c>
      <c r="Q116" s="10" cm="1">
        <f t="array" aca="1" ref="Q116:U116" ca="1">_xlfn.LET(_xlpm.array,_xlfn.RANDARRAY(1,COLUMNS(_xlfn.ANCHORARRAY(Q115)),0,1,FALSE),_xlpm.array/SUM(_xlpm.array))</f>
        <v>0.21515101850401647</v>
      </c>
      <c r="R116" s="2">
        <f ca="1"/>
        <v>0.16488499550954977</v>
      </c>
      <c r="S116" s="2">
        <f ca="1"/>
        <v>0.19049466395912615</v>
      </c>
      <c r="T116" s="2">
        <f ca="1"/>
        <v>9.3438605627812088E-2</v>
      </c>
      <c r="U116" s="2">
        <f ca="1"/>
        <v>0.3360307163994955</v>
      </c>
      <c r="V116" s="12"/>
      <c r="X116" s="2" cm="1">
        <f t="array" aca="1" ref="X116" ca="1">MMULT(MMULT(_xlfn.ANCHORARRAY(Q116),$Q$9:$U$13),TRANSPOSE(_xlfn.ANCHORARRAY(Q116)))</f>
        <v>2.6225813666957265E-4</v>
      </c>
      <c r="Y116" s="2">
        <f t="shared" ca="1" si="8"/>
        <v>1.6194385961485931E-2</v>
      </c>
      <c r="Z116" s="2" cm="1">
        <f t="array" aca="1" ref="Z116" ca="1">MMULT(_xlfn.ANCHORARRAY(Q116),TRANSPOSE($Q$3:$U$3))</f>
        <v>8.9159149785035595E-4</v>
      </c>
      <c r="AA116" s="11">
        <f ca="1">AVEDEV(Q116*$Q$3,R116*$R$3,S116*$S$3,T116*$T$3,U116*$U$3)</f>
        <v>8.3896503515639296E-5</v>
      </c>
      <c r="AB116" s="11" cm="1">
        <f t="array" aca="1" ref="AB116" ca="1">MMULT(_xlfn.ANCHORARRAY(Q116),TRANSPOSE($Q$6:$U$6))</f>
        <v>-2.2332851132916772E-2</v>
      </c>
      <c r="AD116" s="2" t="s">
        <v>107</v>
      </c>
      <c r="AE116" s="10" cm="1">
        <f t="array" aca="1" ref="AE116:AI116" ca="1">_xlfn.LET(_xlpm.array,_xlfn.RANDARRAY(1,COLUMNS(_xlfn.ANCHORARRAY(Q115)),-1,1,FALSE),_xlpm.array/SUM(_xlpm.array))</f>
        <v>-0.10089919955675464</v>
      </c>
      <c r="AF116" s="10">
        <f ca="1"/>
        <v>0.48949281852029175</v>
      </c>
      <c r="AG116" s="10">
        <f ca="1"/>
        <v>0.62340255968597336</v>
      </c>
      <c r="AH116" s="10">
        <f ca="1"/>
        <v>-5.6395359844658377E-2</v>
      </c>
      <c r="AI116" s="10">
        <f ca="1"/>
        <v>4.4399181195147928E-2</v>
      </c>
      <c r="AJ116" s="1"/>
      <c r="AK116" s="2" cm="1">
        <f t="array" aca="1" ref="AK116" ca="1">MMULT(MMULT(_xlfn.ANCHORARRAY(AE116),$Q$9:$U$13),TRANSPOSE(_xlfn.ANCHORARRAY(AE116)))</f>
        <v>5.0372656277871146E-4</v>
      </c>
      <c r="AL116" s="2">
        <f t="shared" ca="1" si="9"/>
        <v>2.2443853563475044E-2</v>
      </c>
      <c r="AM116" s="2" cm="1">
        <f t="array" aca="1" ref="AM116" ca="1">MMULT(_xlfn.ANCHORARRAY(AE117),TRANSPOSE($Q$3:$U$3))</f>
        <v>3.3742329387866079E-3</v>
      </c>
    </row>
    <row r="117" spans="1:39" x14ac:dyDescent="0.35">
      <c r="A117" s="3">
        <v>43999</v>
      </c>
      <c r="B117" s="4">
        <v>21.743410110473601</v>
      </c>
      <c r="C117" s="4">
        <v>71.208602905273395</v>
      </c>
      <c r="D117" s="4">
        <v>21.983190536498999</v>
      </c>
      <c r="E117" s="4">
        <v>10.099712371826101</v>
      </c>
      <c r="F117" s="4">
        <v>185.02372741699199</v>
      </c>
      <c r="I117" s="5">
        <f>B117/B116-1</f>
        <v>-3.1007843527923407E-2</v>
      </c>
      <c r="J117" s="5">
        <f>C117/C116-1</f>
        <v>-2.6480872943315692E-2</v>
      </c>
      <c r="K117" s="5">
        <f>D117/D116-1</f>
        <v>-3.3556637829993408E-3</v>
      </c>
      <c r="L117" s="5">
        <f>E117/E116-1</f>
        <v>-2.159684303943521E-2</v>
      </c>
      <c r="M117" s="5">
        <f>F117/F116-1</f>
        <v>3.4611368142927201E-3</v>
      </c>
      <c r="N117" s="5">
        <f>SUMPRODUCT(I117:M117,$AJ$13:$AN$13)</f>
        <v>-8.4684772604675372E-4</v>
      </c>
      <c r="P117" s="2" t="s">
        <v>108</v>
      </c>
      <c r="Q117" s="10" cm="1">
        <f t="array" aca="1" ref="Q117:U117" ca="1">_xlfn.LET(_xlpm.array,_xlfn.RANDARRAY(1,COLUMNS(_xlfn.ANCHORARRAY(Q116)),0,1,FALSE),_xlpm.array/SUM(_xlpm.array))</f>
        <v>0.22771068198639846</v>
      </c>
      <c r="R117" s="2">
        <f ca="1"/>
        <v>0.35125597722985136</v>
      </c>
      <c r="S117" s="2">
        <f ca="1"/>
        <v>0.16683066366254815</v>
      </c>
      <c r="T117" s="2">
        <f ca="1"/>
        <v>7.9636895474870517E-2</v>
      </c>
      <c r="U117" s="2">
        <f ca="1"/>
        <v>0.17456578164633152</v>
      </c>
      <c r="V117" s="12"/>
      <c r="X117" s="2" cm="1">
        <f t="array" aca="1" ref="X117" ca="1">MMULT(MMULT(_xlfn.ANCHORARRAY(Q117),$Q$9:$U$13),TRANSPOSE(_xlfn.ANCHORARRAY(Q117)))</f>
        <v>2.8234153391216196E-4</v>
      </c>
      <c r="Y117" s="2">
        <f t="shared" ca="1" si="8"/>
        <v>1.6803021570900929E-2</v>
      </c>
      <c r="Z117" s="2" cm="1">
        <f t="array" aca="1" ref="Z117" ca="1">MMULT(_xlfn.ANCHORARRAY(Q117),TRANSPOSE($Q$3:$U$3))</f>
        <v>8.5804277812247969E-4</v>
      </c>
      <c r="AA117" s="11">
        <f ca="1">AVEDEV(Q117*$Q$3,R117*$R$3,S117*$S$3,T117*$T$3,U117*$U$3)</f>
        <v>7.3686738551608324E-5</v>
      </c>
      <c r="AB117" s="11" cm="1">
        <f t="array" aca="1" ref="AB117" ca="1">MMULT(_xlfn.ANCHORARRAY(Q117),TRANSPOSE($Q$6:$U$6))</f>
        <v>-2.2203298532980288E-2</v>
      </c>
      <c r="AD117" s="2" t="s">
        <v>108</v>
      </c>
      <c r="AE117" s="10" cm="1">
        <f t="array" aca="1" ref="AE117:AI117" ca="1">_xlfn.LET(_xlpm.array,_xlfn.RANDARRAY(1,COLUMNS(_xlfn.ANCHORARRAY(Q116)),-1,1,FALSE),_xlpm.array/SUM(_xlpm.array))</f>
        <v>-1.9102491304236491</v>
      </c>
      <c r="AF117" s="10">
        <f ca="1"/>
        <v>-1.8468672394872716</v>
      </c>
      <c r="AG117" s="10">
        <f ca="1"/>
        <v>2.5499327115858255</v>
      </c>
      <c r="AH117" s="10">
        <f ca="1"/>
        <v>-0.52772756340269189</v>
      </c>
      <c r="AI117" s="10">
        <f ca="1"/>
        <v>2.7349112217277871</v>
      </c>
      <c r="AJ117" s="1"/>
      <c r="AK117" s="2" cm="1">
        <f t="array" aca="1" ref="AK117" ca="1">MMULT(MMULT(_xlfn.ANCHORARRAY(AE117),$Q$9:$U$13),TRANSPOSE(_xlfn.ANCHORARRAY(AE117)))</f>
        <v>9.9155006320966309E-3</v>
      </c>
      <c r="AL117" s="2">
        <f t="shared" ca="1" si="9"/>
        <v>9.9576606851692992E-2</v>
      </c>
      <c r="AM117" s="2" cm="1">
        <f t="array" aca="1" ref="AM117" ca="1">MMULT(_xlfn.ANCHORARRAY(AE118),TRANSPOSE($Q$3:$U$3))</f>
        <v>-2.4780447859456124E-4</v>
      </c>
    </row>
    <row r="118" spans="1:39" x14ac:dyDescent="0.35">
      <c r="A118" s="3">
        <v>44000</v>
      </c>
      <c r="B118" s="4">
        <v>21.778205871581999</v>
      </c>
      <c r="C118" s="4">
        <v>71.519760131835895</v>
      </c>
      <c r="D118" s="4">
        <v>21.936927795410099</v>
      </c>
      <c r="E118" s="4">
        <v>9.9848651885986293</v>
      </c>
      <c r="F118" s="4">
        <v>187.00503540039</v>
      </c>
      <c r="I118" s="5">
        <f>B118/B117-1</f>
        <v>1.6002899697704631E-3</v>
      </c>
      <c r="J118" s="5">
        <f>C118/C117-1</f>
        <v>4.3696577922813784E-3</v>
      </c>
      <c r="K118" s="5">
        <f>D118/D117-1</f>
        <v>-2.1044598149704274E-3</v>
      </c>
      <c r="L118" s="5">
        <f>E118/E117-1</f>
        <v>-1.1371332073559448E-2</v>
      </c>
      <c r="M118" s="5">
        <f>F118/F117-1</f>
        <v>1.0708399463452034E-2</v>
      </c>
      <c r="N118" s="5">
        <f>SUMPRODUCT(I118:M118,$AJ$13:$AN$13)</f>
        <v>-3.4379483331150916E-3</v>
      </c>
      <c r="P118" s="2" t="s">
        <v>109</v>
      </c>
      <c r="Q118" s="10" cm="1">
        <f t="array" aca="1" ref="Q118:U118" ca="1">_xlfn.LET(_xlpm.array,_xlfn.RANDARRAY(1,COLUMNS(_xlfn.ANCHORARRAY(Q117)),0,1,FALSE),_xlpm.array/SUM(_xlpm.array))</f>
        <v>0.32922909141982565</v>
      </c>
      <c r="R118" s="2">
        <f ca="1"/>
        <v>0.26602451336005639</v>
      </c>
      <c r="S118" s="2">
        <f ca="1"/>
        <v>9.2275769025693385E-2</v>
      </c>
      <c r="T118" s="2">
        <f ca="1"/>
        <v>0.1526633206687448</v>
      </c>
      <c r="U118" s="2">
        <f ca="1"/>
        <v>0.15980730552567968</v>
      </c>
      <c r="V118" s="12"/>
      <c r="X118" s="2" cm="1">
        <f t="array" aca="1" ref="X118" ca="1">MMULT(MMULT(_xlfn.ANCHORARRAY(Q118),$Q$9:$U$13),TRANSPOSE(_xlfn.ANCHORARRAY(Q118)))</f>
        <v>2.8244186986049649E-4</v>
      </c>
      <c r="Y118" s="2">
        <f t="shared" ca="1" si="8"/>
        <v>1.6806006957647508E-2</v>
      </c>
      <c r="Z118" s="2" cm="1">
        <f t="array" aca="1" ref="Z118" ca="1">MMULT(_xlfn.ANCHORARRAY(Q118),TRANSPOSE($Q$3:$U$3))</f>
        <v>7.8963954895431687E-4</v>
      </c>
      <c r="AA118" s="11">
        <f ca="1">AVEDEV(Q118*$Q$3,R118*$R$3,S118*$S$3,T118*$T$3,U118*$U$3)</f>
        <v>1.8294047328440579E-5</v>
      </c>
      <c r="AB118" s="11" cm="1">
        <f t="array" aca="1" ref="AB118" ca="1">MMULT(_xlfn.ANCHORARRAY(Q118),TRANSPOSE($Q$6:$U$6))</f>
        <v>-2.2157570896105785E-2</v>
      </c>
      <c r="AD118" s="2" t="s">
        <v>109</v>
      </c>
      <c r="AE118" s="10" cm="1">
        <f t="array" aca="1" ref="AE118:AI118" ca="1">_xlfn.LET(_xlpm.array,_xlfn.RANDARRAY(1,COLUMNS(_xlfn.ANCHORARRAY(Q117)),-1,1,FALSE),_xlpm.array/SUM(_xlpm.array))</f>
        <v>1.7837157683052844</v>
      </c>
      <c r="AF118" s="10">
        <f ca="1"/>
        <v>1.5664488039080502</v>
      </c>
      <c r="AG118" s="10">
        <f ca="1"/>
        <v>-4.3565228553764067E-2</v>
      </c>
      <c r="AH118" s="10">
        <f ca="1"/>
        <v>-1.8043548813775094</v>
      </c>
      <c r="AI118" s="10">
        <f ca="1"/>
        <v>-0.50224446228206121</v>
      </c>
      <c r="AJ118" s="1"/>
      <c r="AK118" s="2" cm="1">
        <f t="array" aca="1" ref="AK118" ca="1">MMULT(MMULT(_xlfn.ANCHORARRAY(AE118),$Q$9:$U$13),TRANSPOSE(_xlfn.ANCHORARRAY(AE118)))</f>
        <v>2.2210978353450371E-3</v>
      </c>
      <c r="AL118" s="2">
        <f t="shared" ca="1" si="9"/>
        <v>4.7128524646386262E-2</v>
      </c>
      <c r="AM118" s="2" cm="1">
        <f t="array" aca="1" ref="AM118" ca="1">MMULT(_xlfn.ANCHORARRAY(AE119),TRANSPOSE($Q$3:$U$3))</f>
        <v>-1.3968936158999033E-3</v>
      </c>
    </row>
    <row r="119" spans="1:39" x14ac:dyDescent="0.35">
      <c r="A119" s="3">
        <v>44001</v>
      </c>
      <c r="B119" s="4">
        <v>21.960849761962798</v>
      </c>
      <c r="C119" s="4">
        <v>70.500717163085895</v>
      </c>
      <c r="D119" s="4">
        <v>22.630840301513601</v>
      </c>
      <c r="E119" s="4">
        <v>9.7889499664306605</v>
      </c>
      <c r="F119" s="4">
        <v>185.89056396484301</v>
      </c>
      <c r="I119" s="5">
        <f>B119/B118-1</f>
        <v>8.3865443947854779E-3</v>
      </c>
      <c r="J119" s="5">
        <f>C119/C118-1</f>
        <v>-1.4248411444215514E-2</v>
      </c>
      <c r="K119" s="5">
        <f>D119/D118-1</f>
        <v>3.1632164383961214E-2</v>
      </c>
      <c r="L119" s="5">
        <f>E119/E118-1</f>
        <v>-1.9621218561035492E-2</v>
      </c>
      <c r="M119" s="5">
        <f>F119/F118-1</f>
        <v>-5.9595798217990659E-3</v>
      </c>
      <c r="N119" s="5">
        <f>SUMPRODUCT(I119:M119,$AJ$13:$AN$13)</f>
        <v>3.3523885861817017E-3</v>
      </c>
      <c r="P119" s="2" t="s">
        <v>110</v>
      </c>
      <c r="Q119" s="10" cm="1">
        <f t="array" aca="1" ref="Q119:U119" ca="1">_xlfn.LET(_xlpm.array,_xlfn.RANDARRAY(1,COLUMNS(_xlfn.ANCHORARRAY(Q118)),0,1,FALSE),_xlpm.array/SUM(_xlpm.array))</f>
        <v>0.20405574103416152</v>
      </c>
      <c r="R119" s="2">
        <f ca="1"/>
        <v>0.34754721381872317</v>
      </c>
      <c r="S119" s="2">
        <f ca="1"/>
        <v>2.8671096193148084E-2</v>
      </c>
      <c r="T119" s="2">
        <f ca="1"/>
        <v>8.3612948324478895E-2</v>
      </c>
      <c r="U119" s="2">
        <f ca="1"/>
        <v>0.33611300062948829</v>
      </c>
      <c r="V119" s="12"/>
      <c r="X119" s="2" cm="1">
        <f t="array" aca="1" ref="X119" ca="1">MMULT(MMULT(_xlfn.ANCHORARRAY(Q119),$Q$9:$U$13),TRANSPOSE(_xlfn.ANCHORARRAY(Q119)))</f>
        <v>2.5519078988856198E-4</v>
      </c>
      <c r="Y119" s="2">
        <f t="shared" ca="1" si="8"/>
        <v>1.5974692168820092E-2</v>
      </c>
      <c r="Z119" s="2" cm="1">
        <f t="array" aca="1" ref="Z119" ca="1">MMULT(_xlfn.ANCHORARRAY(Q119),TRANSPOSE($Q$3:$U$3))</f>
        <v>7.4656272579772388E-4</v>
      </c>
      <c r="AA119" s="11">
        <f ca="1">AVEDEV(Q119*$Q$3,R119*$R$3,S119*$S$3,T119*$T$3,U119*$U$3)</f>
        <v>8.4897907378731909E-5</v>
      </c>
      <c r="AB119" s="11" cm="1">
        <f t="array" aca="1" ref="AB119" ca="1">MMULT(_xlfn.ANCHORARRAY(Q119),TRANSPOSE($Q$6:$U$6))</f>
        <v>-2.1216478433393929E-2</v>
      </c>
      <c r="AD119" s="2" t="s">
        <v>110</v>
      </c>
      <c r="AE119" s="10" cm="1">
        <f t="array" aca="1" ref="AE119:AI119" ca="1">_xlfn.LET(_xlpm.array,_xlfn.RANDARRAY(1,COLUMNS(_xlfn.ANCHORARRAY(Q118)),-1,1,FALSE),_xlpm.array/SUM(_xlpm.array))</f>
        <v>2.7307506665542869</v>
      </c>
      <c r="AF119" s="10">
        <f ca="1"/>
        <v>0.58267194389924781</v>
      </c>
      <c r="AG119" s="10">
        <f ca="1"/>
        <v>-1.7310962286623977</v>
      </c>
      <c r="AH119" s="10">
        <f ca="1"/>
        <v>0.18078505734379993</v>
      </c>
      <c r="AI119" s="10">
        <f ca="1"/>
        <v>-0.76311143913493684</v>
      </c>
      <c r="AJ119" s="1"/>
      <c r="AK119" s="2" cm="1">
        <f t="array" aca="1" ref="AK119" ca="1">MMULT(MMULT(_xlfn.ANCHORARRAY(AE119),$Q$9:$U$13),TRANSPOSE(_xlfn.ANCHORARRAY(AE119)))</f>
        <v>4.6044236690448333E-3</v>
      </c>
      <c r="AL119" s="2">
        <f t="shared" ca="1" si="9"/>
        <v>6.7855903715482516E-2</v>
      </c>
      <c r="AM119" s="2" cm="1">
        <f t="array" aca="1" ref="AM119" ca="1">MMULT(_xlfn.ANCHORARRAY(AE120),TRANSPOSE($Q$3:$U$3))</f>
        <v>7.3752660929040249E-4</v>
      </c>
    </row>
    <row r="120" spans="1:39" x14ac:dyDescent="0.35">
      <c r="A120" s="3">
        <v>44004</v>
      </c>
      <c r="B120" s="4">
        <v>21.4129123687744</v>
      </c>
      <c r="C120" s="4">
        <v>71.247467041015597</v>
      </c>
      <c r="D120" s="4">
        <v>22.339399337768501</v>
      </c>
      <c r="E120" s="4">
        <v>9.9375753402709908</v>
      </c>
      <c r="F120" s="4">
        <v>191.05339050292901</v>
      </c>
      <c r="I120" s="5">
        <f>B120/B119-1</f>
        <v>-2.4950646223965811E-2</v>
      </c>
      <c r="J120" s="5">
        <f>C120/C119-1</f>
        <v>1.0592089101764568E-2</v>
      </c>
      <c r="K120" s="5">
        <f>D120/D119-1</f>
        <v>-1.2878044290984936E-2</v>
      </c>
      <c r="L120" s="5">
        <f>E120/E119-1</f>
        <v>1.5182974103454594E-2</v>
      </c>
      <c r="M120" s="5">
        <f>F120/F119-1</f>
        <v>2.77734728862431E-2</v>
      </c>
      <c r="N120" s="5">
        <f>SUMPRODUCT(I120:M120,$AJ$13:$AN$13)</f>
        <v>1.6535758884597129E-2</v>
      </c>
      <c r="P120" s="2" t="s">
        <v>111</v>
      </c>
      <c r="Q120" s="10" cm="1">
        <f t="array" aca="1" ref="Q120:U120" ca="1">_xlfn.LET(_xlpm.array,_xlfn.RANDARRAY(1,COLUMNS(_xlfn.ANCHORARRAY(Q119)),0,1,FALSE),_xlpm.array/SUM(_xlpm.array))</f>
        <v>0.19640432470125083</v>
      </c>
      <c r="R120" s="2">
        <f ca="1"/>
        <v>0.20845723680152151</v>
      </c>
      <c r="S120" s="2">
        <f ca="1"/>
        <v>0.26297410700821217</v>
      </c>
      <c r="T120" s="2">
        <f ca="1"/>
        <v>0.20719926575477118</v>
      </c>
      <c r="U120" s="2">
        <f ca="1"/>
        <v>0.12496506573424446</v>
      </c>
      <c r="V120" s="12"/>
      <c r="X120" s="2" cm="1">
        <f t="array" aca="1" ref="X120" ca="1">MMULT(MMULT(_xlfn.ANCHORARRAY(Q120),$Q$9:$U$13),TRANSPOSE(_xlfn.ANCHORARRAY(Q120)))</f>
        <v>3.0303187720462165E-4</v>
      </c>
      <c r="Y120" s="2">
        <f t="shared" ca="1" si="8"/>
        <v>1.7407810810226014E-2</v>
      </c>
      <c r="Z120" s="2" cm="1">
        <f t="array" aca="1" ref="Z120" ca="1">MMULT(_xlfn.ANCHORARRAY(Q120),TRANSPOSE($Q$3:$U$3))</f>
        <v>9.8637385469519875E-4</v>
      </c>
      <c r="AA120" s="11">
        <f ca="1">AVEDEV(Q120*$Q$3,R120*$R$3,S120*$S$3,T120*$T$3,U120*$U$3)</f>
        <v>9.7679571922711566E-5</v>
      </c>
      <c r="AB120" s="11" cm="1">
        <f t="array" aca="1" ref="AB120" ca="1">MMULT(_xlfn.ANCHORARRAY(Q120),TRANSPOSE($Q$6:$U$6))</f>
        <v>-2.3407168527804331E-2</v>
      </c>
      <c r="AD120" s="2" t="s">
        <v>111</v>
      </c>
      <c r="AE120" s="10" cm="1">
        <f t="array" aca="1" ref="AE120:AI120" ca="1">_xlfn.LET(_xlpm.array,_xlfn.RANDARRAY(1,COLUMNS(_xlfn.ANCHORARRAY(Q119)),-1,1,FALSE),_xlpm.array/SUM(_xlpm.array))</f>
        <v>0.17279222513624329</v>
      </c>
      <c r="AF120" s="10">
        <f ca="1"/>
        <v>0.63549838084410415</v>
      </c>
      <c r="AG120" s="10">
        <f ca="1"/>
        <v>1.2900259957245946E-2</v>
      </c>
      <c r="AH120" s="10">
        <f ca="1"/>
        <v>0.10876552025106077</v>
      </c>
      <c r="AI120" s="10">
        <f ca="1"/>
        <v>7.004361381134587E-2</v>
      </c>
      <c r="AJ120" s="1"/>
      <c r="AK120" s="2" cm="1">
        <f t="array" aca="1" ref="AK120" ca="1">MMULT(MMULT(_xlfn.ANCHORARRAY(AE120),$Q$9:$U$13),TRANSPOSE(_xlfn.ANCHORARRAY(AE120)))</f>
        <v>3.4533199953835279E-4</v>
      </c>
      <c r="AL120" s="2">
        <f t="shared" ca="1" si="9"/>
        <v>1.8583110599099194E-2</v>
      </c>
      <c r="AM120" s="2" cm="1">
        <f t="array" aca="1" ref="AM120" ca="1">MMULT(_xlfn.ANCHORARRAY(AE121),TRANSPOSE($Q$3:$U$3))</f>
        <v>1.5256435231695972E-3</v>
      </c>
    </row>
    <row r="121" spans="1:39" x14ac:dyDescent="0.35">
      <c r="A121" s="3">
        <v>44005</v>
      </c>
      <c r="B121" s="4">
        <v>21.560768127441399</v>
      </c>
      <c r="C121" s="4">
        <v>71.130805969238196</v>
      </c>
      <c r="D121" s="4">
        <v>22.6724758148193</v>
      </c>
      <c r="E121" s="4">
        <v>10.0389099121093</v>
      </c>
      <c r="F121" s="4">
        <v>192.329833984375</v>
      </c>
      <c r="I121" s="5">
        <f>B121/B120-1</f>
        <v>6.9049812618022788E-3</v>
      </c>
      <c r="J121" s="5">
        <f>C121/C120-1</f>
        <v>-1.637406586120993E-3</v>
      </c>
      <c r="K121" s="5">
        <f>D121/D120-1</f>
        <v>1.4909822417994878E-2</v>
      </c>
      <c r="L121" s="5">
        <f>E121/E120-1</f>
        <v>1.0197112310450729E-2</v>
      </c>
      <c r="M121" s="5">
        <f>F121/F120-1</f>
        <v>6.681082592074894E-3</v>
      </c>
      <c r="N121" s="5">
        <f>SUMPRODUCT(I121:M121,$AJ$13:$AN$13)</f>
        <v>1.2816223229145017E-2</v>
      </c>
      <c r="P121" s="2" t="s">
        <v>112</v>
      </c>
      <c r="Q121" s="10" cm="1">
        <f t="array" aca="1" ref="Q121:U121" ca="1">_xlfn.LET(_xlpm.array,_xlfn.RANDARRAY(1,COLUMNS(_xlfn.ANCHORARRAY(Q120)),0,1,FALSE),_xlpm.array/SUM(_xlpm.array))</f>
        <v>9.5835658457218753E-2</v>
      </c>
      <c r="R121" s="2">
        <f ca="1"/>
        <v>0.20916294453806428</v>
      </c>
      <c r="S121" s="2">
        <f ca="1"/>
        <v>0.24627759180128031</v>
      </c>
      <c r="T121" s="2">
        <f ca="1"/>
        <v>0.22012593425183913</v>
      </c>
      <c r="U121" s="2">
        <f ca="1"/>
        <v>0.22859787095159764</v>
      </c>
      <c r="V121" s="12"/>
      <c r="X121" s="2" cm="1">
        <f t="array" aca="1" ref="X121" ca="1">MMULT(MMULT(_xlfn.ANCHORARRAY(Q121),$Q$9:$U$13),TRANSPOSE(_xlfn.ANCHORARRAY(Q121)))</f>
        <v>2.8538225176960786E-4</v>
      </c>
      <c r="Y121" s="2">
        <f t="shared" ca="1" si="8"/>
        <v>1.6893260542879453E-2</v>
      </c>
      <c r="Z121" s="2" cm="1">
        <f t="array" aca="1" ref="Z121" ca="1">MMULT(_xlfn.ANCHORARRAY(Q121),TRANSPOSE($Q$3:$U$3))</f>
        <v>1.0011304418911559E-3</v>
      </c>
      <c r="AA121" s="11">
        <f ca="1">AVEDEV(Q121*$Q$3,R121*$R$3,S121*$S$3,T121*$T$3,U121*$U$3)</f>
        <v>8.9754898901444892E-5</v>
      </c>
      <c r="AB121" s="11" cm="1">
        <f t="array" aca="1" ref="AB121" ca="1">MMULT(_xlfn.ANCHORARRAY(Q121),TRANSPOSE($Q$6:$U$6))</f>
        <v>-2.3206568617039278E-2</v>
      </c>
      <c r="AD121" s="2" t="s">
        <v>112</v>
      </c>
      <c r="AE121" s="10" cm="1">
        <f t="array" aca="1" ref="AE121:AI121" ca="1">_xlfn.LET(_xlpm.array,_xlfn.RANDARRAY(1,COLUMNS(_xlfn.ANCHORARRAY(Q120)),-1,1,FALSE),_xlpm.array/SUM(_xlpm.array))</f>
        <v>-0.65206329350759851</v>
      </c>
      <c r="AF121" s="10">
        <f ca="1"/>
        <v>0.39160003640562957</v>
      </c>
      <c r="AG121" s="10">
        <f ca="1"/>
        <v>0.5130752542664293</v>
      </c>
      <c r="AH121" s="10">
        <f ca="1"/>
        <v>0.64734104874943921</v>
      </c>
      <c r="AI121" s="10">
        <f ca="1"/>
        <v>0.10004695408610045</v>
      </c>
      <c r="AJ121" s="1"/>
      <c r="AK121" s="2" cm="1">
        <f t="array" aca="1" ref="AK121" ca="1">MMULT(MMULT(_xlfn.ANCHORARRAY(AE121),$Q$9:$U$13),TRANSPOSE(_xlfn.ANCHORARRAY(AE121)))</f>
        <v>6.6066487528956949E-4</v>
      </c>
      <c r="AL121" s="2">
        <f t="shared" ca="1" si="9"/>
        <v>2.5703402017817983E-2</v>
      </c>
      <c r="AM121" s="2" cm="1">
        <f t="array" aca="1" ref="AM121" ca="1">MMULT(_xlfn.ANCHORARRAY(AE122),TRANSPOSE($Q$3:$U$3))</f>
        <v>1.2165564402177491E-3</v>
      </c>
    </row>
    <row r="122" spans="1:39" x14ac:dyDescent="0.35">
      <c r="A122" s="3">
        <v>44006</v>
      </c>
      <c r="B122" s="4">
        <v>20.708429336547798</v>
      </c>
      <c r="C122" s="4">
        <v>68.174789428710895</v>
      </c>
      <c r="D122" s="4">
        <v>24.564548492431602</v>
      </c>
      <c r="E122" s="4">
        <v>9.6200580596923793</v>
      </c>
      <c r="F122" s="4">
        <v>188.45294189453099</v>
      </c>
      <c r="I122" s="5">
        <f>B122/B121-1</f>
        <v>-3.9531930674064908E-2</v>
      </c>
      <c r="J122" s="5">
        <f>C122/C121-1</f>
        <v>-4.1557472887424951E-2</v>
      </c>
      <c r="K122" s="5">
        <f>D122/D121-1</f>
        <v>8.3452406921329381E-2</v>
      </c>
      <c r="L122" s="5">
        <f>E122/E121-1</f>
        <v>-4.172284203005816E-2</v>
      </c>
      <c r="M122" s="5">
        <f>F122/F121-1</f>
        <v>-2.0157517996708507E-2</v>
      </c>
      <c r="N122" s="5">
        <f>SUMPRODUCT(I122:M122,$AJ$13:$AN$13)</f>
        <v>3.0017232619756758E-2</v>
      </c>
      <c r="P122" s="2" t="s">
        <v>113</v>
      </c>
      <c r="Q122" s="10" cm="1">
        <f t="array" aca="1" ref="Q122:U122" ca="1">_xlfn.LET(_xlpm.array,_xlfn.RANDARRAY(1,COLUMNS(_xlfn.ANCHORARRAY(Q121)),0,1,FALSE),_xlpm.array/SUM(_xlpm.array))</f>
        <v>3.0832804736097737E-2</v>
      </c>
      <c r="R122" s="2">
        <f ca="1"/>
        <v>0.10754628377623779</v>
      </c>
      <c r="S122" s="2">
        <f ca="1"/>
        <v>0.52393336220299225</v>
      </c>
      <c r="T122" s="2">
        <f ca="1"/>
        <v>0.11775321869138738</v>
      </c>
      <c r="U122" s="2">
        <f ca="1"/>
        <v>0.21993433059328479</v>
      </c>
      <c r="V122" s="12"/>
      <c r="X122" s="2" cm="1">
        <f t="array" aca="1" ref="X122" ca="1">MMULT(MMULT(_xlfn.ANCHORARRAY(Q122),$Q$9:$U$13),TRANSPOSE(_xlfn.ANCHORARRAY(Q122)))</f>
        <v>4.0030739481915917E-4</v>
      </c>
      <c r="Y122" s="2">
        <f t="shared" ca="1" si="8"/>
        <v>2.0007683394615158E-2</v>
      </c>
      <c r="Z122" s="2" cm="1">
        <f t="array" aca="1" ref="Z122" ca="1">MMULT(_xlfn.ANCHORARRAY(Q122),TRANSPOSE($Q$3:$U$3))</f>
        <v>1.2335896560298578E-3</v>
      </c>
      <c r="AA122" s="11">
        <f ca="1">AVEDEV(Q122*$Q$3,R122*$R$3,S122*$S$3,T122*$T$3,U122*$U$3)</f>
        <v>2.4166010164096023E-4</v>
      </c>
      <c r="AB122" s="11" cm="1">
        <f t="array" aca="1" ref="AB122" ca="1">MMULT(_xlfn.ANCHORARRAY(Q122),TRANSPOSE($Q$6:$U$6))</f>
        <v>-2.4496949265498103E-2</v>
      </c>
      <c r="AD122" s="2" t="s">
        <v>113</v>
      </c>
      <c r="AE122" s="10" cm="1">
        <f t="array" aca="1" ref="AE122:AI122" ca="1">_xlfn.LET(_xlpm.array,_xlfn.RANDARRAY(1,COLUMNS(_xlfn.ANCHORARRAY(Q121)),-1,1,FALSE),_xlpm.array/SUM(_xlpm.array))</f>
        <v>-0.20303542910706757</v>
      </c>
      <c r="AF122" s="10">
        <f ca="1"/>
        <v>0.37672920598387677</v>
      </c>
      <c r="AG122" s="10">
        <f ca="1"/>
        <v>0.3761467856085231</v>
      </c>
      <c r="AH122" s="10">
        <f ca="1"/>
        <v>0.34848134322301655</v>
      </c>
      <c r="AI122" s="10">
        <f ca="1"/>
        <v>0.10167809429165105</v>
      </c>
      <c r="AJ122" s="1"/>
      <c r="AK122" s="2" cm="1">
        <f t="array" aca="1" ref="AK122" ca="1">MMULT(MMULT(_xlfn.ANCHORARRAY(AE122),$Q$9:$U$13),TRANSPOSE(_xlfn.ANCHORARRAY(AE122)))</f>
        <v>3.9860813653432584E-4</v>
      </c>
      <c r="AL122" s="2">
        <f t="shared" ca="1" si="9"/>
        <v>1.9965173090517544E-2</v>
      </c>
      <c r="AM122" s="2" cm="1">
        <f t="array" aca="1" ref="AM122" ca="1">MMULT(_xlfn.ANCHORARRAY(AE123),TRANSPOSE($Q$3:$U$3))</f>
        <v>-8.5981324057508477E-5</v>
      </c>
    </row>
    <row r="123" spans="1:39" x14ac:dyDescent="0.35">
      <c r="A123" s="3">
        <v>44007</v>
      </c>
      <c r="B123" s="4">
        <v>21.499889373779201</v>
      </c>
      <c r="C123" s="4">
        <v>69.396087646484304</v>
      </c>
      <c r="D123" s="4">
        <v>23.870639801025298</v>
      </c>
      <c r="E123" s="4">
        <v>9.9308214187621999</v>
      </c>
      <c r="F123" s="4">
        <v>190.83432006835901</v>
      </c>
      <c r="I123" s="5">
        <f>B123/B122-1</f>
        <v>3.8219220992997904E-2</v>
      </c>
      <c r="J123" s="5">
        <f>C123/C122-1</f>
        <v>1.7914220608638676E-2</v>
      </c>
      <c r="K123" s="5">
        <f>D123/D122-1</f>
        <v>-2.8248379636210186E-2</v>
      </c>
      <c r="L123" s="5">
        <f>E123/E122-1</f>
        <v>3.2303688516382767E-2</v>
      </c>
      <c r="M123" s="5">
        <f>F123/F122-1</f>
        <v>1.2636460592696741E-2</v>
      </c>
      <c r="N123" s="5">
        <f>SUMPRODUCT(I123:M123,$AJ$13:$AN$13)</f>
        <v>-7.0333001591974774E-3</v>
      </c>
      <c r="P123" s="2" t="s">
        <v>114</v>
      </c>
      <c r="Q123" s="10" cm="1">
        <f t="array" aca="1" ref="Q123:U123" ca="1">_xlfn.LET(_xlpm.array,_xlfn.RANDARRAY(1,COLUMNS(_xlfn.ANCHORARRAY(Q122)),0,1,FALSE),_xlpm.array/SUM(_xlpm.array))</f>
        <v>0.20796059465723751</v>
      </c>
      <c r="R123" s="2">
        <f ca="1"/>
        <v>0.11279352253768363</v>
      </c>
      <c r="S123" s="2">
        <f ca="1"/>
        <v>0.22083306219566817</v>
      </c>
      <c r="T123" s="2">
        <f ca="1"/>
        <v>0.16386667461100596</v>
      </c>
      <c r="U123" s="2">
        <f ca="1"/>
        <v>0.29454614599840473</v>
      </c>
      <c r="V123" s="12"/>
      <c r="X123" s="2" cm="1">
        <f t="array" aca="1" ref="X123" ca="1">MMULT(MMULT(_xlfn.ANCHORARRAY(Q123),$Q$9:$U$13),TRANSPOSE(_xlfn.ANCHORARRAY(Q123)))</f>
        <v>2.7018881419652502E-4</v>
      </c>
      <c r="Y123" s="2">
        <f t="shared" ca="1" si="8"/>
        <v>1.6437421154077821E-2</v>
      </c>
      <c r="Z123" s="2" cm="1">
        <f t="array" aca="1" ref="Z123" ca="1">MMULT(_xlfn.ANCHORARRAY(Q123),TRANSPOSE($Q$3:$U$3))</f>
        <v>9.3938823584383468E-4</v>
      </c>
      <c r="AA123" s="11">
        <f ca="1">AVEDEV(Q123*$Q$3,R123*$R$3,S123*$S$3,T123*$T$3,U123*$U$3)</f>
        <v>8.3265005491548835E-5</v>
      </c>
      <c r="AB123" s="11" cm="1">
        <f t="array" aca="1" ref="AB123" ca="1">MMULT(_xlfn.ANCHORARRAY(Q123),TRANSPOSE($Q$6:$U$6))</f>
        <v>-2.2865314046292759E-2</v>
      </c>
      <c r="AD123" s="2" t="s">
        <v>114</v>
      </c>
      <c r="AE123" s="10" cm="1">
        <f t="array" aca="1" ref="AE123:AI123" ca="1">_xlfn.LET(_xlpm.array,_xlfn.RANDARRAY(1,COLUMNS(_xlfn.ANCHORARRAY(Q122)),-1,1,FALSE),_xlpm.array/SUM(_xlpm.array))</f>
        <v>0.94981755675081347</v>
      </c>
      <c r="AF123" s="10">
        <f ca="1"/>
        <v>0.97413051329865441</v>
      </c>
      <c r="AG123" s="10">
        <f ca="1"/>
        <v>-0.42398295636777844</v>
      </c>
      <c r="AH123" s="10">
        <f ca="1"/>
        <v>-0.81445358579674498</v>
      </c>
      <c r="AI123" s="10">
        <f ca="1"/>
        <v>0.31448847211505554</v>
      </c>
      <c r="AJ123" s="1"/>
      <c r="AK123" s="2" cm="1">
        <f t="array" aca="1" ref="AK123" ca="1">MMULT(MMULT(_xlfn.ANCHORARRAY(AE123),$Q$9:$U$13),TRANSPOSE(_xlfn.ANCHORARRAY(AE123)))</f>
        <v>8.2149755834742854E-4</v>
      </c>
      <c r="AL123" s="2">
        <f t="shared" ca="1" si="9"/>
        <v>2.8661778701738461E-2</v>
      </c>
      <c r="AM123" s="2" cm="1">
        <f t="array" aca="1" ref="AM123" ca="1">MMULT(_xlfn.ANCHORARRAY(AE124),TRANSPOSE($Q$3:$U$3))</f>
        <v>8.390671150892105E-4</v>
      </c>
    </row>
    <row r="124" spans="1:39" x14ac:dyDescent="0.35">
      <c r="A124" s="3">
        <v>44008</v>
      </c>
      <c r="B124" s="4">
        <v>20.134395599365199</v>
      </c>
      <c r="C124" s="4">
        <v>67.256881713867102</v>
      </c>
      <c r="D124" s="4">
        <v>24.171331405639599</v>
      </c>
      <c r="E124" s="4">
        <v>9.6403274536132795</v>
      </c>
      <c r="F124" s="4">
        <v>187.01457214355401</v>
      </c>
      <c r="I124" s="5">
        <f>B124/B123-1</f>
        <v>-6.3511665138115903E-2</v>
      </c>
      <c r="J124" s="5">
        <f>C124/C123-1</f>
        <v>-3.082603076292556E-2</v>
      </c>
      <c r="K124" s="5">
        <f>D124/D123-1</f>
        <v>1.259671324776912E-2</v>
      </c>
      <c r="L124" s="5">
        <f>E124/E123-1</f>
        <v>-2.9251756012860453E-2</v>
      </c>
      <c r="M124" s="5">
        <f>F124/F123-1</f>
        <v>-2.0016042834625991E-2</v>
      </c>
      <c r="N124" s="5">
        <f>SUMPRODUCT(I124:M124,$AJ$13:$AN$13)</f>
        <v>5.582746873673378E-3</v>
      </c>
      <c r="P124" s="2" t="s">
        <v>115</v>
      </c>
      <c r="Q124" s="10" cm="1">
        <f t="array" aca="1" ref="Q124:U124" ca="1">_xlfn.LET(_xlpm.array,_xlfn.RANDARRAY(1,COLUMNS(_xlfn.ANCHORARRAY(Q123)),0,1,FALSE),_xlpm.array/SUM(_xlpm.array))</f>
        <v>0.52706440640883068</v>
      </c>
      <c r="R124" s="2">
        <f ca="1"/>
        <v>0.31634474998828682</v>
      </c>
      <c r="S124" s="2">
        <f ca="1"/>
        <v>1.8112976281212012E-3</v>
      </c>
      <c r="T124" s="2">
        <f ca="1"/>
        <v>8.6589457577097642E-2</v>
      </c>
      <c r="U124" s="2">
        <f ca="1"/>
        <v>6.8190088397663648E-2</v>
      </c>
      <c r="V124" s="12"/>
      <c r="X124" s="2" cm="1">
        <f t="array" aca="1" ref="X124" ca="1">MMULT(MMULT(_xlfn.ANCHORARRAY(Q124),$Q$9:$U$13),TRANSPOSE(_xlfn.ANCHORARRAY(Q124)))</f>
        <v>3.3173491831258925E-4</v>
      </c>
      <c r="Y124" s="2">
        <f t="shared" ca="1" si="8"/>
        <v>1.8213591581909078E-2</v>
      </c>
      <c r="Z124" s="2" cm="1">
        <f t="array" aca="1" ref="Z124" ca="1">MMULT(_xlfn.ANCHORARRAY(Q124),TRANSPOSE($Q$3:$U$3))</f>
        <v>6.4244406714267081E-4</v>
      </c>
      <c r="AA124" s="11">
        <f ca="1">AVEDEV(Q124*$Q$3,R124*$R$3,S124*$S$3,T124*$T$3,U124*$U$3)</f>
        <v>9.676326768449307E-5</v>
      </c>
      <c r="AB124" s="11" cm="1">
        <f t="array" aca="1" ref="AB124" ca="1">MMULT(_xlfn.ANCHORARRAY(Q124),TRANSPOSE($Q$6:$U$6))</f>
        <v>-2.1506027382778025E-2</v>
      </c>
      <c r="AD124" s="2" t="s">
        <v>115</v>
      </c>
      <c r="AE124" s="10" cm="1">
        <f t="array" aca="1" ref="AE124:AI124" ca="1">_xlfn.LET(_xlpm.array,_xlfn.RANDARRAY(1,COLUMNS(_xlfn.ANCHORARRAY(Q123)),-1,1,FALSE),_xlpm.array/SUM(_xlpm.array))</f>
        <v>0.10576864257246223</v>
      </c>
      <c r="AF124" s="10">
        <f ca="1"/>
        <v>0.21853330770449392</v>
      </c>
      <c r="AG124" s="10">
        <f ca="1"/>
        <v>1.5122972551826621E-2</v>
      </c>
      <c r="AH124" s="10">
        <f ca="1"/>
        <v>0.37359681975465014</v>
      </c>
      <c r="AI124" s="10">
        <f ca="1"/>
        <v>0.28697825741656713</v>
      </c>
      <c r="AJ124" s="1"/>
      <c r="AK124" s="2" cm="1">
        <f t="array" aca="1" ref="AK124" ca="1">MMULT(MMULT(_xlfn.ANCHORARRAY(AE124),$Q$9:$U$13),TRANSPOSE(_xlfn.ANCHORARRAY(AE124)))</f>
        <v>2.8057483726615432E-4</v>
      </c>
      <c r="AL124" s="2">
        <f t="shared" ca="1" si="9"/>
        <v>1.6750368272553124E-2</v>
      </c>
      <c r="AM124" s="2" cm="1">
        <f t="array" aca="1" ref="AM124" ca="1">MMULT(_xlfn.ANCHORARRAY(AE125),TRANSPOSE($Q$3:$U$3))</f>
        <v>1.8033529732027326E-3</v>
      </c>
    </row>
    <row r="125" spans="1:39" x14ac:dyDescent="0.35">
      <c r="A125" s="3">
        <v>44011</v>
      </c>
      <c r="B125" s="4">
        <v>20.3431377410888</v>
      </c>
      <c r="C125" s="4">
        <v>68.198135375976506</v>
      </c>
      <c r="D125" s="4">
        <v>24.869874954223601</v>
      </c>
      <c r="E125" s="4">
        <v>9.7686843872070295</v>
      </c>
      <c r="F125" s="4">
        <v>189.02445983886699</v>
      </c>
      <c r="I125" s="5">
        <f>B125/B124-1</f>
        <v>1.0367440169407605E-2</v>
      </c>
      <c r="J125" s="5">
        <f>C125/C124-1</f>
        <v>1.3994904879976566E-2</v>
      </c>
      <c r="K125" s="5">
        <f>D125/D124-1</f>
        <v>2.889967196515375E-2</v>
      </c>
      <c r="L125" s="5">
        <f>E125/E124-1</f>
        <v>1.3314582332536906E-2</v>
      </c>
      <c r="M125" s="5">
        <f>F125/F124-1</f>
        <v>1.0747225054581255E-2</v>
      </c>
      <c r="N125" s="5">
        <f>SUMPRODUCT(I125:M125,$AJ$13:$AN$13)</f>
        <v>2.1401760624876989E-2</v>
      </c>
      <c r="P125" s="2" t="s">
        <v>116</v>
      </c>
      <c r="Q125" s="10" cm="1">
        <f t="array" aca="1" ref="Q125:U125" ca="1">_xlfn.LET(_xlpm.array,_xlfn.RANDARRAY(1,COLUMNS(_xlfn.ANCHORARRAY(Q124)),0,1,FALSE),_xlpm.array/SUM(_xlpm.array))</f>
        <v>0.15629248221339745</v>
      </c>
      <c r="R125" s="2">
        <f ca="1"/>
        <v>0.16539247162161053</v>
      </c>
      <c r="S125" s="2">
        <f ca="1"/>
        <v>0.11546623544325346</v>
      </c>
      <c r="T125" s="2">
        <f ca="1"/>
        <v>0.29049599982882968</v>
      </c>
      <c r="U125" s="2">
        <f ca="1"/>
        <v>0.27235281089290886</v>
      </c>
      <c r="V125" s="12"/>
      <c r="X125" s="2" cm="1">
        <f t="array" aca="1" ref="X125" ca="1">MMULT(MMULT(_xlfn.ANCHORARRAY(Q125),$Q$9:$U$13),TRANSPOSE(_xlfn.ANCHORARRAY(Q125)))</f>
        <v>2.655336990734353E-4</v>
      </c>
      <c r="Y125" s="2">
        <f t="shared" ca="1" si="8"/>
        <v>1.6295204787710869E-2</v>
      </c>
      <c r="Z125" s="2" cm="1">
        <f t="array" aca="1" ref="Z125" ca="1">MMULT(_xlfn.ANCHORARRAY(Q125),TRANSPOSE($Q$3:$U$3))</f>
        <v>8.9281414037462416E-4</v>
      </c>
      <c r="AA125" s="11">
        <f ca="1">AVEDEV(Q125*$Q$3,R125*$R$3,S125*$S$3,T125*$T$3,U125*$U$3)</f>
        <v>6.2765818946684365E-5</v>
      </c>
      <c r="AB125" s="11" cm="1">
        <f t="array" aca="1" ref="AB125" ca="1">MMULT(_xlfn.ANCHORARRAY(Q125),TRANSPOSE($Q$6:$U$6))</f>
        <v>-2.2711184114533024E-2</v>
      </c>
      <c r="AD125" s="2" t="s">
        <v>116</v>
      </c>
      <c r="AE125" s="10" cm="1">
        <f t="array" aca="1" ref="AE125:AI125" ca="1">_xlfn.LET(_xlpm.array,_xlfn.RANDARRAY(1,COLUMNS(_xlfn.ANCHORARRAY(Q124)),-1,1,FALSE),_xlpm.array/SUM(_xlpm.array))</f>
        <v>-0.92480451791554596</v>
      </c>
      <c r="AF125" s="10">
        <f ca="1"/>
        <v>1.6576530482100937</v>
      </c>
      <c r="AG125" s="10">
        <f ca="1"/>
        <v>1.0109314716263811</v>
      </c>
      <c r="AH125" s="10">
        <f ca="1"/>
        <v>-3.8837731382410874E-2</v>
      </c>
      <c r="AI125" s="10">
        <f ca="1"/>
        <v>-0.7049422705385181</v>
      </c>
      <c r="AJ125" s="1"/>
      <c r="AK125" s="2" cm="1">
        <f t="array" aca="1" ref="AK125" ca="1">MMULT(MMULT(_xlfn.ANCHORARRAY(AE125),$Q$9:$U$13),TRANSPOSE(_xlfn.ANCHORARRAY(AE125)))</f>
        <v>1.6552459234389703E-3</v>
      </c>
      <c r="AL125" s="2">
        <f t="shared" ca="1" si="9"/>
        <v>4.0684713633488565E-2</v>
      </c>
      <c r="AM125" s="2" cm="1">
        <f t="array" aca="1" ref="AM125" ca="1">MMULT(_xlfn.ANCHORARRAY(AE126),TRANSPOSE($Q$3:$U$3))</f>
        <v>6.8732462552242868E-4</v>
      </c>
    </row>
    <row r="126" spans="1:39" x14ac:dyDescent="0.35">
      <c r="A126" s="3">
        <v>44012</v>
      </c>
      <c r="B126" s="4">
        <v>20.6562385559082</v>
      </c>
      <c r="C126" s="4">
        <v>69.411659240722599</v>
      </c>
      <c r="D126" s="4">
        <v>25.41575050354</v>
      </c>
      <c r="E126" s="4">
        <v>9.7821969985961896</v>
      </c>
      <c r="F126" s="4">
        <v>193.85389709472599</v>
      </c>
      <c r="I126" s="5">
        <f>B126/B125-1</f>
        <v>1.5390979444975361E-2</v>
      </c>
      <c r="J126" s="5">
        <f>C126/C125-1</f>
        <v>1.7794091554790059E-2</v>
      </c>
      <c r="K126" s="5">
        <f>D126/D125-1</f>
        <v>2.1949267952539264E-2</v>
      </c>
      <c r="L126" s="5">
        <f>E126/E125-1</f>
        <v>1.3832580574366649E-3</v>
      </c>
      <c r="M126" s="5">
        <f>F126/F125-1</f>
        <v>2.5549271559753839E-2</v>
      </c>
      <c r="N126" s="5">
        <f>SUMPRODUCT(I126:M126,$AJ$13:$AN$13)</f>
        <v>1.5575108395057623E-2</v>
      </c>
      <c r="P126" s="2" t="s">
        <v>117</v>
      </c>
      <c r="Q126" s="10" cm="1">
        <f t="array" aca="1" ref="Q126:U126" ca="1">_xlfn.LET(_xlpm.array,_xlfn.RANDARRAY(1,COLUMNS(_xlfn.ANCHORARRAY(Q125)),0,1,FALSE),_xlpm.array/SUM(_xlpm.array))</f>
        <v>0.25238625328474645</v>
      </c>
      <c r="R126" s="2">
        <f ca="1"/>
        <v>0.2378709121650695</v>
      </c>
      <c r="S126" s="2">
        <f ca="1"/>
        <v>0.10948340092937323</v>
      </c>
      <c r="T126" s="2">
        <f ca="1"/>
        <v>0.12625492404023311</v>
      </c>
      <c r="U126" s="2">
        <f ca="1"/>
        <v>0.27400450958057782</v>
      </c>
      <c r="V126" s="12"/>
      <c r="X126" s="2" cm="1">
        <f t="array" aca="1" ref="X126" ca="1">MMULT(MMULT(_xlfn.ANCHORARRAY(Q126),$Q$9:$U$13),TRANSPOSE(_xlfn.ANCHORARRAY(Q126)))</f>
        <v>2.5939770562469395E-4</v>
      </c>
      <c r="Y126" s="2">
        <f t="shared" ca="1" si="8"/>
        <v>1.6105828312281675E-2</v>
      </c>
      <c r="Z126" s="2" cm="1">
        <f t="array" aca="1" ref="Z126" ca="1">MMULT(_xlfn.ANCHORARRAY(Q126),TRANSPOSE($Q$3:$U$3))</f>
        <v>8.1833571061890097E-4</v>
      </c>
      <c r="AA126" s="11">
        <f ca="1">AVEDEV(Q126*$Q$3,R126*$R$3,S126*$S$3,T126*$T$3,U126*$U$3)</f>
        <v>2.8030290162547721E-5</v>
      </c>
      <c r="AB126" s="11" cm="1">
        <f t="array" aca="1" ref="AB126" ca="1">MMULT(_xlfn.ANCHORARRAY(Q126),TRANSPOSE($Q$6:$U$6))</f>
        <v>-2.2018567501033568E-2</v>
      </c>
      <c r="AD126" s="2" t="s">
        <v>117</v>
      </c>
      <c r="AE126" s="10" cm="1">
        <f t="array" aca="1" ref="AE126:AI126" ca="1">_xlfn.LET(_xlpm.array,_xlfn.RANDARRAY(1,COLUMNS(_xlfn.ANCHORARRAY(Q125)),-1,1,FALSE),_xlpm.array/SUM(_xlpm.array))</f>
        <v>0.51207126526351143</v>
      </c>
      <c r="AF126" s="10">
        <f ca="1"/>
        <v>-0.20110928535560194</v>
      </c>
      <c r="AG126" s="10">
        <f ca="1"/>
        <v>0.10614916268320063</v>
      </c>
      <c r="AH126" s="10">
        <f ca="1"/>
        <v>-0.17248145960210939</v>
      </c>
      <c r="AI126" s="10">
        <f ca="1"/>
        <v>0.75537031701099921</v>
      </c>
      <c r="AJ126" s="1"/>
      <c r="AK126" s="2" cm="1">
        <f t="array" aca="1" ref="AK126" ca="1">MMULT(MMULT(_xlfn.ANCHORARRAY(AE126),$Q$9:$U$13),TRANSPOSE(_xlfn.ANCHORARRAY(AE126)))</f>
        <v>4.0280016901194044E-4</v>
      </c>
      <c r="AL126" s="2">
        <f t="shared" ca="1" si="9"/>
        <v>2.0069882137470078E-2</v>
      </c>
      <c r="AM126" s="2" cm="1">
        <f t="array" aca="1" ref="AM126" ca="1">MMULT(_xlfn.ANCHORARRAY(AE127),TRANSPOSE($Q$3:$U$3))</f>
        <v>-7.3489471863122918E-3</v>
      </c>
    </row>
    <row r="127" spans="1:39" x14ac:dyDescent="0.35">
      <c r="A127" s="3">
        <v>44013</v>
      </c>
      <c r="B127" s="4">
        <v>20.230073928833001</v>
      </c>
      <c r="C127" s="4">
        <v>68.159240722656193</v>
      </c>
      <c r="D127" s="4">
        <v>25.110425949096602</v>
      </c>
      <c r="E127" s="4">
        <v>9.6538381576537997</v>
      </c>
      <c r="F127" s="4">
        <v>194.98739624023401</v>
      </c>
      <c r="I127" s="5">
        <f>B127/B126-1</f>
        <v>-2.063127930681774E-2</v>
      </c>
      <c r="J127" s="5">
        <f>C127/C126-1</f>
        <v>-1.8043345048458836E-2</v>
      </c>
      <c r="K127" s="5">
        <f>D127/D126-1</f>
        <v>-1.2013202380188326E-2</v>
      </c>
      <c r="L127" s="5">
        <f>E127/E126-1</f>
        <v>-1.3121678183419361E-2</v>
      </c>
      <c r="M127" s="5">
        <f>F127/F126-1</f>
        <v>5.8471826591866005E-3</v>
      </c>
      <c r="N127" s="5">
        <f>SUMPRODUCT(I127:M127,$AJ$13:$AN$13)</f>
        <v>-3.8749349159837207E-3</v>
      </c>
      <c r="P127" s="2" t="s">
        <v>118</v>
      </c>
      <c r="Q127" s="10" cm="1">
        <f t="array" aca="1" ref="Q127:U127" ca="1">_xlfn.LET(_xlpm.array,_xlfn.RANDARRAY(1,COLUMNS(_xlfn.ANCHORARRAY(Q126)),0,1,FALSE),_xlpm.array/SUM(_xlpm.array))</f>
        <v>1.470355674234485E-2</v>
      </c>
      <c r="R127" s="2">
        <f ca="1"/>
        <v>0.35917602032244539</v>
      </c>
      <c r="S127" s="2">
        <f ca="1"/>
        <v>0.21604057490342185</v>
      </c>
      <c r="T127" s="2">
        <f ca="1"/>
        <v>0.14516313868635236</v>
      </c>
      <c r="U127" s="2">
        <f ca="1"/>
        <v>0.2649167093454356</v>
      </c>
      <c r="V127" s="12"/>
      <c r="X127" s="2" cm="1">
        <f t="array" aca="1" ref="X127" ca="1">MMULT(MMULT(_xlfn.ANCHORARRAY(Q127),$Q$9:$U$13),TRANSPOSE(_xlfn.ANCHORARRAY(Q127)))</f>
        <v>2.8141453508185064E-4</v>
      </c>
      <c r="Y127" s="2">
        <f t="shared" ca="1" si="8"/>
        <v>1.6775414602383174E-2</v>
      </c>
      <c r="Z127" s="2" cm="1">
        <f t="array" aca="1" ref="Z127" ca="1">MMULT(_xlfn.ANCHORARRAY(Q127),TRANSPOSE($Q$3:$U$3))</f>
        <v>9.7153114905469662E-4</v>
      </c>
      <c r="AA127" s="11">
        <f ca="1">AVEDEV(Q127*$Q$3,R127*$R$3,S127*$S$3,T127*$T$3,U127*$U$3)</f>
        <v>9.3135313363184544E-5</v>
      </c>
      <c r="AB127" s="11" cm="1">
        <f t="array" aca="1" ref="AB127" ca="1">MMULT(_xlfn.ANCHORARRAY(Q127),TRANSPOSE($Q$6:$U$6))</f>
        <v>-2.2567313985797418E-2</v>
      </c>
      <c r="AD127" s="2" t="s">
        <v>118</v>
      </c>
      <c r="AE127" s="10" cm="1">
        <f t="array" aca="1" ref="AE127:AI127" ca="1">_xlfn.LET(_xlpm.array,_xlfn.RANDARRAY(1,COLUMNS(_xlfn.ANCHORARRAY(Q126)),-1,1,FALSE),_xlpm.array/SUM(_xlpm.array))</f>
        <v>6.1715249501946836</v>
      </c>
      <c r="AF127" s="10">
        <f ca="1"/>
        <v>2.7916296715367555</v>
      </c>
      <c r="AG127" s="10">
        <f ca="1"/>
        <v>-5.8679917397615986</v>
      </c>
      <c r="AH127" s="10">
        <f ca="1"/>
        <v>-5.4214994063904145</v>
      </c>
      <c r="AI127" s="10">
        <f ca="1"/>
        <v>3.3263365244205736</v>
      </c>
      <c r="AJ127" s="1"/>
      <c r="AK127" s="2" cm="1">
        <f t="array" aca="1" ref="AK127" ca="1">MMULT(MMULT(_xlfn.ANCHORARRAY(AE127),$Q$9:$U$13),TRANSPOSE(_xlfn.ANCHORARRAY(AE127)))</f>
        <v>3.8984092859994428E-2</v>
      </c>
      <c r="AL127" s="2">
        <f t="shared" ca="1" si="9"/>
        <v>0.1974438980064829</v>
      </c>
      <c r="AM127" s="2" cm="1">
        <f t="array" aca="1" ref="AM127" ca="1">MMULT(_xlfn.ANCHORARRAY(AE128),TRANSPOSE($Q$3:$U$3))</f>
        <v>4.0830174155612815E-4</v>
      </c>
    </row>
    <row r="128" spans="1:39" x14ac:dyDescent="0.35">
      <c r="A128" s="3">
        <v>44014</v>
      </c>
      <c r="B128" s="4">
        <v>20.256162643432599</v>
      </c>
      <c r="C128" s="4">
        <v>68.695991516113196</v>
      </c>
      <c r="D128" s="4">
        <v>24.865242004394499</v>
      </c>
      <c r="E128" s="4">
        <v>9.9173097610473597</v>
      </c>
      <c r="F128" s="4">
        <v>196.473388671875</v>
      </c>
      <c r="I128" s="5">
        <f>B128/B127-1</f>
        <v>1.2896005566453983E-3</v>
      </c>
      <c r="J128" s="5">
        <f>C128/C127-1</f>
        <v>7.8749526515571322E-3</v>
      </c>
      <c r="K128" s="5">
        <f>D128/D127-1</f>
        <v>-9.7642288187039794E-3</v>
      </c>
      <c r="L128" s="5">
        <f>E128/E127-1</f>
        <v>2.7291901841618671E-2</v>
      </c>
      <c r="M128" s="5">
        <f>F128/F127-1</f>
        <v>7.6209665870412557E-3</v>
      </c>
      <c r="N128" s="5">
        <f>SUMPRODUCT(I128:M128,$AJ$13:$AN$13)</f>
        <v>9.5831378827378119E-3</v>
      </c>
      <c r="P128" s="2" t="s">
        <v>119</v>
      </c>
      <c r="Q128" s="10" cm="1">
        <f t="array" aca="1" ref="Q128:U128" ca="1">_xlfn.LET(_xlpm.array,_xlfn.RANDARRAY(1,COLUMNS(_xlfn.ANCHORARRAY(Q127)),0,1,FALSE),_xlpm.array/SUM(_xlpm.array))</f>
        <v>6.131884933885013E-2</v>
      </c>
      <c r="R128" s="2">
        <f ca="1"/>
        <v>0.28472585814369689</v>
      </c>
      <c r="S128" s="2">
        <f ca="1"/>
        <v>0.16395135577865438</v>
      </c>
      <c r="T128" s="2">
        <f ca="1"/>
        <v>0.22395715467014199</v>
      </c>
      <c r="U128" s="2">
        <f ca="1"/>
        <v>0.26604678206865673</v>
      </c>
      <c r="V128" s="12"/>
      <c r="X128" s="2" cm="1">
        <f t="array" aca="1" ref="X128" ca="1">MMULT(MMULT(_xlfn.ANCHORARRAY(Q128),$Q$9:$U$13),TRANSPOSE(_xlfn.ANCHORARRAY(Q128)))</f>
        <v>2.71959476885883E-4</v>
      </c>
      <c r="Y128" s="2">
        <f t="shared" ca="1" si="8"/>
        <v>1.6491193919358386E-2</v>
      </c>
      <c r="Z128" s="2" cm="1">
        <f t="array" aca="1" ref="Z128" ca="1">MMULT(_xlfn.ANCHORARRAY(Q128),TRANSPOSE($Q$3:$U$3))</f>
        <v>9.3762550546718317E-4</v>
      </c>
      <c r="AA128" s="11">
        <f ca="1">AVEDEV(Q128*$Q$3,R128*$R$3,S128*$S$3,T128*$T$3,U128*$U$3)</f>
        <v>6.2544010413007021E-5</v>
      </c>
      <c r="AB128" s="11" cm="1">
        <f t="array" aca="1" ref="AB128" ca="1">MMULT(_xlfn.ANCHORARRAY(Q128),TRANSPOSE($Q$6:$U$6))</f>
        <v>-2.2632211368794147E-2</v>
      </c>
      <c r="AD128" s="2" t="s">
        <v>119</v>
      </c>
      <c r="AE128" s="10" cm="1">
        <f t="array" aca="1" ref="AE128:AI128" ca="1">_xlfn.LET(_xlpm.array,_xlfn.RANDARRAY(1,COLUMNS(_xlfn.ANCHORARRAY(Q127)),-1,1,FALSE),_xlpm.array/SUM(_xlpm.array))</f>
        <v>1.1254314198600128</v>
      </c>
      <c r="AF128" s="10">
        <f ca="1"/>
        <v>0.60010510445309639</v>
      </c>
      <c r="AG128" s="10">
        <f ca="1"/>
        <v>-0.10450685073469526</v>
      </c>
      <c r="AH128" s="10">
        <f ca="1"/>
        <v>0.16669588974842994</v>
      </c>
      <c r="AI128" s="10">
        <f ca="1"/>
        <v>-0.78772556332684385</v>
      </c>
      <c r="AJ128" s="1"/>
      <c r="AK128" s="2" cm="1">
        <f t="array" aca="1" ref="AK128" ca="1">MMULT(MMULT(_xlfn.ANCHORARRAY(AE128),$Q$9:$U$13),TRANSPOSE(_xlfn.ANCHORARRAY(AE128)))</f>
        <v>1.0391403608095919E-3</v>
      </c>
      <c r="AL128" s="2">
        <f t="shared" ca="1" si="9"/>
        <v>3.2235700098021632E-2</v>
      </c>
      <c r="AM128" s="2" cm="1">
        <f t="array" aca="1" ref="AM128" ca="1">MMULT(_xlfn.ANCHORARRAY(AE129),TRANSPOSE($Q$3:$U$3))</f>
        <v>4.9114578655639804E-4</v>
      </c>
    </row>
    <row r="129" spans="1:39" x14ac:dyDescent="0.35">
      <c r="A129" s="3">
        <v>44018</v>
      </c>
      <c r="B129" s="4">
        <v>20.577966690063398</v>
      </c>
      <c r="C129" s="4">
        <v>68.898246765136705</v>
      </c>
      <c r="D129" s="4">
        <v>25.008653640746999</v>
      </c>
      <c r="E129" s="4">
        <v>9.9983758926391602</v>
      </c>
      <c r="F129" s="4">
        <v>200.70280456542901</v>
      </c>
      <c r="I129" s="5">
        <f>B129/B128-1</f>
        <v>1.5886723082524812E-2</v>
      </c>
      <c r="J129" s="5">
        <f>C129/C128-1</f>
        <v>2.9442074356851311E-3</v>
      </c>
      <c r="K129" s="5">
        <f>D129/D128-1</f>
        <v>5.7675544170112669E-3</v>
      </c>
      <c r="L129" s="5">
        <f>E129/E128-1</f>
        <v>8.1742058627842784E-3</v>
      </c>
      <c r="M129" s="5">
        <f>F129/F128-1</f>
        <v>2.1526660287910282E-2</v>
      </c>
      <c r="N129" s="5">
        <f>SUMPRODUCT(I129:M129,$AJ$13:$AN$13)</f>
        <v>9.3222426925565118E-3</v>
      </c>
      <c r="P129" s="2" t="s">
        <v>120</v>
      </c>
      <c r="Q129" s="10" cm="1">
        <f t="array" aca="1" ref="Q129:U129" ca="1">_xlfn.LET(_xlpm.array,_xlfn.RANDARRAY(1,COLUMNS(_xlfn.ANCHORARRAY(Q128)),0,1,FALSE),_xlpm.array/SUM(_xlpm.array))</f>
        <v>1.4656489448118544E-2</v>
      </c>
      <c r="R129" s="2">
        <f ca="1"/>
        <v>6.3796323723666906E-2</v>
      </c>
      <c r="S129" s="2">
        <f ca="1"/>
        <v>0.35751189031704794</v>
      </c>
      <c r="T129" s="2">
        <f ca="1"/>
        <v>0.28460751039874876</v>
      </c>
      <c r="U129" s="2">
        <f ca="1"/>
        <v>0.27942778611241786</v>
      </c>
      <c r="V129" s="12"/>
      <c r="X129" s="2" cm="1">
        <f t="array" aca="1" ref="X129" ca="1">MMULT(MMULT(_xlfn.ANCHORARRAY(Q129),$Q$9:$U$13),TRANSPOSE(_xlfn.ANCHORARRAY(Q129)))</f>
        <v>3.2116565616125418E-4</v>
      </c>
      <c r="Y129" s="2">
        <f t="shared" ca="1" si="8"/>
        <v>1.7921095283527012E-2</v>
      </c>
      <c r="Z129" s="2" cm="1">
        <f t="array" aca="1" ref="Z129" ca="1">MMULT(_xlfn.ANCHORARRAY(Q129),TRANSPOSE($Q$3:$U$3))</f>
        <v>1.1391165749447261E-3</v>
      </c>
      <c r="AA129" s="11">
        <f ca="1">AVEDEV(Q129*$Q$3,R129*$R$3,S129*$S$3,T129*$T$3,U129*$U$3)</f>
        <v>1.6628514535488173E-4</v>
      </c>
      <c r="AB129" s="11" cm="1">
        <f t="array" aca="1" ref="AB129" ca="1">MMULT(_xlfn.ANCHORARRAY(Q129),TRANSPOSE($Q$6:$U$6))</f>
        <v>-2.412387287192869E-2</v>
      </c>
      <c r="AD129" s="2" t="s">
        <v>120</v>
      </c>
      <c r="AE129" s="10" cm="1">
        <f t="array" aca="1" ref="AE129:AI129" ca="1">_xlfn.LET(_xlpm.array,_xlfn.RANDARRAY(1,COLUMNS(_xlfn.ANCHORARRAY(Q128)),-1,1,FALSE),_xlpm.array/SUM(_xlpm.array))</f>
        <v>0.14897128672438026</v>
      </c>
      <c r="AF129" s="10">
        <f ca="1"/>
        <v>0.45667444894000386</v>
      </c>
      <c r="AG129" s="10">
        <f ca="1"/>
        <v>-0.4348530907467803</v>
      </c>
      <c r="AH129" s="10">
        <f ca="1"/>
        <v>0.59949966582022951</v>
      </c>
      <c r="AI129" s="10">
        <f ca="1"/>
        <v>0.22970768926216667</v>
      </c>
      <c r="AJ129" s="1"/>
      <c r="AK129" s="2" cm="1">
        <f t="array" aca="1" ref="AK129" ca="1">MMULT(MMULT(_xlfn.ANCHORARRAY(AE129),$Q$9:$U$13),TRANSPOSE(_xlfn.ANCHORARRAY(AE129)))</f>
        <v>5.747575381529525E-4</v>
      </c>
      <c r="AL129" s="2">
        <f t="shared" ca="1" si="9"/>
        <v>2.3974101404493818E-2</v>
      </c>
      <c r="AM129" s="2" cm="1">
        <f t="array" aca="1" ref="AM129" ca="1">MMULT(_xlfn.ANCHORARRAY(AE130),TRANSPOSE($Q$3:$U$3))</f>
        <v>1.0961420940619696E-3</v>
      </c>
    </row>
    <row r="130" spans="1:39" x14ac:dyDescent="0.35">
      <c r="A130" s="3">
        <v>44019</v>
      </c>
      <c r="B130" s="4">
        <v>20.012636184692301</v>
      </c>
      <c r="C130" s="4">
        <v>67.140197753906193</v>
      </c>
      <c r="D130" s="4">
        <v>24.495159149169901</v>
      </c>
      <c r="E130" s="4">
        <v>9.8227310180663991</v>
      </c>
      <c r="F130" s="4">
        <v>198.36897277832</v>
      </c>
      <c r="I130" s="5">
        <f>B130/B129-1</f>
        <v>-2.7472612522212003E-2</v>
      </c>
      <c r="J130" s="5">
        <f>C130/C129-1</f>
        <v>-2.5516600113547505E-2</v>
      </c>
      <c r="K130" s="5">
        <f>D130/D129-1</f>
        <v>-2.0532672368273941E-2</v>
      </c>
      <c r="L130" s="5">
        <f>E130/E129-1</f>
        <v>-1.7567340581991053E-2</v>
      </c>
      <c r="M130" s="5">
        <f>F130/F129-1</f>
        <v>-1.1628296835025975E-2</v>
      </c>
      <c r="N130" s="5">
        <f>SUMPRODUCT(I130:M130,$AJ$13:$AN$13)</f>
        <v>-1.4002225993107038E-2</v>
      </c>
      <c r="P130" s="2" t="s">
        <v>121</v>
      </c>
      <c r="Q130" s="10" cm="1">
        <f t="array" aca="1" ref="Q130:U130" ca="1">_xlfn.LET(_xlpm.array,_xlfn.RANDARRAY(1,COLUMNS(_xlfn.ANCHORARRAY(Q129)),0,1,FALSE),_xlpm.array/SUM(_xlpm.array))</f>
        <v>0.23440794239786461</v>
      </c>
      <c r="R130" s="2">
        <f ca="1"/>
        <v>1.6103635945972673E-2</v>
      </c>
      <c r="S130" s="2">
        <f ca="1"/>
        <v>0.38904422246886805</v>
      </c>
      <c r="T130" s="2">
        <f ca="1"/>
        <v>8.3651439399349603E-2</v>
      </c>
      <c r="U130" s="2">
        <f ca="1"/>
        <v>0.27679275978794499</v>
      </c>
      <c r="V130" s="12"/>
      <c r="X130" s="2" cm="1">
        <f t="array" aca="1" ref="X130" ca="1">MMULT(MMULT(_xlfn.ANCHORARRAY(Q130),$Q$9:$U$13),TRANSPOSE(_xlfn.ANCHORARRAY(Q130)))</f>
        <v>3.3376031506830245E-4</v>
      </c>
      <c r="Y130" s="2">
        <f t="shared" ca="1" si="8"/>
        <v>1.8269108217652617E-2</v>
      </c>
      <c r="Z130" s="2" cm="1">
        <f t="array" aca="1" ref="Z130" ca="1">MMULT(_xlfn.ANCHORARRAY(Q130),TRANSPOSE($Q$3:$U$3))</f>
        <v>1.0598703212107814E-3</v>
      </c>
      <c r="AA130" s="11">
        <f ca="1">AVEDEV(Q130*$Q$3,R130*$R$3,S130*$S$3,T130*$T$3,U130*$U$3)</f>
        <v>1.6793362153818587E-4</v>
      </c>
      <c r="AB130" s="11" cm="1">
        <f t="array" aca="1" ref="AB130" ca="1">MMULT(_xlfn.ANCHORARRAY(Q130),TRANSPOSE($Q$6:$U$6))</f>
        <v>-2.3636349852397799E-2</v>
      </c>
      <c r="AD130" s="2" t="s">
        <v>121</v>
      </c>
      <c r="AE130" s="10" cm="1">
        <f t="array" aca="1" ref="AE130:AI130" ca="1">_xlfn.LET(_xlpm.array,_xlfn.RANDARRAY(1,COLUMNS(_xlfn.ANCHORARRAY(Q129)),-1,1,FALSE),_xlpm.array/SUM(_xlpm.array))</f>
        <v>0.77808627071844649</v>
      </c>
      <c r="AF130" s="10">
        <f ca="1"/>
        <v>1.5566410690024752</v>
      </c>
      <c r="AG130" s="10">
        <f ca="1"/>
        <v>1.1842210362772565</v>
      </c>
      <c r="AH130" s="10">
        <f ca="1"/>
        <v>-1.6847657283191189</v>
      </c>
      <c r="AI130" s="10">
        <f ca="1"/>
        <v>-0.83418264767905925</v>
      </c>
      <c r="AJ130" s="1"/>
      <c r="AK130" s="2" cm="1">
        <f t="array" aca="1" ref="AK130" ca="1">MMULT(MMULT(_xlfn.ANCHORARRAY(AE130),$Q$9:$U$13),TRANSPOSE(_xlfn.ANCHORARRAY(AE130)))</f>
        <v>2.3571277842050565E-3</v>
      </c>
      <c r="AL130" s="2">
        <f t="shared" ca="1" si="9"/>
        <v>4.855026039276264E-2</v>
      </c>
      <c r="AM130" s="2" cm="1">
        <f t="array" aca="1" ref="AM130" ca="1">MMULT(_xlfn.ANCHORARRAY(AE131),TRANSPOSE($Q$3:$U$3))</f>
        <v>1.0171468552827682E-3</v>
      </c>
    </row>
    <row r="131" spans="1:39" x14ac:dyDescent="0.35">
      <c r="A131" s="3">
        <v>44020</v>
      </c>
      <c r="B131" s="4">
        <v>20.090917587280199</v>
      </c>
      <c r="C131" s="4">
        <v>67.171333312988196</v>
      </c>
      <c r="D131" s="4">
        <v>25.050287246704102</v>
      </c>
      <c r="E131" s="4">
        <v>10.0862007141113</v>
      </c>
      <c r="F131" s="4">
        <v>202.731689453125</v>
      </c>
      <c r="I131" s="5">
        <f>B131/B130-1</f>
        <v>3.9115987451856515E-3</v>
      </c>
      <c r="J131" s="5">
        <f>C131/C130-1</f>
        <v>4.6373946046629477E-4</v>
      </c>
      <c r="K131" s="5">
        <f>D131/D130-1</f>
        <v>2.2662767535152506E-2</v>
      </c>
      <c r="L131" s="5">
        <f>E131/E130-1</f>
        <v>2.6822448416872646E-2</v>
      </c>
      <c r="M131" s="5">
        <f>F131/F130-1</f>
        <v>2.1992938783225835E-2</v>
      </c>
      <c r="N131" s="5">
        <f>SUMPRODUCT(I131:M131,$AJ$13:$AN$13)</f>
        <v>3.0533018066738436E-2</v>
      </c>
      <c r="P131" s="2" t="s">
        <v>122</v>
      </c>
      <c r="Q131" s="10" cm="1">
        <f t="array" aca="1" ref="Q131:U131" ca="1">_xlfn.LET(_xlpm.array,_xlfn.RANDARRAY(1,COLUMNS(_xlfn.ANCHORARRAY(Q130)),0,1,FALSE),_xlpm.array/SUM(_xlpm.array))</f>
        <v>5.9970434061567247E-2</v>
      </c>
      <c r="R131" s="2">
        <f ca="1"/>
        <v>0.1524654836822788</v>
      </c>
      <c r="S131" s="2">
        <f ca="1"/>
        <v>9.5081972138560414E-2</v>
      </c>
      <c r="T131" s="2">
        <f ca="1"/>
        <v>0.40599652494910016</v>
      </c>
      <c r="U131" s="2">
        <f ca="1"/>
        <v>0.28648558516849337</v>
      </c>
      <c r="V131" s="12"/>
      <c r="X131" s="2" cm="1">
        <f t="array" aca="1" ref="X131" ca="1">MMULT(MMULT(_xlfn.ANCHORARRAY(Q131),$Q$9:$U$13),TRANSPOSE(_xlfn.ANCHORARRAY(Q131)))</f>
        <v>2.8192493630063644E-4</v>
      </c>
      <c r="Y131" s="2">
        <f t="shared" ca="1" si="8"/>
        <v>1.6790620485873549E-2</v>
      </c>
      <c r="Z131" s="2" cm="1">
        <f t="array" aca="1" ref="Z131" ca="1">MMULT(_xlfn.ANCHORARRAY(Q131),TRANSPOSE($Q$3:$U$3))</f>
        <v>9.3012179111920325E-4</v>
      </c>
      <c r="AA131" s="11">
        <f ca="1">AVEDEV(Q131*$Q$3,R131*$R$3,S131*$S$3,T131*$T$3,U131*$U$3)</f>
        <v>1.0473755220063814E-4</v>
      </c>
      <c r="AB131" s="11" cm="1">
        <f t="array" aca="1" ref="AB131" ca="1">MMULT(_xlfn.ANCHORARRAY(Q131),TRANSPOSE($Q$6:$U$6))</f>
        <v>-2.3000925579191037E-2</v>
      </c>
      <c r="AD131" s="2" t="s">
        <v>122</v>
      </c>
      <c r="AE131" s="10" cm="1">
        <f t="array" aca="1" ref="AE131:AI131" ca="1">_xlfn.LET(_xlpm.array,_xlfn.RANDARRAY(1,COLUMNS(_xlfn.ANCHORARRAY(Q130)),-1,1,FALSE),_xlpm.array/SUM(_xlpm.array))</f>
        <v>0.56817783839170333</v>
      </c>
      <c r="AF131" s="10">
        <f ca="1"/>
        <v>-0.36029976968391209</v>
      </c>
      <c r="AG131" s="10">
        <f ca="1"/>
        <v>0.50443627883913889</v>
      </c>
      <c r="AH131" s="10">
        <f ca="1"/>
        <v>-0.18602663386376378</v>
      </c>
      <c r="AI131" s="10">
        <f ca="1"/>
        <v>0.47371228631683354</v>
      </c>
      <c r="AJ131" s="1"/>
      <c r="AK131" s="2" cm="1">
        <f t="array" aca="1" ref="AK131" ca="1">MMULT(MMULT(_xlfn.ANCHORARRAY(AE131),$Q$9:$U$13),TRANSPOSE(_xlfn.ANCHORARRAY(AE131)))</f>
        <v>5.7281926103872104E-4</v>
      </c>
      <c r="AL131" s="2">
        <f t="shared" ca="1" si="9"/>
        <v>2.3933642870209312E-2</v>
      </c>
      <c r="AM131" s="2" cm="1">
        <f t="array" aca="1" ref="AM131" ca="1">MMULT(_xlfn.ANCHORARRAY(AE132),TRANSPOSE($Q$3:$U$3))</f>
        <v>1.0092248848174734E-3</v>
      </c>
    </row>
    <row r="132" spans="1:39" x14ac:dyDescent="0.35">
      <c r="A132" s="3">
        <v>44021</v>
      </c>
      <c r="B132" s="4">
        <v>19.803905487060501</v>
      </c>
      <c r="C132" s="4">
        <v>64.363105773925696</v>
      </c>
      <c r="D132" s="4">
        <v>24.8374919891357</v>
      </c>
      <c r="E132" s="4">
        <v>9.7146396636962802</v>
      </c>
      <c r="F132" s="4">
        <v>204.15098571777301</v>
      </c>
      <c r="I132" s="5">
        <f>B132/B131-1</f>
        <v>-1.4285664105327278E-2</v>
      </c>
      <c r="J132" s="5">
        <f>C132/C131-1</f>
        <v>-4.1806934603745627E-2</v>
      </c>
      <c r="K132" s="5">
        <f>D132/D131-1</f>
        <v>-8.4947232529798411E-3</v>
      </c>
      <c r="L132" s="5">
        <f>E132/E131-1</f>
        <v>-3.6838554074695273E-2</v>
      </c>
      <c r="M132" s="5">
        <f>F132/F131-1</f>
        <v>7.0008604401048391E-3</v>
      </c>
      <c r="N132" s="5">
        <f>SUMPRODUCT(I132:M132,$AJ$13:$AN$13)</f>
        <v>-1.379614227440424E-2</v>
      </c>
      <c r="P132" s="2" t="s">
        <v>123</v>
      </c>
      <c r="Q132" s="10" cm="1">
        <f t="array" aca="1" ref="Q132:U132" ca="1">_xlfn.LET(_xlpm.array,_xlfn.RANDARRAY(1,COLUMNS(_xlfn.ANCHORARRAY(Q131)),0,1,FALSE),_xlpm.array/SUM(_xlpm.array))</f>
        <v>0.22468876669102145</v>
      </c>
      <c r="R132" s="2">
        <f ca="1"/>
        <v>1.5394709754170947E-2</v>
      </c>
      <c r="S132" s="2">
        <f ca="1"/>
        <v>0.32482848253243879</v>
      </c>
      <c r="T132" s="2">
        <f ca="1"/>
        <v>0.15188290409572758</v>
      </c>
      <c r="U132" s="2">
        <f ca="1"/>
        <v>0.28320513692664118</v>
      </c>
      <c r="V132" s="12"/>
      <c r="X132" s="2" cm="1">
        <f t="array" aca="1" ref="X132" ca="1">MMULT(MMULT(_xlfn.ANCHORARRAY(Q132),$Q$9:$U$13),TRANSPOSE(_xlfn.ANCHORARRAY(Q132)))</f>
        <v>3.0412192873731483E-4</v>
      </c>
      <c r="Y132" s="2">
        <f t="shared" ca="1" si="8"/>
        <v>1.743909196997696E-2</v>
      </c>
      <c r="Z132" s="2" cm="1">
        <f t="array" aca="1" ref="Z132" ca="1">MMULT(_xlfn.ANCHORARRAY(Q132),TRANSPOSE($Q$3:$U$3))</f>
        <v>1.0247374538014833E-3</v>
      </c>
      <c r="AA132" s="11">
        <f ca="1">AVEDEV(Q132*$Q$3,R132*$R$3,S132*$S$3,T132*$T$3,U132*$U$3)</f>
        <v>1.3369490219662558E-4</v>
      </c>
      <c r="AB132" s="11" cm="1">
        <f t="array" aca="1" ref="AB132" ca="1">MMULT(_xlfn.ANCHORARRAY(Q132),TRANSPOSE($Q$6:$U$6))</f>
        <v>-2.3514217587102173E-2</v>
      </c>
      <c r="AD132" s="2" t="s">
        <v>123</v>
      </c>
      <c r="AE132" s="10" cm="1">
        <f t="array" aca="1" ref="AE132:AI132" ca="1">_xlfn.LET(_xlpm.array,_xlfn.RANDARRAY(1,COLUMNS(_xlfn.ANCHORARRAY(Q131)),-1,1,FALSE),_xlpm.array/SUM(_xlpm.array))</f>
        <v>-0.67788202179948154</v>
      </c>
      <c r="AF132" s="10">
        <f ca="1"/>
        <v>0.95569251561853341</v>
      </c>
      <c r="AG132" s="10">
        <f ca="1"/>
        <v>4.3148722480822174E-2</v>
      </c>
      <c r="AH132" s="10">
        <f ca="1"/>
        <v>0.25872617917744217</v>
      </c>
      <c r="AI132" s="10">
        <f ca="1"/>
        <v>0.42031460452268382</v>
      </c>
      <c r="AJ132" s="1"/>
      <c r="AK132" s="2" cm="1">
        <f t="array" aca="1" ref="AK132" ca="1">MMULT(MMULT(_xlfn.ANCHORARRAY(AE132),$Q$9:$U$13),TRANSPOSE(_xlfn.ANCHORARRAY(AE132)))</f>
        <v>5.075459469582491E-4</v>
      </c>
      <c r="AL132" s="2">
        <f t="shared" ca="1" si="9"/>
        <v>2.2528780414355524E-2</v>
      </c>
      <c r="AM132" s="2" cm="1">
        <f t="array" aca="1" ref="AM132" ca="1">MMULT(_xlfn.ANCHORARRAY(AE133),TRANSPOSE($Q$3:$U$3))</f>
        <v>1.0794787123228299E-3</v>
      </c>
    </row>
    <row r="133" spans="1:39" x14ac:dyDescent="0.35">
      <c r="A133" s="3">
        <v>44022</v>
      </c>
      <c r="B133" s="4">
        <v>20.891075134277301</v>
      </c>
      <c r="C133" s="4">
        <v>66.300079345703097</v>
      </c>
      <c r="D133" s="4">
        <v>24.717208862304599</v>
      </c>
      <c r="E133" s="4">
        <v>9.9781103134155202</v>
      </c>
      <c r="F133" s="4">
        <v>203.53182983398401</v>
      </c>
      <c r="I133" s="5">
        <f>B133/B132-1</f>
        <v>5.4896729734805971E-2</v>
      </c>
      <c r="J133" s="5">
        <f>C133/C132-1</f>
        <v>3.0094470247924221E-2</v>
      </c>
      <c r="K133" s="5">
        <f>D133/D132-1</f>
        <v>-4.8428048566141468E-3</v>
      </c>
      <c r="L133" s="5">
        <f>E133/E132-1</f>
        <v>2.7120990468008088E-2</v>
      </c>
      <c r="M133" s="5">
        <f>F133/F132-1</f>
        <v>-3.0328331828137767E-3</v>
      </c>
      <c r="N133" s="5">
        <f>SUMPRODUCT(I133:M133,$AJ$13:$AN$13)</f>
        <v>-7.7249756147899085E-3</v>
      </c>
      <c r="P133" s="2" t="s">
        <v>124</v>
      </c>
      <c r="Q133" s="10" cm="1">
        <f t="array" aca="1" ref="Q133:U133" ca="1">_xlfn.LET(_xlpm.array,_xlfn.RANDARRAY(1,COLUMNS(_xlfn.ANCHORARRAY(Q132)),0,1,FALSE),_xlpm.array/SUM(_xlpm.array))</f>
        <v>0.10778489434060326</v>
      </c>
      <c r="R133" s="2">
        <f ca="1"/>
        <v>0.35644453772588802</v>
      </c>
      <c r="S133" s="2">
        <f ca="1"/>
        <v>0.33465930010131173</v>
      </c>
      <c r="T133" s="2">
        <f ca="1"/>
        <v>0.18402035476266099</v>
      </c>
      <c r="U133" s="2">
        <f ca="1"/>
        <v>1.709091306953589E-2</v>
      </c>
      <c r="V133" s="12"/>
      <c r="X133" s="2" cm="1">
        <f t="array" aca="1" ref="X133" ca="1">MMULT(MMULT(_xlfn.ANCHORARRAY(Q133),$Q$9:$U$13),TRANSPOSE(_xlfn.ANCHORARRAY(Q133)))</f>
        <v>3.5178704885427907E-4</v>
      </c>
      <c r="Y133" s="2">
        <f t="shared" ca="1" si="8"/>
        <v>1.8755987013598593E-2</v>
      </c>
      <c r="Z133" s="2" cm="1">
        <f t="array" aca="1" ref="Z133" ca="1">MMULT(_xlfn.ANCHORARRAY(Q133),TRANSPOSE($Q$3:$U$3))</f>
        <v>1.059628346744551E-3</v>
      </c>
      <c r="AA133" s="11">
        <f ca="1">AVEDEV(Q133*$Q$3,R133*$R$3,S133*$S$3,T133*$T$3,U133*$U$3)</f>
        <v>1.5197013750028663E-4</v>
      </c>
      <c r="AB133" s="11" cm="1">
        <f t="array" aca="1" ref="AB133" ca="1">MMULT(_xlfn.ANCHORARRAY(Q133),TRANSPOSE($Q$6:$U$6))</f>
        <v>-2.3732223586141018E-2</v>
      </c>
      <c r="AD133" s="2" t="s">
        <v>124</v>
      </c>
      <c r="AE133" s="10" cm="1">
        <f t="array" aca="1" ref="AE133:AI133" ca="1">_xlfn.LET(_xlpm.array,_xlfn.RANDARRAY(1,COLUMNS(_xlfn.ANCHORARRAY(Q132)),-1,1,FALSE),_xlpm.array/SUM(_xlpm.array))</f>
        <v>2.7586957522393155E-2</v>
      </c>
      <c r="AF133" s="10">
        <f ca="1"/>
        <v>0.39717040161699557</v>
      </c>
      <c r="AG133" s="10">
        <f ca="1"/>
        <v>0.25574937471463971</v>
      </c>
      <c r="AH133" s="10">
        <f ca="1"/>
        <v>0.45070918424248319</v>
      </c>
      <c r="AI133" s="10">
        <f ca="1"/>
        <v>-0.13121591809651159</v>
      </c>
      <c r="AJ133" s="1"/>
      <c r="AK133" s="2" cm="1">
        <f t="array" aca="1" ref="AK133" ca="1">MMULT(MMULT(_xlfn.ANCHORARRAY(AE133),$Q$9:$U$13),TRANSPOSE(_xlfn.ANCHORARRAY(AE133)))</f>
        <v>4.4009669858067585E-4</v>
      </c>
      <c r="AL133" s="2">
        <f t="shared" ca="1" si="9"/>
        <v>2.0978481798754549E-2</v>
      </c>
      <c r="AM133" s="2" cm="1">
        <f t="array" aca="1" ref="AM133" ca="1">MMULT(_xlfn.ANCHORARRAY(AE134),TRANSPOSE($Q$3:$U$3))</f>
        <v>2.245219685503912E-3</v>
      </c>
    </row>
    <row r="134" spans="1:39" x14ac:dyDescent="0.35">
      <c r="A134" s="3">
        <v>44025</v>
      </c>
      <c r="B134" s="4">
        <v>21.0389289855957</v>
      </c>
      <c r="C134" s="4">
        <v>66.432312011718693</v>
      </c>
      <c r="D134" s="4">
        <v>23.949275970458899</v>
      </c>
      <c r="E134" s="4">
        <v>9.9443321228027308</v>
      </c>
      <c r="F134" s="4">
        <v>197.24501037597599</v>
      </c>
      <c r="I134" s="5">
        <f>B134/B133-1</f>
        <v>7.0773691812444639E-3</v>
      </c>
      <c r="J134" s="5">
        <f>C134/C133-1</f>
        <v>1.9944571306786951E-3</v>
      </c>
      <c r="K134" s="5">
        <f>D134/D133-1</f>
        <v>-3.1068754410084276E-2</v>
      </c>
      <c r="L134" s="5">
        <f>E134/E133-1</f>
        <v>-3.3852292219473945E-3</v>
      </c>
      <c r="M134" s="5">
        <f>F134/F133-1</f>
        <v>-3.0888630358878122E-2</v>
      </c>
      <c r="N134" s="5">
        <f>SUMPRODUCT(I134:M134,$AJ$13:$AN$13)</f>
        <v>-3.0188853245149715E-2</v>
      </c>
      <c r="P134" s="2" t="s">
        <v>125</v>
      </c>
      <c r="Q134" s="10" cm="1">
        <f t="array" aca="1" ref="Q134:U134" ca="1">_xlfn.LET(_xlpm.array,_xlfn.RANDARRAY(1,COLUMNS(_xlfn.ANCHORARRAY(Q133)),0,1,FALSE),_xlpm.array/SUM(_xlpm.array))</f>
        <v>0.41830115022778702</v>
      </c>
      <c r="R134" s="2">
        <f ca="1"/>
        <v>0.20723071383484987</v>
      </c>
      <c r="S134" s="2">
        <f ca="1"/>
        <v>0.20147025893584564</v>
      </c>
      <c r="T134" s="2">
        <f ca="1"/>
        <v>6.6248818329227334E-3</v>
      </c>
      <c r="U134" s="2">
        <f ca="1"/>
        <v>0.16637299516859483</v>
      </c>
      <c r="V134" s="12"/>
      <c r="X134" s="2" cm="1">
        <f t="array" aca="1" ref="X134" ca="1">MMULT(MMULT(_xlfn.ANCHORARRAY(Q134),$Q$9:$U$13),TRANSPOSE(_xlfn.ANCHORARRAY(Q134)))</f>
        <v>2.9950987707777087E-4</v>
      </c>
      <c r="Y134" s="2">
        <f t="shared" ca="1" si="8"/>
        <v>1.7306353662102564E-2</v>
      </c>
      <c r="Z134" s="2" cm="1">
        <f t="array" aca="1" ref="Z134" ca="1">MMULT(_xlfn.ANCHORARRAY(Q134),TRANSPOSE($Q$3:$U$3))</f>
        <v>8.2513491883843811E-4</v>
      </c>
      <c r="AA134" s="11">
        <f ca="1">AVEDEV(Q134*$Q$3,R134*$R$3,S134*$S$3,T134*$T$3,U134*$U$3)</f>
        <v>8.3893551425126797E-5</v>
      </c>
      <c r="AB134" s="11" cm="1">
        <f t="array" aca="1" ref="AB134" ca="1">MMULT(_xlfn.ANCHORARRAY(Q134),TRANSPOSE($Q$6:$U$6))</f>
        <v>-2.2293293798433179E-2</v>
      </c>
      <c r="AD134" s="2" t="s">
        <v>125</v>
      </c>
      <c r="AE134" s="10" cm="1">
        <f t="array" aca="1" ref="AE134:AI134" ca="1">_xlfn.LET(_xlpm.array,_xlfn.RANDARRAY(1,COLUMNS(_xlfn.ANCHORARRAY(Q133)),-1,1,FALSE),_xlpm.array/SUM(_xlpm.array))</f>
        <v>0.70176330136176346</v>
      </c>
      <c r="AF134" s="10">
        <f ca="1"/>
        <v>-1.8827994474865628</v>
      </c>
      <c r="AG134" s="10">
        <f ca="1"/>
        <v>1.304185729305136</v>
      </c>
      <c r="AH134" s="10">
        <f ca="1"/>
        <v>1.849110683421632</v>
      </c>
      <c r="AI134" s="10">
        <f ca="1"/>
        <v>-0.97226026660196885</v>
      </c>
      <c r="AJ134" s="1"/>
      <c r="AK134" s="2" cm="1">
        <f t="array" aca="1" ref="AK134" ca="1">MMULT(MMULT(_xlfn.ANCHORARRAY(AE134),$Q$9:$U$13),TRANSPOSE(_xlfn.ANCHORARRAY(AE134)))</f>
        <v>2.560843577806453E-3</v>
      </c>
      <c r="AL134" s="2">
        <f t="shared" ca="1" si="9"/>
        <v>5.0604778211216901E-2</v>
      </c>
      <c r="AM134" s="2" cm="1">
        <f t="array" aca="1" ref="AM134" ca="1">MMULT(_xlfn.ANCHORARRAY(AE135),TRANSPOSE($Q$3:$U$3))</f>
        <v>1.196087283603211E-3</v>
      </c>
    </row>
    <row r="135" spans="1:39" x14ac:dyDescent="0.35">
      <c r="A135" s="3">
        <v>44026</v>
      </c>
      <c r="B135" s="4">
        <v>20.995439529418899</v>
      </c>
      <c r="C135" s="4">
        <v>68.727111816406193</v>
      </c>
      <c r="D135" s="4">
        <v>24.286981582641602</v>
      </c>
      <c r="E135" s="4">
        <v>10.2348232269287</v>
      </c>
      <c r="F135" s="4">
        <v>198.46424865722599</v>
      </c>
      <c r="I135" s="5">
        <f>B135/B134-1</f>
        <v>-2.0670945848324518E-3</v>
      </c>
      <c r="J135" s="5">
        <f>C135/C134-1</f>
        <v>3.4543428268501319E-2</v>
      </c>
      <c r="K135" s="5">
        <f>D135/D134-1</f>
        <v>1.4100869379068293E-2</v>
      </c>
      <c r="L135" s="5">
        <f>E135/E134-1</f>
        <v>2.921172588955101E-2</v>
      </c>
      <c r="M135" s="5">
        <f>F135/F134-1</f>
        <v>6.1813390307108307E-3</v>
      </c>
      <c r="N135" s="5">
        <f>SUMPRODUCT(I135:M135,$AJ$13:$AN$13)</f>
        <v>2.2522285326569507E-2</v>
      </c>
      <c r="P135" s="2" t="s">
        <v>126</v>
      </c>
      <c r="Q135" s="10" cm="1">
        <f t="array" aca="1" ref="Q135:U135" ca="1">_xlfn.LET(_xlpm.array,_xlfn.RANDARRAY(1,COLUMNS(_xlfn.ANCHORARRAY(Q134)),0,1,FALSE),_xlpm.array/SUM(_xlpm.array))</f>
        <v>2.3826623834067553E-2</v>
      </c>
      <c r="R135" s="2">
        <f ca="1"/>
        <v>0.42639214560279787</v>
      </c>
      <c r="S135" s="2">
        <f ca="1"/>
        <v>6.4419470716758631E-2</v>
      </c>
      <c r="T135" s="2">
        <f ca="1"/>
        <v>0.47682172150143592</v>
      </c>
      <c r="U135" s="2">
        <f ca="1"/>
        <v>8.5400383449399896E-3</v>
      </c>
      <c r="V135" s="12"/>
      <c r="X135" s="2" cm="1">
        <f t="array" aca="1" ref="X135" ca="1">MMULT(MMULT(_xlfn.ANCHORARRAY(Q135),$Q$9:$U$13),TRANSPOSE(_xlfn.ANCHORARRAY(Q135)))</f>
        <v>4.0075754042657677E-4</v>
      </c>
      <c r="Y135" s="2">
        <f t="shared" ca="1" si="8"/>
        <v>2.0018929552465505E-2</v>
      </c>
      <c r="Z135" s="2" cm="1">
        <f t="array" aca="1" ref="Z135" ca="1">MMULT(_xlfn.ANCHORARRAY(Q135),TRANSPOSE($Q$3:$U$3))</f>
        <v>9.2175637551050564E-4</v>
      </c>
      <c r="AA135" s="11">
        <f ca="1">AVEDEV(Q135*$Q$3,R135*$R$3,S135*$S$3,T135*$T$3,U135*$U$3)</f>
        <v>1.7191795278954626E-4</v>
      </c>
      <c r="AB135" s="11" cm="1">
        <f t="array" aca="1" ref="AB135" ca="1">MMULT(_xlfn.ANCHORARRAY(Q135),TRANSPOSE($Q$6:$U$6))</f>
        <v>-2.3217306084303124E-2</v>
      </c>
      <c r="AD135" s="2" t="s">
        <v>126</v>
      </c>
      <c r="AE135" s="10" cm="1">
        <f t="array" aca="1" ref="AE135:AI135" ca="1">_xlfn.LET(_xlpm.array,_xlfn.RANDARRAY(1,COLUMNS(_xlfn.ANCHORARRAY(Q134)),-1,1,FALSE),_xlpm.array/SUM(_xlpm.array))</f>
        <v>-0.22788925045702083</v>
      </c>
      <c r="AF135" s="10">
        <f ca="1"/>
        <v>0.58751913846077475</v>
      </c>
      <c r="AG135" s="10">
        <f ca="1"/>
        <v>0.56313471620730593</v>
      </c>
      <c r="AH135" s="10">
        <f ca="1"/>
        <v>-0.35333428038146081</v>
      </c>
      <c r="AI135" s="10">
        <f ca="1"/>
        <v>0.43056967617040093</v>
      </c>
      <c r="AJ135" s="1"/>
      <c r="AK135" s="2" cm="1">
        <f t="array" aca="1" ref="AK135" ca="1">MMULT(MMULT(_xlfn.ANCHORARRAY(AE135),$Q$9:$U$13),TRANSPOSE(_xlfn.ANCHORARRAY(AE135)))</f>
        <v>5.1381292086628003E-4</v>
      </c>
      <c r="AL135" s="2">
        <f t="shared" ca="1" si="9"/>
        <v>2.2667441868598232E-2</v>
      </c>
      <c r="AM135" s="2" cm="1">
        <f t="array" aca="1" ref="AM135" ca="1">MMULT(_xlfn.ANCHORARRAY(AE136),TRANSPOSE($Q$3:$U$3))</f>
        <v>1.3674032266611834E-3</v>
      </c>
    </row>
    <row r="136" spans="1:39" x14ac:dyDescent="0.35">
      <c r="A136" s="3">
        <v>44027</v>
      </c>
      <c r="B136" s="4">
        <v>21.3955173492431</v>
      </c>
      <c r="C136" s="4">
        <v>69.147178649902301</v>
      </c>
      <c r="D136" s="4">
        <v>24.370254516601499</v>
      </c>
      <c r="E136" s="4">
        <v>10.349672317504799</v>
      </c>
      <c r="F136" s="4">
        <v>198.1689453125</v>
      </c>
      <c r="I136" s="5">
        <f>B136/B135-1</f>
        <v>1.9055462938206702E-2</v>
      </c>
      <c r="J136" s="5">
        <f>C136/C135-1</f>
        <v>6.112097866388666E-3</v>
      </c>
      <c r="K136" s="5">
        <f>D136/D135-1</f>
        <v>3.4287065964349051E-3</v>
      </c>
      <c r="L136" s="5">
        <f>E136/E135-1</f>
        <v>1.1221404417999237E-2</v>
      </c>
      <c r="M136" s="5">
        <f>F136/F135-1</f>
        <v>-1.4879422703281131E-3</v>
      </c>
      <c r="N136" s="5">
        <f>SUMPRODUCT(I136:M136,$AJ$13:$AN$13)</f>
        <v>8.2012970101454021E-4</v>
      </c>
      <c r="P136" s="2" t="s">
        <v>127</v>
      </c>
      <c r="Q136" s="10" cm="1">
        <f t="array" aca="1" ref="Q136:U136" ca="1">_xlfn.LET(_xlpm.array,_xlfn.RANDARRAY(1,COLUMNS(_xlfn.ANCHORARRAY(Q135)),0,1,FALSE),_xlpm.array/SUM(_xlpm.array))</f>
        <v>0.11001189538733144</v>
      </c>
      <c r="R136" s="2">
        <f ca="1"/>
        <v>2.3672618512163953E-2</v>
      </c>
      <c r="S136" s="2">
        <f ca="1"/>
        <v>0.24965936599744468</v>
      </c>
      <c r="T136" s="2">
        <f ca="1"/>
        <v>0.31752431946729148</v>
      </c>
      <c r="U136" s="2">
        <f ca="1"/>
        <v>0.2991318006357685</v>
      </c>
      <c r="V136" s="12"/>
      <c r="X136" s="2" cm="1">
        <f t="array" aca="1" ref="X136" ca="1">MMULT(MMULT(_xlfn.ANCHORARRAY(Q136),$Q$9:$U$13),TRANSPOSE(_xlfn.ANCHORARRAY(Q136)))</f>
        <v>2.8525660286777264E-4</v>
      </c>
      <c r="Y136" s="2">
        <f t="shared" ca="1" si="8"/>
        <v>1.6889541227273541E-2</v>
      </c>
      <c r="Z136" s="2" cm="1">
        <f t="array" aca="1" ref="Z136" ca="1">MMULT(_xlfn.ANCHORARRAY(Q136),TRANSPOSE($Q$3:$U$3))</f>
        <v>1.0318271895814941E-3</v>
      </c>
      <c r="AA136" s="11">
        <f ca="1">AVEDEV(Q136*$Q$3,R136*$R$3,S136*$S$3,T136*$T$3,U136*$U$3)</f>
        <v>1.3581242896642959E-4</v>
      </c>
      <c r="AB136" s="11" cm="1">
        <f t="array" aca="1" ref="AB136" ca="1">MMULT(_xlfn.ANCHORARRAY(Q136),TRANSPOSE($Q$6:$U$6))</f>
        <v>-2.3654493885969616E-2</v>
      </c>
      <c r="AD136" s="2" t="s">
        <v>127</v>
      </c>
      <c r="AE136" s="10" cm="1">
        <f t="array" aca="1" ref="AE136:AI136" ca="1">_xlfn.LET(_xlpm.array,_xlfn.RANDARRAY(1,COLUMNS(_xlfn.ANCHORARRAY(Q135)),-1,1,FALSE),_xlpm.array/SUM(_xlpm.array))</f>
        <v>-6.4768001400442532E-2</v>
      </c>
      <c r="AF136" s="10">
        <f ca="1"/>
        <v>0.43015874055463021</v>
      </c>
      <c r="AG136" s="10">
        <f ca="1"/>
        <v>0.61805315116094817</v>
      </c>
      <c r="AH136" s="10">
        <f ca="1"/>
        <v>0.27192674768182568</v>
      </c>
      <c r="AI136" s="10">
        <f ca="1"/>
        <v>-0.25537063799696147</v>
      </c>
      <c r="AJ136" s="1"/>
      <c r="AK136" s="2" cm="1">
        <f t="array" aca="1" ref="AK136" ca="1">MMULT(MMULT(_xlfn.ANCHORARRAY(AE136),$Q$9:$U$13),TRANSPOSE(_xlfn.ANCHORARRAY(AE136)))</f>
        <v>5.8629140019725724E-4</v>
      </c>
      <c r="AL136" s="2">
        <f t="shared" ca="1" si="9"/>
        <v>2.4213454941359715E-2</v>
      </c>
      <c r="AM136" s="2" cm="1">
        <f t="array" aca="1" ref="AM136" ca="1">MMULT(_xlfn.ANCHORARRAY(AE137),TRANSPOSE($Q$3:$U$3))</f>
        <v>4.6486644955307682E-4</v>
      </c>
    </row>
    <row r="137" spans="1:39" x14ac:dyDescent="0.35">
      <c r="A137" s="3">
        <v>44028</v>
      </c>
      <c r="B137" s="4">
        <v>20.812795639038001</v>
      </c>
      <c r="C137" s="4">
        <v>68.734878540039006</v>
      </c>
      <c r="D137" s="4">
        <v>27.340202331542901</v>
      </c>
      <c r="E137" s="4">
        <v>10.336158752441399</v>
      </c>
      <c r="F137" s="4">
        <v>194.24443054199199</v>
      </c>
      <c r="I137" s="5">
        <f>B137/B136-1</f>
        <v>-2.7235691509264415E-2</v>
      </c>
      <c r="J137" s="5">
        <f>C137/C136-1</f>
        <v>-5.9626454457498701E-3</v>
      </c>
      <c r="K137" s="5">
        <f>D137/D136-1</f>
        <v>0.12186773892403191</v>
      </c>
      <c r="L137" s="5">
        <f>E137/E136-1</f>
        <v>-1.3056997988761809E-3</v>
      </c>
      <c r="M137" s="5">
        <f>F137/F136-1</f>
        <v>-1.9803883824073942E-2</v>
      </c>
      <c r="N137" s="5">
        <f>SUMPRODUCT(I137:M137,$AJ$13:$AN$13)</f>
        <v>6.4299961624066579E-2</v>
      </c>
      <c r="P137" s="2" t="s">
        <v>128</v>
      </c>
      <c r="Q137" s="10" cm="1">
        <f t="array" aca="1" ref="Q137:U137" ca="1">_xlfn.LET(_xlpm.array,_xlfn.RANDARRAY(1,COLUMNS(_xlfn.ANCHORARRAY(Q136)),0,1,FALSE),_xlpm.array/SUM(_xlpm.array))</f>
        <v>0.22486707427213365</v>
      </c>
      <c r="R137" s="2">
        <f ca="1"/>
        <v>4.9270862722697602E-2</v>
      </c>
      <c r="S137" s="2">
        <f ca="1"/>
        <v>0.26602773644265199</v>
      </c>
      <c r="T137" s="2">
        <f ca="1"/>
        <v>0.27570825141331562</v>
      </c>
      <c r="U137" s="2">
        <f ca="1"/>
        <v>0.18412607514920104</v>
      </c>
      <c r="V137" s="12"/>
      <c r="X137" s="2" cm="1">
        <f t="array" aca="1" ref="X137" ca="1">MMULT(MMULT(_xlfn.ANCHORARRAY(Q137),$Q$9:$U$13),TRANSPOSE(_xlfn.ANCHORARRAY(Q137)))</f>
        <v>2.9710946918668402E-4</v>
      </c>
      <c r="Y137" s="2">
        <f t="shared" ca="1" si="8"/>
        <v>1.7236863670247092E-2</v>
      </c>
      <c r="Z137" s="2" cm="1">
        <f t="array" aca="1" ref="Z137" ca="1">MMULT(_xlfn.ANCHORARRAY(Q137),TRANSPOSE($Q$3:$U$3))</f>
        <v>1.0047944074731098E-3</v>
      </c>
      <c r="AA137" s="11">
        <f ca="1">AVEDEV(Q137*$Q$3,R137*$R$3,S137*$S$3,T137*$T$3,U137*$U$3)</f>
        <v>1.2471190334178306E-4</v>
      </c>
      <c r="AB137" s="11" cm="1">
        <f t="array" aca="1" ref="AB137" ca="1">MMULT(_xlfn.ANCHORARRAY(Q137),TRANSPOSE($Q$6:$U$6))</f>
        <v>-2.3740844928360729E-2</v>
      </c>
      <c r="AD137" s="2" t="s">
        <v>128</v>
      </c>
      <c r="AE137" s="10" cm="1">
        <f t="array" aca="1" ref="AE137:AI137" ca="1">_xlfn.LET(_xlpm.array,_xlfn.RANDARRAY(1,COLUMNS(_xlfn.ANCHORARRAY(Q136)),-1,1,FALSE),_xlpm.array/SUM(_xlpm.array))</f>
        <v>0.44422557331283785</v>
      </c>
      <c r="AF137" s="10">
        <f ca="1"/>
        <v>-1.0659030869770028E-2</v>
      </c>
      <c r="AG137" s="10">
        <f ca="1"/>
        <v>-0.2782787469651512</v>
      </c>
      <c r="AH137" s="10">
        <f ca="1"/>
        <v>0.20531615411994225</v>
      </c>
      <c r="AI137" s="10">
        <f ca="1"/>
        <v>0.6393960504021412</v>
      </c>
      <c r="AJ137" s="1"/>
      <c r="AK137" s="2" cm="1">
        <f t="array" aca="1" ref="AK137" ca="1">MMULT(MMULT(_xlfn.ANCHORARRAY(AE137),$Q$9:$U$13),TRANSPOSE(_xlfn.ANCHORARRAY(AE137)))</f>
        <v>3.2134565126716997E-4</v>
      </c>
      <c r="AL137" s="2">
        <f t="shared" ca="1" si="9"/>
        <v>1.7926116458038811E-2</v>
      </c>
      <c r="AM137" s="2" cm="1">
        <f t="array" aca="1" ref="AM137" ca="1">MMULT(_xlfn.ANCHORARRAY(AE138),TRANSPOSE($Q$3:$U$3))</f>
        <v>1.6004297900671634E-3</v>
      </c>
    </row>
    <row r="138" spans="1:39" x14ac:dyDescent="0.35">
      <c r="A138" s="3">
        <v>44029</v>
      </c>
      <c r="B138" s="4">
        <v>20.195278167724599</v>
      </c>
      <c r="C138" s="4">
        <v>67.824745178222599</v>
      </c>
      <c r="D138" s="4">
        <v>27.927717208862301</v>
      </c>
      <c r="E138" s="4">
        <v>10.2483367919921</v>
      </c>
      <c r="F138" s="4">
        <v>193.25375366210901</v>
      </c>
      <c r="I138" s="5">
        <f>B138/B137-1</f>
        <v>-2.9670087672178935E-2</v>
      </c>
      <c r="J138" s="5">
        <f>C138/C137-1</f>
        <v>-1.3241215830275155E-2</v>
      </c>
      <c r="K138" s="5">
        <f>D138/D137-1</f>
        <v>2.1489046430412495E-2</v>
      </c>
      <c r="L138" s="5">
        <f>E138/E137-1</f>
        <v>-8.4965761994082456E-3</v>
      </c>
      <c r="M138" s="5">
        <f>F138/F137-1</f>
        <v>-5.1001559072697544E-3</v>
      </c>
      <c r="N138" s="5">
        <f>SUMPRODUCT(I138:M138,$AJ$13:$AN$13)</f>
        <v>1.4529781087086524E-2</v>
      </c>
      <c r="P138" s="2" t="s">
        <v>129</v>
      </c>
      <c r="Q138" s="10" cm="1">
        <f t="array" aca="1" ref="Q138:U138" ca="1">_xlfn.LET(_xlpm.array,_xlfn.RANDARRAY(1,COLUMNS(_xlfn.ANCHORARRAY(Q137)),0,1,FALSE),_xlpm.array/SUM(_xlpm.array))</f>
        <v>0.24883949283768336</v>
      </c>
      <c r="R138" s="2">
        <f ca="1"/>
        <v>0.19949495135046016</v>
      </c>
      <c r="S138" s="2">
        <f ca="1"/>
        <v>0.31816694731861506</v>
      </c>
      <c r="T138" s="2">
        <f ca="1"/>
        <v>9.863051154660174E-2</v>
      </c>
      <c r="U138" s="2">
        <f ca="1"/>
        <v>0.13486809694663968</v>
      </c>
      <c r="V138" s="12"/>
      <c r="X138" s="2" cm="1">
        <f t="array" aca="1" ref="X138" ca="1">MMULT(MMULT(_xlfn.ANCHORARRAY(Q138),$Q$9:$U$13),TRANSPOSE(_xlfn.ANCHORARRAY(Q138)))</f>
        <v>3.1447835632424705E-4</v>
      </c>
      <c r="Y138" s="2">
        <f t="shared" ca="1" si="8"/>
        <v>1.7733537614481976E-2</v>
      </c>
      <c r="Z138" s="2" cm="1">
        <f t="array" aca="1" ref="Z138" ca="1">MMULT(_xlfn.ANCHORARRAY(Q138),TRANSPOSE($Q$3:$U$3))</f>
        <v>9.9277110913913928E-4</v>
      </c>
      <c r="AA138" s="11">
        <f ca="1">AVEDEV(Q138*$Q$3,R138*$R$3,S138*$S$3,T138*$T$3,U138*$U$3)</f>
        <v>1.2725965864617727E-4</v>
      </c>
      <c r="AB138" s="11" cm="1">
        <f t="array" aca="1" ref="AB138" ca="1">MMULT(_xlfn.ANCHORARRAY(Q138),TRANSPOSE($Q$6:$U$6))</f>
        <v>-2.332153591460227E-2</v>
      </c>
      <c r="AD138" s="2" t="s">
        <v>129</v>
      </c>
      <c r="AE138" s="10" cm="1">
        <f t="array" aca="1" ref="AE138:AI138" ca="1">_xlfn.LET(_xlpm.array,_xlfn.RANDARRAY(1,COLUMNS(_xlfn.ANCHORARRAY(Q137)),-1,1,FALSE),_xlpm.array/SUM(_xlpm.array))</f>
        <v>-0.90767986658701283</v>
      </c>
      <c r="AF138" s="10">
        <f ca="1"/>
        <v>-1.1019458736035154E-2</v>
      </c>
      <c r="AG138" s="10">
        <f ca="1"/>
        <v>0.44425760258150904</v>
      </c>
      <c r="AH138" s="10">
        <f ca="1"/>
        <v>0.85913538372977971</v>
      </c>
      <c r="AI138" s="10">
        <f ca="1"/>
        <v>0.61530633901175924</v>
      </c>
      <c r="AJ138" s="1"/>
      <c r="AK138" s="2" cm="1">
        <f t="array" aca="1" ref="AK138" ca="1">MMULT(MMULT(_xlfn.ANCHORARRAY(AE138),$Q$9:$U$13),TRANSPOSE(_xlfn.ANCHORARRAY(AE138)))</f>
        <v>7.4980666535638847E-4</v>
      </c>
      <c r="AL138" s="2">
        <f t="shared" ca="1" si="9"/>
        <v>2.7382597856236878E-2</v>
      </c>
      <c r="AM138" s="2" cm="1">
        <f t="array" aca="1" ref="AM138" ca="1">MMULT(_xlfn.ANCHORARRAY(AE139),TRANSPOSE($Q$3:$U$3))</f>
        <v>8.0719921659628451E-4</v>
      </c>
    </row>
    <row r="139" spans="1:39" x14ac:dyDescent="0.35">
      <c r="A139" s="3">
        <v>44032</v>
      </c>
      <c r="B139" s="4">
        <v>20.508384704589801</v>
      </c>
      <c r="C139" s="4">
        <v>66.3311767578125</v>
      </c>
      <c r="D139" s="4">
        <v>28.4273376464843</v>
      </c>
      <c r="E139" s="4">
        <v>10.2145586013793</v>
      </c>
      <c r="F139" s="4">
        <v>201.56004333496</v>
      </c>
      <c r="I139" s="5">
        <f>B139/B138-1</f>
        <v>1.5503947718115585E-2</v>
      </c>
      <c r="J139" s="5">
        <f>C139/C138-1</f>
        <v>-2.2020995677690447E-2</v>
      </c>
      <c r="K139" s="5">
        <f>D139/D138-1</f>
        <v>1.7889770004669625E-2</v>
      </c>
      <c r="L139" s="5">
        <f>E139/E138-1</f>
        <v>-3.2959680481220444E-3</v>
      </c>
      <c r="M139" s="5">
        <f>F139/F138-1</f>
        <v>4.2981259175818964E-2</v>
      </c>
      <c r="N139" s="5">
        <f>SUMPRODUCT(I139:M139,$AJ$13:$AN$13)</f>
        <v>1.8369863912228352E-2</v>
      </c>
      <c r="P139" s="2" t="s">
        <v>130</v>
      </c>
      <c r="Q139" s="10" cm="1">
        <f t="array" aca="1" ref="Q139:U139" ca="1">_xlfn.LET(_xlpm.array,_xlfn.RANDARRAY(1,COLUMNS(_xlfn.ANCHORARRAY(Q138)),0,1,FALSE),_xlpm.array/SUM(_xlpm.array))</f>
        <v>0.23982735975859071</v>
      </c>
      <c r="R139" s="2">
        <f ca="1"/>
        <v>9.7406346086437667E-2</v>
      </c>
      <c r="S139" s="2">
        <f ca="1"/>
        <v>0.41721657722757827</v>
      </c>
      <c r="T139" s="2">
        <f ca="1"/>
        <v>0.13299185412706924</v>
      </c>
      <c r="U139" s="2">
        <f ca="1"/>
        <v>0.11255786280032411</v>
      </c>
      <c r="V139" s="12"/>
      <c r="X139" s="2" cm="1">
        <f t="array" aca="1" ref="X139" ca="1">MMULT(MMULT(_xlfn.ANCHORARRAY(Q139),$Q$9:$U$13),TRANSPOSE(_xlfn.ANCHORARRAY(Q139)))</f>
        <v>3.5381388308694588E-4</v>
      </c>
      <c r="Y139" s="2">
        <f t="shared" ca="1" si="8"/>
        <v>1.8809941070799394E-2</v>
      </c>
      <c r="Z139" s="2" cm="1">
        <f t="array" aca="1" ref="Z139" ca="1">MMULT(_xlfn.ANCHORARRAY(Q139),TRANSPOSE($Q$3:$U$3))</f>
        <v>1.0925383841494172E-3</v>
      </c>
      <c r="AA139" s="11">
        <f ca="1">AVEDEV(Q139*$Q$3,R139*$R$3,S139*$S$3,T139*$T$3,U139*$U$3)</f>
        <v>1.8362094686718582E-4</v>
      </c>
      <c r="AB139" s="11" cm="1">
        <f t="array" aca="1" ref="AB139" ca="1">MMULT(_xlfn.ANCHORARRAY(Q139),TRANSPOSE($Q$6:$U$6))</f>
        <v>-2.4128733603570294E-2</v>
      </c>
      <c r="AD139" s="2" t="s">
        <v>130</v>
      </c>
      <c r="AE139" s="10" cm="1">
        <f t="array" aca="1" ref="AE139:AI139" ca="1">_xlfn.LET(_xlpm.array,_xlfn.RANDARRAY(1,COLUMNS(_xlfn.ANCHORARRAY(Q138)),-1,1,FALSE),_xlpm.array/SUM(_xlpm.array))</f>
        <v>0.34255765144742273</v>
      </c>
      <c r="AF139" s="10">
        <f ca="1"/>
        <v>-0.11544779452145142</v>
      </c>
      <c r="AG139" s="10">
        <f ca="1"/>
        <v>7.0812139206537741E-2</v>
      </c>
      <c r="AH139" s="10">
        <f ca="1"/>
        <v>0.25476402059914438</v>
      </c>
      <c r="AI139" s="10">
        <f ca="1"/>
        <v>0.44731398326834654</v>
      </c>
      <c r="AJ139" s="1"/>
      <c r="AK139" s="2" cm="1">
        <f t="array" aca="1" ref="AK139" ca="1">MMULT(MMULT(_xlfn.ANCHORARRAY(AE139),$Q$9:$U$13),TRANSPOSE(_xlfn.ANCHORARRAY(AE139)))</f>
        <v>2.615026245835105E-4</v>
      </c>
      <c r="AL139" s="2">
        <f t="shared" ca="1" si="9"/>
        <v>1.6171042779719261E-2</v>
      </c>
      <c r="AM139" s="2" cm="1">
        <f t="array" aca="1" ref="AM139" ca="1">MMULT(_xlfn.ANCHORARRAY(AE140),TRANSPOSE($Q$3:$U$3))</f>
        <v>9.3967485366520877E-4</v>
      </c>
    </row>
    <row r="140" spans="1:39" x14ac:dyDescent="0.35">
      <c r="A140" s="3">
        <v>44033</v>
      </c>
      <c r="B140" s="4">
        <v>21.238964080810501</v>
      </c>
      <c r="C140" s="4">
        <v>71.091903686523395</v>
      </c>
      <c r="D140" s="4">
        <v>28.246919631958001</v>
      </c>
      <c r="E140" s="4">
        <v>10.4307394027709</v>
      </c>
      <c r="F140" s="4">
        <v>198.84524536132801</v>
      </c>
      <c r="I140" s="5">
        <f>B140/B139-1</f>
        <v>3.5623448006472991E-2</v>
      </c>
      <c r="J140" s="5">
        <f>C140/C139-1</f>
        <v>7.1772086089972431E-2</v>
      </c>
      <c r="K140" s="5">
        <f>D140/D139-1</f>
        <v>-6.3466377601003598E-3</v>
      </c>
      <c r="L140" s="5">
        <f>E140/E139-1</f>
        <v>2.1163988560642055E-2</v>
      </c>
      <c r="M140" s="5">
        <f>F140/F139-1</f>
        <v>-1.3468929301232779E-2</v>
      </c>
      <c r="N140" s="5">
        <f>SUMPRODUCT(I140:M140,$AJ$13:$AN$13)</f>
        <v>-1.0568903872106086E-2</v>
      </c>
      <c r="P140" s="2" t="s">
        <v>131</v>
      </c>
      <c r="Q140" s="10" cm="1">
        <f t="array" aca="1" ref="Q140:U140" ca="1">_xlfn.LET(_xlpm.array,_xlfn.RANDARRAY(1,COLUMNS(_xlfn.ANCHORARRAY(Q139)),0,1,FALSE),_xlpm.array/SUM(_xlpm.array))</f>
        <v>0.27200158812723024</v>
      </c>
      <c r="R140" s="2">
        <f ca="1"/>
        <v>0.12212864574531784</v>
      </c>
      <c r="S140" s="2">
        <f ca="1"/>
        <v>0.19835229620421493</v>
      </c>
      <c r="T140" s="2">
        <f ca="1"/>
        <v>0.19840622602861388</v>
      </c>
      <c r="U140" s="2">
        <f ca="1"/>
        <v>0.20911124389462307</v>
      </c>
      <c r="V140" s="12"/>
      <c r="X140" s="2" cm="1">
        <f t="array" aca="1" ref="X140" ca="1">MMULT(MMULT(_xlfn.ANCHORARRAY(Q140),$Q$9:$U$13),TRANSPOSE(_xlfn.ANCHORARRAY(Q140)))</f>
        <v>2.7739617595831396E-4</v>
      </c>
      <c r="Y140" s="2">
        <f t="shared" ca="1" si="8"/>
        <v>1.6655214677641174E-2</v>
      </c>
      <c r="Z140" s="2" cm="1">
        <f t="array" aca="1" ref="Z140" ca="1">MMULT(_xlfn.ANCHORARRAY(Q140),TRANSPOSE($Q$3:$U$3))</f>
        <v>9.1218590681487713E-4</v>
      </c>
      <c r="AA140" s="11">
        <f ca="1">AVEDEV(Q140*$Q$3,R140*$R$3,S140*$S$3,T140*$T$3,U140*$U$3)</f>
        <v>6.3978047307017342E-5</v>
      </c>
      <c r="AB140" s="11" cm="1">
        <f t="array" aca="1" ref="AB140" ca="1">MMULT(_xlfn.ANCHORARRAY(Q140),TRANSPOSE($Q$6:$U$6))</f>
        <v>-2.298045063672146E-2</v>
      </c>
      <c r="AD140" s="2" t="s">
        <v>131</v>
      </c>
      <c r="AE140" s="10" cm="1">
        <f t="array" aca="1" ref="AE140:AI140" ca="1">_xlfn.LET(_xlpm.array,_xlfn.RANDARRAY(1,COLUMNS(_xlfn.ANCHORARRAY(Q139)),-1,1,FALSE),_xlpm.array/SUM(_xlpm.array))</f>
        <v>0.31302338144321712</v>
      </c>
      <c r="AF140" s="10">
        <f ca="1"/>
        <v>9.9736769698708289E-2</v>
      </c>
      <c r="AG140" s="10">
        <f ca="1"/>
        <v>0.18771483621305549</v>
      </c>
      <c r="AH140" s="10">
        <f ca="1"/>
        <v>0.37903756900429048</v>
      </c>
      <c r="AI140" s="10">
        <f ca="1"/>
        <v>2.0487443640728634E-2</v>
      </c>
      <c r="AJ140" s="1"/>
      <c r="AK140" s="2" cm="1">
        <f t="array" aca="1" ref="AK140" ca="1">MMULT(MMULT(_xlfn.ANCHORARRAY(AE140),$Q$9:$U$13),TRANSPOSE(_xlfn.ANCHORARRAY(AE140)))</f>
        <v>3.3240396263252295E-4</v>
      </c>
      <c r="AL140" s="2">
        <f t="shared" ca="1" si="9"/>
        <v>1.8231948953211858E-2</v>
      </c>
      <c r="AM140" s="2" cm="1">
        <f t="array" aca="1" ref="AM140" ca="1">MMULT(_xlfn.ANCHORARRAY(AE141),TRANSPOSE($Q$3:$U$3))</f>
        <v>-5.9623206014975186E-4</v>
      </c>
    </row>
    <row r="141" spans="1:39" x14ac:dyDescent="0.35">
      <c r="A141" s="3">
        <v>44034</v>
      </c>
      <c r="B141" s="4">
        <v>21.143295288085898</v>
      </c>
      <c r="C141" s="4">
        <v>70.819648742675696</v>
      </c>
      <c r="D141" s="4">
        <v>28.5707473754882</v>
      </c>
      <c r="E141" s="4">
        <v>10.2483367919921</v>
      </c>
      <c r="F141" s="4">
        <v>201.70291137695301</v>
      </c>
      <c r="I141" s="5">
        <f>B141/B140-1</f>
        <v>-4.5044001374360265E-3</v>
      </c>
      <c r="J141" s="5">
        <f>C141/C140-1</f>
        <v>-3.8296195449792902E-3</v>
      </c>
      <c r="K141" s="5">
        <f>D141/D140-1</f>
        <v>1.1464179023748411E-2</v>
      </c>
      <c r="L141" s="5">
        <f>E141/E140-1</f>
        <v>-1.7487025965804981E-2</v>
      </c>
      <c r="M141" s="5">
        <f>F141/F140-1</f>
        <v>1.4371306743755641E-2</v>
      </c>
      <c r="N141" s="5">
        <f>SUMPRODUCT(I141:M141,$AJ$13:$AN$13)</f>
        <v>4.0270322334120421E-3</v>
      </c>
      <c r="P141" s="2" t="s">
        <v>132</v>
      </c>
      <c r="Q141" s="10" cm="1">
        <f t="array" aca="1" ref="Q141:U141" ca="1">_xlfn.LET(_xlpm.array,_xlfn.RANDARRAY(1,COLUMNS(_xlfn.ANCHORARRAY(Q140)),0,1,FALSE),_xlpm.array/SUM(_xlpm.array))</f>
        <v>0.13131520438912123</v>
      </c>
      <c r="R141" s="2">
        <f ca="1"/>
        <v>0.1590838702433699</v>
      </c>
      <c r="S141" s="2">
        <f ca="1"/>
        <v>7.9457675598295516E-2</v>
      </c>
      <c r="T141" s="2">
        <f ca="1"/>
        <v>0.33015738322428068</v>
      </c>
      <c r="U141" s="2">
        <f ca="1"/>
        <v>0.2999858665449327</v>
      </c>
      <c r="V141" s="12"/>
      <c r="X141" s="2" cm="1">
        <f t="array" aca="1" ref="X141" ca="1">MMULT(MMULT(_xlfn.ANCHORARRAY(Q141),$Q$9:$U$13),TRANSPOSE(_xlfn.ANCHORARRAY(Q141)))</f>
        <v>2.6572599239640428E-4</v>
      </c>
      <c r="Y141" s="2">
        <f t="shared" ca="1" si="8"/>
        <v>1.6301104023850786E-2</v>
      </c>
      <c r="Z141" s="2" cm="1">
        <f t="array" aca="1" ref="Z141" ca="1">MMULT(_xlfn.ANCHORARRAY(Q141),TRANSPOSE($Q$3:$U$3))</f>
        <v>8.7868881322292918E-4</v>
      </c>
      <c r="AA141" s="11">
        <f ca="1">AVEDEV(Q141*$Q$3,R141*$R$3,S141*$S$3,T141*$T$3,U141*$U$3)</f>
        <v>8.6105698934875013E-5</v>
      </c>
      <c r="AB141" s="11" cm="1">
        <f t="array" aca="1" ref="AB141" ca="1">MMULT(_xlfn.ANCHORARRAY(Q141),TRANSPOSE($Q$6:$U$6))</f>
        <v>-2.2618090609439884E-2</v>
      </c>
      <c r="AD141" s="2" t="s">
        <v>132</v>
      </c>
      <c r="AE141" s="10" cm="1">
        <f t="array" aca="1" ref="AE141:AI141" ca="1">_xlfn.LET(_xlpm.array,_xlfn.RANDARRAY(1,COLUMNS(_xlfn.ANCHORARRAY(Q140)),-1,1,FALSE),_xlpm.array/SUM(_xlpm.array))</f>
        <v>5.9765380861736839</v>
      </c>
      <c r="AF141" s="10">
        <f ca="1"/>
        <v>1.9297279658935278</v>
      </c>
      <c r="AG141" s="10">
        <f ca="1"/>
        <v>1.3032112767282873</v>
      </c>
      <c r="AH141" s="10">
        <f ca="1"/>
        <v>-3.4285033769296396</v>
      </c>
      <c r="AI141" s="10">
        <f ca="1"/>
        <v>-4.7809739518658594</v>
      </c>
      <c r="AJ141" s="1"/>
      <c r="AK141" s="2" cm="1">
        <f t="array" aca="1" ref="AK141" ca="1">MMULT(MMULT(_xlfn.ANCHORARRAY(AE141),$Q$9:$U$13),TRANSPOSE(_xlfn.ANCHORARRAY(AE141)))</f>
        <v>1.8288964822466204E-2</v>
      </c>
      <c r="AL141" s="2">
        <f t="shared" ca="1" si="9"/>
        <v>0.13523669924420001</v>
      </c>
      <c r="AM141" s="2" cm="1">
        <f t="array" aca="1" ref="AM141" ca="1">MMULT(_xlfn.ANCHORARRAY(AE142),TRANSPOSE($Q$3:$U$3))</f>
        <v>1.2951499453770091E-3</v>
      </c>
    </row>
    <row r="142" spans="1:39" x14ac:dyDescent="0.35">
      <c r="A142" s="3">
        <v>44035</v>
      </c>
      <c r="B142" s="4">
        <v>21.343336105346602</v>
      </c>
      <c r="C142" s="4">
        <v>70.796295166015597</v>
      </c>
      <c r="D142" s="4">
        <v>28.459722518920898</v>
      </c>
      <c r="E142" s="4">
        <v>10.2956275939941</v>
      </c>
      <c r="F142" s="4">
        <v>192.92988586425699</v>
      </c>
      <c r="I142" s="5">
        <f>B142/B141-1</f>
        <v>9.4611939404463108E-3</v>
      </c>
      <c r="J142" s="5">
        <f>C142/C141-1</f>
        <v>-3.297612608184064E-4</v>
      </c>
      <c r="K142" s="5">
        <f>D142/D141-1</f>
        <v>-3.8859626284243332E-3</v>
      </c>
      <c r="L142" s="5">
        <f>E142/E141-1</f>
        <v>4.6144855464695933E-3</v>
      </c>
      <c r="M142" s="5">
        <f>F142/F141-1</f>
        <v>-4.3494788710811028E-2</v>
      </c>
      <c r="N142" s="5">
        <f>SUMPRODUCT(I142:M142,$AJ$13:$AN$13)</f>
        <v>-1.7121924203065748E-2</v>
      </c>
      <c r="P142" s="2" t="s">
        <v>133</v>
      </c>
      <c r="Q142" s="10" cm="1">
        <f t="array" aca="1" ref="Q142:U142" ca="1">_xlfn.LET(_xlpm.array,_xlfn.RANDARRAY(1,COLUMNS(_xlfn.ANCHORARRAY(Q141)),0,1,FALSE),_xlpm.array/SUM(_xlpm.array))</f>
        <v>0.36120904671383602</v>
      </c>
      <c r="R142" s="2">
        <f ca="1"/>
        <v>0.28367355215031032</v>
      </c>
      <c r="S142" s="2">
        <f ca="1"/>
        <v>0.12625406349986446</v>
      </c>
      <c r="T142" s="2">
        <f ca="1"/>
        <v>0.17326519410313806</v>
      </c>
      <c r="U142" s="2">
        <f ca="1"/>
        <v>5.5598143532851134E-2</v>
      </c>
      <c r="V142" s="12"/>
      <c r="X142" s="2" cm="1">
        <f t="array" aca="1" ref="X142" ca="1">MMULT(MMULT(_xlfn.ANCHORARRAY(Q142),$Q$9:$U$13),TRANSPOSE(_xlfn.ANCHORARRAY(Q142)))</f>
        <v>3.105279843096144E-4</v>
      </c>
      <c r="Y142" s="2">
        <f t="shared" ca="1" si="8"/>
        <v>1.7621804229692669E-2</v>
      </c>
      <c r="Z142" s="2" cm="1">
        <f t="array" aca="1" ref="Z142" ca="1">MMULT(_xlfn.ANCHORARRAY(Q142),TRANSPOSE($Q$3:$U$3))</f>
        <v>8.1530448635764804E-4</v>
      </c>
      <c r="AA142" s="11">
        <f ca="1">AVEDEV(Q142*$Q$3,R142*$R$3,S142*$S$3,T142*$T$3,U142*$U$3)</f>
        <v>4.8214577968605094E-5</v>
      </c>
      <c r="AB142" s="11" cm="1">
        <f t="array" aca="1" ref="AB142" ca="1">MMULT(_xlfn.ANCHORARRAY(Q142),TRANSPOSE($Q$6:$U$6))</f>
        <v>-2.2555455802752564E-2</v>
      </c>
      <c r="AD142" s="2" t="s">
        <v>133</v>
      </c>
      <c r="AE142" s="10" cm="1">
        <f t="array" aca="1" ref="AE142:AI142" ca="1">_xlfn.LET(_xlpm.array,_xlfn.RANDARRAY(1,COLUMNS(_xlfn.ANCHORARRAY(Q141)),-1,1,FALSE),_xlpm.array/SUM(_xlpm.array))</f>
        <v>-0.25628503683546139</v>
      </c>
      <c r="AF142" s="10">
        <f ca="1"/>
        <v>0.41606351150689291</v>
      </c>
      <c r="AG142" s="10">
        <f ca="1"/>
        <v>0.43394116566197549</v>
      </c>
      <c r="AH142" s="10">
        <f ca="1"/>
        <v>0.41327617305164144</v>
      </c>
      <c r="AI142" s="10">
        <f ca="1"/>
        <v>-6.9958133850484246E-3</v>
      </c>
      <c r="AJ142" s="1"/>
      <c r="AK142" s="2" cm="1">
        <f t="array" aca="1" ref="AK142" ca="1">MMULT(MMULT(_xlfn.ANCHORARRAY(AE142),$Q$9:$U$13),TRANSPOSE(_xlfn.ANCHORARRAY(AE142)))</f>
        <v>4.7373957647437647E-4</v>
      </c>
      <c r="AL142" s="2">
        <f t="shared" ca="1" si="9"/>
        <v>2.1765559411013918E-2</v>
      </c>
      <c r="AM142" s="2" cm="1">
        <f t="array" aca="1" ref="AM142" ca="1">MMULT(_xlfn.ANCHORARRAY(AE143),TRANSPOSE($Q$3:$U$3))</f>
        <v>4.9013143692147503E-3</v>
      </c>
    </row>
    <row r="143" spans="1:39" x14ac:dyDescent="0.35">
      <c r="A143" s="3">
        <v>44036</v>
      </c>
      <c r="B143" s="4">
        <v>21.178083419799801</v>
      </c>
      <c r="C143" s="4">
        <v>70.111763000488196</v>
      </c>
      <c r="D143" s="4">
        <v>28.126638412475501</v>
      </c>
      <c r="E143" s="4">
        <v>10.559098243713301</v>
      </c>
      <c r="F143" s="4">
        <v>191.74873352050699</v>
      </c>
      <c r="I143" s="5">
        <f>B143/B142-1</f>
        <v>-7.7425892902189819E-3</v>
      </c>
      <c r="J143" s="5">
        <f>C143/C142-1</f>
        <v>-9.6690393744783831E-3</v>
      </c>
      <c r="K143" s="5">
        <f>D143/D142-1</f>
        <v>-1.1703701827168289E-2</v>
      </c>
      <c r="L143" s="5">
        <f>E143/E142-1</f>
        <v>2.55905380525705E-2</v>
      </c>
      <c r="M143" s="5">
        <f>F143/F142-1</f>
        <v>-6.1221844322296715E-3</v>
      </c>
      <c r="N143" s="5">
        <f>SUMPRODUCT(I143:M143,$AJ$13:$AN$13)</f>
        <v>6.3744911419126478E-3</v>
      </c>
      <c r="P143" s="2" t="s">
        <v>134</v>
      </c>
      <c r="Q143" s="10" cm="1">
        <f t="array" aca="1" ref="Q143:U143" ca="1">_xlfn.LET(_xlpm.array,_xlfn.RANDARRAY(1,COLUMNS(_xlfn.ANCHORARRAY(Q142)),0,1,FALSE),_xlpm.array/SUM(_xlpm.array))</f>
        <v>0.20603317632232479</v>
      </c>
      <c r="R143" s="2">
        <f ca="1"/>
        <v>0.22562418468460685</v>
      </c>
      <c r="S143" s="2">
        <f ca="1"/>
        <v>0.30340853490137687</v>
      </c>
      <c r="T143" s="2">
        <f ca="1"/>
        <v>0.17487783230275819</v>
      </c>
      <c r="U143" s="2">
        <f ca="1"/>
        <v>9.0056271788933259E-2</v>
      </c>
      <c r="V143" s="12"/>
      <c r="X143" s="2" cm="1">
        <f t="array" aca="1" ref="X143" ca="1">MMULT(MMULT(_xlfn.ANCHORARRAY(Q143),$Q$9:$U$13),TRANSPOSE(_xlfn.ANCHORARRAY(Q143)))</f>
        <v>3.1838029012719516E-4</v>
      </c>
      <c r="Y143" s="2">
        <f t="shared" ca="1" si="8"/>
        <v>1.784321411986067E-2</v>
      </c>
      <c r="Z143" s="2" cm="1">
        <f t="array" aca="1" ref="Z143" ca="1">MMULT(_xlfn.ANCHORARRAY(Q143),TRANSPOSE($Q$3:$U$3))</f>
        <v>1.0097489459496161E-3</v>
      </c>
      <c r="AA143" s="11">
        <f ca="1">AVEDEV(Q143*$Q$3,R143*$R$3,S143*$S$3,T143*$T$3,U143*$U$3)</f>
        <v>1.1631436243078344E-4</v>
      </c>
      <c r="AB143" s="11" cm="1">
        <f t="array" aca="1" ref="AB143" ca="1">MMULT(_xlfn.ANCHORARRAY(Q143),TRANSPOSE($Q$6:$U$6))</f>
        <v>-2.3550681750152104E-2</v>
      </c>
      <c r="AD143" s="2" t="s">
        <v>134</v>
      </c>
      <c r="AE143" s="10" cm="1">
        <f t="array" aca="1" ref="AE143:AI143" ca="1">_xlfn.LET(_xlpm.array,_xlfn.RANDARRAY(1,COLUMNS(_xlfn.ANCHORARRAY(Q142)),-1,1,FALSE),_xlpm.array/SUM(_xlpm.array))</f>
        <v>1.2376991969338706</v>
      </c>
      <c r="AF143" s="10">
        <f ca="1"/>
        <v>-15.874548794632082</v>
      </c>
      <c r="AG143" s="10">
        <f ca="1"/>
        <v>3.3159366960473022</v>
      </c>
      <c r="AH143" s="10">
        <f ca="1"/>
        <v>4.1115406596097506</v>
      </c>
      <c r="AI143" s="10">
        <f ca="1"/>
        <v>8.2093722420411588</v>
      </c>
      <c r="AJ143" s="1"/>
      <c r="AK143" s="2" cm="1">
        <f t="array" aca="1" ref="AK143" ca="1">MMULT(MMULT(_xlfn.ANCHORARRAY(AE143),$Q$9:$U$13),TRANSPOSE(_xlfn.ANCHORARRAY(AE143)))</f>
        <v>7.8054584463847845E-2</v>
      </c>
      <c r="AL143" s="2">
        <f t="shared" ca="1" si="9"/>
        <v>0.27938250565103007</v>
      </c>
      <c r="AM143" s="2" cm="1">
        <f t="array" aca="1" ref="AM143" ca="1">MMULT(_xlfn.ANCHORARRAY(AE144),TRANSPOSE($Q$3:$U$3))</f>
        <v>-1.7747449823915019E-5</v>
      </c>
    </row>
    <row r="144" spans="1:39" x14ac:dyDescent="0.35">
      <c r="A144" s="3">
        <v>44039</v>
      </c>
      <c r="B144" s="4">
        <v>20.995439529418899</v>
      </c>
      <c r="C144" s="4">
        <v>70.819648742675696</v>
      </c>
      <c r="D144" s="4">
        <v>28.200658798217699</v>
      </c>
      <c r="E144" s="4">
        <v>10.4645166397094</v>
      </c>
      <c r="F144" s="4">
        <v>194.17778015136699</v>
      </c>
      <c r="I144" s="5">
        <f>B144/B143-1</f>
        <v>-8.6241935476627507E-3</v>
      </c>
      <c r="J144" s="5">
        <f>C144/C143-1</f>
        <v>1.0096533190622647E-2</v>
      </c>
      <c r="K144" s="5">
        <f>D144/D143-1</f>
        <v>2.6316826297083651E-3</v>
      </c>
      <c r="L144" s="5">
        <f>E144/E143-1</f>
        <v>-8.9573561890299302E-3</v>
      </c>
      <c r="M144" s="5">
        <f>F144/F143-1</f>
        <v>1.2667862708987343E-2</v>
      </c>
      <c r="N144" s="5">
        <f>SUMPRODUCT(I144:M144,$AJ$13:$AN$13)</f>
        <v>3.5799626548349379E-3</v>
      </c>
      <c r="P144" s="2" t="s">
        <v>135</v>
      </c>
      <c r="Q144" s="10" cm="1">
        <f t="array" aca="1" ref="Q144:U144" ca="1">_xlfn.LET(_xlpm.array,_xlfn.RANDARRAY(1,COLUMNS(_xlfn.ANCHORARRAY(Q143)),0,1,FALSE),_xlpm.array/SUM(_xlpm.array))</f>
        <v>0.23494736461362312</v>
      </c>
      <c r="R144" s="2">
        <f ca="1"/>
        <v>0.27426850634974792</v>
      </c>
      <c r="S144" s="2">
        <f ca="1"/>
        <v>9.5005297952433815E-2</v>
      </c>
      <c r="T144" s="2">
        <f ca="1"/>
        <v>0.15881207665832262</v>
      </c>
      <c r="U144" s="2">
        <f ca="1"/>
        <v>0.23696675442587242</v>
      </c>
      <c r="V144" s="12"/>
      <c r="X144" s="2" cm="1">
        <f t="array" aca="1" ref="X144" ca="1">MMULT(MMULT(_xlfn.ANCHORARRAY(Q144),$Q$9:$U$13),TRANSPOSE(_xlfn.ANCHORARRAY(Q144)))</f>
        <v>2.6546615988497202E-4</v>
      </c>
      <c r="Y144" s="2">
        <f t="shared" ca="1" si="8"/>
        <v>1.6293132292011011E-2</v>
      </c>
      <c r="Z144" s="2" cm="1">
        <f t="array" aca="1" ref="Z144" ca="1">MMULT(_xlfn.ANCHORARRAY(Q144),TRANSPOSE($Q$3:$U$3))</f>
        <v>8.1747143132045825E-4</v>
      </c>
      <c r="AA144" s="11">
        <f ca="1">AVEDEV(Q144*$Q$3,R144*$R$3,S144*$S$3,T144*$T$3,U144*$U$3)</f>
        <v>2.1815171050244719E-5</v>
      </c>
      <c r="AB144" s="11" cm="1">
        <f t="array" aca="1" ref="AB144" ca="1">MMULT(_xlfn.ANCHORARRAY(Q144),TRANSPOSE($Q$6:$U$6))</f>
        <v>-2.2072092613826918E-2</v>
      </c>
      <c r="AD144" s="2" t="s">
        <v>135</v>
      </c>
      <c r="AE144" s="10" cm="1">
        <f t="array" aca="1" ref="AE144:AI144" ca="1">_xlfn.LET(_xlpm.array,_xlfn.RANDARRAY(1,COLUMNS(_xlfn.ANCHORARRAY(Q143)),-1,1,FALSE),_xlpm.array/SUM(_xlpm.array))</f>
        <v>0.50564935158530155</v>
      </c>
      <c r="AF144" s="10">
        <f ca="1"/>
        <v>0.60530742552886885</v>
      </c>
      <c r="AG144" s="10">
        <f ca="1"/>
        <v>-0.72467413688876636</v>
      </c>
      <c r="AH144" s="10">
        <f ca="1"/>
        <v>-3.6195441124967503E-2</v>
      </c>
      <c r="AI144" s="10">
        <f ca="1"/>
        <v>0.64991280089956338</v>
      </c>
      <c r="AJ144" s="1"/>
      <c r="AK144" s="2" cm="1">
        <f t="array" aca="1" ref="AK144" ca="1">MMULT(MMULT(_xlfn.ANCHORARRAY(AE144),$Q$9:$U$13),TRANSPOSE(_xlfn.ANCHORARRAY(AE144)))</f>
        <v>6.6137507344152908E-4</v>
      </c>
      <c r="AL144" s="2">
        <f t="shared" ca="1" si="9"/>
        <v>2.5717213562933466E-2</v>
      </c>
      <c r="AM144" s="2" cm="1">
        <f t="array" aca="1" ref="AM144" ca="1">MMULT(_xlfn.ANCHORARRAY(AE145),TRANSPOSE($Q$3:$U$3))</f>
        <v>9.4814733863869606E-4</v>
      </c>
    </row>
    <row r="145" spans="1:39" x14ac:dyDescent="0.35">
      <c r="A145" s="3">
        <v>44040</v>
      </c>
      <c r="B145" s="4">
        <v>21.186780929565401</v>
      </c>
      <c r="C145" s="4">
        <v>69.318321228027301</v>
      </c>
      <c r="D145" s="4">
        <v>27.465110778808501</v>
      </c>
      <c r="E145" s="4">
        <v>10.174022674560501</v>
      </c>
      <c r="F145" s="4">
        <v>192.43460083007801</v>
      </c>
      <c r="I145" s="5">
        <f>B145/B144-1</f>
        <v>9.1134743751561942E-3</v>
      </c>
      <c r="J145" s="5">
        <f>C145/C144-1</f>
        <v>-2.1199307555216707E-2</v>
      </c>
      <c r="K145" s="5">
        <f>D145/D144-1</f>
        <v>-2.6082653766077435E-2</v>
      </c>
      <c r="L145" s="5">
        <f>E145/E144-1</f>
        <v>-2.7759902836464567E-2</v>
      </c>
      <c r="M145" s="5">
        <f>F145/F144-1</f>
        <v>-8.977233749042357E-3</v>
      </c>
      <c r="N145" s="5">
        <f>SUMPRODUCT(I145:M145,$AJ$13:$AN$13)</f>
        <v>-3.1491539181385177E-2</v>
      </c>
      <c r="P145" s="2" t="s">
        <v>136</v>
      </c>
      <c r="Q145" s="10" cm="1">
        <f t="array" aca="1" ref="Q145:U145" ca="1">_xlfn.LET(_xlpm.array,_xlfn.RANDARRAY(1,COLUMNS(_xlfn.ANCHORARRAY(Q144)),0,1,FALSE),_xlpm.array/SUM(_xlpm.array))</f>
        <v>0.32660873739122182</v>
      </c>
      <c r="R145" s="2">
        <f ca="1"/>
        <v>0.54224322737102781</v>
      </c>
      <c r="S145" s="2">
        <f ca="1"/>
        <v>4.6314810380146773E-2</v>
      </c>
      <c r="T145" s="2">
        <f ca="1"/>
        <v>8.4327637778535816E-2</v>
      </c>
      <c r="U145" s="2">
        <f ca="1"/>
        <v>5.055870790678117E-4</v>
      </c>
      <c r="V145" s="12"/>
      <c r="X145" s="2" cm="1">
        <f t="array" aca="1" ref="X145" ca="1">MMULT(MMULT(_xlfn.ANCHORARRAY(Q145),$Q$9:$U$13),TRANSPOSE(_xlfn.ANCHORARRAY(Q145)))</f>
        <v>3.5039906479976244E-4</v>
      </c>
      <c r="Y145" s="2">
        <f t="shared" ca="1" si="8"/>
        <v>1.8718949350851999E-2</v>
      </c>
      <c r="Z145" s="2" cm="1">
        <f t="array" aca="1" ref="Z145" ca="1">MMULT(_xlfn.ANCHORARRAY(Q145),TRANSPOSE($Q$3:$U$3))</f>
        <v>7.2371739100348222E-4</v>
      </c>
      <c r="AA145" s="11">
        <f ca="1">AVEDEV(Q145*$Q$3,R145*$R$3,S145*$S$3,T145*$T$3,U145*$U$3)</f>
        <v>1.089911550003487E-4</v>
      </c>
      <c r="AB145" s="11" cm="1">
        <f t="array" aca="1" ref="AB145" ca="1">MMULT(_xlfn.ANCHORARRAY(Q145),TRANSPOSE($Q$6:$U$6))</f>
        <v>-2.1616665333017447E-2</v>
      </c>
      <c r="AD145" s="2" t="s">
        <v>136</v>
      </c>
      <c r="AE145" s="10" cm="1">
        <f t="array" aca="1" ref="AE145:AI145" ca="1">_xlfn.LET(_xlpm.array,_xlfn.RANDARRAY(1,COLUMNS(_xlfn.ANCHORARRAY(Q144)),-1,1,FALSE),_xlpm.array/SUM(_xlpm.array))</f>
        <v>0.51389686352985497</v>
      </c>
      <c r="AF145" s="10">
        <f ca="1"/>
        <v>-0.38092655461785802</v>
      </c>
      <c r="AG145" s="10">
        <f ca="1"/>
        <v>0.40654946171382633</v>
      </c>
      <c r="AH145" s="10">
        <f ca="1"/>
        <v>-0.18424778248435519</v>
      </c>
      <c r="AI145" s="10">
        <f ca="1"/>
        <v>0.6447280118585319</v>
      </c>
      <c r="AJ145" s="1"/>
      <c r="AK145" s="2" cm="1">
        <f t="array" aca="1" ref="AK145" ca="1">MMULT(MMULT(_xlfn.ANCHORARRAY(AE145),$Q$9:$U$13),TRANSPOSE(_xlfn.ANCHORARRAY(AE145)))</f>
        <v>5.435958024556911E-4</v>
      </c>
      <c r="AL145" s="2">
        <f t="shared" ca="1" si="9"/>
        <v>2.3315141055882359E-2</v>
      </c>
      <c r="AM145" s="2" cm="1">
        <f t="array" aca="1" ref="AM145" ca="1">MMULT(_xlfn.ANCHORARRAY(AE146),TRANSPOSE($Q$3:$U$3))</f>
        <v>-4.884879086109377E-4</v>
      </c>
    </row>
    <row r="146" spans="1:39" x14ac:dyDescent="0.35">
      <c r="A146" s="3">
        <v>44041</v>
      </c>
      <c r="B146" s="4">
        <v>21.978237152099599</v>
      </c>
      <c r="C146" s="4">
        <v>70.065086364746094</v>
      </c>
      <c r="D146" s="4">
        <v>27.613143920898398</v>
      </c>
      <c r="E146" s="4">
        <v>10.4645166397094</v>
      </c>
      <c r="F146" s="4">
        <v>194.37779235839801</v>
      </c>
      <c r="I146" s="5">
        <f>B146/B145-1</f>
        <v>3.7356133768757127E-2</v>
      </c>
      <c r="J146" s="5">
        <f>C146/C145-1</f>
        <v>1.0772983584848461E-2</v>
      </c>
      <c r="K146" s="5">
        <f>D146/D145-1</f>
        <v>5.38986146031184E-3</v>
      </c>
      <c r="L146" s="5">
        <f>E146/E145-1</f>
        <v>2.8552517960792612E-2</v>
      </c>
      <c r="M146" s="5">
        <f>F146/F145-1</f>
        <v>1.0097932076341465E-2</v>
      </c>
      <c r="N146" s="5">
        <f>SUMPRODUCT(I146:M146,$AJ$13:$AN$13)</f>
        <v>8.3640422989240352E-3</v>
      </c>
      <c r="P146" s="2" t="s">
        <v>137</v>
      </c>
      <c r="Q146" s="10" cm="1">
        <f t="array" aca="1" ref="Q146:U146" ca="1">_xlfn.LET(_xlpm.array,_xlfn.RANDARRAY(1,COLUMNS(_xlfn.ANCHORARRAY(Q145)),0,1,FALSE),_xlpm.array/SUM(_xlpm.array))</f>
        <v>7.9530513840038203E-2</v>
      </c>
      <c r="R146" s="2">
        <f ca="1"/>
        <v>0.14254817325546315</v>
      </c>
      <c r="S146" s="2">
        <f ca="1"/>
        <v>0.17474284114195557</v>
      </c>
      <c r="T146" s="2">
        <f ca="1"/>
        <v>0.34984016380516308</v>
      </c>
      <c r="U146" s="2">
        <f ca="1"/>
        <v>0.25333830795738005</v>
      </c>
      <c r="V146" s="12"/>
      <c r="X146" s="2" cm="1">
        <f t="array" aca="1" ref="X146" ca="1">MMULT(MMULT(_xlfn.ANCHORARRAY(Q146),$Q$9:$U$13),TRANSPOSE(_xlfn.ANCHORARRAY(Q146)))</f>
        <v>2.817860062190335E-4</v>
      </c>
      <c r="Y146" s="2">
        <f t="shared" ca="1" si="8"/>
        <v>1.6786482842425135E-2</v>
      </c>
      <c r="Z146" s="2" cm="1">
        <f t="array" aca="1" ref="Z146" ca="1">MMULT(_xlfn.ANCHORARRAY(Q146),TRANSPOSE($Q$3:$U$3))</f>
        <v>9.7946731191991647E-4</v>
      </c>
      <c r="AA146" s="11">
        <f ca="1">AVEDEV(Q146*$Q$3,R146*$R$3,S146*$S$3,T146*$T$3,U146*$U$3)</f>
        <v>9.9759314951568533E-5</v>
      </c>
      <c r="AB146" s="11" cm="1">
        <f t="array" aca="1" ref="AB146" ca="1">MMULT(_xlfn.ANCHORARRAY(Q146),TRANSPOSE($Q$6:$U$6))</f>
        <v>-2.33018612838478E-2</v>
      </c>
      <c r="AD146" s="2" t="s">
        <v>137</v>
      </c>
      <c r="AE146" s="10" cm="1">
        <f t="array" aca="1" ref="AE146:AI146" ca="1">_xlfn.LET(_xlpm.array,_xlfn.RANDARRAY(1,COLUMNS(_xlfn.ANCHORARRAY(Q145)),-1,1,FALSE),_xlpm.array/SUM(_xlpm.array))</f>
        <v>1.6008936849758086</v>
      </c>
      <c r="AF146" s="10">
        <f ca="1"/>
        <v>1.1140427453510469</v>
      </c>
      <c r="AG146" s="10">
        <f ca="1"/>
        <v>-1.296409070302301</v>
      </c>
      <c r="AH146" s="10">
        <f ca="1"/>
        <v>1.2066675396550903</v>
      </c>
      <c r="AI146" s="10">
        <f ca="1"/>
        <v>-1.6251948996796446</v>
      </c>
      <c r="AJ146" s="1"/>
      <c r="AK146" s="2" cm="1">
        <f t="array" aca="1" ref="AK146" ca="1">MMULT(MMULT(_xlfn.ANCHORARRAY(AE146),$Q$9:$U$13),TRANSPOSE(_xlfn.ANCHORARRAY(AE146)))</f>
        <v>4.9032767379094556E-3</v>
      </c>
      <c r="AL146" s="2">
        <f t="shared" ca="1" si="9"/>
        <v>7.0023401359184598E-2</v>
      </c>
      <c r="AM146" s="2" cm="1">
        <f t="array" aca="1" ref="AM146" ca="1">MMULT(_xlfn.ANCHORARRAY(AE147),TRANSPOSE($Q$3:$U$3))</f>
        <v>4.0871481267136904E-3</v>
      </c>
    </row>
    <row r="147" spans="1:39" x14ac:dyDescent="0.35">
      <c r="A147" s="3">
        <v>44042</v>
      </c>
      <c r="B147" s="4">
        <v>21.604253768920898</v>
      </c>
      <c r="C147" s="4">
        <v>67.109092712402301</v>
      </c>
      <c r="D147" s="4">
        <v>27.367963790893501</v>
      </c>
      <c r="E147" s="4">
        <v>10.153759002685501</v>
      </c>
      <c r="F147" s="4">
        <v>194.22537231445301</v>
      </c>
      <c r="I147" s="5">
        <f>B147/B146-1</f>
        <v>-1.7016077340077929E-2</v>
      </c>
      <c r="J147" s="5">
        <f>C147/C146-1</f>
        <v>-4.2189252960531998E-2</v>
      </c>
      <c r="K147" s="5">
        <f>D147/D146-1</f>
        <v>-8.8791095540315945E-3</v>
      </c>
      <c r="L147" s="5">
        <f>E147/E146-1</f>
        <v>-2.9696320214607552E-2</v>
      </c>
      <c r="M147" s="5">
        <f>F147/F146-1</f>
        <v>-7.8414330204945593E-4</v>
      </c>
      <c r="N147" s="5">
        <f>SUMPRODUCT(I147:M147,$AJ$13:$AN$13)</f>
        <v>-1.2457378345269507E-2</v>
      </c>
      <c r="P147" s="2" t="s">
        <v>138</v>
      </c>
      <c r="Q147" s="10" cm="1">
        <f t="array" aca="1" ref="Q147:U147" ca="1">_xlfn.LET(_xlpm.array,_xlfn.RANDARRAY(1,COLUMNS(_xlfn.ANCHORARRAY(Q146)),0,1,FALSE),_xlpm.array/SUM(_xlpm.array))</f>
        <v>8.7431519838381974E-2</v>
      </c>
      <c r="R147" s="2">
        <f ca="1"/>
        <v>3.362526127189925E-2</v>
      </c>
      <c r="S147" s="2">
        <f ca="1"/>
        <v>0.22529061063082881</v>
      </c>
      <c r="T147" s="2">
        <f ca="1"/>
        <v>7.2873263357951634E-2</v>
      </c>
      <c r="U147" s="2">
        <f ca="1"/>
        <v>0.5807793449009383</v>
      </c>
      <c r="V147" s="12"/>
      <c r="X147" s="2" cm="1">
        <f t="array" aca="1" ref="X147" ca="1">MMULT(MMULT(_xlfn.ANCHORARRAY(Q147),$Q$9:$U$13),TRANSPOSE(_xlfn.ANCHORARRAY(Q147)))</f>
        <v>2.8496456477082431E-4</v>
      </c>
      <c r="Y147" s="2">
        <f t="shared" ca="1" si="8"/>
        <v>1.688089348259814E-2</v>
      </c>
      <c r="Z147" s="2" cm="1">
        <f t="array" aca="1" ref="Z147" ca="1">MMULT(_xlfn.ANCHORARRAY(Q147),TRANSPOSE($Q$3:$U$3))</f>
        <v>9.5352321977547837E-4</v>
      </c>
      <c r="AA147" s="11">
        <f ca="1">AVEDEV(Q147*$Q$3,R147*$R$3,S147*$S$3,T147*$T$3,U147*$U$3)</f>
        <v>1.7146965490225254E-4</v>
      </c>
      <c r="AB147" s="11" cm="1">
        <f t="array" aca="1" ref="AB147" ca="1">MMULT(_xlfn.ANCHORARRAY(Q147),TRANSPOSE($Q$6:$U$6))</f>
        <v>-2.2223089326856262E-2</v>
      </c>
      <c r="AD147" s="2" t="s">
        <v>138</v>
      </c>
      <c r="AE147" s="10" cm="1">
        <f t="array" aca="1" ref="AE147:AI147" ca="1">_xlfn.LET(_xlpm.array,_xlfn.RANDARRAY(1,COLUMNS(_xlfn.ANCHORARRAY(Q146)),-1,1,FALSE),_xlpm.array/SUM(_xlpm.array))</f>
        <v>1.4466105036939065</v>
      </c>
      <c r="AF147" s="10">
        <f ca="1"/>
        <v>-3.7180369575618171</v>
      </c>
      <c r="AG147" s="10">
        <f ca="1"/>
        <v>2.6566393607782635</v>
      </c>
      <c r="AH147" s="10">
        <f ca="1"/>
        <v>4.9943386133254242</v>
      </c>
      <c r="AI147" s="10">
        <f ca="1"/>
        <v>-4.3795515202357773</v>
      </c>
      <c r="AJ147" s="1"/>
      <c r="AK147" s="2" cm="1">
        <f t="array" aca="1" ref="AK147" ca="1">MMULT(MMULT(_xlfn.ANCHORARRAY(AE147),$Q$9:$U$13),TRANSPOSE(_xlfn.ANCHORARRAY(AE147)))</f>
        <v>1.6175404011929687E-2</v>
      </c>
      <c r="AL147" s="2">
        <f t="shared" ca="1" si="9"/>
        <v>0.12718256174464204</v>
      </c>
      <c r="AM147" s="2" cm="1">
        <f t="array" aca="1" ref="AM147" ca="1">MMULT(_xlfn.ANCHORARRAY(AE148),TRANSPOSE($Q$3:$U$3))</f>
        <v>2.3600940374396218E-3</v>
      </c>
    </row>
    <row r="148" spans="1:39" x14ac:dyDescent="0.35">
      <c r="A148" s="3">
        <v>44043</v>
      </c>
      <c r="B148" s="4">
        <v>21.639043807983398</v>
      </c>
      <c r="C148" s="4">
        <v>65.296607971191406</v>
      </c>
      <c r="D148" s="4">
        <v>27.677909851074201</v>
      </c>
      <c r="E148" s="4">
        <v>10.072689056396401</v>
      </c>
      <c r="F148" s="4">
        <v>195.28271484375</v>
      </c>
      <c r="I148" s="5">
        <f>B148/B147-1</f>
        <v>1.6103328277206064E-3</v>
      </c>
      <c r="J148" s="5">
        <f>C148/C147-1</f>
        <v>-2.7008035244617923E-2</v>
      </c>
      <c r="K148" s="5">
        <f>D148/D147-1</f>
        <v>1.1325141415300832E-2</v>
      </c>
      <c r="L148" s="5">
        <f>E148/E147-1</f>
        <v>-7.9842299061517741E-3</v>
      </c>
      <c r="M148" s="5">
        <f>F148/F147-1</f>
        <v>5.4438949798234493E-3</v>
      </c>
      <c r="N148" s="5">
        <f>SUMPRODUCT(I148:M148,$AJ$13:$AN$13)</f>
        <v>4.4036187830423026E-3</v>
      </c>
      <c r="P148" s="2" t="s">
        <v>139</v>
      </c>
      <c r="Q148" s="10" cm="1">
        <f t="array" aca="1" ref="Q148:U148" ca="1">_xlfn.LET(_xlpm.array,_xlfn.RANDARRAY(1,COLUMNS(_xlfn.ANCHORARRAY(Q147)),0,1,FALSE),_xlpm.array/SUM(_xlpm.array))</f>
        <v>0.21935470804875271</v>
      </c>
      <c r="R148" s="2">
        <f ca="1"/>
        <v>0.22124289185901247</v>
      </c>
      <c r="S148" s="2">
        <f ca="1"/>
        <v>0.46135596561084935</v>
      </c>
      <c r="T148" s="2">
        <f ca="1"/>
        <v>8.9617162528217123E-2</v>
      </c>
      <c r="U148" s="2">
        <f ca="1"/>
        <v>8.4292719531683553E-3</v>
      </c>
      <c r="V148" s="12"/>
      <c r="X148" s="2" cm="1">
        <f t="array" aca="1" ref="X148" ca="1">MMULT(MMULT(_xlfn.ANCHORARRAY(Q148),$Q$9:$U$13),TRANSPOSE(_xlfn.ANCHORARRAY(Q148)))</f>
        <v>3.9071372810529166E-4</v>
      </c>
      <c r="Y148" s="2">
        <f t="shared" ca="1" si="8"/>
        <v>1.9766479911842969E-2</v>
      </c>
      <c r="Z148" s="2" cm="1">
        <f t="array" aca="1" ref="Z148" ca="1">MMULT(_xlfn.ANCHORARRAY(Q148),TRANSPOSE($Q$3:$U$3))</f>
        <v>1.1202904399791516E-3</v>
      </c>
      <c r="AA148" s="11">
        <f ca="1">AVEDEV(Q148*$Q$3,R148*$R$3,S148*$S$3,T148*$T$3,U148*$U$3)</f>
        <v>2.100737427455193E-4</v>
      </c>
      <c r="AB148" s="11" cm="1">
        <f t="array" aca="1" ref="AB148" ca="1">MMULT(_xlfn.ANCHORARRAY(Q148),TRANSPOSE($Q$6:$U$6))</f>
        <v>-2.4248175417847066E-2</v>
      </c>
      <c r="AD148" s="2" t="s">
        <v>139</v>
      </c>
      <c r="AE148" s="10" cm="1">
        <f t="array" aca="1" ref="AE148:AI148" ca="1">_xlfn.LET(_xlpm.array,_xlfn.RANDARRAY(1,COLUMNS(_xlfn.ANCHORARRAY(Q147)),-1,1,FALSE),_xlpm.array/SUM(_xlpm.array))</f>
        <v>-1.8671433369255828</v>
      </c>
      <c r="AF148" s="10">
        <f ca="1"/>
        <v>0.98248310107781667</v>
      </c>
      <c r="AG148" s="10">
        <f ca="1"/>
        <v>1.8920149314859371</v>
      </c>
      <c r="AH148" s="10">
        <f ca="1"/>
        <v>-1.8514847021875298</v>
      </c>
      <c r="AI148" s="10">
        <f ca="1"/>
        <v>1.8441300065493589</v>
      </c>
      <c r="AJ148" s="1"/>
      <c r="AK148" s="2" cm="1">
        <f t="array" aca="1" ref="AK148" ca="1">MMULT(MMULT(_xlfn.ANCHORARRAY(AE148),$Q$9:$U$13),TRANSPOSE(_xlfn.ANCHORARRAY(AE148)))</f>
        <v>5.571868515221832E-3</v>
      </c>
      <c r="AL148" s="2">
        <f t="shared" ca="1" si="9"/>
        <v>7.4644949696693025E-2</v>
      </c>
      <c r="AM148" s="2" cm="1">
        <f t="array" aca="1" ref="AM148" ca="1">MMULT(_xlfn.ANCHORARRAY(AE149),TRANSPOSE($Q$3:$U$3))</f>
        <v>9.6285690466008404E-4</v>
      </c>
    </row>
    <row r="149" spans="1:39" x14ac:dyDescent="0.35">
      <c r="A149" s="3">
        <v>44046</v>
      </c>
      <c r="B149" s="4">
        <v>21.734718322753899</v>
      </c>
      <c r="C149" s="4">
        <v>65.973358154296804</v>
      </c>
      <c r="D149" s="4">
        <v>27.9786071777343</v>
      </c>
      <c r="E149" s="4">
        <v>10.194292068481399</v>
      </c>
      <c r="F149" s="4">
        <v>206.26565551757801</v>
      </c>
      <c r="I149" s="5">
        <f>B149/B148-1</f>
        <v>4.4213836627662317E-3</v>
      </c>
      <c r="J149" s="5">
        <f>C149/C148-1</f>
        <v>1.036424715054074E-2</v>
      </c>
      <c r="K149" s="5">
        <f>D149/D148-1</f>
        <v>1.0864163091723888E-2</v>
      </c>
      <c r="L149" s="5">
        <f>E149/E148-1</f>
        <v>1.2072547003501244E-2</v>
      </c>
      <c r="M149" s="5">
        <f>F149/F148-1</f>
        <v>5.6241233038037741E-2</v>
      </c>
      <c r="N149" s="5">
        <f>SUMPRODUCT(I149:M149,$AJ$13:$AN$13)</f>
        <v>2.8466530831397757E-2</v>
      </c>
      <c r="P149" s="2" t="s">
        <v>140</v>
      </c>
      <c r="Q149" s="10" cm="1">
        <f t="array" aca="1" ref="Q149:U149" ca="1">_xlfn.LET(_xlpm.array,_xlfn.RANDARRAY(1,COLUMNS(_xlfn.ANCHORARRAY(Q148)),0,1,FALSE),_xlpm.array/SUM(_xlpm.array))</f>
        <v>0.18259649897477723</v>
      </c>
      <c r="R149" s="2">
        <f ca="1"/>
        <v>0.15982735575384857</v>
      </c>
      <c r="S149" s="2">
        <f ca="1"/>
        <v>0.25105455531828108</v>
      </c>
      <c r="T149" s="2">
        <f ca="1"/>
        <v>0.21952987954016684</v>
      </c>
      <c r="U149" s="2">
        <f ca="1"/>
        <v>0.18699171041292628</v>
      </c>
      <c r="V149" s="12"/>
      <c r="X149" s="2" cm="1">
        <f t="array" aca="1" ref="X149" ca="1">MMULT(MMULT(_xlfn.ANCHORARRAY(Q149),$Q$9:$U$13),TRANSPOSE(_xlfn.ANCHORARRAY(Q149)))</f>
        <v>2.8970534333314248E-4</v>
      </c>
      <c r="Y149" s="2">
        <f t="shared" ca="1" si="8"/>
        <v>1.7020732749595199E-2</v>
      </c>
      <c r="Z149" s="2" cm="1">
        <f t="array" aca="1" ref="Z149" ca="1">MMULT(_xlfn.ANCHORARRAY(Q149),TRANSPOSE($Q$3:$U$3))</f>
        <v>9.8452576204963215E-4</v>
      </c>
      <c r="AA149" s="11">
        <f ca="1">AVEDEV(Q149*$Q$3,R149*$R$3,S149*$S$3,T149*$T$3,U149*$U$3)</f>
        <v>9.527118877328947E-5</v>
      </c>
      <c r="AB149" s="11" cm="1">
        <f t="array" aca="1" ref="AB149" ca="1">MMULT(_xlfn.ANCHORARRAY(Q149),TRANSPOSE($Q$6:$U$6))</f>
        <v>-2.3342287960816586E-2</v>
      </c>
      <c r="AD149" s="2" t="s">
        <v>140</v>
      </c>
      <c r="AE149" s="10" cm="1">
        <f t="array" aca="1" ref="AE149:AI149" ca="1">_xlfn.LET(_xlpm.array,_xlfn.RANDARRAY(1,COLUMNS(_xlfn.ANCHORARRAY(Q148)),-1,1,FALSE),_xlpm.array/SUM(_xlpm.array))</f>
        <v>1.0952315681360809</v>
      </c>
      <c r="AF149" s="10">
        <f ca="1"/>
        <v>-1.0144205823851711</v>
      </c>
      <c r="AG149" s="10">
        <f ca="1"/>
        <v>0.77745889755655295</v>
      </c>
      <c r="AH149" s="10">
        <f ca="1"/>
        <v>-0.87246725618120669</v>
      </c>
      <c r="AI149" s="10">
        <f ca="1"/>
        <v>1.0141973728737441</v>
      </c>
      <c r="AJ149" s="1"/>
      <c r="AK149" s="2" cm="1">
        <f t="array" aca="1" ref="AK149" ca="1">MMULT(MMULT(_xlfn.ANCHORARRAY(AE149),$Q$9:$U$13),TRANSPOSE(_xlfn.ANCHORARRAY(AE149)))</f>
        <v>2.0201943762908343E-3</v>
      </c>
      <c r="AL149" s="2">
        <f t="shared" ca="1" si="9"/>
        <v>4.494657246432518E-2</v>
      </c>
      <c r="AM149" s="2" cm="1">
        <f t="array" aca="1" ref="AM149" ca="1">MMULT(_xlfn.ANCHORARRAY(AE150),TRANSPOSE($Q$3:$U$3))</f>
        <v>1.2618176711721898E-3</v>
      </c>
    </row>
    <row r="150" spans="1:39" x14ac:dyDescent="0.35">
      <c r="A150" s="3">
        <v>44047</v>
      </c>
      <c r="B150" s="4">
        <v>21.752109527587798</v>
      </c>
      <c r="C150" s="4">
        <v>67.280197143554602</v>
      </c>
      <c r="D150" s="4">
        <v>27.9045906066894</v>
      </c>
      <c r="E150" s="4">
        <v>10.457760810851999</v>
      </c>
      <c r="F150" s="4">
        <v>203.16984558105401</v>
      </c>
      <c r="I150" s="5">
        <f>B150/B149-1</f>
        <v>8.0015782011266801E-4</v>
      </c>
      <c r="J150" s="5">
        <f>C150/C149-1</f>
        <v>1.9808586766212555E-2</v>
      </c>
      <c r="K150" s="5">
        <f>D150/D149-1</f>
        <v>-2.6454701827974825E-3</v>
      </c>
      <c r="L150" s="5">
        <f>E150/E149-1</f>
        <v>2.5844731600852322E-2</v>
      </c>
      <c r="M150" s="5">
        <f>F150/F149-1</f>
        <v>-1.5008848316292678E-2</v>
      </c>
      <c r="N150" s="5">
        <f>SUMPRODUCT(I150:M150,$AJ$13:$AN$13)</f>
        <v>4.8046697399506564E-3</v>
      </c>
      <c r="P150" s="2" t="s">
        <v>141</v>
      </c>
      <c r="Q150" s="10" cm="1">
        <f t="array" aca="1" ref="Q150:U150" ca="1">_xlfn.LET(_xlpm.array,_xlfn.RANDARRAY(1,COLUMNS(_xlfn.ANCHORARRAY(Q149)),0,1,FALSE),_xlpm.array/SUM(_xlpm.array))</f>
        <v>0.26066146874400581</v>
      </c>
      <c r="R150" s="2">
        <f ca="1"/>
        <v>3.5604499083927363E-2</v>
      </c>
      <c r="S150" s="2">
        <f ca="1"/>
        <v>0.4533764895694436</v>
      </c>
      <c r="T150" s="2">
        <f ca="1"/>
        <v>3.1756791340276168E-2</v>
      </c>
      <c r="U150" s="2">
        <f ca="1"/>
        <v>0.2186007512623471</v>
      </c>
      <c r="V150" s="12"/>
      <c r="X150" s="2" cm="1">
        <f t="array" aca="1" ref="X150" ca="1">MMULT(MMULT(_xlfn.ANCHORARRAY(Q150),$Q$9:$U$13),TRANSPOSE(_xlfn.ANCHORARRAY(Q150)))</f>
        <v>3.7131115262098365E-4</v>
      </c>
      <c r="Y150" s="2">
        <f t="shared" ca="1" si="8"/>
        <v>1.9269435711016129E-2</v>
      </c>
      <c r="Z150" s="2" cm="1">
        <f t="array" aca="1" ref="Z150" ca="1">MMULT(_xlfn.ANCHORARRAY(Q150),TRANSPOSE($Q$3:$U$3))</f>
        <v>1.0944046795759367E-3</v>
      </c>
      <c r="AA150" s="11">
        <f ca="1">AVEDEV(Q150*$Q$3,R150*$R$3,S150*$S$3,T150*$T$3,U150*$U$3)</f>
        <v>2.0696113347347563E-4</v>
      </c>
      <c r="AB150" s="11" cm="1">
        <f t="array" aca="1" ref="AB150" ca="1">MMULT(_xlfn.ANCHORARRAY(Q150),TRANSPOSE($Q$6:$U$6))</f>
        <v>-2.3874821312911916E-2</v>
      </c>
      <c r="AD150" s="2" t="s">
        <v>141</v>
      </c>
      <c r="AE150" s="10" cm="1">
        <f t="array" aca="1" ref="AE150:AI150" ca="1">_xlfn.LET(_xlpm.array,_xlfn.RANDARRAY(1,COLUMNS(_xlfn.ANCHORARRAY(Q149)),-1,1,FALSE),_xlpm.array/SUM(_xlpm.array))</f>
        <v>7.9615514277862065E-2</v>
      </c>
      <c r="AF150" s="10">
        <f ca="1"/>
        <v>0.69538860505637889</v>
      </c>
      <c r="AG150" s="10">
        <f ca="1"/>
        <v>0.63893959412374834</v>
      </c>
      <c r="AH150" s="10">
        <f ca="1"/>
        <v>-2.9126023668278447E-2</v>
      </c>
      <c r="AI150" s="10">
        <f ca="1"/>
        <v>-0.38481768978971076</v>
      </c>
      <c r="AJ150" s="1"/>
      <c r="AK150" s="2" cm="1">
        <f t="array" aca="1" ref="AK150" ca="1">MMULT(MMULT(_xlfn.ANCHORARRAY(AE150),$Q$9:$U$13),TRANSPOSE(_xlfn.ANCHORARRAY(AE150)))</f>
        <v>6.5207244778562332E-4</v>
      </c>
      <c r="AL150" s="2">
        <f t="shared" ca="1" si="9"/>
        <v>2.5535709267330394E-2</v>
      </c>
      <c r="AM150" s="2" cm="1">
        <f t="array" aca="1" ref="AM150" ca="1">MMULT(_xlfn.ANCHORARRAY(AE151),TRANSPOSE($Q$3:$U$3))</f>
        <v>1.1990269502167434E-3</v>
      </c>
    </row>
    <row r="151" spans="1:39" x14ac:dyDescent="0.35">
      <c r="A151" s="3">
        <v>44048</v>
      </c>
      <c r="B151" s="4">
        <v>22.0826091766357</v>
      </c>
      <c r="C151" s="4">
        <v>67.832527160644503</v>
      </c>
      <c r="D151" s="4">
        <v>28.038743972778299</v>
      </c>
      <c r="E151" s="4">
        <v>10.7752780914306</v>
      </c>
      <c r="F151" s="4">
        <v>202.83644104003901</v>
      </c>
      <c r="I151" s="5">
        <f>B151/B150-1</f>
        <v>1.5193912508979279E-2</v>
      </c>
      <c r="J151" s="5">
        <f>C151/C150-1</f>
        <v>8.2093995044545398E-3</v>
      </c>
      <c r="K151" s="5">
        <f>D151/D150-1</f>
        <v>4.8075733480474891E-3</v>
      </c>
      <c r="L151" s="5">
        <f>E151/E150-1</f>
        <v>3.0361880169329725E-2</v>
      </c>
      <c r="M151" s="5">
        <f>F151/F150-1</f>
        <v>-1.6410139017504211E-3</v>
      </c>
      <c r="N151" s="5">
        <f>SUMPRODUCT(I151:M151,$AJ$13:$AN$13)</f>
        <v>1.1478546883096883E-2</v>
      </c>
      <c r="P151" s="2" t="s">
        <v>142</v>
      </c>
      <c r="Q151" s="10" cm="1">
        <f t="array" aca="1" ref="Q151:U151" ca="1">_xlfn.LET(_xlpm.array,_xlfn.RANDARRAY(1,COLUMNS(_xlfn.ANCHORARRAY(Q150)),0,1,FALSE),_xlpm.array/SUM(_xlpm.array))</f>
        <v>0.1685329298578058</v>
      </c>
      <c r="R151" s="2">
        <f ca="1"/>
        <v>0.24183831391263394</v>
      </c>
      <c r="S151" s="2">
        <f ca="1"/>
        <v>4.773241106155305E-2</v>
      </c>
      <c r="T151" s="2">
        <f ca="1"/>
        <v>0.3007120125886526</v>
      </c>
      <c r="U151" s="2">
        <f ca="1"/>
        <v>0.24118433257935459</v>
      </c>
      <c r="V151" s="12"/>
      <c r="X151" s="2" cm="1">
        <f t="array" aca="1" ref="X151" ca="1">MMULT(MMULT(_xlfn.ANCHORARRAY(Q151),$Q$9:$U$13),TRANSPOSE(_xlfn.ANCHORARRAY(Q151)))</f>
        <v>2.7499261130558888E-4</v>
      </c>
      <c r="Y151" s="2">
        <f t="shared" ca="1" si="8"/>
        <v>1.6582901172761927E-2</v>
      </c>
      <c r="Z151" s="2" cm="1">
        <f t="array" aca="1" ref="Z151" ca="1">MMULT(_xlfn.ANCHORARRAY(Q151),TRANSPOSE($Q$3:$U$3))</f>
        <v>8.3145678194877998E-4</v>
      </c>
      <c r="AA151" s="11">
        <f ca="1">AVEDEV(Q151*$Q$3,R151*$R$3,S151*$S$3,T151*$T$3,U151*$U$3)</f>
        <v>6.7763604470122483E-5</v>
      </c>
      <c r="AB151" s="11" cm="1">
        <f t="array" aca="1" ref="AB151" ca="1">MMULT(_xlfn.ANCHORARRAY(Q151),TRANSPOSE($Q$6:$U$6))</f>
        <v>-2.2341010730268607E-2</v>
      </c>
      <c r="AD151" s="2" t="s">
        <v>142</v>
      </c>
      <c r="AE151" s="10" cm="1">
        <f t="array" aca="1" ref="AE151:AI151" ca="1">_xlfn.LET(_xlpm.array,_xlfn.RANDARRAY(1,COLUMNS(_xlfn.ANCHORARRAY(Q150)),-1,1,FALSE),_xlpm.array/SUM(_xlpm.array))</f>
        <v>-0.32685529659477086</v>
      </c>
      <c r="AF151" s="10">
        <f ca="1"/>
        <v>0.41934960773709146</v>
      </c>
      <c r="AG151" s="10">
        <f ca="1"/>
        <v>0.37193668966572313</v>
      </c>
      <c r="AH151" s="10">
        <f ca="1"/>
        <v>0.17629856869329255</v>
      </c>
      <c r="AI151" s="10">
        <f ca="1"/>
        <v>0.35927043049866386</v>
      </c>
      <c r="AJ151" s="1"/>
      <c r="AK151" s="2" cm="1">
        <f t="array" aca="1" ref="AK151" ca="1">MMULT(MMULT(_xlfn.ANCHORARRAY(AE151),$Q$9:$U$13),TRANSPOSE(_xlfn.ANCHORARRAY(AE151)))</f>
        <v>3.6738692598599294E-4</v>
      </c>
      <c r="AL151" s="2">
        <f t="shared" ca="1" si="9"/>
        <v>1.9167340086355043E-2</v>
      </c>
      <c r="AM151" s="2" cm="1">
        <f t="array" aca="1" ref="AM151" ca="1">MMULT(_xlfn.ANCHORARRAY(AE152),TRANSPOSE($Q$3:$U$3))</f>
        <v>4.8198829164396899E-4</v>
      </c>
    </row>
    <row r="152" spans="1:39" x14ac:dyDescent="0.35">
      <c r="A152" s="3">
        <v>44049</v>
      </c>
      <c r="B152" s="4">
        <v>22.1521911621093</v>
      </c>
      <c r="C152" s="4">
        <v>68.042556762695298</v>
      </c>
      <c r="D152" s="4">
        <v>28.196025848388601</v>
      </c>
      <c r="E152" s="4">
        <v>10.8023014068603</v>
      </c>
      <c r="F152" s="4">
        <v>206.08465576171801</v>
      </c>
      <c r="I152" s="5">
        <f>B152/B151-1</f>
        <v>3.1509856881957177E-3</v>
      </c>
      <c r="J152" s="5">
        <f>C152/C151-1</f>
        <v>3.0962962879650391E-3</v>
      </c>
      <c r="K152" s="5">
        <f>D152/D151-1</f>
        <v>5.6094479753800996E-3</v>
      </c>
      <c r="L152" s="5">
        <f>E152/E151-1</f>
        <v>2.5078995827672035E-3</v>
      </c>
      <c r="M152" s="5">
        <f>F152/F151-1</f>
        <v>1.6013960336830335E-2</v>
      </c>
      <c r="N152" s="5">
        <f>SUMPRODUCT(I152:M152,$AJ$13:$AN$13)</f>
        <v>8.4291699040547549E-3</v>
      </c>
      <c r="P152" s="2" t="s">
        <v>143</v>
      </c>
      <c r="Q152" s="10" cm="1">
        <f t="array" aca="1" ref="Q152:U152" ca="1">_xlfn.LET(_xlpm.array,_xlfn.RANDARRAY(1,COLUMNS(_xlfn.ANCHORARRAY(Q151)),0,1,FALSE),_xlpm.array/SUM(_xlpm.array))</f>
        <v>0.13410241358990815</v>
      </c>
      <c r="R152" s="2">
        <f ca="1"/>
        <v>0.2123936587193635</v>
      </c>
      <c r="S152" s="2">
        <f ca="1"/>
        <v>7.2146538835525159E-2</v>
      </c>
      <c r="T152" s="2">
        <f ca="1"/>
        <v>0.11014679211655226</v>
      </c>
      <c r="U152" s="2">
        <f ca="1"/>
        <v>0.4712105967386509</v>
      </c>
      <c r="V152" s="12"/>
      <c r="X152" s="2" cm="1">
        <f t="array" aca="1" ref="X152" ca="1">MMULT(MMULT(_xlfn.ANCHORARRAY(Q152),$Q$9:$U$13),TRANSPOSE(_xlfn.ANCHORARRAY(Q152)))</f>
        <v>2.4315317131115859E-4</v>
      </c>
      <c r="Y152" s="2">
        <f t="shared" ca="1" si="8"/>
        <v>1.5593369466255797E-2</v>
      </c>
      <c r="Z152" s="2" cm="1">
        <f t="array" aca="1" ref="Z152" ca="1">MMULT(_xlfn.ANCHORARRAY(Q152),TRANSPOSE($Q$3:$U$3))</f>
        <v>8.1335629996731433E-4</v>
      </c>
      <c r="AA152" s="11">
        <f ca="1">AVEDEV(Q152*$Q$3,R152*$R$3,S152*$S$3,T152*$T$3,U152*$U$3)</f>
        <v>7.9094385585400847E-5</v>
      </c>
      <c r="AB152" s="11" cm="1">
        <f t="array" aca="1" ref="AB152" ca="1">MMULT(_xlfn.ANCHORARRAY(Q152),TRANSPOSE($Q$6:$U$6))</f>
        <v>-2.1488379860250206E-2</v>
      </c>
      <c r="AD152" s="2" t="s">
        <v>143</v>
      </c>
      <c r="AE152" s="10" cm="1">
        <f t="array" aca="1" ref="AE152:AI152" ca="1">_xlfn.LET(_xlpm.array,_xlfn.RANDARRAY(1,COLUMNS(_xlfn.ANCHORARRAY(Q151)),-1,1,FALSE),_xlpm.array/SUM(_xlpm.array))</f>
        <v>-3.8495077437582803</v>
      </c>
      <c r="AF152" s="10">
        <f ca="1"/>
        <v>1.0610710588029793</v>
      </c>
      <c r="AG152" s="10">
        <f ca="1"/>
        <v>-2.5477384569955857</v>
      </c>
      <c r="AH152" s="10">
        <f ca="1"/>
        <v>3.7191143639756561</v>
      </c>
      <c r="AI152" s="10">
        <f ca="1"/>
        <v>2.6170607779752304</v>
      </c>
      <c r="AJ152" s="1"/>
      <c r="AK152" s="2" cm="1">
        <f t="array" aca="1" ref="AK152" ca="1">MMULT(MMULT(_xlfn.ANCHORARRAY(AE152),$Q$9:$U$13),TRANSPOSE(_xlfn.ANCHORARRAY(AE152)))</f>
        <v>1.3319635866390834E-2</v>
      </c>
      <c r="AL152" s="2">
        <f t="shared" ca="1" si="9"/>
        <v>0.11541072682550281</v>
      </c>
      <c r="AM152" s="2" cm="1">
        <f t="array" aca="1" ref="AM152" ca="1">MMULT(_xlfn.ANCHORARRAY(AE153),TRANSPOSE($Q$3:$U$3))</f>
        <v>1.0925436118305045E-3</v>
      </c>
    </row>
    <row r="153" spans="1:39" x14ac:dyDescent="0.35">
      <c r="A153" s="3">
        <v>44050</v>
      </c>
      <c r="B153" s="4">
        <v>22.708818435668899</v>
      </c>
      <c r="C153" s="4">
        <v>67.521392822265597</v>
      </c>
      <c r="D153" s="4">
        <v>28.126638412475501</v>
      </c>
      <c r="E153" s="4">
        <v>10.8023014068603</v>
      </c>
      <c r="F153" s="4">
        <v>202.39831542968699</v>
      </c>
      <c r="I153" s="5">
        <f>B153/B152-1</f>
        <v>2.5127413784316488E-2</v>
      </c>
      <c r="J153" s="5">
        <f>C153/C152-1</f>
        <v>-7.6593820871151408E-3</v>
      </c>
      <c r="K153" s="5">
        <f>D153/D152-1</f>
        <v>-2.4608941801301798E-3</v>
      </c>
      <c r="L153" s="5">
        <f>E153/E152-1</f>
        <v>0</v>
      </c>
      <c r="M153" s="5">
        <f>F153/F152-1</f>
        <v>-1.7887505105151025E-2</v>
      </c>
      <c r="N153" s="5">
        <f>SUMPRODUCT(I153:M153,$AJ$13:$AN$13)</f>
        <v>-1.427281751244627E-2</v>
      </c>
      <c r="P153" s="2" t="s">
        <v>144</v>
      </c>
      <c r="Q153" s="10" cm="1">
        <f t="array" aca="1" ref="Q153:U153" ca="1">_xlfn.LET(_xlpm.array,_xlfn.RANDARRAY(1,COLUMNS(_xlfn.ANCHORARRAY(Q152)),0,1,FALSE),_xlpm.array/SUM(_xlpm.array))</f>
        <v>0.32428391555219815</v>
      </c>
      <c r="R153" s="2">
        <f ca="1"/>
        <v>0.23662503307777019</v>
      </c>
      <c r="S153" s="2">
        <f ca="1"/>
        <v>9.7267645230531621E-2</v>
      </c>
      <c r="T153" s="2">
        <f ca="1"/>
        <v>0.1006053577883733</v>
      </c>
      <c r="U153" s="2">
        <f ca="1"/>
        <v>0.24121804835112662</v>
      </c>
      <c r="V153" s="12"/>
      <c r="X153" s="2" cm="1">
        <f t="array" aca="1" ref="X153" ca="1">MMULT(MMULT(_xlfn.ANCHORARRAY(Q153),$Q$9:$U$13),TRANSPOSE(_xlfn.ANCHORARRAY(Q153)))</f>
        <v>2.6677930293345016E-4</v>
      </c>
      <c r="Y153" s="2">
        <f t="shared" ca="1" si="8"/>
        <v>1.6333380021705556E-2</v>
      </c>
      <c r="Z153" s="2" cm="1">
        <f t="array" aca="1" ref="Z153" ca="1">MMULT(_xlfn.ANCHORARRAY(Q153),TRANSPOSE($Q$3:$U$3))</f>
        <v>7.8284835516288938E-4</v>
      </c>
      <c r="AA153" s="11">
        <f ca="1">AVEDEV(Q153*$Q$3,R153*$R$3,S153*$S$3,T153*$T$3,U153*$U$3)</f>
        <v>2.1515805782632536E-5</v>
      </c>
      <c r="AB153" s="11" cm="1">
        <f t="array" aca="1" ref="AB153" ca="1">MMULT(_xlfn.ANCHORARRAY(Q153),TRANSPOSE($Q$6:$U$6))</f>
        <v>-2.19094444891774E-2</v>
      </c>
      <c r="AD153" s="2" t="s">
        <v>144</v>
      </c>
      <c r="AE153" s="10" cm="1">
        <f t="array" aca="1" ref="AE153:AI153" ca="1">_xlfn.LET(_xlpm.array,_xlfn.RANDARRAY(1,COLUMNS(_xlfn.ANCHORARRAY(Q152)),-1,1,FALSE),_xlpm.array/SUM(_xlpm.array))</f>
        <v>9.5307672960334461E-2</v>
      </c>
      <c r="AF153" s="10">
        <f ca="1"/>
        <v>3.7698646396804064E-2</v>
      </c>
      <c r="AG153" s="10">
        <f ca="1"/>
        <v>0.32226406495944504</v>
      </c>
      <c r="AH153" s="10">
        <f ca="1"/>
        <v>0.29824823634616499</v>
      </c>
      <c r="AI153" s="10">
        <f ca="1"/>
        <v>0.24648137933725145</v>
      </c>
      <c r="AJ153" s="1"/>
      <c r="AK153" s="2" cm="1">
        <f t="array" aca="1" ref="AK153" ca="1">MMULT(MMULT(_xlfn.ANCHORARRAY(AE153),$Q$9:$U$13),TRANSPOSE(_xlfn.ANCHORARRAY(AE153)))</f>
        <v>3.0886736193143144E-4</v>
      </c>
      <c r="AL153" s="2">
        <f t="shared" ca="1" si="9"/>
        <v>1.7574622668251841E-2</v>
      </c>
      <c r="AM153" s="2" cm="1">
        <f t="array" aca="1" ref="AM153" ca="1">MMULT(_xlfn.ANCHORARRAY(AE154),TRANSPOSE($Q$3:$U$3))</f>
        <v>9.7127862210297472E-4</v>
      </c>
    </row>
    <row r="154" spans="1:39" x14ac:dyDescent="0.35">
      <c r="A154" s="3">
        <v>44053</v>
      </c>
      <c r="B154" s="4">
        <v>23.100204467773398</v>
      </c>
      <c r="C154" s="4">
        <v>69.800613403320298</v>
      </c>
      <c r="D154" s="4">
        <v>28.603130340576101</v>
      </c>
      <c r="E154" s="4">
        <v>10.9239053726196</v>
      </c>
      <c r="F154" s="4">
        <v>198.36897277832</v>
      </c>
      <c r="I154" s="5">
        <f>B154/B153-1</f>
        <v>1.723498002387247E-2</v>
      </c>
      <c r="J154" s="5">
        <f>C154/C153-1</f>
        <v>3.3755532665835641E-2</v>
      </c>
      <c r="K154" s="5">
        <f>D154/D153-1</f>
        <v>1.6940948332071271E-2</v>
      </c>
      <c r="L154" s="5">
        <f>E154/E153-1</f>
        <v>1.1257227620224741E-2</v>
      </c>
      <c r="M154" s="5">
        <f>F154/F153-1</f>
        <v>-1.9907985117429416E-2</v>
      </c>
      <c r="N154" s="5">
        <f>SUMPRODUCT(I154:M154,$AJ$13:$AN$13)</f>
        <v>1.3400432644899291E-3</v>
      </c>
      <c r="P154" s="2" t="s">
        <v>145</v>
      </c>
      <c r="Q154" s="10" cm="1">
        <f t="array" aca="1" ref="Q154:U154" ca="1">_xlfn.LET(_xlpm.array,_xlfn.RANDARRAY(1,COLUMNS(_xlfn.ANCHORARRAY(Q153)),0,1,FALSE),_xlpm.array/SUM(_xlpm.array))</f>
        <v>0.17965322518184024</v>
      </c>
      <c r="R154" s="2">
        <f ca="1"/>
        <v>0.16402720808218793</v>
      </c>
      <c r="S154" s="2">
        <f ca="1"/>
        <v>9.152486648234931E-2</v>
      </c>
      <c r="T154" s="2">
        <f ca="1"/>
        <v>0.32906564598216165</v>
      </c>
      <c r="U154" s="2">
        <f ca="1"/>
        <v>0.23572905427146099</v>
      </c>
      <c r="V154" s="12"/>
      <c r="X154" s="2" cm="1">
        <f t="array" aca="1" ref="X154" ca="1">MMULT(MMULT(_xlfn.ANCHORARRAY(Q154),$Q$9:$U$13),TRANSPOSE(_xlfn.ANCHORARRAY(Q154)))</f>
        <v>2.7442801916276497E-4</v>
      </c>
      <c r="Y154" s="2">
        <f t="shared" ref="Y154:Y217" ca="1" si="10">SQRT(X154)</f>
        <v>1.6565869103755619E-2</v>
      </c>
      <c r="Z154" s="2" cm="1">
        <f t="array" aca="1" ref="Z154" ca="1">MMULT(_xlfn.ANCHORARRAY(Q154),TRANSPOSE($Q$3:$U$3))</f>
        <v>8.7620097087957015E-4</v>
      </c>
      <c r="AA154" s="11">
        <f ca="1">AVEDEV(Q154*$Q$3,R154*$R$3,S154*$S$3,T154*$T$3,U154*$U$3)</f>
        <v>6.6398791446224337E-5</v>
      </c>
      <c r="AB154" s="11" cm="1">
        <f t="array" aca="1" ref="AB154" ca="1">MMULT(_xlfn.ANCHORARRAY(Q154),TRANSPOSE($Q$6:$U$6))</f>
        <v>-2.2771151511200807E-2</v>
      </c>
      <c r="AD154" s="2" t="s">
        <v>145</v>
      </c>
      <c r="AE154" s="10" cm="1">
        <f t="array" aca="1" ref="AE154:AI154" ca="1">_xlfn.LET(_xlpm.array,_xlfn.RANDARRAY(1,COLUMNS(_xlfn.ANCHORARRAY(Q153)),-1,1,FALSE),_xlpm.array/SUM(_xlpm.array))</f>
        <v>0.33917185825439961</v>
      </c>
      <c r="AF154" s="10">
        <f ca="1"/>
        <v>0.12844742874867796</v>
      </c>
      <c r="AG154" s="10">
        <f ca="1"/>
        <v>0.38593926188819555</v>
      </c>
      <c r="AH154" s="10">
        <f ca="1"/>
        <v>-0.13114604685322453</v>
      </c>
      <c r="AI154" s="10">
        <f ca="1"/>
        <v>0.27758749796195142</v>
      </c>
      <c r="AJ154" s="1"/>
      <c r="AK154" s="2" cm="1">
        <f t="array" aca="1" ref="AK154" ca="1">MMULT(MMULT(_xlfn.ANCHORARRAY(AE154),$Q$9:$U$13),TRANSPOSE(_xlfn.ANCHORARRAY(AE154)))</f>
        <v>3.6076991582183247E-4</v>
      </c>
      <c r="AL154" s="2">
        <f t="shared" ref="AL154:AL217" ca="1" si="11">SQRT(AK154)</f>
        <v>1.8993944188130923E-2</v>
      </c>
      <c r="AM154" s="2" cm="1">
        <f t="array" aca="1" ref="AM154" ca="1">MMULT(_xlfn.ANCHORARRAY(AE155),TRANSPOSE($Q$3:$U$3))</f>
        <v>4.7627607922781298E-4</v>
      </c>
    </row>
    <row r="155" spans="1:39" x14ac:dyDescent="0.35">
      <c r="A155" s="3">
        <v>44054</v>
      </c>
      <c r="B155" s="4">
        <v>23.41330909729</v>
      </c>
      <c r="C155" s="4">
        <v>69.715057373046804</v>
      </c>
      <c r="D155" s="4">
        <v>28.468969345092699</v>
      </c>
      <c r="E155" s="4">
        <v>10.950924873351999</v>
      </c>
      <c r="F155" s="4">
        <v>193.73008728027301</v>
      </c>
      <c r="I155" s="5">
        <f>B155/B154-1</f>
        <v>1.3554192992248471E-2</v>
      </c>
      <c r="J155" s="5">
        <f>C155/C154-1</f>
        <v>-1.2257203210971346E-3</v>
      </c>
      <c r="K155" s="5">
        <f>D155/D154-1</f>
        <v>-4.6904305188262274E-3</v>
      </c>
      <c r="L155" s="5">
        <f>E155/E154-1</f>
        <v>2.473428669578448E-3</v>
      </c>
      <c r="M155" s="5">
        <f>F155/F154-1</f>
        <v>-2.3385136460987832E-2</v>
      </c>
      <c r="N155" s="5">
        <f>SUMPRODUCT(I155:M155,$AJ$13:$AN$13)</f>
        <v>-1.2978060025745664E-2</v>
      </c>
      <c r="P155" s="2" t="s">
        <v>146</v>
      </c>
      <c r="Q155" s="10" cm="1">
        <f t="array" aca="1" ref="Q155:U155" ca="1">_xlfn.LET(_xlpm.array,_xlfn.RANDARRAY(1,COLUMNS(_xlfn.ANCHORARRAY(Q154)),0,1,FALSE),_xlpm.array/SUM(_xlpm.array))</f>
        <v>0.35202290758158311</v>
      </c>
      <c r="R155" s="2">
        <f ca="1"/>
        <v>7.6022182329873345E-2</v>
      </c>
      <c r="S155" s="2">
        <f ca="1"/>
        <v>0.20726134528695231</v>
      </c>
      <c r="T155" s="2">
        <f ca="1"/>
        <v>0.1351740867233478</v>
      </c>
      <c r="U155" s="2">
        <f ca="1"/>
        <v>0.22951947807824349</v>
      </c>
      <c r="V155" s="12"/>
      <c r="X155" s="2" cm="1">
        <f t="array" aca="1" ref="X155" ca="1">MMULT(MMULT(_xlfn.ANCHORARRAY(Q155),$Q$9:$U$13),TRANSPOSE(_xlfn.ANCHORARRAY(Q155)))</f>
        <v>2.8138333510644754E-4</v>
      </c>
      <c r="Y155" s="2">
        <f t="shared" ca="1" si="10"/>
        <v>1.6774484645032988E-2</v>
      </c>
      <c r="Z155" s="2" cm="1">
        <f t="array" aca="1" ref="Z155" ca="1">MMULT(_xlfn.ANCHORARRAY(Q155),TRANSPOSE($Q$3:$U$3))</f>
        <v>8.8466628406283466E-4</v>
      </c>
      <c r="AA155" s="11">
        <f ca="1">AVEDEV(Q155*$Q$3,R155*$R$3,S155*$S$3,T155*$T$3,U155*$U$3)</f>
        <v>6.4656157234737748E-5</v>
      </c>
      <c r="AB155" s="11" cm="1">
        <f t="array" aca="1" ref="AB155" ca="1">MMULT(_xlfn.ANCHORARRAY(Q155),TRANSPOSE($Q$6:$U$6))</f>
        <v>-2.282142197694137E-2</v>
      </c>
      <c r="AD155" s="2" t="s">
        <v>146</v>
      </c>
      <c r="AE155" s="10" cm="1">
        <f t="array" aca="1" ref="AE155:AI155" ca="1">_xlfn.LET(_xlpm.array,_xlfn.RANDARRAY(1,COLUMNS(_xlfn.ANCHORARRAY(Q154)),-1,1,FALSE),_xlpm.array/SUM(_xlpm.array))</f>
        <v>0.43092366988587666</v>
      </c>
      <c r="AF155" s="10">
        <f ca="1"/>
        <v>7.2755563532145573E-2</v>
      </c>
      <c r="AG155" s="10">
        <f ca="1"/>
        <v>-0.32577293165982352</v>
      </c>
      <c r="AH155" s="10">
        <f ca="1"/>
        <v>0.40662264847203117</v>
      </c>
      <c r="AI155" s="10">
        <f ca="1"/>
        <v>0.41547104976977012</v>
      </c>
      <c r="AJ155" s="1"/>
      <c r="AK155" s="2" cm="1">
        <f t="array" aca="1" ref="AK155" ca="1">MMULT(MMULT(_xlfn.ANCHORARRAY(AE155),$Q$9:$U$13),TRANSPOSE(_xlfn.ANCHORARRAY(AE155)))</f>
        <v>3.6783239293494642E-4</v>
      </c>
      <c r="AL155" s="2">
        <f t="shared" ca="1" si="11"/>
        <v>1.9178957034597748E-2</v>
      </c>
      <c r="AM155" s="2" cm="1">
        <f t="array" aca="1" ref="AM155" ca="1">MMULT(_xlfn.ANCHORARRAY(AE156),TRANSPOSE($Q$3:$U$3))</f>
        <v>9.4408851820136338E-4</v>
      </c>
    </row>
    <row r="156" spans="1:39" x14ac:dyDescent="0.35">
      <c r="A156" s="3">
        <v>44055</v>
      </c>
      <c r="B156" s="4">
        <v>23.248058319091701</v>
      </c>
      <c r="C156" s="4">
        <v>70.570732116699205</v>
      </c>
      <c r="D156" s="4">
        <v>28.603130340576101</v>
      </c>
      <c r="E156" s="4">
        <v>11.248174667358301</v>
      </c>
      <c r="F156" s="4">
        <v>199.26437377929599</v>
      </c>
      <c r="I156" s="5">
        <f>B156/B155-1</f>
        <v>-7.0579847347347346E-3</v>
      </c>
      <c r="J156" s="5">
        <f>C156/C155-1</f>
        <v>1.2273887104096604E-2</v>
      </c>
      <c r="K156" s="5">
        <f>D156/D155-1</f>
        <v>4.7125343336860137E-3</v>
      </c>
      <c r="L156" s="5">
        <f>E156/E155-1</f>
        <v>2.714380725317822E-2</v>
      </c>
      <c r="M156" s="5">
        <f>F156/F155-1</f>
        <v>2.8566995332100609E-2</v>
      </c>
      <c r="N156" s="5">
        <f>SUMPRODUCT(I156:M156,$AJ$13:$AN$13)</f>
        <v>2.6318646333511428E-2</v>
      </c>
      <c r="P156" s="2" t="s">
        <v>147</v>
      </c>
      <c r="Q156" s="10" cm="1">
        <f t="array" aca="1" ref="Q156:U156" ca="1">_xlfn.LET(_xlpm.array,_xlfn.RANDARRAY(1,COLUMNS(_xlfn.ANCHORARRAY(Q155)),0,1,FALSE),_xlpm.array/SUM(_xlpm.array))</f>
        <v>3.8675228201005322E-2</v>
      </c>
      <c r="R156" s="2">
        <f ca="1"/>
        <v>0.19180699914607607</v>
      </c>
      <c r="S156" s="2">
        <f ca="1"/>
        <v>0.26598372502895817</v>
      </c>
      <c r="T156" s="2">
        <f ca="1"/>
        <v>5.5620472820155822E-2</v>
      </c>
      <c r="U156" s="2">
        <f ca="1"/>
        <v>0.44791357480380456</v>
      </c>
      <c r="V156" s="12"/>
      <c r="X156" s="2" cm="1">
        <f t="array" aca="1" ref="X156" ca="1">MMULT(MMULT(_xlfn.ANCHORARRAY(Q156),$Q$9:$U$13),TRANSPOSE(_xlfn.ANCHORARRAY(Q156)))</f>
        <v>2.8170753661043406E-4</v>
      </c>
      <c r="Y156" s="2">
        <f t="shared" ca="1" si="10"/>
        <v>1.6784145394104343E-2</v>
      </c>
      <c r="Z156" s="2" cm="1">
        <f t="array" aca="1" ref="Z156" ca="1">MMULT(_xlfn.ANCHORARRAY(Q156),TRANSPOSE($Q$3:$U$3))</f>
        <v>9.9109051080988422E-4</v>
      </c>
      <c r="AA156" s="11">
        <f ca="1">AVEDEV(Q156*$Q$3,R156*$R$3,S156*$S$3,T156*$T$3,U156*$U$3)</f>
        <v>1.5124399142335009E-4</v>
      </c>
      <c r="AB156" s="11" cm="1">
        <f t="array" aca="1" ref="AB156" ca="1">MMULT(_xlfn.ANCHORARRAY(Q156),TRANSPOSE($Q$6:$U$6))</f>
        <v>-2.2424116652894385E-2</v>
      </c>
      <c r="AD156" s="2" t="s">
        <v>147</v>
      </c>
      <c r="AE156" s="10" cm="1">
        <f t="array" aca="1" ref="AE156:AI156" ca="1">_xlfn.LET(_xlpm.array,_xlfn.RANDARRAY(1,COLUMNS(_xlfn.ANCHORARRAY(Q155)),-1,1,FALSE),_xlpm.array/SUM(_xlpm.array))</f>
        <v>8.631848312304545E-2</v>
      </c>
      <c r="AF156" s="10">
        <f ca="1"/>
        <v>0.20832866990551036</v>
      </c>
      <c r="AG156" s="10">
        <f ca="1"/>
        <v>0.16259015937922042</v>
      </c>
      <c r="AH156" s="10">
        <f ca="1"/>
        <v>0.26836811360181984</v>
      </c>
      <c r="AI156" s="10">
        <f ca="1"/>
        <v>0.27439457399040401</v>
      </c>
      <c r="AJ156" s="1"/>
      <c r="AK156" s="2" cm="1">
        <f t="array" aca="1" ref="AK156" ca="1">MMULT(MMULT(_xlfn.ANCHORARRAY(AE156),$Q$9:$U$13),TRANSPOSE(_xlfn.ANCHORARRAY(AE156)))</f>
        <v>2.7012132521615447E-4</v>
      </c>
      <c r="AL156" s="2">
        <f t="shared" ca="1" si="11"/>
        <v>1.6435368119277233E-2</v>
      </c>
      <c r="AM156" s="2" cm="1">
        <f t="array" aca="1" ref="AM156" ca="1">MMULT(_xlfn.ANCHORARRAY(AE157),TRANSPOSE($Q$3:$U$3))</f>
        <v>8.8315496620957744E-4</v>
      </c>
    </row>
    <row r="157" spans="1:39" x14ac:dyDescent="0.35">
      <c r="A157" s="3">
        <v>44056</v>
      </c>
      <c r="B157" s="4">
        <v>22.917556762695298</v>
      </c>
      <c r="C157" s="4">
        <v>69.870613098144503</v>
      </c>
      <c r="D157" s="4">
        <v>27.553005218505799</v>
      </c>
      <c r="E157" s="4">
        <v>11.234662055969199</v>
      </c>
      <c r="F157" s="4">
        <v>198.79766845703099</v>
      </c>
      <c r="I157" s="5">
        <f>B157/B156-1</f>
        <v>-1.4216307953984653E-2</v>
      </c>
      <c r="J157" s="5">
        <f>C157/C156-1</f>
        <v>-9.9208127442542704E-3</v>
      </c>
      <c r="K157" s="5">
        <f>D157/D156-1</f>
        <v>-3.6713643212002101E-2</v>
      </c>
      <c r="L157" s="5">
        <f>E157/E156-1</f>
        <v>-1.2013159280247487E-3</v>
      </c>
      <c r="M157" s="5">
        <f>F157/F156-1</f>
        <v>-2.3421413141413439E-3</v>
      </c>
      <c r="N157" s="5">
        <f>SUMPRODUCT(I157:M157,$AJ$13:$AN$13)</f>
        <v>-1.6022925370017874E-2</v>
      </c>
      <c r="P157" s="2" t="s">
        <v>148</v>
      </c>
      <c r="Q157" s="10" cm="1">
        <f t="array" aca="1" ref="Q157:U157" ca="1">_xlfn.LET(_xlpm.array,_xlfn.RANDARRAY(1,COLUMNS(_xlfn.ANCHORARRAY(Q156)),0,1,FALSE),_xlpm.array/SUM(_xlpm.array))</f>
        <v>6.8867325568124305E-2</v>
      </c>
      <c r="R157" s="2">
        <f ca="1"/>
        <v>4.3296423632759463E-2</v>
      </c>
      <c r="S157" s="2">
        <f ca="1"/>
        <v>0.29770849686189071</v>
      </c>
      <c r="T157" s="2">
        <f ca="1"/>
        <v>0.32458131348566172</v>
      </c>
      <c r="U157" s="2">
        <f ca="1"/>
        <v>0.26554644045156373</v>
      </c>
      <c r="V157" s="12"/>
      <c r="X157" s="2" cm="1">
        <f t="array" aca="1" ref="X157" ca="1">MMULT(MMULT(_xlfn.ANCHORARRAY(Q157),$Q$9:$U$13),TRANSPOSE(_xlfn.ANCHORARRAY(Q157)))</f>
        <v>3.0276135366873592E-4</v>
      </c>
      <c r="Y157" s="2">
        <f t="shared" ca="1" si="10"/>
        <v>1.7400038898483416E-2</v>
      </c>
      <c r="Z157" s="2" cm="1">
        <f t="array" aca="1" ref="Z157" ca="1">MMULT(_xlfn.ANCHORARRAY(Q157),TRANSPOSE($Q$3:$U$3))</f>
        <v>1.0847991658355961E-3</v>
      </c>
      <c r="AA157" s="11">
        <f ca="1">AVEDEV(Q157*$Q$3,R157*$R$3,S157*$S$3,T157*$T$3,U157*$U$3)</f>
        <v>1.5246279667314821E-4</v>
      </c>
      <c r="AB157" s="11" cm="1">
        <f t="array" aca="1" ref="AB157" ca="1">MMULT(_xlfn.ANCHORARRAY(Q157),TRANSPOSE($Q$6:$U$6))</f>
        <v>-2.397575095218097E-2</v>
      </c>
      <c r="AD157" s="2" t="s">
        <v>148</v>
      </c>
      <c r="AE157" s="10" cm="1">
        <f t="array" aca="1" ref="AE157:AI157" ca="1">_xlfn.LET(_xlpm.array,_xlfn.RANDARRAY(1,COLUMNS(_xlfn.ANCHORARRAY(Q156)),-1,1,FALSE),_xlpm.array/SUM(_xlpm.array))</f>
        <v>0.69586223759777188</v>
      </c>
      <c r="AF157" s="10">
        <f ca="1"/>
        <v>-0.15532335483984705</v>
      </c>
      <c r="AG157" s="10">
        <f ca="1"/>
        <v>0.39481719667902709</v>
      </c>
      <c r="AH157" s="10">
        <f ca="1"/>
        <v>-0.18584356143972533</v>
      </c>
      <c r="AI157" s="10">
        <f ca="1"/>
        <v>0.25048748200277332</v>
      </c>
      <c r="AJ157" s="1"/>
      <c r="AK157" s="2" cm="1">
        <f t="array" aca="1" ref="AK157" ca="1">MMULT(MMULT(_xlfn.ANCHORARRAY(AE157),$Q$9:$U$13),TRANSPOSE(_xlfn.ANCHORARRAY(AE157)))</f>
        <v>4.7039266023046582E-4</v>
      </c>
      <c r="AL157" s="2">
        <f t="shared" ca="1" si="11"/>
        <v>2.1688537530927848E-2</v>
      </c>
      <c r="AM157" s="2" cm="1">
        <f t="array" aca="1" ref="AM157" ca="1">MMULT(_xlfn.ANCHORARRAY(AE158),TRANSPOSE($Q$3:$U$3))</f>
        <v>8.9669075140408534E-4</v>
      </c>
    </row>
    <row r="158" spans="1:39" x14ac:dyDescent="0.35">
      <c r="A158" s="3">
        <v>44057</v>
      </c>
      <c r="B158" s="4">
        <v>23.021926879882798</v>
      </c>
      <c r="C158" s="4">
        <v>70.282920837402301</v>
      </c>
      <c r="D158" s="4">
        <v>27.714920043945298</v>
      </c>
      <c r="E158" s="4">
        <v>11.092022895812899</v>
      </c>
      <c r="F158" s="4">
        <v>198.98815917968699</v>
      </c>
      <c r="I158" s="5">
        <f>B158/B157-1</f>
        <v>4.5541555004411371E-3</v>
      </c>
      <c r="J158" s="5">
        <f>C158/C157-1</f>
        <v>5.9010179097562787E-3</v>
      </c>
      <c r="K158" s="5">
        <f>D158/D157-1</f>
        <v>5.876485129496789E-3</v>
      </c>
      <c r="L158" s="5">
        <f>E158/E157-1</f>
        <v>-1.269634631159311E-2</v>
      </c>
      <c r="M158" s="5">
        <f>F158/F157-1</f>
        <v>9.5821406827600875E-4</v>
      </c>
      <c r="N158" s="5">
        <f>SUMPRODUCT(I158:M158,$AJ$13:$AN$13)</f>
        <v>-4.063087647170888E-3</v>
      </c>
      <c r="P158" s="2" t="s">
        <v>149</v>
      </c>
      <c r="Q158" s="10" cm="1">
        <f t="array" aca="1" ref="Q158:U158" ca="1">_xlfn.LET(_xlpm.array,_xlfn.RANDARRAY(1,COLUMNS(_xlfn.ANCHORARRAY(Q157)),0,1,FALSE),_xlpm.array/SUM(_xlpm.array))</f>
        <v>0.13665699708222101</v>
      </c>
      <c r="R158" s="2">
        <f ca="1"/>
        <v>0.19259519404037942</v>
      </c>
      <c r="S158" s="2">
        <f ca="1"/>
        <v>0.26135977076587946</v>
      </c>
      <c r="T158" s="2">
        <f ca="1"/>
        <v>8.5284481608829829E-2</v>
      </c>
      <c r="U158" s="2">
        <f ca="1"/>
        <v>0.32410355650269029</v>
      </c>
      <c r="V158" s="12"/>
      <c r="X158" s="2" cm="1">
        <f t="array" aca="1" ref="X158" ca="1">MMULT(MMULT(_xlfn.ANCHORARRAY(Q158),$Q$9:$U$13),TRANSPOSE(_xlfn.ANCHORARRAY(Q158)))</f>
        <v>2.7796634263908387E-4</v>
      </c>
      <c r="Y158" s="2">
        <f t="shared" ca="1" si="10"/>
        <v>1.6672322652800477E-2</v>
      </c>
      <c r="Z158" s="2" cm="1">
        <f t="array" aca="1" ref="Z158" ca="1">MMULT(_xlfn.ANCHORARRAY(Q158),TRANSPOSE($Q$3:$U$3))</f>
        <v>9.6956433677046028E-4</v>
      </c>
      <c r="AA158" s="11">
        <f ca="1">AVEDEV(Q158*$Q$3,R158*$R$3,S158*$S$3,T158*$T$3,U158*$U$3)</f>
        <v>1.1380583107288636E-4</v>
      </c>
      <c r="AB158" s="11" cm="1">
        <f t="array" aca="1" ref="AB158" ca="1">MMULT(_xlfn.ANCHORARRAY(Q158),TRANSPOSE($Q$6:$U$6))</f>
        <v>-2.2686287739745879E-2</v>
      </c>
      <c r="AD158" s="2" t="s">
        <v>149</v>
      </c>
      <c r="AE158" s="10" cm="1">
        <f t="array" aca="1" ref="AE158:AI158" ca="1">_xlfn.LET(_xlpm.array,_xlfn.RANDARRAY(1,COLUMNS(_xlfn.ANCHORARRAY(Q157)),-1,1,FALSE),_xlpm.array/SUM(_xlpm.array))</f>
        <v>8.2630963749736899E-2</v>
      </c>
      <c r="AF158" s="10">
        <f ca="1"/>
        <v>5.8625671192786409E-2</v>
      </c>
      <c r="AG158" s="10">
        <f ca="1"/>
        <v>0.10973435212032007</v>
      </c>
      <c r="AH158" s="10">
        <f ca="1"/>
        <v>0.23676297105439872</v>
      </c>
      <c r="AI158" s="10">
        <f ca="1"/>
        <v>0.51224604188275791</v>
      </c>
      <c r="AJ158" s="1"/>
      <c r="AK158" s="2" cm="1">
        <f t="array" aca="1" ref="AK158" ca="1">MMULT(MMULT(_xlfn.ANCHORARRAY(AE158),$Q$9:$U$13),TRANSPOSE(_xlfn.ANCHORARRAY(AE158)))</f>
        <v>2.5084268671876799E-4</v>
      </c>
      <c r="AL158" s="2">
        <f t="shared" ca="1" si="11"/>
        <v>1.5838013976467124E-2</v>
      </c>
      <c r="AM158" s="2" cm="1">
        <f t="array" aca="1" ref="AM158" ca="1">MMULT(_xlfn.ANCHORARRAY(AE159),TRANSPOSE($Q$3:$U$3))</f>
        <v>1.4300776490431292E-3</v>
      </c>
    </row>
    <row r="159" spans="1:39" x14ac:dyDescent="0.35">
      <c r="A159" s="3">
        <v>44060</v>
      </c>
      <c r="B159" s="4">
        <v>22.526174545288001</v>
      </c>
      <c r="C159" s="4">
        <v>70.609603881835895</v>
      </c>
      <c r="D159" s="4">
        <v>27.613143920898398</v>
      </c>
      <c r="E159" s="4">
        <v>11.1056051254272</v>
      </c>
      <c r="F159" s="4">
        <v>200.30267333984301</v>
      </c>
      <c r="I159" s="5">
        <f>B159/B158-1</f>
        <v>-2.1533920126729278E-2</v>
      </c>
      <c r="J159" s="5">
        <f>C159/C158-1</f>
        <v>4.6481142294778621E-3</v>
      </c>
      <c r="K159" s="5">
        <f>D159/D158-1</f>
        <v>-3.6722502856050276E-3</v>
      </c>
      <c r="L159" s="5">
        <f>E159/E158-1</f>
        <v>1.2245042894230007E-3</v>
      </c>
      <c r="M159" s="5">
        <f>F159/F158-1</f>
        <v>6.6059918619028046E-3</v>
      </c>
      <c r="N159" s="5">
        <f>SUMPRODUCT(I159:M159,$AJ$13:$AN$13)</f>
        <v>6.9424388746270578E-3</v>
      </c>
      <c r="P159" s="2" t="s">
        <v>150</v>
      </c>
      <c r="Q159" s="10" cm="1">
        <f t="array" aca="1" ref="Q159:U159" ca="1">_xlfn.LET(_xlpm.array,_xlfn.RANDARRAY(1,COLUMNS(_xlfn.ANCHORARRAY(Q158)),0,1,FALSE),_xlpm.array/SUM(_xlpm.array))</f>
        <v>0.12858969922123581</v>
      </c>
      <c r="R159" s="2">
        <f ca="1"/>
        <v>0.12116705320601721</v>
      </c>
      <c r="S159" s="2">
        <f ca="1"/>
        <v>6.2363107669589052E-2</v>
      </c>
      <c r="T159" s="2">
        <f ca="1"/>
        <v>0.34808734158091381</v>
      </c>
      <c r="U159" s="2">
        <f ca="1"/>
        <v>0.33979279832224402</v>
      </c>
      <c r="V159" s="12"/>
      <c r="X159" s="2" cm="1">
        <f t="array" aca="1" ref="X159" ca="1">MMULT(MMULT(_xlfn.ANCHORARRAY(Q159),$Q$9:$U$13),TRANSPOSE(_xlfn.ANCHORARRAY(Q159)))</f>
        <v>2.6237537701849078E-4</v>
      </c>
      <c r="Y159" s="2">
        <f t="shared" ca="1" si="10"/>
        <v>1.6198005340735344E-2</v>
      </c>
      <c r="Z159" s="2" cm="1">
        <f t="array" aca="1" ref="Z159" ca="1">MMULT(_xlfn.ANCHORARRAY(Q159),TRANSPOSE($Q$3:$U$3))</f>
        <v>8.7061768978413971E-4</v>
      </c>
      <c r="AA159" s="11">
        <f ca="1">AVEDEV(Q159*$Q$3,R159*$R$3,S159*$S$3,T159*$T$3,U159*$U$3)</f>
        <v>1.0690269320160698E-4</v>
      </c>
      <c r="AB159" s="11" cm="1">
        <f t="array" aca="1" ref="AB159" ca="1">MMULT(_xlfn.ANCHORARRAY(Q159),TRANSPOSE($Q$6:$U$6))</f>
        <v>-2.2566483741529003E-2</v>
      </c>
      <c r="AD159" s="2" t="s">
        <v>150</v>
      </c>
      <c r="AE159" s="10" cm="1">
        <f t="array" aca="1" ref="AE159:AI159" ca="1">_xlfn.LET(_xlpm.array,_xlfn.RANDARRAY(1,COLUMNS(_xlfn.ANCHORARRAY(Q158)),-1,1,FALSE),_xlpm.array/SUM(_xlpm.array))</f>
        <v>-0.19618779019872604</v>
      </c>
      <c r="AF159" s="10">
        <f ca="1"/>
        <v>0.16308397443888989</v>
      </c>
      <c r="AG159" s="10">
        <f ca="1"/>
        <v>0.92386883520525109</v>
      </c>
      <c r="AH159" s="10">
        <f ca="1"/>
        <v>-0.6746034881694748</v>
      </c>
      <c r="AI159" s="10">
        <f ca="1"/>
        <v>0.78383846872405982</v>
      </c>
      <c r="AJ159" s="1"/>
      <c r="AK159" s="2" cm="1">
        <f t="array" aca="1" ref="AK159" ca="1">MMULT(MMULT(_xlfn.ANCHORARRAY(AE159),$Q$9:$U$13),TRANSPOSE(_xlfn.ANCHORARRAY(AE159)))</f>
        <v>1.1489853783686792E-3</v>
      </c>
      <c r="AL159" s="2">
        <f t="shared" ca="1" si="11"/>
        <v>3.3896686834684581E-2</v>
      </c>
      <c r="AM159" s="2" cm="1">
        <f t="array" aca="1" ref="AM159" ca="1">MMULT(_xlfn.ANCHORARRAY(AE160),TRANSPOSE($Q$3:$U$3))</f>
        <v>3.6835514578218865E-3</v>
      </c>
    </row>
    <row r="160" spans="1:39" x14ac:dyDescent="0.35">
      <c r="A160" s="3">
        <v>44061</v>
      </c>
      <c r="B160" s="4">
        <v>22.2043762207031</v>
      </c>
      <c r="C160" s="4">
        <v>69.149757385253906</v>
      </c>
      <c r="D160" s="4">
        <v>27.7658081054687</v>
      </c>
      <c r="E160" s="4">
        <v>10.9969272613525</v>
      </c>
      <c r="F160" s="4">
        <v>201.45526123046801</v>
      </c>
      <c r="I160" s="5">
        <f>B160/B159-1</f>
        <v>-1.4285529215710246E-2</v>
      </c>
      <c r="J160" s="5">
        <f>C160/C159-1</f>
        <v>-2.0674899961555138E-2</v>
      </c>
      <c r="K160" s="5">
        <f>D160/D159-1</f>
        <v>5.5286781182044553E-3</v>
      </c>
      <c r="L160" s="5">
        <f>E160/E159-1</f>
        <v>-9.7858570377108434E-3</v>
      </c>
      <c r="M160" s="5">
        <f>F160/F159-1</f>
        <v>5.754231191260617E-3</v>
      </c>
      <c r="N160" s="5">
        <f>SUMPRODUCT(I160:M160,$AJ$13:$AN$13)</f>
        <v>5.0372145454959331E-3</v>
      </c>
      <c r="P160" s="2" t="s">
        <v>151</v>
      </c>
      <c r="Q160" s="10" cm="1">
        <f t="array" aca="1" ref="Q160:U160" ca="1">_xlfn.LET(_xlpm.array,_xlfn.RANDARRAY(1,COLUMNS(_xlfn.ANCHORARRAY(Q159)),0,1,FALSE),_xlpm.array/SUM(_xlpm.array))</f>
        <v>0.1454561377448457</v>
      </c>
      <c r="R160" s="2">
        <f ca="1"/>
        <v>0.15516848171155967</v>
      </c>
      <c r="S160" s="2">
        <f ca="1"/>
        <v>0.20490280264391486</v>
      </c>
      <c r="T160" s="2">
        <f ca="1"/>
        <v>0.32684277009004975</v>
      </c>
      <c r="U160" s="2">
        <f ca="1"/>
        <v>0.16762980780962994</v>
      </c>
      <c r="V160" s="12"/>
      <c r="X160" s="2" cm="1">
        <f t="array" aca="1" ref="X160" ca="1">MMULT(MMULT(_xlfn.ANCHORARRAY(Q160),$Q$9:$U$13),TRANSPOSE(_xlfn.ANCHORARRAY(Q160)))</f>
        <v>2.9444072089389051E-4</v>
      </c>
      <c r="Y160" s="2">
        <f t="shared" ca="1" si="10"/>
        <v>1.7159275069008322E-2</v>
      </c>
      <c r="Z160" s="2" cm="1">
        <f t="array" aca="1" ref="Z160" ca="1">MMULT(_xlfn.ANCHORARRAY(Q160),TRANSPOSE($Q$3:$U$3))</f>
        <v>9.8212040085247313E-4</v>
      </c>
      <c r="AA160" s="11">
        <f ca="1">AVEDEV(Q160*$Q$3,R160*$R$3,S160*$S$3,T160*$T$3,U160*$U$3)</f>
        <v>1.0952892852406451E-4</v>
      </c>
      <c r="AB160" s="11" cm="1">
        <f t="array" aca="1" ref="AB160" ca="1">MMULT(_xlfn.ANCHORARRAY(Q160),TRANSPOSE($Q$6:$U$6))</f>
        <v>-2.3501311157750716E-2</v>
      </c>
      <c r="AD160" s="2" t="s">
        <v>151</v>
      </c>
      <c r="AE160" s="10" cm="1">
        <f t="array" aca="1" ref="AE160:AI160" ca="1">_xlfn.LET(_xlpm.array,_xlfn.RANDARRAY(1,COLUMNS(_xlfn.ANCHORARRAY(Q159)),-1,1,FALSE),_xlpm.array/SUM(_xlpm.array))</f>
        <v>-3.0965727115535291</v>
      </c>
      <c r="AF160" s="10">
        <f ca="1"/>
        <v>-1.3153944687186891</v>
      </c>
      <c r="AG160" s="10">
        <f ca="1"/>
        <v>1.6289904445923555</v>
      </c>
      <c r="AH160" s="10">
        <f ca="1"/>
        <v>2.6445343212082819</v>
      </c>
      <c r="AI160" s="10">
        <f ca="1"/>
        <v>1.1384424144715806</v>
      </c>
      <c r="AJ160" s="1"/>
      <c r="AK160" s="2" cm="1">
        <f t="array" aca="1" ref="AK160" ca="1">MMULT(MMULT(_xlfn.ANCHORARRAY(AE160),$Q$9:$U$13),TRANSPOSE(_xlfn.ANCHORARRAY(AE160)))</f>
        <v>6.2438315423350649E-3</v>
      </c>
      <c r="AL160" s="2">
        <f t="shared" ca="1" si="11"/>
        <v>7.9017919121773042E-2</v>
      </c>
      <c r="AM160" s="2" cm="1">
        <f t="array" aca="1" ref="AM160" ca="1">MMULT(_xlfn.ANCHORARRAY(AE161),TRANSPOSE($Q$3:$U$3))</f>
        <v>-2.0784701050240765E-3</v>
      </c>
    </row>
    <row r="161" spans="1:39" x14ac:dyDescent="0.35">
      <c r="A161" s="3">
        <v>44062</v>
      </c>
      <c r="B161" s="4">
        <v>22.178279876708899</v>
      </c>
      <c r="C161" s="4">
        <v>68.171279907226506</v>
      </c>
      <c r="D161" s="4">
        <v>27.687160491943299</v>
      </c>
      <c r="E161" s="4">
        <v>10.874665260314901</v>
      </c>
      <c r="F161" s="4">
        <v>200.23303222656199</v>
      </c>
      <c r="I161" s="5">
        <f>B161/B160-1</f>
        <v>-1.1752793113759541E-3</v>
      </c>
      <c r="J161" s="5">
        <f>C161/C160-1</f>
        <v>-1.4150121634932344E-2</v>
      </c>
      <c r="K161" s="5">
        <f>D161/D160-1</f>
        <v>-2.8325346493305315E-3</v>
      </c>
      <c r="L161" s="5">
        <f>E161/E160-1</f>
        <v>-1.1117833021163648E-2</v>
      </c>
      <c r="M161" s="5">
        <f>F161/F160-1</f>
        <v>-6.0669996724869169E-3</v>
      </c>
      <c r="N161" s="5">
        <f>SUMPRODUCT(I161:M161,$AJ$13:$AN$13)</f>
        <v>-7.8928707247612334E-3</v>
      </c>
      <c r="P161" s="2" t="s">
        <v>152</v>
      </c>
      <c r="Q161" s="10" cm="1">
        <f t="array" aca="1" ref="Q161:U161" ca="1">_xlfn.LET(_xlpm.array,_xlfn.RANDARRAY(1,COLUMNS(_xlfn.ANCHORARRAY(Q160)),0,1,FALSE),_xlpm.array/SUM(_xlpm.array))</f>
        <v>5.2381884512877314E-2</v>
      </c>
      <c r="R161" s="2">
        <f ca="1"/>
        <v>0.28218372578605533</v>
      </c>
      <c r="S161" s="2">
        <f ca="1"/>
        <v>0.30455347721542519</v>
      </c>
      <c r="T161" s="2">
        <f ca="1"/>
        <v>0.15848895743268371</v>
      </c>
      <c r="U161" s="2">
        <f ca="1"/>
        <v>0.20239195505295843</v>
      </c>
      <c r="V161" s="12"/>
      <c r="X161" s="2" cm="1">
        <f t="array" aca="1" ref="X161" ca="1">MMULT(MMULT(_xlfn.ANCHORARRAY(Q161),$Q$9:$U$13),TRANSPOSE(_xlfn.ANCHORARRAY(Q161)))</f>
        <v>3.0440080430864429E-4</v>
      </c>
      <c r="Y161" s="2">
        <f t="shared" ca="1" si="10"/>
        <v>1.7447085840009049E-2</v>
      </c>
      <c r="Z161" s="2" cm="1">
        <f t="array" aca="1" ref="Z161" ca="1">MMULT(_xlfn.ANCHORARRAY(Q161),TRANSPOSE($Q$3:$U$3))</f>
        <v>1.0439948472022263E-3</v>
      </c>
      <c r="AA161" s="11">
        <f ca="1">AVEDEV(Q161*$Q$3,R161*$R$3,S161*$S$3,T161*$T$3,U161*$U$3)</f>
        <v>1.1431844521187548E-4</v>
      </c>
      <c r="AB161" s="11" cm="1">
        <f t="array" aca="1" ref="AB161" ca="1">MMULT(_xlfn.ANCHORARRAY(Q161),TRANSPOSE($Q$6:$U$6))</f>
        <v>-2.3275485279923916E-2</v>
      </c>
      <c r="AD161" s="2" t="s">
        <v>152</v>
      </c>
      <c r="AE161" s="10" cm="1">
        <f t="array" aca="1" ref="AE161:AI161" ca="1">_xlfn.LET(_xlpm.array,_xlfn.RANDARRAY(1,COLUMNS(_xlfn.ANCHORARRAY(Q160)),-1,1,FALSE),_xlpm.array/SUM(_xlpm.array))</f>
        <v>1.3049214107856635</v>
      </c>
      <c r="AF161" s="10">
        <f ca="1"/>
        <v>0.33473275515772871</v>
      </c>
      <c r="AG161" s="10">
        <f ca="1"/>
        <v>-3.1574039017903299</v>
      </c>
      <c r="AH161" s="10">
        <f ca="1"/>
        <v>0.84042161899807399</v>
      </c>
      <c r="AI161" s="10">
        <f ca="1"/>
        <v>1.6773281168488636</v>
      </c>
      <c r="AJ161" s="1"/>
      <c r="AK161" s="2" cm="1">
        <f t="array" aca="1" ref="AK161" ca="1">MMULT(MMULT(_xlfn.ANCHORARRAY(AE161),$Q$9:$U$13),TRANSPOSE(_xlfn.ANCHORARRAY(AE161)))</f>
        <v>7.0191298615990393E-3</v>
      </c>
      <c r="AL161" s="2">
        <f t="shared" ca="1" si="11"/>
        <v>8.3780247442932748E-2</v>
      </c>
      <c r="AM161" s="2" cm="1">
        <f t="array" aca="1" ref="AM161" ca="1">MMULT(_xlfn.ANCHORARRAY(AE162),TRANSPOSE($Q$3:$U$3))</f>
        <v>7.6579310791647683E-4</v>
      </c>
    </row>
    <row r="162" spans="1:39" x14ac:dyDescent="0.35">
      <c r="A162" s="3">
        <v>44063</v>
      </c>
      <c r="B162" s="4">
        <v>21.830389022827099</v>
      </c>
      <c r="C162" s="4">
        <v>66.924476623535099</v>
      </c>
      <c r="D162" s="4">
        <v>27.599264144897401</v>
      </c>
      <c r="E162" s="4">
        <v>10.8271169662475</v>
      </c>
      <c r="F162" s="4">
        <v>204.89274597167901</v>
      </c>
      <c r="I162" s="5">
        <f>B162/B161-1</f>
        <v>-1.5686106218144813E-2</v>
      </c>
      <c r="J162" s="5">
        <f>C162/C161-1</f>
        <v>-1.8289274976033387E-2</v>
      </c>
      <c r="K162" s="5">
        <f>D162/D161-1</f>
        <v>-3.1746248255206666E-3</v>
      </c>
      <c r="L162" s="5">
        <f>E162/E161-1</f>
        <v>-4.3723915108375699E-3</v>
      </c>
      <c r="M162" s="5">
        <f>F162/F161-1</f>
        <v>2.3271453732192304E-2</v>
      </c>
      <c r="N162" s="5">
        <f>SUMPRODUCT(I162:M162,$AJ$13:$AN$13)</f>
        <v>9.2135856330440823E-3</v>
      </c>
      <c r="P162" s="2" t="s">
        <v>153</v>
      </c>
      <c r="Q162" s="10" cm="1">
        <f t="array" aca="1" ref="Q162:U162" ca="1">_xlfn.LET(_xlpm.array,_xlfn.RANDARRAY(1,COLUMNS(_xlfn.ANCHORARRAY(Q161)),0,1,FALSE),_xlpm.array/SUM(_xlpm.array))</f>
        <v>6.1414186952706999E-2</v>
      </c>
      <c r="R162" s="2">
        <f ca="1"/>
        <v>0.15254486861224645</v>
      </c>
      <c r="S162" s="2">
        <f ca="1"/>
        <v>0.18720525654755721</v>
      </c>
      <c r="T162" s="2">
        <f ca="1"/>
        <v>0.31137146784297881</v>
      </c>
      <c r="U162" s="2">
        <f ca="1"/>
        <v>0.28746422004451039</v>
      </c>
      <c r="V162" s="12"/>
      <c r="X162" s="2" cm="1">
        <f t="array" aca="1" ref="X162" ca="1">MMULT(MMULT(_xlfn.ANCHORARRAY(Q162),$Q$9:$U$13),TRANSPOSE(_xlfn.ANCHORARRAY(Q162)))</f>
        <v>2.7563557142761225E-4</v>
      </c>
      <c r="Y162" s="2">
        <f t="shared" ca="1" si="10"/>
        <v>1.6602276091777664E-2</v>
      </c>
      <c r="Z162" s="2" cm="1">
        <f t="array" aca="1" ref="Z162" ca="1">MMULT(_xlfn.ANCHORARRAY(Q162),TRANSPOSE($Q$3:$U$3))</f>
        <v>9.8459976183756705E-4</v>
      </c>
      <c r="AA162" s="11">
        <f ca="1">AVEDEV(Q162*$Q$3,R162*$R$3,S162*$S$3,T162*$T$3,U162*$U$3)</f>
        <v>1.0049286194729122E-4</v>
      </c>
      <c r="AB162" s="11" cm="1">
        <f t="array" aca="1" ref="AB162" ca="1">MMULT(_xlfn.ANCHORARRAY(Q162),TRANSPOSE($Q$6:$U$6))</f>
        <v>-2.3173611869204976E-2</v>
      </c>
      <c r="AD162" s="2" t="s">
        <v>153</v>
      </c>
      <c r="AE162" s="10" cm="1">
        <f t="array" aca="1" ref="AE162:AI162" ca="1">_xlfn.LET(_xlpm.array,_xlfn.RANDARRAY(1,COLUMNS(_xlfn.ANCHORARRAY(Q161)),-1,1,FALSE),_xlpm.array/SUM(_xlpm.array))</f>
        <v>-0.88355634992493137</v>
      </c>
      <c r="AF162" s="10">
        <f ca="1"/>
        <v>4.7133489654747871</v>
      </c>
      <c r="AG162" s="10">
        <f ca="1"/>
        <v>-1.2064338533323435</v>
      </c>
      <c r="AH162" s="10">
        <f ca="1"/>
        <v>3.7928608305362594</v>
      </c>
      <c r="AI162" s="10">
        <f ca="1"/>
        <v>-5.4162195927537722</v>
      </c>
      <c r="AJ162" s="1"/>
      <c r="AK162" s="2" cm="1">
        <f t="array" aca="1" ref="AK162" ca="1">MMULT(MMULT(_xlfn.ANCHORARRAY(AE162),$Q$9:$U$13),TRANSPOSE(_xlfn.ANCHORARRAY(AE162)))</f>
        <v>2.9688591969448421E-2</v>
      </c>
      <c r="AL162" s="2">
        <f t="shared" ca="1" si="11"/>
        <v>0.1723037781635923</v>
      </c>
      <c r="AM162" s="2" cm="1">
        <f t="array" aca="1" ref="AM162" ca="1">MMULT(_xlfn.ANCHORARRAY(AE163),TRANSPOSE($Q$3:$U$3))</f>
        <v>9.0794348829941829E-4</v>
      </c>
    </row>
    <row r="163" spans="1:39" x14ac:dyDescent="0.35">
      <c r="A163" s="3">
        <v>44064</v>
      </c>
      <c r="B163" s="4">
        <v>21.7260208129882</v>
      </c>
      <c r="C163" s="4">
        <v>67.137527465820298</v>
      </c>
      <c r="D163" s="4">
        <v>27.969354629516602</v>
      </c>
      <c r="E163" s="4">
        <v>10.7659864425659</v>
      </c>
      <c r="F163" s="4">
        <v>203.40319824218699</v>
      </c>
      <c r="I163" s="5">
        <f>B163/B162-1</f>
        <v>-4.7808680701826312E-3</v>
      </c>
      <c r="J163" s="5">
        <f>C163/C162-1</f>
        <v>3.183451750899069E-3</v>
      </c>
      <c r="K163" s="5">
        <f>D163/D162-1</f>
        <v>1.3409433044164087E-2</v>
      </c>
      <c r="L163" s="5">
        <f>E163/E162-1</f>
        <v>-5.6460573827887828E-3</v>
      </c>
      <c r="M163" s="5">
        <f>F163/F162-1</f>
        <v>-7.2698900218649554E-3</v>
      </c>
      <c r="N163" s="5">
        <f>SUMPRODUCT(I163:M163,$AJ$13:$AN$13)</f>
        <v>3.1936857185073152E-3</v>
      </c>
      <c r="P163" s="2" t="s">
        <v>154</v>
      </c>
      <c r="Q163" s="10" cm="1">
        <f t="array" aca="1" ref="Q163:U163" ca="1">_xlfn.LET(_xlpm.array,_xlfn.RANDARRAY(1,COLUMNS(_xlfn.ANCHORARRAY(Q162)),0,1,FALSE),_xlpm.array/SUM(_xlpm.array))</f>
        <v>0.29898351342248997</v>
      </c>
      <c r="R163" s="2">
        <f ca="1"/>
        <v>0.10047715395060121</v>
      </c>
      <c r="S163" s="2">
        <f ca="1"/>
        <v>0.28565707199082213</v>
      </c>
      <c r="T163" s="2">
        <f ca="1"/>
        <v>7.5345993074374035E-2</v>
      </c>
      <c r="U163" s="2">
        <f ca="1"/>
        <v>0.23953626756171267</v>
      </c>
      <c r="V163" s="12"/>
      <c r="X163" s="2" cm="1">
        <f t="array" aca="1" ref="X163" ca="1">MMULT(MMULT(_xlfn.ANCHORARRAY(Q163),$Q$9:$U$13),TRANSPOSE(_xlfn.ANCHORARRAY(Q163)))</f>
        <v>2.9722961609918283E-4</v>
      </c>
      <c r="Y163" s="2">
        <f t="shared" ca="1" si="10"/>
        <v>1.7240348491233664E-2</v>
      </c>
      <c r="Z163" s="2" cm="1">
        <f t="array" aca="1" ref="Z163" ca="1">MMULT(_xlfn.ANCHORARRAY(Q163),TRANSPOSE($Q$3:$U$3))</f>
        <v>9.4942188156927178E-4</v>
      </c>
      <c r="AA163" s="11">
        <f ca="1">AVEDEV(Q163*$Q$3,R163*$R$3,S163*$S$3,T163*$T$3,U163*$U$3)</f>
        <v>1.0960917178453956E-4</v>
      </c>
      <c r="AB163" s="11" cm="1">
        <f t="array" aca="1" ref="AB163" ca="1">MMULT(_xlfn.ANCHORARRAY(Q163),TRANSPOSE($Q$6:$U$6))</f>
        <v>-2.3003735811812403E-2</v>
      </c>
      <c r="AD163" s="2" t="s">
        <v>154</v>
      </c>
      <c r="AE163" s="10" cm="1">
        <f t="array" aca="1" ref="AE163:AI163" ca="1">_xlfn.LET(_xlpm.array,_xlfn.RANDARRAY(1,COLUMNS(_xlfn.ANCHORARRAY(Q162)),-1,1,FALSE),_xlpm.array/SUM(_xlpm.array))</f>
        <v>-0.43613955752681094</v>
      </c>
      <c r="AF163" s="10">
        <f ca="1"/>
        <v>0.60066069317865567</v>
      </c>
      <c r="AG163" s="10">
        <f ca="1"/>
        <v>-0.1306810105396006</v>
      </c>
      <c r="AH163" s="10">
        <f ca="1"/>
        <v>0.63965089853057078</v>
      </c>
      <c r="AI163" s="10">
        <f ca="1"/>
        <v>0.32650897635718501</v>
      </c>
      <c r="AJ163" s="1"/>
      <c r="AK163" s="2" cm="1">
        <f t="array" aca="1" ref="AK163" ca="1">MMULT(MMULT(_xlfn.ANCHORARRAY(AE163),$Q$9:$U$13),TRANSPOSE(_xlfn.ANCHORARRAY(AE163)))</f>
        <v>5.2705923045972484E-4</v>
      </c>
      <c r="AL163" s="2">
        <f t="shared" ca="1" si="11"/>
        <v>2.2957770589927168E-2</v>
      </c>
      <c r="AM163" s="2" cm="1">
        <f t="array" aca="1" ref="AM163" ca="1">MMULT(_xlfn.ANCHORARRAY(AE164),TRANSPOSE($Q$3:$U$3))</f>
        <v>-5.6454360699556309E-3</v>
      </c>
    </row>
    <row r="164" spans="1:39" x14ac:dyDescent="0.35">
      <c r="A164" s="3">
        <v>44067</v>
      </c>
      <c r="B164" s="4">
        <v>22.343530654907202</v>
      </c>
      <c r="C164" s="4">
        <v>68.810440063476506</v>
      </c>
      <c r="D164" s="4">
        <v>28.478221893310501</v>
      </c>
      <c r="E164" s="4">
        <v>11.187115669250399</v>
      </c>
      <c r="F164" s="4">
        <v>204.04290771484301</v>
      </c>
      <c r="I164" s="5">
        <f>B164/B163-1</f>
        <v>2.8422592762584742E-2</v>
      </c>
      <c r="J164" s="5">
        <f>C164/C163-1</f>
        <v>2.4917697460751453E-2</v>
      </c>
      <c r="K164" s="5">
        <f>D164/D163-1</f>
        <v>1.8193743492989967E-2</v>
      </c>
      <c r="L164" s="5">
        <f>E164/E163-1</f>
        <v>3.911664099997969E-2</v>
      </c>
      <c r="M164" s="5">
        <f>F164/F163-1</f>
        <v>3.1450315343337643E-3</v>
      </c>
      <c r="N164" s="5">
        <f>SUMPRODUCT(I164:M164,$AJ$13:$AN$13)</f>
        <v>1.9764533700977912E-2</v>
      </c>
      <c r="P164" s="2" t="s">
        <v>155</v>
      </c>
      <c r="Q164" s="10" cm="1">
        <f t="array" aca="1" ref="Q164:U164" ca="1">_xlfn.LET(_xlpm.array,_xlfn.RANDARRAY(1,COLUMNS(_xlfn.ANCHORARRAY(Q163)),0,1,FALSE),_xlpm.array/SUM(_xlpm.array))</f>
        <v>6.1372130696625095E-2</v>
      </c>
      <c r="R164" s="2">
        <f ca="1"/>
        <v>0.26130058965053826</v>
      </c>
      <c r="S164" s="2">
        <f ca="1"/>
        <v>0.23230878900466284</v>
      </c>
      <c r="T164" s="2">
        <f ca="1"/>
        <v>0.27878471571270269</v>
      </c>
      <c r="U164" s="2">
        <f ca="1"/>
        <v>0.16623377493547117</v>
      </c>
      <c r="V164" s="12"/>
      <c r="X164" s="2" cm="1">
        <f t="array" aca="1" ref="X164" ca="1">MMULT(MMULT(_xlfn.ANCHORARRAY(Q164),$Q$9:$U$13),TRANSPOSE(_xlfn.ANCHORARRAY(Q164)))</f>
        <v>3.0126693948809063E-4</v>
      </c>
      <c r="Y164" s="2">
        <f t="shared" ca="1" si="10"/>
        <v>1.7357042936171203E-2</v>
      </c>
      <c r="Z164" s="2" cm="1">
        <f t="array" aca="1" ref="Z164" ca="1">MMULT(_xlfn.ANCHORARRAY(Q164),TRANSPOSE($Q$3:$U$3))</f>
        <v>1.0112294799406358E-3</v>
      </c>
      <c r="AA164" s="11">
        <f ca="1">AVEDEV(Q164*$Q$3,R164*$R$3,S164*$S$3,T164*$T$3,U164*$U$3)</f>
        <v>1.0303564051047833E-4</v>
      </c>
      <c r="AB164" s="11" cm="1">
        <f t="array" aca="1" ref="AB164" ca="1">MMULT(_xlfn.ANCHORARRAY(Q164),TRANSPOSE($Q$6:$U$6))</f>
        <v>-2.337727118224403E-2</v>
      </c>
      <c r="AD164" s="2" t="s">
        <v>155</v>
      </c>
      <c r="AE164" s="10" cm="1">
        <f t="array" aca="1" ref="AE164:AI164" ca="1">_xlfn.LET(_xlpm.array,_xlfn.RANDARRAY(1,COLUMNS(_xlfn.ANCHORARRAY(Q163)),-1,1,FALSE),_xlpm.array/SUM(_xlpm.array))</f>
        <v>9.7622275520845836</v>
      </c>
      <c r="AF164" s="10">
        <f ca="1"/>
        <v>-9.2963585921069889</v>
      </c>
      <c r="AG164" s="10">
        <f ca="1"/>
        <v>-4.7926515391071156</v>
      </c>
      <c r="AH164" s="10">
        <f ca="1"/>
        <v>-0.42618128132132715</v>
      </c>
      <c r="AI164" s="10">
        <f ca="1"/>
        <v>5.7529638604508477</v>
      </c>
      <c r="AJ164" s="1"/>
      <c r="AK164" s="2" cm="1">
        <f t="array" aca="1" ref="AK164" ca="1">MMULT(MMULT(_xlfn.ANCHORARRAY(AE164),$Q$9:$U$13),TRANSPOSE(_xlfn.ANCHORARRAY(AE164)))</f>
        <v>5.4664542392091446E-2</v>
      </c>
      <c r="AL164" s="2">
        <f t="shared" ca="1" si="11"/>
        <v>0.23380449609041193</v>
      </c>
      <c r="AM164" s="2" cm="1">
        <f t="array" aca="1" ref="AM164" ca="1">MMULT(_xlfn.ANCHORARRAY(AE165),TRANSPOSE($Q$3:$U$3))</f>
        <v>1.1687927446300088E-3</v>
      </c>
    </row>
    <row r="165" spans="1:39" x14ac:dyDescent="0.35">
      <c r="A165" s="3">
        <v>44068</v>
      </c>
      <c r="B165" s="4">
        <v>22.6131496429443</v>
      </c>
      <c r="C165" s="4">
        <v>67.966087341308594</v>
      </c>
      <c r="D165" s="4">
        <v>28.052625656127901</v>
      </c>
      <c r="E165" s="4">
        <v>11.092022895812899</v>
      </c>
      <c r="F165" s="4">
        <v>206.69740295410099</v>
      </c>
      <c r="I165" s="5">
        <f>B165/B164-1</f>
        <v>1.2066982259935966E-2</v>
      </c>
      <c r="J165" s="5">
        <f>C165/C164-1</f>
        <v>-1.2270706616452576E-2</v>
      </c>
      <c r="K165" s="5">
        <f>D165/D164-1</f>
        <v>-1.494462114864592E-2</v>
      </c>
      <c r="L165" s="5">
        <f>E165/E164-1</f>
        <v>-8.5002047220158472E-3</v>
      </c>
      <c r="M165" s="5">
        <f>F165/F164-1</f>
        <v>1.3009495252673586E-2</v>
      </c>
      <c r="N165" s="5">
        <f>SUMPRODUCT(I165:M165,$AJ$13:$AN$13)</f>
        <v>-1.0495184132859348E-2</v>
      </c>
      <c r="P165" s="2" t="s">
        <v>156</v>
      </c>
      <c r="Q165" s="10" cm="1">
        <f t="array" aca="1" ref="Q165:U165" ca="1">_xlfn.LET(_xlpm.array,_xlfn.RANDARRAY(1,COLUMNS(_xlfn.ANCHORARRAY(Q164)),0,1,FALSE),_xlpm.array/SUM(_xlpm.array))</f>
        <v>2.6775721537265065E-2</v>
      </c>
      <c r="R165" s="2">
        <f ca="1"/>
        <v>0.42406648076616638</v>
      </c>
      <c r="S165" s="2">
        <f ca="1"/>
        <v>0.4518023596004348</v>
      </c>
      <c r="T165" s="2">
        <f ca="1"/>
        <v>5.174475909255942E-2</v>
      </c>
      <c r="U165" s="2">
        <f ca="1"/>
        <v>4.5610679003574336E-2</v>
      </c>
      <c r="V165" s="12"/>
      <c r="X165" s="2" cm="1">
        <f t="array" aca="1" ref="X165" ca="1">MMULT(MMULT(_xlfn.ANCHORARRAY(Q165),$Q$9:$U$13),TRANSPOSE(_xlfn.ANCHORARRAY(Q165)))</f>
        <v>3.9085853939738207E-4</v>
      </c>
      <c r="Y165" s="2">
        <f t="shared" ca="1" si="10"/>
        <v>1.9770142624609011E-2</v>
      </c>
      <c r="Z165" s="2" cm="1">
        <f t="array" aca="1" ref="Z165" ca="1">MMULT(_xlfn.ANCHORARRAY(Q165),TRANSPOSE($Q$3:$U$3))</f>
        <v>1.1447547791189209E-3</v>
      </c>
      <c r="AA165" s="11">
        <f ca="1">AVEDEV(Q165*$Q$3,R165*$R$3,S165*$S$3,T165*$T$3,U165*$U$3)</f>
        <v>2.3419814935704227E-4</v>
      </c>
      <c r="AB165" s="11" cm="1">
        <f t="array" aca="1" ref="AB165" ca="1">MMULT(_xlfn.ANCHORARRAY(Q165),TRANSPOSE($Q$6:$U$6))</f>
        <v>-2.3800800219427924E-2</v>
      </c>
      <c r="AD165" s="2" t="s">
        <v>156</v>
      </c>
      <c r="AE165" s="10" cm="1">
        <f t="array" aca="1" ref="AE165:AI165" ca="1">_xlfn.LET(_xlpm.array,_xlfn.RANDARRAY(1,COLUMNS(_xlfn.ANCHORARRAY(Q164)),-1,1,FALSE),_xlpm.array/SUM(_xlpm.array))</f>
        <v>-0.14658239592470784</v>
      </c>
      <c r="AF165" s="10">
        <f ca="1"/>
        <v>0.59338270204160903</v>
      </c>
      <c r="AG165" s="10">
        <f ca="1"/>
        <v>0.37651754090010481</v>
      </c>
      <c r="AH165" s="10">
        <f ca="1"/>
        <v>0.24684477132532917</v>
      </c>
      <c r="AI165" s="10">
        <f ca="1"/>
        <v>-7.0162618342335212E-2</v>
      </c>
      <c r="AJ165" s="1"/>
      <c r="AK165" s="2" cm="1">
        <f t="array" aca="1" ref="AK165" ca="1">MMULT(MMULT(_xlfn.ANCHORARRAY(AE165),$Q$9:$U$13),TRANSPOSE(_xlfn.ANCHORARRAY(AE165)))</f>
        <v>4.4771745845909776E-4</v>
      </c>
      <c r="AL165" s="2">
        <f t="shared" ca="1" si="11"/>
        <v>2.1159335019302894E-2</v>
      </c>
      <c r="AM165" s="2" cm="1">
        <f t="array" aca="1" ref="AM165" ca="1">MMULT(_xlfn.ANCHORARRAY(AE166),TRANSPOSE($Q$3:$U$3))</f>
        <v>1.0270088206294282E-3</v>
      </c>
    </row>
    <row r="166" spans="1:39" x14ac:dyDescent="0.35">
      <c r="A166" s="3">
        <v>44069</v>
      </c>
      <c r="B166" s="4">
        <v>22.2304668426513</v>
      </c>
      <c r="C166" s="4">
        <v>66.900794982910099</v>
      </c>
      <c r="D166" s="4">
        <v>28.7419128417968</v>
      </c>
      <c r="E166" s="4">
        <v>10.969759941101</v>
      </c>
      <c r="F166" s="4">
        <v>211.166091918945</v>
      </c>
      <c r="I166" s="5">
        <f>B166/B165-1</f>
        <v>-1.6923020735079453E-2</v>
      </c>
      <c r="J166" s="5">
        <f>C166/C165-1</f>
        <v>-1.5673880902528081E-2</v>
      </c>
      <c r="K166" s="5">
        <f>D166/D165-1</f>
        <v>2.4571218185358346E-2</v>
      </c>
      <c r="L166" s="5">
        <f>E166/E165-1</f>
        <v>-1.1022602086230182E-2</v>
      </c>
      <c r="M166" s="5">
        <f>F166/F165-1</f>
        <v>2.1619473205651829E-2</v>
      </c>
      <c r="N166" s="5">
        <f>SUMPRODUCT(I166:M166,$AJ$13:$AN$13)</f>
        <v>2.0272942176517227E-2</v>
      </c>
      <c r="P166" s="2" t="s">
        <v>157</v>
      </c>
      <c r="Q166" s="10" cm="1">
        <f t="array" aca="1" ref="Q166:U166" ca="1">_xlfn.LET(_xlpm.array,_xlfn.RANDARRAY(1,COLUMNS(_xlfn.ANCHORARRAY(Q165)),0,1,FALSE),_xlpm.array/SUM(_xlpm.array))</f>
        <v>3.9114555248715967E-2</v>
      </c>
      <c r="R166" s="2">
        <f ca="1"/>
        <v>0.2588985727162299</v>
      </c>
      <c r="S166" s="2">
        <f ca="1"/>
        <v>7.3424059185780696E-2</v>
      </c>
      <c r="T166" s="2">
        <f ca="1"/>
        <v>0.11287095753436363</v>
      </c>
      <c r="U166" s="2">
        <f ca="1"/>
        <v>0.5156918553149098</v>
      </c>
      <c r="V166" s="12"/>
      <c r="X166" s="2" cm="1">
        <f t="array" aca="1" ref="X166" ca="1">MMULT(MMULT(_xlfn.ANCHORARRAY(Q166),$Q$9:$U$13),TRANSPOSE(_xlfn.ANCHORARRAY(Q166)))</f>
        <v>2.4607982695889363E-4</v>
      </c>
      <c r="Y166" s="2">
        <f t="shared" ca="1" si="10"/>
        <v>1.5686931725448851E-2</v>
      </c>
      <c r="Z166" s="2" cm="1">
        <f t="array" aca="1" ref="Z166" ca="1">MMULT(_xlfn.ANCHORARRAY(Q166),TRANSPOSE($Q$3:$U$3))</f>
        <v>8.3791819014654044E-4</v>
      </c>
      <c r="AA166" s="11">
        <f ca="1">AVEDEV(Q166*$Q$3,R166*$R$3,S166*$S$3,T166*$T$3,U166*$U$3)</f>
        <v>9.9327782374068139E-5</v>
      </c>
      <c r="AB166" s="11" cm="1">
        <f t="array" aca="1" ref="AB166" ca="1">MMULT(_xlfn.ANCHORARRAY(Q166),TRANSPOSE($Q$6:$U$6))</f>
        <v>-2.1392386605157764E-2</v>
      </c>
      <c r="AD166" s="2" t="s">
        <v>157</v>
      </c>
      <c r="AE166" s="10" cm="1">
        <f t="array" aca="1" ref="AE166:AI166" ca="1">_xlfn.LET(_xlpm.array,_xlfn.RANDARRAY(1,COLUMNS(_xlfn.ANCHORARRAY(Q165)),-1,1,FALSE),_xlpm.array/SUM(_xlpm.array))</f>
        <v>3.3085536538219704E-2</v>
      </c>
      <c r="AF166" s="10">
        <f ca="1"/>
        <v>0.33751492672573563</v>
      </c>
      <c r="AG166" s="10">
        <f ca="1"/>
        <v>0.38201675115033873</v>
      </c>
      <c r="AH166" s="10">
        <f ca="1"/>
        <v>-0.17868801349382674</v>
      </c>
      <c r="AI166" s="10">
        <f ca="1"/>
        <v>0.42607079907953271</v>
      </c>
      <c r="AJ166" s="1"/>
      <c r="AK166" s="2" cm="1">
        <f t="array" aca="1" ref="AK166" ca="1">MMULT(MMULT(_xlfn.ANCHORARRAY(AE166),$Q$9:$U$13),TRANSPOSE(_xlfn.ANCHORARRAY(AE166)))</f>
        <v>3.5159692690125624E-4</v>
      </c>
      <c r="AL166" s="2">
        <f t="shared" ca="1" si="11"/>
        <v>1.8750918028226145E-2</v>
      </c>
      <c r="AM166" s="2" cm="1">
        <f t="array" aca="1" ref="AM166" ca="1">MMULT(_xlfn.ANCHORARRAY(AE167),TRANSPOSE($Q$3:$U$3))</f>
        <v>5.6586473445428321E-4</v>
      </c>
    </row>
    <row r="167" spans="1:39" x14ac:dyDescent="0.35">
      <c r="A167" s="3">
        <v>44070</v>
      </c>
      <c r="B167" s="4">
        <v>22.6566352844238</v>
      </c>
      <c r="C167" s="4">
        <v>67.003372192382798</v>
      </c>
      <c r="D167" s="4">
        <v>28.880691528320298</v>
      </c>
      <c r="E167" s="4">
        <v>10.8610792160034</v>
      </c>
      <c r="F167" s="4">
        <v>216.35101318359301</v>
      </c>
      <c r="I167" s="5">
        <f>B167/B166-1</f>
        <v>1.9170467484509013E-2</v>
      </c>
      <c r="J167" s="5">
        <f>C167/C166-1</f>
        <v>1.5332734012936111E-3</v>
      </c>
      <c r="K167" s="5">
        <f>D167/D166-1</f>
        <v>4.828442953235923E-3</v>
      </c>
      <c r="L167" s="5">
        <f>E167/E166-1</f>
        <v>-9.9073020449973459E-3</v>
      </c>
      <c r="M167" s="5">
        <f>F167/F166-1</f>
        <v>2.4553758690757155E-2</v>
      </c>
      <c r="N167" s="5">
        <f>SUMPRODUCT(I167:M167,$AJ$13:$AN$13)</f>
        <v>4.9228327836543968E-4</v>
      </c>
      <c r="P167" s="2" t="s">
        <v>158</v>
      </c>
      <c r="Q167" s="10" cm="1">
        <f t="array" aca="1" ref="Q167:U167" ca="1">_xlfn.LET(_xlpm.array,_xlfn.RANDARRAY(1,COLUMNS(_xlfn.ANCHORARRAY(Q166)),0,1,FALSE),_xlpm.array/SUM(_xlpm.array))</f>
        <v>0.33137292849453964</v>
      </c>
      <c r="R167" s="2">
        <f ca="1"/>
        <v>6.1881277546777212E-2</v>
      </c>
      <c r="S167" s="2">
        <f ca="1"/>
        <v>0.2006657100871137</v>
      </c>
      <c r="T167" s="2">
        <f ca="1"/>
        <v>6.417079122854912E-3</v>
      </c>
      <c r="U167" s="2">
        <f ca="1"/>
        <v>0.39966300474871463</v>
      </c>
      <c r="V167" s="12"/>
      <c r="X167" s="2" cm="1">
        <f t="array" aca="1" ref="X167" ca="1">MMULT(MMULT(_xlfn.ANCHORARRAY(Q167),$Q$9:$U$13),TRANSPOSE(_xlfn.ANCHORARRAY(Q167)))</f>
        <v>2.7992731541463844E-4</v>
      </c>
      <c r="Y167" s="2">
        <f t="shared" ca="1" si="10"/>
        <v>1.6731028522318597E-2</v>
      </c>
      <c r="Z167" s="2" cm="1">
        <f t="array" aca="1" ref="Z167" ca="1">MMULT(_xlfn.ANCHORARRAY(Q167),TRANSPOSE($Q$3:$U$3))</f>
        <v>8.517280139504602E-4</v>
      </c>
      <c r="AA167" s="11">
        <f ca="1">AVEDEV(Q167*$Q$3,R167*$R$3,S167*$S$3,T167*$T$3,U167*$U$3)</f>
        <v>1.1634953512454653E-4</v>
      </c>
      <c r="AB167" s="11" cm="1">
        <f t="array" aca="1" ref="AB167" ca="1">MMULT(_xlfn.ANCHORARRAY(Q167),TRANSPOSE($Q$6:$U$6))</f>
        <v>-2.2089764213017019E-2</v>
      </c>
      <c r="AD167" s="2" t="s">
        <v>158</v>
      </c>
      <c r="AE167" s="10" cm="1">
        <f t="array" aca="1" ref="AE167:AI167" ca="1">_xlfn.LET(_xlpm.array,_xlfn.RANDARRAY(1,COLUMNS(_xlfn.ANCHORARRAY(Q166)),-1,1,FALSE),_xlpm.array/SUM(_xlpm.array))</f>
        <v>0.1593394469056012</v>
      </c>
      <c r="AF167" s="10">
        <f ca="1"/>
        <v>1.9719821911106585</v>
      </c>
      <c r="AG167" s="10">
        <f ca="1"/>
        <v>-0.1673341457670349</v>
      </c>
      <c r="AH167" s="10">
        <f ca="1"/>
        <v>0.21001035685747252</v>
      </c>
      <c r="AI167" s="10">
        <f ca="1"/>
        <v>-1.1739978491066976</v>
      </c>
      <c r="AJ167" s="1"/>
      <c r="AK167" s="2" cm="1">
        <f t="array" aca="1" ref="AK167" ca="1">MMULT(MMULT(_xlfn.ANCHORARRAY(AE167),$Q$9:$U$13),TRANSPOSE(_xlfn.ANCHORARRAY(AE167)))</f>
        <v>2.0323500220436638E-3</v>
      </c>
      <c r="AL167" s="2">
        <f t="shared" ca="1" si="11"/>
        <v>4.5081592940397125E-2</v>
      </c>
      <c r="AM167" s="2" cm="1">
        <f t="array" aca="1" ref="AM167" ca="1">MMULT(_xlfn.ANCHORARRAY(AE168),TRANSPOSE($Q$3:$U$3))</f>
        <v>3.1707799302726109E-4</v>
      </c>
    </row>
    <row r="168" spans="1:39" x14ac:dyDescent="0.35">
      <c r="A168" s="3">
        <v>44071</v>
      </c>
      <c r="B168" s="4">
        <v>22.874069213867099</v>
      </c>
      <c r="C168" s="4">
        <v>67.571540832519503</v>
      </c>
      <c r="D168" s="4">
        <v>30.629358291625898</v>
      </c>
      <c r="E168" s="4">
        <v>10.9969272613525</v>
      </c>
      <c r="F168" s="4">
        <v>218.57579040527301</v>
      </c>
      <c r="I168" s="5">
        <f>B168/B167-1</f>
        <v>9.5969205803820845E-3</v>
      </c>
      <c r="J168" s="5">
        <f>C168/C167-1</f>
        <v>8.4797021634277492E-3</v>
      </c>
      <c r="K168" s="5">
        <f>D168/D167-1</f>
        <v>6.0547953347684258E-2</v>
      </c>
      <c r="L168" s="5">
        <f>E168/E167-1</f>
        <v>1.2507785151675499E-2</v>
      </c>
      <c r="M168" s="5">
        <f>F168/F167-1</f>
        <v>1.0283183743595714E-2</v>
      </c>
      <c r="N168" s="5">
        <f>SUMPRODUCT(I168:M168,$AJ$13:$AN$13)</f>
        <v>3.7751693690765351E-2</v>
      </c>
      <c r="P168" s="2" t="s">
        <v>159</v>
      </c>
      <c r="Q168" s="10" cm="1">
        <f t="array" aca="1" ref="Q168:U168" ca="1">_xlfn.LET(_xlpm.array,_xlfn.RANDARRAY(1,COLUMNS(_xlfn.ANCHORARRAY(Q167)),0,1,FALSE),_xlpm.array/SUM(_xlpm.array))</f>
        <v>0.23753323685478955</v>
      </c>
      <c r="R168" s="2">
        <f ca="1"/>
        <v>0.16443895617752485</v>
      </c>
      <c r="S168" s="2">
        <f ca="1"/>
        <v>0.3424707622844394</v>
      </c>
      <c r="T168" s="2">
        <f ca="1"/>
        <v>0.14807574707674129</v>
      </c>
      <c r="U168" s="2">
        <f ca="1"/>
        <v>0.10748129760650484</v>
      </c>
      <c r="V168" s="12"/>
      <c r="X168" s="2" cm="1">
        <f t="array" aca="1" ref="X168" ca="1">MMULT(MMULT(_xlfn.ANCHORARRAY(Q168),$Q$9:$U$13),TRANSPOSE(_xlfn.ANCHORARRAY(Q168)))</f>
        <v>3.2553072856455681E-4</v>
      </c>
      <c r="Y168" s="2">
        <f t="shared" ca="1" si="10"/>
        <v>1.8042470134783564E-2</v>
      </c>
      <c r="Z168" s="2" cm="1">
        <f t="array" aca="1" ref="Z168" ca="1">MMULT(_xlfn.ANCHORARRAY(Q168),TRANSPOSE($Q$3:$U$3))</f>
        <v>1.0304621061021885E-3</v>
      </c>
      <c r="AA168" s="11">
        <f ca="1">AVEDEV(Q168*$Q$3,R168*$R$3,S168*$S$3,T168*$T$3,U168*$U$3)</f>
        <v>1.4003214460734645E-4</v>
      </c>
      <c r="AB168" s="11" cm="1">
        <f t="array" aca="1" ref="AB168" ca="1">MMULT(_xlfn.ANCHORARRAY(Q168),TRANSPOSE($Q$6:$U$6))</f>
        <v>-2.3707909411039545E-2</v>
      </c>
      <c r="AD168" s="2" t="s">
        <v>159</v>
      </c>
      <c r="AE168" s="10" cm="1">
        <f t="array" aca="1" ref="AE168:AI168" ca="1">_xlfn.LET(_xlpm.array,_xlfn.RANDARRAY(1,COLUMNS(_xlfn.ANCHORARRAY(Q167)),-1,1,FALSE),_xlpm.array/SUM(_xlpm.array))</f>
        <v>0.87057977135234677</v>
      </c>
      <c r="AF168" s="10">
        <f ca="1"/>
        <v>-0.25151569588734152</v>
      </c>
      <c r="AG168" s="10">
        <f ca="1"/>
        <v>-0.31018295338279961</v>
      </c>
      <c r="AH168" s="10">
        <f ca="1"/>
        <v>0.13011250632756793</v>
      </c>
      <c r="AI168" s="10">
        <f ca="1"/>
        <v>0.56100637159022637</v>
      </c>
      <c r="AJ168" s="1"/>
      <c r="AK168" s="2" cm="1">
        <f t="array" aca="1" ref="AK168" ca="1">MMULT(MMULT(_xlfn.ANCHORARRAY(AE168),$Q$9:$U$13),TRANSPOSE(_xlfn.ANCHORARRAY(AE168)))</f>
        <v>4.4087242625482433E-4</v>
      </c>
      <c r="AL168" s="2">
        <f t="shared" ca="1" si="11"/>
        <v>2.0996962310172972E-2</v>
      </c>
      <c r="AM168" s="2" cm="1">
        <f t="array" aca="1" ref="AM168" ca="1">MMULT(_xlfn.ANCHORARRAY(AE169),TRANSPOSE($Q$3:$U$3))</f>
        <v>1.6188850509556967E-3</v>
      </c>
    </row>
    <row r="169" spans="1:39" x14ac:dyDescent="0.35">
      <c r="A169" s="3">
        <v>44074</v>
      </c>
      <c r="B169" s="4">
        <v>22.387020111083899</v>
      </c>
      <c r="C169" s="4">
        <v>66.230049133300696</v>
      </c>
      <c r="D169" s="4">
        <v>30.569217681884702</v>
      </c>
      <c r="E169" s="4">
        <v>10.901834487915</v>
      </c>
      <c r="F169" s="4">
        <v>215.34840393066401</v>
      </c>
      <c r="I169" s="5">
        <f>B169/B168-1</f>
        <v>-2.1292630455447492E-2</v>
      </c>
      <c r="J169" s="5">
        <f>C169/C168-1</f>
        <v>-1.9852909711557176E-2</v>
      </c>
      <c r="K169" s="5">
        <f>D169/D168-1</f>
        <v>-1.9634955838313539E-3</v>
      </c>
      <c r="L169" s="5">
        <f>E169/E168-1</f>
        <v>-8.6472130966704919E-3</v>
      </c>
      <c r="M169" s="5">
        <f>F169/F168-1</f>
        <v>-1.4765525809720015E-2</v>
      </c>
      <c r="N169" s="5">
        <f>SUMPRODUCT(I169:M169,$AJ$13:$AN$13)</f>
        <v>-3.1866409105045365E-3</v>
      </c>
      <c r="P169" s="2" t="s">
        <v>160</v>
      </c>
      <c r="Q169" s="10" cm="1">
        <f t="array" aca="1" ref="Q169:U169" ca="1">_xlfn.LET(_xlpm.array,_xlfn.RANDARRAY(1,COLUMNS(_xlfn.ANCHORARRAY(Q168)),0,1,FALSE),_xlpm.array/SUM(_xlpm.array))</f>
        <v>4.3388560448580055E-2</v>
      </c>
      <c r="R169" s="2">
        <f ca="1"/>
        <v>0.27402687697992184</v>
      </c>
      <c r="S169" s="2">
        <f ca="1"/>
        <v>0.36030810108405231</v>
      </c>
      <c r="T169" s="2">
        <f ca="1"/>
        <v>0.30650454975602803</v>
      </c>
      <c r="U169" s="2">
        <f ca="1"/>
        <v>1.5771911731417971E-2</v>
      </c>
      <c r="V169" s="12"/>
      <c r="X169" s="2" cm="1">
        <f t="array" aca="1" ref="X169" ca="1">MMULT(MMULT(_xlfn.ANCHORARRAY(Q169),$Q$9:$U$13),TRANSPOSE(_xlfn.ANCHORARRAY(Q169)))</f>
        <v>3.6967674339337945E-4</v>
      </c>
      <c r="Y169" s="2">
        <f t="shared" ca="1" si="10"/>
        <v>1.9226979570212775E-2</v>
      </c>
      <c r="Z169" s="2" cm="1">
        <f t="array" aca="1" ref="Z169" ca="1">MMULT(_xlfn.ANCHORARRAY(Q169),TRANSPOSE($Q$3:$U$3))</f>
        <v>1.1324913382843049E-3</v>
      </c>
      <c r="AA169" s="11">
        <f ca="1">AVEDEV(Q169*$Q$3,R169*$R$3,S169*$S$3,T169*$T$3,U169*$U$3)</f>
        <v>1.7810975877402595E-4</v>
      </c>
      <c r="AB169" s="11" cm="1">
        <f t="array" aca="1" ref="AB169" ca="1">MMULT(_xlfn.ANCHORARRAY(Q169),TRANSPOSE($Q$6:$U$6))</f>
        <v>-2.4394945923756503E-2</v>
      </c>
      <c r="AD169" s="2" t="s">
        <v>160</v>
      </c>
      <c r="AE169" s="10" cm="1">
        <f t="array" aca="1" ref="AE169:AI169" ca="1">_xlfn.LET(_xlpm.array,_xlfn.RANDARRAY(1,COLUMNS(_xlfn.ANCHORARRAY(Q168)),-1,1,FALSE),_xlpm.array/SUM(_xlpm.array))</f>
        <v>-0.74777342543051029</v>
      </c>
      <c r="AF169" s="10">
        <f ca="1"/>
        <v>0.17643058643722095</v>
      </c>
      <c r="AG169" s="10">
        <f ca="1"/>
        <v>0.67505714329117983</v>
      </c>
      <c r="AH169" s="10">
        <f ca="1"/>
        <v>0.34382142026664231</v>
      </c>
      <c r="AI169" s="10">
        <f ca="1"/>
        <v>0.55246427543546717</v>
      </c>
      <c r="AJ169" s="1"/>
      <c r="AK169" s="2" cm="1">
        <f t="array" aca="1" ref="AK169" ca="1">MMULT(MMULT(_xlfn.ANCHORARRAY(AE169),$Q$9:$U$13),TRANSPOSE(_xlfn.ANCHORARRAY(AE169)))</f>
        <v>6.9107165608835977E-4</v>
      </c>
      <c r="AL169" s="2">
        <f t="shared" ca="1" si="11"/>
        <v>2.6288241783891896E-2</v>
      </c>
      <c r="AM169" s="2" cm="1">
        <f t="array" aca="1" ref="AM169" ca="1">MMULT(_xlfn.ANCHORARRAY(AE170),TRANSPOSE($Q$3:$U$3))</f>
        <v>8.8921404492367431E-4</v>
      </c>
    </row>
    <row r="170" spans="1:39" x14ac:dyDescent="0.35">
      <c r="A170" s="3">
        <v>44075</v>
      </c>
      <c r="B170" s="4">
        <v>22.360925674438398</v>
      </c>
      <c r="C170" s="4">
        <v>65.559303283691406</v>
      </c>
      <c r="D170" s="4">
        <v>30.703376770019499</v>
      </c>
      <c r="E170" s="4">
        <v>10.908627510070801</v>
      </c>
      <c r="F170" s="4">
        <v>217.00988769531199</v>
      </c>
      <c r="I170" s="5">
        <f>B170/B169-1</f>
        <v>-1.1656056284409244E-3</v>
      </c>
      <c r="J170" s="5">
        <f>C170/C169-1</f>
        <v>-1.0127515506734519E-2</v>
      </c>
      <c r="K170" s="5">
        <f>D170/D169-1</f>
        <v>4.388698773089672E-3</v>
      </c>
      <c r="L170" s="5">
        <f>E170/E169-1</f>
        <v>6.2310817168720334E-4</v>
      </c>
      <c r="M170" s="5">
        <f>F170/F169-1</f>
        <v>7.7153289010813975E-3</v>
      </c>
      <c r="N170" s="5">
        <f>SUMPRODUCT(I170:M170,$AJ$13:$AN$13)</f>
        <v>5.8224044861049243E-3</v>
      </c>
      <c r="P170" s="2" t="s">
        <v>161</v>
      </c>
      <c r="Q170" s="10" cm="1">
        <f t="array" aca="1" ref="Q170:U170" ca="1">_xlfn.LET(_xlpm.array,_xlfn.RANDARRAY(1,COLUMNS(_xlfn.ANCHORARRAY(Q169)),0,1,FALSE),_xlpm.array/SUM(_xlpm.array))</f>
        <v>0.29113351596426412</v>
      </c>
      <c r="R170" s="2">
        <f ca="1"/>
        <v>0.11639539325262849</v>
      </c>
      <c r="S170" s="2">
        <f ca="1"/>
        <v>0.20402983130049931</v>
      </c>
      <c r="T170" s="2">
        <f ca="1"/>
        <v>0.26264157770251273</v>
      </c>
      <c r="U170" s="2">
        <f ca="1"/>
        <v>0.12579968178009532</v>
      </c>
      <c r="V170" s="12"/>
      <c r="X170" s="2" cm="1">
        <f t="array" aca="1" ref="X170" ca="1">MMULT(MMULT(_xlfn.ANCHORARRAY(Q170),$Q$9:$U$13),TRANSPOSE(_xlfn.ANCHORARRAY(Q170)))</f>
        <v>2.960252674124772E-4</v>
      </c>
      <c r="Y170" s="2">
        <f t="shared" ca="1" si="10"/>
        <v>1.720538483767443E-2</v>
      </c>
      <c r="Z170" s="2" cm="1">
        <f t="array" aca="1" ref="Z170" ca="1">MMULT(_xlfn.ANCHORARRAY(Q170),TRANSPOSE($Q$3:$U$3))</f>
        <v>9.2884608294089947E-4</v>
      </c>
      <c r="AA170" s="11">
        <f ca="1">AVEDEV(Q170*$Q$3,R170*$R$3,S170*$S$3,T170*$T$3,U170*$U$3)</f>
        <v>9.1250121850665959E-5</v>
      </c>
      <c r="AB170" s="11" cm="1">
        <f t="array" aca="1" ref="AB170" ca="1">MMULT(_xlfn.ANCHORARRAY(Q170),TRANSPOSE($Q$6:$U$6))</f>
        <v>-2.3369284493148602E-2</v>
      </c>
      <c r="AD170" s="2" t="s">
        <v>161</v>
      </c>
      <c r="AE170" s="10" cm="1">
        <f t="array" aca="1" ref="AE170:AI170" ca="1">_xlfn.LET(_xlpm.array,_xlfn.RANDARRAY(1,COLUMNS(_xlfn.ANCHORARRAY(Q169)),-1,1,FALSE),_xlpm.array/SUM(_xlpm.array))</f>
        <v>0.31193153619828362</v>
      </c>
      <c r="AF170" s="10">
        <f ca="1"/>
        <v>0.46216509672323758</v>
      </c>
      <c r="AG170" s="10">
        <f ca="1"/>
        <v>0.2545492240183016</v>
      </c>
      <c r="AH170" s="10">
        <f ca="1"/>
        <v>6.6472420645192053E-3</v>
      </c>
      <c r="AI170" s="10">
        <f ca="1"/>
        <v>-3.5293099004341903E-2</v>
      </c>
      <c r="AJ170" s="1"/>
      <c r="AK170" s="2" cm="1">
        <f t="array" aca="1" ref="AK170" ca="1">MMULT(MMULT(_xlfn.ANCHORARRAY(AE170),$Q$9:$U$13),TRANSPOSE(_xlfn.ANCHORARRAY(AE170)))</f>
        <v>3.5498234733575369E-4</v>
      </c>
      <c r="AL170" s="2">
        <f t="shared" ca="1" si="11"/>
        <v>1.8840975222523745E-2</v>
      </c>
      <c r="AM170" s="2" cm="1">
        <f t="array" aca="1" ref="AM170" ca="1">MMULT(_xlfn.ANCHORARRAY(AE171),TRANSPOSE($Q$3:$U$3))</f>
        <v>-2.3001045840136168E-4</v>
      </c>
    </row>
    <row r="171" spans="1:39" x14ac:dyDescent="0.35">
      <c r="A171" s="3">
        <v>44076</v>
      </c>
      <c r="B171" s="4">
        <v>22.6305427551269</v>
      </c>
      <c r="C171" s="4">
        <v>65.646125793457003</v>
      </c>
      <c r="D171" s="4">
        <v>31.674858093261701</v>
      </c>
      <c r="E171" s="4">
        <v>10.7456102371215</v>
      </c>
      <c r="F171" s="4">
        <v>221.19210815429599</v>
      </c>
      <c r="I171" s="5">
        <f>B171/B170-1</f>
        <v>1.2057509810370348E-2</v>
      </c>
      <c r="J171" s="5">
        <f>C171/C170-1</f>
        <v>1.3243354553340581E-3</v>
      </c>
      <c r="K171" s="5">
        <f>D171/D170-1</f>
        <v>3.1640862518770518E-2</v>
      </c>
      <c r="L171" s="5">
        <f>E171/E170-1</f>
        <v>-1.4943884810330488E-2</v>
      </c>
      <c r="M171" s="5">
        <f>F171/F170-1</f>
        <v>1.9272027202999809E-2</v>
      </c>
      <c r="N171" s="5">
        <f>SUMPRODUCT(I171:M171,$AJ$13:$AN$13)</f>
        <v>1.2399066204130905E-2</v>
      </c>
      <c r="P171" s="2" t="s">
        <v>162</v>
      </c>
      <c r="Q171" s="10" cm="1">
        <f t="array" aca="1" ref="Q171:U171" ca="1">_xlfn.LET(_xlpm.array,_xlfn.RANDARRAY(1,COLUMNS(_xlfn.ANCHORARRAY(Q170)),0,1,FALSE),_xlpm.array/SUM(_xlpm.array))</f>
        <v>0.19967651554475591</v>
      </c>
      <c r="R171" s="2">
        <f ca="1"/>
        <v>0.25431827061837459</v>
      </c>
      <c r="S171" s="2">
        <f ca="1"/>
        <v>0.20215241343782386</v>
      </c>
      <c r="T171" s="2">
        <f ca="1"/>
        <v>0.14435553090899711</v>
      </c>
      <c r="U171" s="2">
        <f ca="1"/>
        <v>0.19949726949004845</v>
      </c>
      <c r="V171" s="12"/>
      <c r="X171" s="2" cm="1">
        <f t="array" aca="1" ref="X171" ca="1">MMULT(MMULT(_xlfn.ANCHORARRAY(Q171),$Q$9:$U$13),TRANSPOSE(_xlfn.ANCHORARRAY(Q171)))</f>
        <v>2.7843692872024498E-4</v>
      </c>
      <c r="Y171" s="2">
        <f t="shared" ca="1" si="10"/>
        <v>1.6686429477879471E-2</v>
      </c>
      <c r="Z171" s="2" cm="1">
        <f t="array" aca="1" ref="Z171" ca="1">MMULT(_xlfn.ANCHORARRAY(Q171),TRANSPOSE($Q$3:$U$3))</f>
        <v>9.1555597852154284E-4</v>
      </c>
      <c r="AA171" s="11">
        <f ca="1">AVEDEV(Q171*$Q$3,R171*$R$3,S171*$S$3,T171*$T$3,U171*$U$3)</f>
        <v>5.911456658121649E-5</v>
      </c>
      <c r="AB171" s="11" cm="1">
        <f t="array" aca="1" ref="AB171" ca="1">MMULT(_xlfn.ANCHORARRAY(Q171),TRANSPOSE($Q$6:$U$6))</f>
        <v>-2.2690121814157402E-2</v>
      </c>
      <c r="AD171" s="2" t="s">
        <v>162</v>
      </c>
      <c r="AE171" s="10" cm="1">
        <f t="array" aca="1" ref="AE171:AI171" ca="1">_xlfn.LET(_xlpm.array,_xlfn.RANDARRAY(1,COLUMNS(_xlfn.ANCHORARRAY(Q170)),-1,1,FALSE),_xlpm.array/SUM(_xlpm.array))</f>
        <v>0.36258577499920713</v>
      </c>
      <c r="AF171" s="10">
        <f ca="1"/>
        <v>1.9395401269310695</v>
      </c>
      <c r="AG171" s="10">
        <f ca="1"/>
        <v>-0.46623244197481994</v>
      </c>
      <c r="AH171" s="10">
        <f ca="1"/>
        <v>-1.6907521067510887</v>
      </c>
      <c r="AI171" s="10">
        <f ca="1"/>
        <v>0.85485864679563195</v>
      </c>
      <c r="AJ171" s="1"/>
      <c r="AK171" s="2" cm="1">
        <f t="array" aca="1" ref="AK171" ca="1">MMULT(MMULT(_xlfn.ANCHORARRAY(AE171),$Q$9:$U$13),TRANSPOSE(_xlfn.ANCHORARRAY(AE171)))</f>
        <v>1.4561201785991942E-3</v>
      </c>
      <c r="AL171" s="2">
        <f t="shared" ca="1" si="11"/>
        <v>3.8159142791724165E-2</v>
      </c>
      <c r="AM171" s="2" cm="1">
        <f t="array" aca="1" ref="AM171" ca="1">MMULT(_xlfn.ANCHORARRAY(AE172),TRANSPOSE($Q$3:$U$3))</f>
        <v>1.4510729870293678E-3</v>
      </c>
    </row>
    <row r="172" spans="1:39" x14ac:dyDescent="0.35">
      <c r="A172" s="3">
        <v>44077</v>
      </c>
      <c r="B172" s="4">
        <v>22.472904205322202</v>
      </c>
      <c r="C172" s="4">
        <v>64.928024291992102</v>
      </c>
      <c r="D172" s="4">
        <v>30.319408416748001</v>
      </c>
      <c r="E172" s="4">
        <v>10.480705261230399</v>
      </c>
      <c r="F172" s="4">
        <v>207.48994445800699</v>
      </c>
      <c r="I172" s="5">
        <f>B172/B171-1</f>
        <v>-6.9657432219112358E-3</v>
      </c>
      <c r="J172" s="5">
        <f>C172/C171-1</f>
        <v>-1.093897762869156E-2</v>
      </c>
      <c r="K172" s="5">
        <f>D172/D171-1</f>
        <v>-4.279260454846523E-2</v>
      </c>
      <c r="L172" s="5">
        <f>E172/E171-1</f>
        <v>-2.4652390143089953E-2</v>
      </c>
      <c r="M172" s="5">
        <f>F172/F171-1</f>
        <v>-6.1946892276693921E-2</v>
      </c>
      <c r="N172" s="5">
        <f>SUMPRODUCT(I172:M172,$AJ$13:$AN$13)</f>
        <v>-5.2120069618338774E-2</v>
      </c>
      <c r="P172" s="2" t="s">
        <v>163</v>
      </c>
      <c r="Q172" s="10" cm="1">
        <f t="array" aca="1" ref="Q172:U172" ca="1">_xlfn.LET(_xlpm.array,_xlfn.RANDARRAY(1,COLUMNS(_xlfn.ANCHORARRAY(Q171)),0,1,FALSE),_xlpm.array/SUM(_xlpm.array))</f>
        <v>0.18269927222252408</v>
      </c>
      <c r="R172" s="2">
        <f ca="1"/>
        <v>0.36580696382907885</v>
      </c>
      <c r="S172" s="2">
        <f ca="1"/>
        <v>5.4865966002494567E-3</v>
      </c>
      <c r="T172" s="2">
        <f ca="1"/>
        <v>0.35539649022742903</v>
      </c>
      <c r="U172" s="2">
        <f ca="1"/>
        <v>9.0610677120718588E-2</v>
      </c>
      <c r="V172" s="12"/>
      <c r="X172" s="2" cm="1">
        <f t="array" aca="1" ref="X172" ca="1">MMULT(MMULT(_xlfn.ANCHORARRAY(Q172),$Q$9:$U$13),TRANSPOSE(_xlfn.ANCHORARRAY(Q172)))</f>
        <v>3.3522672573291928E-4</v>
      </c>
      <c r="Y172" s="2">
        <f t="shared" ca="1" si="10"/>
        <v>1.8309197845152017E-2</v>
      </c>
      <c r="Z172" s="2" cm="1">
        <f t="array" aca="1" ref="Z172" ca="1">MMULT(_xlfn.ANCHORARRAY(Q172),TRANSPOSE($Q$3:$U$3))</f>
        <v>8.0127604967177566E-4</v>
      </c>
      <c r="AA172" s="11">
        <f ca="1">AVEDEV(Q172*$Q$3,R172*$R$3,S172*$S$3,T172*$T$3,U172*$U$3)</f>
        <v>1.2387810034557431E-4</v>
      </c>
      <c r="AB172" s="11" cm="1">
        <f t="array" aca="1" ref="AB172" ca="1">MMULT(_xlfn.ANCHORARRAY(Q172),TRANSPOSE($Q$6:$U$6))</f>
        <v>-2.2398819184015914E-2</v>
      </c>
      <c r="AD172" s="2" t="s">
        <v>163</v>
      </c>
      <c r="AE172" s="10" cm="1">
        <f t="array" aca="1" ref="AE172:AI172" ca="1">_xlfn.LET(_xlpm.array,_xlfn.RANDARRAY(1,COLUMNS(_xlfn.ANCHORARRAY(Q171)),-1,1,FALSE),_xlpm.array/SUM(_xlpm.array))</f>
        <v>7.1957671169362553E-2</v>
      </c>
      <c r="AF172" s="10">
        <f ca="1"/>
        <v>-0.48477689253031186</v>
      </c>
      <c r="AG172" s="10">
        <f ca="1"/>
        <v>0.72178728547263549</v>
      </c>
      <c r="AH172" s="10">
        <f ca="1"/>
        <v>0.26398734272980678</v>
      </c>
      <c r="AI172" s="10">
        <f ca="1"/>
        <v>0.42704459315850707</v>
      </c>
      <c r="AJ172" s="1"/>
      <c r="AK172" s="2" cm="1">
        <f t="array" aca="1" ref="AK172" ca="1">MMULT(MMULT(_xlfn.ANCHORARRAY(AE172),$Q$9:$U$13),TRANSPOSE(_xlfn.ANCHORARRAY(AE172)))</f>
        <v>6.3503106096827046E-4</v>
      </c>
      <c r="AL172" s="2">
        <f t="shared" ca="1" si="11"/>
        <v>2.5199822637635181E-2</v>
      </c>
      <c r="AM172" s="2" cm="1">
        <f t="array" aca="1" ref="AM172" ca="1">MMULT(_xlfn.ANCHORARRAY(AE173),TRANSPOSE($Q$3:$U$3))</f>
        <v>8.9703717888907223E-4</v>
      </c>
    </row>
    <row r="173" spans="1:39" x14ac:dyDescent="0.35">
      <c r="A173" s="3">
        <v>44078</v>
      </c>
      <c r="B173" s="4">
        <v>23.243604660034102</v>
      </c>
      <c r="C173" s="4">
        <v>64.651840209960895</v>
      </c>
      <c r="D173" s="4">
        <v>29.907686233520501</v>
      </c>
      <c r="E173" s="4">
        <v>10.5146675109863</v>
      </c>
      <c r="F173" s="4">
        <v>204.57763671875</v>
      </c>
      <c r="I173" s="5">
        <f>B173/B172-1</f>
        <v>3.4294653137415976E-2</v>
      </c>
      <c r="J173" s="5">
        <f>C173/C172-1</f>
        <v>-4.2536960741198504E-3</v>
      </c>
      <c r="K173" s="5">
        <f>D173/D172-1</f>
        <v>-1.3579492632846746E-2</v>
      </c>
      <c r="L173" s="5">
        <f>E173/E172-1</f>
        <v>3.2404546172604132E-3</v>
      </c>
      <c r="M173" s="5">
        <f>F173/F172-1</f>
        <v>-1.4035898206365305E-2</v>
      </c>
      <c r="N173" s="5">
        <f>SUMPRODUCT(I173:M173,$AJ$13:$AN$13)</f>
        <v>-2.0024094051232434E-2</v>
      </c>
      <c r="P173" s="2" t="s">
        <v>164</v>
      </c>
      <c r="Q173" s="10" cm="1">
        <f t="array" aca="1" ref="Q173:U173" ca="1">_xlfn.LET(_xlpm.array,_xlfn.RANDARRAY(1,COLUMNS(_xlfn.ANCHORARRAY(Q172)),0,1,FALSE),_xlpm.array/SUM(_xlpm.array))</f>
        <v>0.19713908485712456</v>
      </c>
      <c r="R173" s="2">
        <f ca="1"/>
        <v>0.21082153050387442</v>
      </c>
      <c r="S173" s="2">
        <f ca="1"/>
        <v>0.26159344366148074</v>
      </c>
      <c r="T173" s="2">
        <f ca="1"/>
        <v>0.2818363104190662</v>
      </c>
      <c r="U173" s="2">
        <f ca="1"/>
        <v>4.8609630558454069E-2</v>
      </c>
      <c r="V173" s="12"/>
      <c r="X173" s="2" cm="1">
        <f t="array" aca="1" ref="X173" ca="1">MMULT(MMULT(_xlfn.ANCHORARRAY(Q173),$Q$9:$U$13),TRANSPOSE(_xlfn.ANCHORARRAY(Q173)))</f>
        <v>3.2533239842612104E-4</v>
      </c>
      <c r="Y173" s="2">
        <f t="shared" ca="1" si="10"/>
        <v>1.8036973094899295E-2</v>
      </c>
      <c r="Z173" s="2" cm="1">
        <f t="array" aca="1" ref="Z173" ca="1">MMULT(_xlfn.ANCHORARRAY(Q173),TRANSPOSE($Q$3:$U$3))</f>
        <v>1.0040813320484601E-3</v>
      </c>
      <c r="AA173" s="11">
        <f ca="1">AVEDEV(Q173*$Q$3,R173*$R$3,S173*$S$3,T173*$T$3,U173*$U$3)</f>
        <v>1.2444968946169721E-4</v>
      </c>
      <c r="AB173" s="11" cm="1">
        <f t="array" aca="1" ref="AB173" ca="1">MMULT(_xlfn.ANCHORARRAY(Q173),TRANSPOSE($Q$6:$U$6))</f>
        <v>-2.3775392091376281E-2</v>
      </c>
      <c r="AD173" s="2" t="s">
        <v>164</v>
      </c>
      <c r="AE173" s="10" cm="1">
        <f t="array" aca="1" ref="AE173:AI173" ca="1">_xlfn.LET(_xlpm.array,_xlfn.RANDARRAY(1,COLUMNS(_xlfn.ANCHORARRAY(Q172)),-1,1,FALSE),_xlpm.array/SUM(_xlpm.array))</f>
        <v>0.36672728926056053</v>
      </c>
      <c r="AF173" s="10">
        <f ca="1"/>
        <v>-0.19197553332507653</v>
      </c>
      <c r="AG173" s="10">
        <f ca="1"/>
        <v>0.31443706130576843</v>
      </c>
      <c r="AH173" s="10">
        <f ca="1"/>
        <v>-0.19669661112935549</v>
      </c>
      <c r="AI173" s="10">
        <f ca="1"/>
        <v>0.70750779388810303</v>
      </c>
      <c r="AJ173" s="1"/>
      <c r="AK173" s="2" cm="1">
        <f t="array" aca="1" ref="AK173" ca="1">MMULT(MMULT(_xlfn.ANCHORARRAY(AE173),$Q$9:$U$13),TRANSPOSE(_xlfn.ANCHORARRAY(AE173)))</f>
        <v>4.4758409829529975E-4</v>
      </c>
      <c r="AL173" s="2">
        <f t="shared" ca="1" si="11"/>
        <v>2.1156183452960029E-2</v>
      </c>
      <c r="AM173" s="2" cm="1">
        <f t="array" aca="1" ref="AM173" ca="1">MMULT(_xlfn.ANCHORARRAY(AE174),TRANSPOSE($Q$3:$U$3))</f>
        <v>1.3602665798360645E-3</v>
      </c>
    </row>
    <row r="174" spans="1:39" x14ac:dyDescent="0.35">
      <c r="A174" s="3">
        <v>44082</v>
      </c>
      <c r="B174" s="4">
        <v>22.3152561187744</v>
      </c>
      <c r="C174" s="4">
        <v>62.316066741943303</v>
      </c>
      <c r="D174" s="4">
        <v>29.676383972167901</v>
      </c>
      <c r="E174" s="4">
        <v>10.127499580383301</v>
      </c>
      <c r="F174" s="4">
        <v>193.51086425781199</v>
      </c>
      <c r="I174" s="5">
        <f>B174/B173-1</f>
        <v>-3.9939955735692645E-2</v>
      </c>
      <c r="J174" s="5">
        <f>C174/C173-1</f>
        <v>-3.6128491631978621E-2</v>
      </c>
      <c r="K174" s="5">
        <f>D174/D173-1</f>
        <v>-7.7338734780946217E-3</v>
      </c>
      <c r="L174" s="5">
        <f>E174/E173-1</f>
        <v>-3.6821699801583341E-2</v>
      </c>
      <c r="M174" s="5">
        <f>F174/F173-1</f>
        <v>-5.4095709767888467E-2</v>
      </c>
      <c r="N174" s="5">
        <f>SUMPRODUCT(I174:M174,$AJ$13:$AN$13)</f>
        <v>-2.6567647947572035E-2</v>
      </c>
      <c r="P174" s="2" t="s">
        <v>165</v>
      </c>
      <c r="Q174" s="10" cm="1">
        <f t="array" aca="1" ref="Q174:U174" ca="1">_xlfn.LET(_xlpm.array,_xlfn.RANDARRAY(1,COLUMNS(_xlfn.ANCHORARRAY(Q173)),0,1,FALSE),_xlpm.array/SUM(_xlpm.array))</f>
        <v>8.4617685190176026E-2</v>
      </c>
      <c r="R174" s="2">
        <f ca="1"/>
        <v>0.17665511832589798</v>
      </c>
      <c r="S174" s="2">
        <f ca="1"/>
        <v>0.23367118249556643</v>
      </c>
      <c r="T174" s="2">
        <f ca="1"/>
        <v>0.19153317014691873</v>
      </c>
      <c r="U174" s="2">
        <f ca="1"/>
        <v>0.31352284384144091</v>
      </c>
      <c r="V174" s="12"/>
      <c r="X174" s="2" cm="1">
        <f t="array" aca="1" ref="X174" ca="1">MMULT(MMULT(_xlfn.ANCHORARRAY(Q174),$Q$9:$U$13),TRANSPOSE(_xlfn.ANCHORARRAY(Q174)))</f>
        <v>2.7259275715749831E-4</v>
      </c>
      <c r="Y174" s="2">
        <f t="shared" ca="1" si="10"/>
        <v>1.651038331346363E-2</v>
      </c>
      <c r="Z174" s="2" cm="1">
        <f t="array" aca="1" ref="Z174" ca="1">MMULT(_xlfn.ANCHORARRAY(Q174),TRANSPOSE($Q$3:$U$3))</f>
        <v>9.8696197874690748E-4</v>
      </c>
      <c r="AA174" s="11">
        <f ca="1">AVEDEV(Q174*$Q$3,R174*$R$3,S174*$S$3,T174*$T$3,U174*$U$3)</f>
        <v>8.9798613462958773E-5</v>
      </c>
      <c r="AB174" s="11" cm="1">
        <f t="array" aca="1" ref="AB174" ca="1">MMULT(_xlfn.ANCHORARRAY(Q174),TRANSPOSE($Q$6:$U$6))</f>
        <v>-2.2942258645565566E-2</v>
      </c>
      <c r="AD174" s="2" t="s">
        <v>165</v>
      </c>
      <c r="AE174" s="10" cm="1">
        <f t="array" aca="1" ref="AE174:AI174" ca="1">_xlfn.LET(_xlpm.array,_xlfn.RANDARRAY(1,COLUMNS(_xlfn.ANCHORARRAY(Q173)),-1,1,FALSE),_xlpm.array/SUM(_xlpm.array))</f>
        <v>-1.6834396845886961</v>
      </c>
      <c r="AF174" s="10">
        <f ca="1"/>
        <v>1.4556531065692335</v>
      </c>
      <c r="AG174" s="10">
        <f ca="1"/>
        <v>-0.24423218290631307</v>
      </c>
      <c r="AH174" s="10">
        <f ca="1"/>
        <v>1.6499546901483206</v>
      </c>
      <c r="AI174" s="10">
        <f ca="1"/>
        <v>-0.17793592922254503</v>
      </c>
      <c r="AJ174" s="1"/>
      <c r="AK174" s="2" cm="1">
        <f t="array" aca="1" ref="AK174" ca="1">MMULT(MMULT(_xlfn.ANCHORARRAY(AE174),$Q$9:$U$13),TRANSPOSE(_xlfn.ANCHORARRAY(AE174)))</f>
        <v>2.861343026650553E-3</v>
      </c>
      <c r="AL174" s="2">
        <f t="shared" ca="1" si="11"/>
        <v>5.3491522941962993E-2</v>
      </c>
      <c r="AM174" s="2" cm="1">
        <f t="array" aca="1" ref="AM174" ca="1">MMULT(_xlfn.ANCHORARRAY(AE175),TRANSPOSE($Q$3:$U$3))</f>
        <v>2.7674890642755275E-4</v>
      </c>
    </row>
    <row r="175" spans="1:39" x14ac:dyDescent="0.35">
      <c r="A175" s="3">
        <v>44083</v>
      </c>
      <c r="B175" s="4">
        <v>22.34153175354</v>
      </c>
      <c r="C175" s="4">
        <v>63.152507781982401</v>
      </c>
      <c r="D175" s="4">
        <v>30.920797348022401</v>
      </c>
      <c r="E175" s="4">
        <v>10.5418376922607</v>
      </c>
      <c r="F175" s="4">
        <v>201.75125122070301</v>
      </c>
      <c r="I175" s="5">
        <f>B175/B174-1</f>
        <v>1.1774740395424921E-3</v>
      </c>
      <c r="J175" s="5">
        <f>C175/C174-1</f>
        <v>1.3422558318753941E-2</v>
      </c>
      <c r="K175" s="5">
        <f>D175/D174-1</f>
        <v>4.1932783219868597E-2</v>
      </c>
      <c r="L175" s="5">
        <f>E175/E174-1</f>
        <v>4.0912182576631428E-2</v>
      </c>
      <c r="M175" s="5">
        <f>F175/F174-1</f>
        <v>4.2583588236743353E-2</v>
      </c>
      <c r="N175" s="5">
        <f>SUMPRODUCT(I175:M175,$AJ$13:$AN$13)</f>
        <v>5.4394322416182417E-2</v>
      </c>
      <c r="P175" s="2" t="s">
        <v>166</v>
      </c>
      <c r="Q175" s="10" cm="1">
        <f t="array" aca="1" ref="Q175:U175" ca="1">_xlfn.LET(_xlpm.array,_xlfn.RANDARRAY(1,COLUMNS(_xlfn.ANCHORARRAY(Q174)),0,1,FALSE),_xlpm.array/SUM(_xlpm.array))</f>
        <v>6.8892476270981134E-2</v>
      </c>
      <c r="R175" s="2">
        <f ca="1"/>
        <v>0.30751789303712718</v>
      </c>
      <c r="S175" s="2">
        <f ca="1"/>
        <v>0.24294003688623642</v>
      </c>
      <c r="T175" s="2">
        <f ca="1"/>
        <v>0.28399858171438819</v>
      </c>
      <c r="U175" s="2">
        <f ca="1"/>
        <v>9.6651012091267308E-2</v>
      </c>
      <c r="V175" s="12"/>
      <c r="X175" s="2" cm="1">
        <f t="array" aca="1" ref="X175" ca="1">MMULT(MMULT(_xlfn.ANCHORARRAY(Q175),$Q$9:$U$13),TRANSPOSE(_xlfn.ANCHORARRAY(Q175)))</f>
        <v>3.2074968189661014E-4</v>
      </c>
      <c r="Y175" s="2">
        <f t="shared" ca="1" si="10"/>
        <v>1.7909485807711234E-2</v>
      </c>
      <c r="Z175" s="2" cm="1">
        <f t="array" aca="1" ref="Z175" ca="1">MMULT(_xlfn.ANCHORARRAY(Q175),TRANSPOSE($Q$3:$U$3))</f>
        <v>1.018172434801849E-3</v>
      </c>
      <c r="AA175" s="11">
        <f ca="1">AVEDEV(Q175*$Q$3,R175*$R$3,S175*$S$3,T175*$T$3,U175*$U$3)</f>
        <v>1.1933229431616576E-4</v>
      </c>
      <c r="AB175" s="11" cm="1">
        <f t="array" aca="1" ref="AB175" ca="1">MMULT(_xlfn.ANCHORARRAY(Q175),TRANSPOSE($Q$6:$U$6))</f>
        <v>-2.3510990678549001E-2</v>
      </c>
      <c r="AD175" s="2" t="s">
        <v>166</v>
      </c>
      <c r="AE175" s="10" cm="1">
        <f t="array" aca="1" ref="AE175:AI175" ca="1">_xlfn.LET(_xlpm.array,_xlfn.RANDARRAY(1,COLUMNS(_xlfn.ANCHORARRAY(Q174)),-1,1,FALSE),_xlpm.array/SUM(_xlpm.array))</f>
        <v>-0.70162618484738004</v>
      </c>
      <c r="AF175" s="10">
        <f ca="1"/>
        <v>0.36124188892784898</v>
      </c>
      <c r="AG175" s="10">
        <f ca="1"/>
        <v>-1.1525176411531377</v>
      </c>
      <c r="AH175" s="10">
        <f ca="1"/>
        <v>1.3029074352300491</v>
      </c>
      <c r="AI175" s="10">
        <f ca="1"/>
        <v>1.1899945018426197</v>
      </c>
      <c r="AJ175" s="1"/>
      <c r="AK175" s="2" cm="1">
        <f t="array" aca="1" ref="AK175" ca="1">MMULT(MMULT(_xlfn.ANCHORARRAY(AE175),$Q$9:$U$13),TRANSPOSE(_xlfn.ANCHORARRAY(AE175)))</f>
        <v>1.8166585073582748E-3</v>
      </c>
      <c r="AL175" s="2">
        <f t="shared" ca="1" si="11"/>
        <v>4.2622277125445501E-2</v>
      </c>
      <c r="AM175" s="2" cm="1">
        <f t="array" aca="1" ref="AM175" ca="1">MMULT(_xlfn.ANCHORARRAY(AE176),TRANSPOSE($Q$3:$U$3))</f>
        <v>1.1528596353337855E-4</v>
      </c>
    </row>
    <row r="176" spans="1:39" x14ac:dyDescent="0.35">
      <c r="A176" s="3">
        <v>44084</v>
      </c>
      <c r="B176" s="4">
        <v>22.017490386962798</v>
      </c>
      <c r="C176" s="4">
        <v>61.668998718261697</v>
      </c>
      <c r="D176" s="4">
        <v>30.273149490356399</v>
      </c>
      <c r="E176" s="4">
        <v>10.3720273971557</v>
      </c>
      <c r="F176" s="4">
        <v>196.098541259765</v>
      </c>
      <c r="I176" s="5">
        <f>B176/B175-1</f>
        <v>-1.450399060153329E-2</v>
      </c>
      <c r="J176" s="5">
        <f>C176/C175-1</f>
        <v>-2.3490897128616517E-2</v>
      </c>
      <c r="K176" s="5">
        <f>D176/D175-1</f>
        <v>-2.0945380236367828E-2</v>
      </c>
      <c r="L176" s="5">
        <f>E176/E175-1</f>
        <v>-1.6108225156005407E-2</v>
      </c>
      <c r="M176" s="5">
        <f>F176/F175-1</f>
        <v>-2.8018215137383784E-2</v>
      </c>
      <c r="N176" s="5">
        <f>SUMPRODUCT(I176:M176,$AJ$13:$AN$13)</f>
        <v>-2.2827380335302218E-2</v>
      </c>
      <c r="P176" s="2" t="s">
        <v>167</v>
      </c>
      <c r="Q176" s="10" cm="1">
        <f t="array" aca="1" ref="Q176:U176" ca="1">_xlfn.LET(_xlpm.array,_xlfn.RANDARRAY(1,COLUMNS(_xlfn.ANCHORARRAY(Q175)),0,1,FALSE),_xlpm.array/SUM(_xlpm.array))</f>
        <v>7.9020313692030844E-2</v>
      </c>
      <c r="R176" s="2">
        <f ca="1"/>
        <v>0.23208313048362492</v>
      </c>
      <c r="S176" s="2">
        <f ca="1"/>
        <v>0.2702542604904713</v>
      </c>
      <c r="T176" s="2">
        <f ca="1"/>
        <v>0.19074233318020037</v>
      </c>
      <c r="U176" s="2">
        <f ca="1"/>
        <v>0.22789996215367256</v>
      </c>
      <c r="V176" s="12"/>
      <c r="X176" s="2" cm="1">
        <f t="array" aca="1" ref="X176" ca="1">MMULT(MMULT(_xlfn.ANCHORARRAY(Q176),$Q$9:$U$13),TRANSPOSE(_xlfn.ANCHORARRAY(Q176)))</f>
        <v>2.9060792183252206E-4</v>
      </c>
      <c r="Y176" s="2">
        <f t="shared" ca="1" si="10"/>
        <v>1.7047226221075441E-2</v>
      </c>
      <c r="Z176" s="2" cm="1">
        <f t="array" aca="1" ref="Z176" ca="1">MMULT(_xlfn.ANCHORARRAY(Q176),TRANSPOSE($Q$3:$U$3))</f>
        <v>1.017706860987072E-3</v>
      </c>
      <c r="AA176" s="11">
        <f ca="1">AVEDEV(Q176*$Q$3,R176*$R$3,S176*$S$3,T176*$T$3,U176*$U$3)</f>
        <v>9.414070231687736E-5</v>
      </c>
      <c r="AB176" s="11" cm="1">
        <f t="array" aca="1" ref="AB176" ca="1">MMULT(_xlfn.ANCHORARRAY(Q176),TRANSPOSE($Q$6:$U$6))</f>
        <v>-2.3212894262409561E-2</v>
      </c>
      <c r="AD176" s="2" t="s">
        <v>167</v>
      </c>
      <c r="AE176" s="10" cm="1">
        <f t="array" aca="1" ref="AE176:AI176" ca="1">_xlfn.LET(_xlpm.array,_xlfn.RANDARRAY(1,COLUMNS(_xlfn.ANCHORARRAY(Q175)),-1,1,FALSE),_xlpm.array/SUM(_xlpm.array))</f>
        <v>0.56007668352513307</v>
      </c>
      <c r="AF176" s="10">
        <f ca="1"/>
        <v>0.80272124497189734</v>
      </c>
      <c r="AG176" s="10">
        <f ca="1"/>
        <v>-0.59755924887493095</v>
      </c>
      <c r="AH176" s="10">
        <f ca="1"/>
        <v>0.13759474582677592</v>
      </c>
      <c r="AI176" s="10">
        <f ca="1"/>
        <v>9.7166574551124679E-2</v>
      </c>
      <c r="AJ176" s="1"/>
      <c r="AK176" s="2" cm="1">
        <f t="array" aca="1" ref="AK176" ca="1">MMULT(MMULT(_xlfn.ANCHORARRAY(AE176),$Q$9:$U$13),TRANSPOSE(_xlfn.ANCHORARRAY(AE176)))</f>
        <v>7.4283768304448283E-4</v>
      </c>
      <c r="AL176" s="2">
        <f t="shared" ca="1" si="11"/>
        <v>2.7255048762467531E-2</v>
      </c>
      <c r="AM176" s="2" cm="1">
        <f t="array" aca="1" ref="AM176" ca="1">MMULT(_xlfn.ANCHORARRAY(AE177),TRANSPOSE($Q$3:$U$3))</f>
        <v>7.5264266968913425E-3</v>
      </c>
    </row>
    <row r="177" spans="1:39" x14ac:dyDescent="0.35">
      <c r="A177" s="3">
        <v>44085</v>
      </c>
      <c r="B177" s="4">
        <v>22.332775115966701</v>
      </c>
      <c r="C177" s="4">
        <v>61.305999755859297</v>
      </c>
      <c r="D177" s="4">
        <v>30.712627410888601</v>
      </c>
      <c r="E177" s="4">
        <v>10.609759330749499</v>
      </c>
      <c r="F177" s="4">
        <v>194.81901550292901</v>
      </c>
      <c r="I177" s="5">
        <f>B177/B176-1</f>
        <v>1.4319739600776371E-2</v>
      </c>
      <c r="J177" s="5">
        <f>C177/C176-1</f>
        <v>-5.8862470600630212E-3</v>
      </c>
      <c r="K177" s="5">
        <f>D177/D176-1</f>
        <v>1.4517086194556716E-2</v>
      </c>
      <c r="L177" s="5">
        <f>E177/E176-1</f>
        <v>2.2920488395450356E-2</v>
      </c>
      <c r="M177" s="5">
        <f>F177/F176-1</f>
        <v>-6.5249121621003825E-3</v>
      </c>
      <c r="N177" s="5">
        <f>SUMPRODUCT(I177:M177,$AJ$13:$AN$13)</f>
        <v>1.214015935135856E-2</v>
      </c>
      <c r="P177" s="2" t="s">
        <v>168</v>
      </c>
      <c r="Q177" s="10" cm="1">
        <f t="array" aca="1" ref="Q177:U177" ca="1">_xlfn.LET(_xlpm.array,_xlfn.RANDARRAY(1,COLUMNS(_xlfn.ANCHORARRAY(Q176)),0,1,FALSE),_xlpm.array/SUM(_xlpm.array))</f>
        <v>0.32342728227406686</v>
      </c>
      <c r="R177" s="2">
        <f ca="1"/>
        <v>2.492483541633831E-2</v>
      </c>
      <c r="S177" s="2">
        <f ca="1"/>
        <v>0.19851945898942411</v>
      </c>
      <c r="T177" s="2">
        <f ca="1"/>
        <v>0.20552600016178646</v>
      </c>
      <c r="U177" s="2">
        <f ca="1"/>
        <v>0.24760242315838427</v>
      </c>
      <c r="V177" s="12"/>
      <c r="X177" s="2" cm="1">
        <f t="array" aca="1" ref="X177" ca="1">MMULT(MMULT(_xlfn.ANCHORARRAY(Q177),$Q$9:$U$13),TRANSPOSE(_xlfn.ANCHORARRAY(Q177)))</f>
        <v>2.7704408118210211E-4</v>
      </c>
      <c r="Y177" s="2">
        <f t="shared" ca="1" si="10"/>
        <v>1.6644641215181003E-2</v>
      </c>
      <c r="Z177" s="2" cm="1">
        <f t="array" aca="1" ref="Z177" ca="1">MMULT(_xlfn.ANCHORARRAY(Q177),TRANSPOSE($Q$3:$U$3))</f>
        <v>9.0432608594185769E-4</v>
      </c>
      <c r="AA177" s="11">
        <f ca="1">AVEDEV(Q177*$Q$3,R177*$R$3,S177*$S$3,T177*$T$3,U177*$U$3)</f>
        <v>7.1659457516960284E-5</v>
      </c>
      <c r="AB177" s="11" cm="1">
        <f t="array" aca="1" ref="AB177" ca="1">MMULT(_xlfn.ANCHORARRAY(Q177),TRANSPOSE($Q$6:$U$6))</f>
        <v>-2.3047897968323731E-2</v>
      </c>
      <c r="AD177" s="2" t="s">
        <v>168</v>
      </c>
      <c r="AE177" s="10" cm="1">
        <f t="array" aca="1" ref="AE177:AI177" ca="1">_xlfn.LET(_xlpm.array,_xlfn.RANDARRAY(1,COLUMNS(_xlfn.ANCHORARRAY(Q176)),-1,1,FALSE),_xlpm.array/SUM(_xlpm.array))</f>
        <v>31.927224007370025</v>
      </c>
      <c r="AF177" s="10">
        <f ca="1"/>
        <v>2.8780541953248893</v>
      </c>
      <c r="AG177" s="10">
        <f ca="1"/>
        <v>27.506742889848734</v>
      </c>
      <c r="AH177" s="10">
        <f ca="1"/>
        <v>-33.409644804249105</v>
      </c>
      <c r="AI177" s="10">
        <f ca="1"/>
        <v>-27.902376288294544</v>
      </c>
      <c r="AJ177" s="1"/>
      <c r="AK177" s="2" cm="1">
        <f t="array" aca="1" ref="AK177" ca="1">MMULT(MMULT(_xlfn.ANCHORARRAY(AE177),$Q$9:$U$13),TRANSPOSE(_xlfn.ANCHORARRAY(AE177)))</f>
        <v>1.1391746111996146</v>
      </c>
      <c r="AL177" s="2">
        <f t="shared" ca="1" si="11"/>
        <v>1.0673212314948179</v>
      </c>
      <c r="AM177" s="2" cm="1">
        <f t="array" aca="1" ref="AM177" ca="1">MMULT(_xlfn.ANCHORARRAY(AE178),TRANSPOSE($Q$3:$U$3))</f>
        <v>4.8949552540985207E-4</v>
      </c>
    </row>
    <row r="178" spans="1:39" x14ac:dyDescent="0.35">
      <c r="A178" s="3">
        <v>44088</v>
      </c>
      <c r="B178" s="4">
        <v>22.5517177581787</v>
      </c>
      <c r="C178" s="4">
        <v>60.990360260009702</v>
      </c>
      <c r="D178" s="4">
        <v>30.925420761108398</v>
      </c>
      <c r="E178" s="4">
        <v>10.582592010498001</v>
      </c>
      <c r="F178" s="4">
        <v>196.13668823242099</v>
      </c>
      <c r="I178" s="5">
        <f>B178/B177-1</f>
        <v>9.8036469303570684E-3</v>
      </c>
      <c r="J178" s="5">
        <f>C178/C177-1</f>
        <v>-5.1485906290832384E-3</v>
      </c>
      <c r="K178" s="5">
        <f>D178/D177-1</f>
        <v>6.9285296686911746E-3</v>
      </c>
      <c r="L178" s="5">
        <f>E178/E177-1</f>
        <v>-2.5605972204064686E-3</v>
      </c>
      <c r="M178" s="5">
        <f>F178/F177-1</f>
        <v>6.7635734945605819E-3</v>
      </c>
      <c r="N178" s="5">
        <f>SUMPRODUCT(I178:M178,$AJ$13:$AN$13)</f>
        <v>2.0037156461369665E-3</v>
      </c>
      <c r="P178" s="2" t="s">
        <v>169</v>
      </c>
      <c r="Q178" s="10" cm="1">
        <f t="array" aca="1" ref="Q178:U178" ca="1">_xlfn.LET(_xlpm.array,_xlfn.RANDARRAY(1,COLUMNS(_xlfn.ANCHORARRAY(Q177)),0,1,FALSE),_xlpm.array/SUM(_xlpm.array))</f>
        <v>7.1311981243042883E-3</v>
      </c>
      <c r="R178" s="2">
        <f ca="1"/>
        <v>0.34280730875793664</v>
      </c>
      <c r="S178" s="2">
        <f ca="1"/>
        <v>0.15636181100351088</v>
      </c>
      <c r="T178" s="2">
        <f ca="1"/>
        <v>0.29951452549152019</v>
      </c>
      <c r="U178" s="2">
        <f ca="1"/>
        <v>0.19418515662272812</v>
      </c>
      <c r="V178" s="12"/>
      <c r="X178" s="2" cm="1">
        <f t="array" aca="1" ref="X178" ca="1">MMULT(MMULT(_xlfn.ANCHORARRAY(Q178),$Q$9:$U$13),TRANSPOSE(_xlfn.ANCHORARRAY(Q178)))</f>
        <v>2.9915498970150623E-4</v>
      </c>
      <c r="Y178" s="2">
        <f t="shared" ca="1" si="10"/>
        <v>1.7296097528098825E-2</v>
      </c>
      <c r="Z178" s="2" cm="1">
        <f t="array" aca="1" ref="Z178" ca="1">MMULT(_xlfn.ANCHORARRAY(Q178),TRANSPOSE($Q$3:$U$3))</f>
        <v>9.6239981729516412E-4</v>
      </c>
      <c r="AA178" s="11">
        <f ca="1">AVEDEV(Q178*$Q$3,R178*$R$3,S178*$S$3,T178*$T$3,U178*$U$3)</f>
        <v>9.3124905523226536E-5</v>
      </c>
      <c r="AB178" s="11" cm="1">
        <f t="array" aca="1" ref="AB178" ca="1">MMULT(_xlfn.ANCHORARRAY(Q178),TRANSPOSE($Q$6:$U$6))</f>
        <v>-2.2906387260150571E-2</v>
      </c>
      <c r="AD178" s="2" t="s">
        <v>169</v>
      </c>
      <c r="AE178" s="10" cm="1">
        <f t="array" aca="1" ref="AE178:AI178" ca="1">_xlfn.LET(_xlpm.array,_xlfn.RANDARRAY(1,COLUMNS(_xlfn.ANCHORARRAY(Q177)),-1,1,FALSE),_xlpm.array/SUM(_xlpm.array))</f>
        <v>0.58184622807962005</v>
      </c>
      <c r="AF178" s="10">
        <f ca="1"/>
        <v>0.17478243370799273</v>
      </c>
      <c r="AG178" s="10">
        <f ca="1"/>
        <v>-8.4804486463549961E-2</v>
      </c>
      <c r="AH178" s="10">
        <f ca="1"/>
        <v>-0.18360324042873105</v>
      </c>
      <c r="AI178" s="10">
        <f ca="1"/>
        <v>0.51177906510466831</v>
      </c>
      <c r="AJ178" s="1"/>
      <c r="AK178" s="2" cm="1">
        <f t="array" aca="1" ref="AK178" ca="1">MMULT(MMULT(_xlfn.ANCHORARRAY(AE178),$Q$9:$U$13),TRANSPOSE(_xlfn.ANCHORARRAY(AE178)))</f>
        <v>3.2707492945411763E-4</v>
      </c>
      <c r="AL178" s="2">
        <f t="shared" ca="1" si="11"/>
        <v>1.8085213005494781E-2</v>
      </c>
      <c r="AM178" s="2" cm="1">
        <f t="array" aca="1" ref="AM178" ca="1">MMULT(_xlfn.ANCHORARRAY(AE179),TRANSPOSE($Q$3:$U$3))</f>
        <v>1.1708176712206251E-3</v>
      </c>
    </row>
    <row r="179" spans="1:39" x14ac:dyDescent="0.35">
      <c r="A179" s="3">
        <v>44089</v>
      </c>
      <c r="B179" s="4">
        <v>22.140100479125898</v>
      </c>
      <c r="C179" s="4">
        <v>60.248588562011697</v>
      </c>
      <c r="D179" s="4">
        <v>31.0410842895507</v>
      </c>
      <c r="E179" s="4">
        <v>10.711647033691399</v>
      </c>
      <c r="F179" s="4">
        <v>199.35455322265599</v>
      </c>
      <c r="I179" s="5">
        <f>B179/B178-1</f>
        <v>-1.8252147506746974E-2</v>
      </c>
      <c r="J179" s="5">
        <f>C179/C178-1</f>
        <v>-1.2162113731346014E-2</v>
      </c>
      <c r="K179" s="5">
        <f>D179/D178-1</f>
        <v>3.7400793779258645E-3</v>
      </c>
      <c r="L179" s="5">
        <f>E179/E178-1</f>
        <v>1.2195029635969634E-2</v>
      </c>
      <c r="M179" s="5">
        <f>F179/F178-1</f>
        <v>1.6406236993365741E-2</v>
      </c>
      <c r="N179" s="5">
        <f>SUMPRODUCT(I179:M179,$AJ$13:$AN$13)</f>
        <v>1.8803216764465606E-2</v>
      </c>
      <c r="P179" s="2" t="s">
        <v>170</v>
      </c>
      <c r="Q179" s="10" cm="1">
        <f t="array" aca="1" ref="Q179:U179" ca="1">_xlfn.LET(_xlpm.array,_xlfn.RANDARRAY(1,COLUMNS(_xlfn.ANCHORARRAY(Q178)),0,1,FALSE),_xlpm.array/SUM(_xlpm.array))</f>
        <v>1.9445051695694414E-3</v>
      </c>
      <c r="R179" s="2">
        <f ca="1"/>
        <v>0.42149079642259818</v>
      </c>
      <c r="S179" s="2">
        <f ca="1"/>
        <v>0.33529443243606782</v>
      </c>
      <c r="T179" s="2">
        <f ca="1"/>
        <v>0.2081416297503568</v>
      </c>
      <c r="U179" s="2">
        <f ca="1"/>
        <v>3.3128636221407742E-2</v>
      </c>
      <c r="V179" s="12"/>
      <c r="X179" s="2" cm="1">
        <f t="array" aca="1" ref="X179" ca="1">MMULT(MMULT(_xlfn.ANCHORARRAY(Q179),$Q$9:$U$13),TRANSPOSE(_xlfn.ANCHORARRAY(Q179)))</f>
        <v>3.6170023500277495E-4</v>
      </c>
      <c r="Y179" s="2">
        <f t="shared" ca="1" si="10"/>
        <v>1.9018418309701125E-2</v>
      </c>
      <c r="Z179" s="2" cm="1">
        <f t="array" aca="1" ref="Z179" ca="1">MMULT(_xlfn.ANCHORARRAY(Q179),TRANSPOSE($Q$3:$U$3))</f>
        <v>1.09127536108667E-3</v>
      </c>
      <c r="AA179" s="11">
        <f ca="1">AVEDEV(Q179*$Q$3,R179*$R$3,S179*$S$3,T179*$T$3,U179*$U$3)</f>
        <v>1.6631892460948028E-4</v>
      </c>
      <c r="AB179" s="11" cm="1">
        <f t="array" aca="1" ref="AB179" ca="1">MMULT(_xlfn.ANCHORARRAY(Q179),TRANSPOSE($Q$6:$U$6))</f>
        <v>-2.3732084079295414E-2</v>
      </c>
      <c r="AD179" s="2" t="s">
        <v>170</v>
      </c>
      <c r="AE179" s="10" cm="1">
        <f t="array" aca="1" ref="AE179:AI179" ca="1">_xlfn.LET(_xlpm.array,_xlfn.RANDARRAY(1,COLUMNS(_xlfn.ANCHORARRAY(Q178)),-1,1,FALSE),_xlpm.array/SUM(_xlpm.array))</f>
        <v>0.28228181153167847</v>
      </c>
      <c r="AF179" s="10">
        <f ca="1"/>
        <v>-0.36842370288869086</v>
      </c>
      <c r="AG179" s="10">
        <f ca="1"/>
        <v>0.61005725912183317</v>
      </c>
      <c r="AH179" s="10">
        <f ca="1"/>
        <v>-0.22776710182431686</v>
      </c>
      <c r="AI179" s="10">
        <f ca="1"/>
        <v>0.70385173405949597</v>
      </c>
      <c r="AJ179" s="1"/>
      <c r="AK179" s="2" cm="1">
        <f t="array" aca="1" ref="AK179" ca="1">MMULT(MMULT(_xlfn.ANCHORARRAY(AE179),$Q$9:$U$13),TRANSPOSE(_xlfn.ANCHORARRAY(AE179)))</f>
        <v>6.9545103015657237E-4</v>
      </c>
      <c r="AL179" s="2">
        <f t="shared" ca="1" si="11"/>
        <v>2.6371405540027107E-2</v>
      </c>
      <c r="AM179" s="2" cm="1">
        <f t="array" aca="1" ref="AM179" ca="1">MMULT(_xlfn.ANCHORARRAY(AE180),TRANSPOSE($Q$3:$U$3))</f>
        <v>1.296704481570825E-3</v>
      </c>
    </row>
    <row r="180" spans="1:39" x14ac:dyDescent="0.35">
      <c r="A180" s="3">
        <v>44090</v>
      </c>
      <c r="B180" s="4">
        <v>22.420360565185501</v>
      </c>
      <c r="C180" s="4">
        <v>61.992523193359297</v>
      </c>
      <c r="D180" s="4">
        <v>31.165987014770501</v>
      </c>
      <c r="E180" s="4">
        <v>10.799947738647401</v>
      </c>
      <c r="F180" s="4">
        <v>195.79296875</v>
      </c>
      <c r="I180" s="5">
        <f>B180/B179-1</f>
        <v>1.2658483023771039E-2</v>
      </c>
      <c r="J180" s="5">
        <f>C180/C179-1</f>
        <v>2.8945651225549041E-2</v>
      </c>
      <c r="K180" s="5">
        <f>D180/D179-1</f>
        <v>4.023787444237259E-3</v>
      </c>
      <c r="L180" s="5">
        <f>E180/E179-1</f>
        <v>8.2434292950719357E-3</v>
      </c>
      <c r="M180" s="5">
        <f>F180/F179-1</f>
        <v>-1.7865578764474588E-2</v>
      </c>
      <c r="N180" s="5">
        <f>SUMPRODUCT(I180:M180,$AJ$13:$AN$13)</f>
        <v>-4.6303639378744519E-3</v>
      </c>
      <c r="P180" s="2" t="s">
        <v>171</v>
      </c>
      <c r="Q180" s="10" cm="1">
        <f t="array" aca="1" ref="Q180:U180" ca="1">_xlfn.LET(_xlpm.array,_xlfn.RANDARRAY(1,COLUMNS(_xlfn.ANCHORARRAY(Q179)),0,1,FALSE),_xlpm.array/SUM(_xlpm.array))</f>
        <v>5.6088638026365885E-2</v>
      </c>
      <c r="R180" s="2">
        <f ca="1"/>
        <v>0.19508647384406039</v>
      </c>
      <c r="S180" s="2">
        <f ca="1"/>
        <v>0.32733882350251819</v>
      </c>
      <c r="T180" s="2">
        <f ca="1"/>
        <v>0.32153215366162702</v>
      </c>
      <c r="U180" s="2">
        <f ca="1"/>
        <v>9.9953910965428452E-2</v>
      </c>
      <c r="V180" s="12"/>
      <c r="X180" s="2" cm="1">
        <f t="array" aca="1" ref="X180" ca="1">MMULT(MMULT(_xlfn.ANCHORARRAY(Q180),$Q$9:$U$13),TRANSPOSE(_xlfn.ANCHORARRAY(Q180)))</f>
        <v>3.3776983408006079E-4</v>
      </c>
      <c r="Y180" s="2">
        <f t="shared" ca="1" si="10"/>
        <v>1.8378515557031825E-2</v>
      </c>
      <c r="Z180" s="2" cm="1">
        <f t="array" aca="1" ref="Z180" ca="1">MMULT(_xlfn.ANCHORARRAY(Q180),TRANSPOSE($Q$3:$U$3))</f>
        <v>1.1074979888772664E-3</v>
      </c>
      <c r="AA180" s="11">
        <f ca="1">AVEDEV(Q180*$Q$3,R180*$R$3,S180*$S$3,T180*$T$3,U180*$U$3)</f>
        <v>1.6683282477639687E-4</v>
      </c>
      <c r="AB180" s="11" cm="1">
        <f t="array" aca="1" ref="AB180" ca="1">MMULT(_xlfn.ANCHORARRAY(Q180),TRANSPOSE($Q$6:$U$6))</f>
        <v>-2.4220819723781369E-2</v>
      </c>
      <c r="AD180" s="2" t="s">
        <v>171</v>
      </c>
      <c r="AE180" s="10" cm="1">
        <f t="array" aca="1" ref="AE180:AI180" ca="1">_xlfn.LET(_xlpm.array,_xlfn.RANDARRAY(1,COLUMNS(_xlfn.ANCHORARRAY(Q179)),-1,1,FALSE),_xlpm.array/SUM(_xlpm.array))</f>
        <v>0.61088706861472775</v>
      </c>
      <c r="AF180" s="10">
        <f ca="1"/>
        <v>0.11879869629745861</v>
      </c>
      <c r="AG180" s="10">
        <f ca="1"/>
        <v>0.75432841766234371</v>
      </c>
      <c r="AH180" s="10">
        <f ca="1"/>
        <v>0.17386493639647846</v>
      </c>
      <c r="AI180" s="10">
        <f ca="1"/>
        <v>-0.65787911897100859</v>
      </c>
      <c r="AJ180" s="1"/>
      <c r="AK180" s="2" cm="1">
        <f t="array" aca="1" ref="AK180" ca="1">MMULT(MMULT(_xlfn.ANCHORARRAY(AE180),$Q$9:$U$13),TRANSPOSE(_xlfn.ANCHORARRAY(AE180)))</f>
        <v>8.3928306034622251E-4</v>
      </c>
      <c r="AL180" s="2">
        <f t="shared" ca="1" si="11"/>
        <v>2.8970382468069395E-2</v>
      </c>
      <c r="AM180" s="2" cm="1">
        <f t="array" aca="1" ref="AM180" ca="1">MMULT(_xlfn.ANCHORARRAY(AE181),TRANSPOSE($Q$3:$U$3))</f>
        <v>2.1235407757088853E-3</v>
      </c>
    </row>
    <row r="181" spans="1:39" x14ac:dyDescent="0.35">
      <c r="A181" s="3">
        <v>44091</v>
      </c>
      <c r="B181" s="4">
        <v>22.2014045715332</v>
      </c>
      <c r="C181" s="4">
        <v>62.174022674560497</v>
      </c>
      <c r="D181" s="4">
        <v>30.7912693023681</v>
      </c>
      <c r="E181" s="4">
        <v>10.8542871475219</v>
      </c>
      <c r="F181" s="4">
        <v>193.74957275390599</v>
      </c>
      <c r="I181" s="5">
        <f>B181/B180-1</f>
        <v>-9.7659443529333201E-3</v>
      </c>
      <c r="J181" s="5">
        <f>C181/C180-1</f>
        <v>2.9277640568861063E-3</v>
      </c>
      <c r="K181" s="5">
        <f>D181/D180-1</f>
        <v>-1.2023290397471187E-2</v>
      </c>
      <c r="L181" s="5">
        <f>E181/E180-1</f>
        <v>5.0314510949016622E-3</v>
      </c>
      <c r="M181" s="5">
        <f>F181/F180-1</f>
        <v>-1.0436513676357451E-2</v>
      </c>
      <c r="N181" s="5">
        <f>SUMPRODUCT(I181:M181,$AJ$13:$AN$13)</f>
        <v>-4.6669723544982642E-3</v>
      </c>
      <c r="P181" s="2" t="s">
        <v>172</v>
      </c>
      <c r="Q181" s="10" cm="1">
        <f t="array" aca="1" ref="Q181:U181" ca="1">_xlfn.LET(_xlpm.array,_xlfn.RANDARRAY(1,COLUMNS(_xlfn.ANCHORARRAY(Q180)),0,1,FALSE),_xlpm.array/SUM(_xlpm.array))</f>
        <v>0.21510405030954802</v>
      </c>
      <c r="R181" s="2">
        <f ca="1"/>
        <v>0.17806771757316572</v>
      </c>
      <c r="S181" s="2">
        <f ca="1"/>
        <v>0.26257102584459979</v>
      </c>
      <c r="T181" s="2">
        <f ca="1"/>
        <v>0.22369634014453998</v>
      </c>
      <c r="U181" s="2">
        <f ca="1"/>
        <v>0.12056086612814644</v>
      </c>
      <c r="V181" s="12"/>
      <c r="X181" s="2" cm="1">
        <f t="array" aca="1" ref="X181" ca="1">MMULT(MMULT(_xlfn.ANCHORARRAY(Q181),$Q$9:$U$13),TRANSPOSE(_xlfn.ANCHORARRAY(Q181)))</f>
        <v>3.0403015501372744E-4</v>
      </c>
      <c r="Y181" s="2">
        <f t="shared" ca="1" si="10"/>
        <v>1.743646050704464E-2</v>
      </c>
      <c r="Z181" s="2" cm="1">
        <f t="array" aca="1" ref="Z181" ca="1">MMULT(_xlfn.ANCHORARRAY(Q181),TRANSPOSE($Q$3:$U$3))</f>
        <v>9.8651682716739274E-4</v>
      </c>
      <c r="AA181" s="11">
        <f ca="1">AVEDEV(Q181*$Q$3,R181*$R$3,S181*$S$3,T181*$T$3,U181*$U$3)</f>
        <v>1.0413633217484779E-4</v>
      </c>
      <c r="AB181" s="11" cm="1">
        <f t="array" aca="1" ref="AB181" ca="1">MMULT(_xlfn.ANCHORARRAY(Q181),TRANSPOSE($Q$6:$U$6))</f>
        <v>-2.3500777383413534E-2</v>
      </c>
      <c r="AD181" s="2" t="s">
        <v>172</v>
      </c>
      <c r="AE181" s="10" cm="1">
        <f t="array" aca="1" ref="AE181:AI181" ca="1">_xlfn.LET(_xlpm.array,_xlfn.RANDARRAY(1,COLUMNS(_xlfn.ANCHORARRAY(Q180)),-1,1,FALSE),_xlpm.array/SUM(_xlpm.array))</f>
        <v>0.59941400135593459</v>
      </c>
      <c r="AF181" s="10">
        <f ca="1"/>
        <v>-1.0486882581979693</v>
      </c>
      <c r="AG181" s="10">
        <f ca="1"/>
        <v>1.315298923652843</v>
      </c>
      <c r="AH181" s="10">
        <f ca="1"/>
        <v>1.348190919027048</v>
      </c>
      <c r="AI181" s="10">
        <f ca="1"/>
        <v>-1.214215585837856</v>
      </c>
      <c r="AJ181" s="1"/>
      <c r="AK181" s="2" cm="1">
        <f t="array" aca="1" ref="AK181" ca="1">MMULT(MMULT(_xlfn.ANCHORARRAY(AE181),$Q$9:$U$13),TRANSPOSE(_xlfn.ANCHORARRAY(AE181)))</f>
        <v>2.194617413969134E-3</v>
      </c>
      <c r="AL181" s="2">
        <f t="shared" ca="1" si="11"/>
        <v>4.6846743899327026E-2</v>
      </c>
      <c r="AM181" s="2" cm="1">
        <f t="array" aca="1" ref="AM181" ca="1">MMULT(_xlfn.ANCHORARRAY(AE182),TRANSPOSE($Q$3:$U$3))</f>
        <v>1.6632788907416348E-3</v>
      </c>
    </row>
    <row r="182" spans="1:39" x14ac:dyDescent="0.35">
      <c r="A182" s="3">
        <v>44092</v>
      </c>
      <c r="B182" s="4">
        <v>22.078792572021399</v>
      </c>
      <c r="C182" s="4">
        <v>61.716331481933501</v>
      </c>
      <c r="D182" s="4">
        <v>30.703376770019499</v>
      </c>
      <c r="E182" s="4">
        <v>10.684475898742599</v>
      </c>
      <c r="F182" s="4">
        <v>191.34336853027301</v>
      </c>
      <c r="I182" s="5">
        <f>B182/B181-1</f>
        <v>-5.5227136245701303E-3</v>
      </c>
      <c r="J182" s="5">
        <f>C182/C181-1</f>
        <v>-7.3614537541297764E-3</v>
      </c>
      <c r="K182" s="5">
        <f>D182/D181-1</f>
        <v>-2.8544627857169935E-3</v>
      </c>
      <c r="L182" s="5">
        <f>E182/E181-1</f>
        <v>-1.5644624697262577E-2</v>
      </c>
      <c r="M182" s="5">
        <f>F182/F181-1</f>
        <v>-1.2419145959559175E-2</v>
      </c>
      <c r="N182" s="5">
        <f>SUMPRODUCT(I182:M182,$AJ$13:$AN$13)</f>
        <v>-1.110644207638066E-2</v>
      </c>
      <c r="P182" s="2" t="s">
        <v>173</v>
      </c>
      <c r="Q182" s="10" cm="1">
        <f t="array" aca="1" ref="Q182:U182" ca="1">_xlfn.LET(_xlpm.array,_xlfn.RANDARRAY(1,COLUMNS(_xlfn.ANCHORARRAY(Q181)),0,1,FALSE),_xlpm.array/SUM(_xlpm.array))</f>
        <v>6.8959018693181051E-2</v>
      </c>
      <c r="R182" s="2">
        <f ca="1"/>
        <v>0.37761993407096356</v>
      </c>
      <c r="S182" s="2">
        <f ca="1"/>
        <v>7.469237392354014E-2</v>
      </c>
      <c r="T182" s="2">
        <f ca="1"/>
        <v>0.41222236092900627</v>
      </c>
      <c r="U182" s="2">
        <f ca="1"/>
        <v>6.6506312383308841E-2</v>
      </c>
      <c r="V182" s="12"/>
      <c r="X182" s="2" cm="1">
        <f t="array" aca="1" ref="X182" ca="1">MMULT(MMULT(_xlfn.ANCHORARRAY(Q182),$Q$9:$U$13),TRANSPOSE(_xlfn.ANCHORARRAY(Q182)))</f>
        <v>3.5262880848954453E-4</v>
      </c>
      <c r="Y182" s="2">
        <f t="shared" ca="1" si="10"/>
        <v>1.8778413364540267E-2</v>
      </c>
      <c r="Z182" s="2" cm="1">
        <f t="array" aca="1" ref="Z182" ca="1">MMULT(_xlfn.ANCHORARRAY(Q182),TRANSPOSE($Q$3:$U$3))</f>
        <v>9.041024880584173E-4</v>
      </c>
      <c r="AA182" s="11">
        <f ca="1">AVEDEV(Q182*$Q$3,R182*$R$3,S182*$S$3,T182*$T$3,U182*$U$3)</f>
        <v>1.3409810017118361E-4</v>
      </c>
      <c r="AB182" s="11" cm="1">
        <f t="array" aca="1" ref="AB182" ca="1">MMULT(_xlfn.ANCHORARRAY(Q182),TRANSPOSE($Q$6:$U$6))</f>
        <v>-2.300810982670197E-2</v>
      </c>
      <c r="AD182" s="2" t="s">
        <v>173</v>
      </c>
      <c r="AE182" s="10" cm="1">
        <f t="array" aca="1" ref="AE182:AI182" ca="1">_xlfn.LET(_xlpm.array,_xlfn.RANDARRAY(1,COLUMNS(_xlfn.ANCHORARRAY(Q181)),-1,1,FALSE),_xlpm.array/SUM(_xlpm.array))</f>
        <v>-1.1741496256348465</v>
      </c>
      <c r="AF182" s="10">
        <f ca="1"/>
        <v>1.0416063275214049</v>
      </c>
      <c r="AG182" s="10">
        <f ca="1"/>
        <v>1.1213685644432725</v>
      </c>
      <c r="AH182" s="10">
        <f ca="1"/>
        <v>-1.2861496344445498</v>
      </c>
      <c r="AI182" s="10">
        <f ca="1"/>
        <v>1.2973243681147186</v>
      </c>
      <c r="AJ182" s="1"/>
      <c r="AK182" s="2" cm="1">
        <f t="array" aca="1" ref="AK182" ca="1">MMULT(MMULT(_xlfn.ANCHORARRAY(AE182),$Q$9:$U$13),TRANSPOSE(_xlfn.ANCHORARRAY(AE182)))</f>
        <v>2.2879680841046751E-3</v>
      </c>
      <c r="AL182" s="2">
        <f t="shared" ca="1" si="11"/>
        <v>4.7832709353586432E-2</v>
      </c>
      <c r="AM182" s="2" cm="1">
        <f t="array" aca="1" ref="AM182" ca="1">MMULT(_xlfn.ANCHORARRAY(AE183),TRANSPOSE($Q$3:$U$3))</f>
        <v>1.9527137842887234E-3</v>
      </c>
    </row>
    <row r="183" spans="1:39" x14ac:dyDescent="0.35">
      <c r="A183" s="3">
        <v>44095</v>
      </c>
      <c r="B183" s="4">
        <v>21.430706024169901</v>
      </c>
      <c r="C183" s="4">
        <v>60.209136962890597</v>
      </c>
      <c r="D183" s="4">
        <v>30.300899505615199</v>
      </c>
      <c r="E183" s="4">
        <v>10.2769317626953</v>
      </c>
      <c r="F183" s="4">
        <v>193.39628601074199</v>
      </c>
      <c r="I183" s="5">
        <f>B183/B182-1</f>
        <v>-2.9353350992244231E-2</v>
      </c>
      <c r="J183" s="5">
        <f>C183/C182-1</f>
        <v>-2.4421323867639733E-2</v>
      </c>
      <c r="K183" s="5">
        <f>D183/D182-1</f>
        <v>-1.3108566768372576E-2</v>
      </c>
      <c r="L183" s="5">
        <f>E183/E182-1</f>
        <v>-3.8143577645700089E-2</v>
      </c>
      <c r="M183" s="5">
        <f>F183/F182-1</f>
        <v>1.072897114876592E-2</v>
      </c>
      <c r="N183" s="5">
        <f>SUMPRODUCT(I183:M183,$AJ$13:$AN$13)</f>
        <v>-1.1774671162840747E-2</v>
      </c>
      <c r="P183" s="2" t="s">
        <v>174</v>
      </c>
      <c r="Q183" s="10" cm="1">
        <f t="array" aca="1" ref="Q183:U183" ca="1">_xlfn.LET(_xlpm.array,_xlfn.RANDARRAY(1,COLUMNS(_xlfn.ANCHORARRAY(Q182)),0,1,FALSE),_xlpm.array/SUM(_xlpm.array))</f>
        <v>0.27943610568774818</v>
      </c>
      <c r="R183" s="2">
        <f ca="1"/>
        <v>9.9155129311711887E-2</v>
      </c>
      <c r="S183" s="2">
        <f ca="1"/>
        <v>0.20103300969925242</v>
      </c>
      <c r="T183" s="2">
        <f ca="1"/>
        <v>0.27494134235456674</v>
      </c>
      <c r="U183" s="2">
        <f ca="1"/>
        <v>0.14543441294672088</v>
      </c>
      <c r="V183" s="12"/>
      <c r="X183" s="2" cm="1">
        <f t="array" aca="1" ref="X183" ca="1">MMULT(MMULT(_xlfn.ANCHORARRAY(Q183),$Q$9:$U$13),TRANSPOSE(_xlfn.ANCHORARRAY(Q183)))</f>
        <v>2.9221886038030011E-4</v>
      </c>
      <c r="Y183" s="2">
        <f t="shared" ca="1" si="10"/>
        <v>1.7094410208612056E-2</v>
      </c>
      <c r="Z183" s="2" cm="1">
        <f t="array" aca="1" ref="Z183" ca="1">MMULT(_xlfn.ANCHORARRAY(Q183),TRANSPOSE($Q$3:$U$3))</f>
        <v>9.3302791284131925E-4</v>
      </c>
      <c r="AA183" s="11">
        <f ca="1">AVEDEV(Q183*$Q$3,R183*$R$3,S183*$S$3,T183*$T$3,U183*$U$3)</f>
        <v>9.3660552917829124E-5</v>
      </c>
      <c r="AB183" s="11" cm="1">
        <f t="array" aca="1" ref="AB183" ca="1">MMULT(_xlfn.ANCHORARRAY(Q183),TRANSPOSE($Q$6:$U$6))</f>
        <v>-2.3384760494079726E-2</v>
      </c>
      <c r="AD183" s="2" t="s">
        <v>174</v>
      </c>
      <c r="AE183" s="10" cm="1">
        <f t="array" aca="1" ref="AE183:AI183" ca="1">_xlfn.LET(_xlpm.array,_xlfn.RANDARRAY(1,COLUMNS(_xlfn.ANCHORARRAY(Q182)),-1,1,FALSE),_xlpm.array/SUM(_xlpm.array))</f>
        <v>-9.2761650879894769E-2</v>
      </c>
      <c r="AF183" s="10">
        <f ca="1"/>
        <v>3.0350983609693398</v>
      </c>
      <c r="AG183" s="10">
        <f ca="1"/>
        <v>2.8915551886131561</v>
      </c>
      <c r="AH183" s="10">
        <f ca="1"/>
        <v>-4.7325881132339713</v>
      </c>
      <c r="AI183" s="10">
        <f ca="1"/>
        <v>-0.10130378546862977</v>
      </c>
      <c r="AJ183" s="1"/>
      <c r="AK183" s="2" cm="1">
        <f t="array" aca="1" ref="AK183" ca="1">MMULT(MMULT(_xlfn.ANCHORARRAY(AE183),$Q$9:$U$13),TRANSPOSE(_xlfn.ANCHORARRAY(AE183)))</f>
        <v>1.2128986705941249E-2</v>
      </c>
      <c r="AL183" s="2">
        <f t="shared" ca="1" si="11"/>
        <v>0.11013167893908296</v>
      </c>
      <c r="AM183" s="2" cm="1">
        <f t="array" aca="1" ref="AM183" ca="1">MMULT(_xlfn.ANCHORARRAY(AE184),TRANSPOSE($Q$3:$U$3))</f>
        <v>-1.5180609275520238E-4</v>
      </c>
    </row>
    <row r="184" spans="1:39" x14ac:dyDescent="0.35">
      <c r="A184" s="3">
        <v>44096</v>
      </c>
      <c r="B184" s="4">
        <v>20.966535568237301</v>
      </c>
      <c r="C184" s="4">
        <v>59.601516723632798</v>
      </c>
      <c r="D184" s="4">
        <v>30.675621032714801</v>
      </c>
      <c r="E184" s="4">
        <v>10.2022132873535</v>
      </c>
      <c r="F184" s="4">
        <v>198.05598449707</v>
      </c>
      <c r="I184" s="5">
        <f>B184/B183-1</f>
        <v>-2.1659130380917047E-2</v>
      </c>
      <c r="J184" s="5">
        <f>C184/C183-1</f>
        <v>-1.0091827750866145E-2</v>
      </c>
      <c r="K184" s="5">
        <f>D184/D183-1</f>
        <v>1.236667997364771E-2</v>
      </c>
      <c r="L184" s="5">
        <f>E184/E183-1</f>
        <v>-7.2705041803453607E-3</v>
      </c>
      <c r="M184" s="5">
        <f>F184/F183-1</f>
        <v>2.409404328513931E-2</v>
      </c>
      <c r="N184" s="5">
        <f>SUMPRODUCT(I184:M184,$AJ$13:$AN$13)</f>
        <v>1.768505397638509E-2</v>
      </c>
      <c r="P184" s="2" t="s">
        <v>175</v>
      </c>
      <c r="Q184" s="10" cm="1">
        <f t="array" aca="1" ref="Q184:U184" ca="1">_xlfn.LET(_xlpm.array,_xlfn.RANDARRAY(1,COLUMNS(_xlfn.ANCHORARRAY(Q183)),0,1,FALSE),_xlpm.array/SUM(_xlpm.array))</f>
        <v>0.22449216446083126</v>
      </c>
      <c r="R184" s="2">
        <f ca="1"/>
        <v>0.21384841728515691</v>
      </c>
      <c r="S184" s="2">
        <f ca="1"/>
        <v>6.7373026572541309E-2</v>
      </c>
      <c r="T184" s="2">
        <f ca="1"/>
        <v>0.28907620567932008</v>
      </c>
      <c r="U184" s="2">
        <f ca="1"/>
        <v>0.20521018600215046</v>
      </c>
      <c r="V184" s="12"/>
      <c r="X184" s="2" cm="1">
        <f t="array" aca="1" ref="X184" ca="1">MMULT(MMULT(_xlfn.ANCHORARRAY(Q184),$Q$9:$U$13),TRANSPOSE(_xlfn.ANCHORARRAY(Q184)))</f>
        <v>2.7767059512067376E-4</v>
      </c>
      <c r="Y184" s="2">
        <f t="shared" ca="1" si="10"/>
        <v>1.6663450876714395E-2</v>
      </c>
      <c r="Z184" s="2" cm="1">
        <f t="array" aca="1" ref="Z184" ca="1">MMULT(_xlfn.ANCHORARRAY(Q184),TRANSPOSE($Q$3:$U$3))</f>
        <v>8.3195260922773505E-4</v>
      </c>
      <c r="AA184" s="11">
        <f ca="1">AVEDEV(Q184*$Q$3,R184*$R$3,S184*$S$3,T184*$T$3,U184*$U$3)</f>
        <v>5.1573872344000234E-5</v>
      </c>
      <c r="AB184" s="11" cm="1">
        <f t="array" aca="1" ref="AB184" ca="1">MMULT(_xlfn.ANCHORARRAY(Q184),TRANSPOSE($Q$6:$U$6))</f>
        <v>-2.2489981574302639E-2</v>
      </c>
      <c r="AD184" s="2" t="s">
        <v>175</v>
      </c>
      <c r="AE184" s="10" cm="1">
        <f t="array" aca="1" ref="AE184:AI184" ca="1">_xlfn.LET(_xlpm.array,_xlfn.RANDARRAY(1,COLUMNS(_xlfn.ANCHORARRAY(Q183)),-1,1,FALSE),_xlpm.array/SUM(_xlpm.array))</f>
        <v>0.81590885637607036</v>
      </c>
      <c r="AF184" s="10">
        <f ca="1"/>
        <v>1.6063251912434953</v>
      </c>
      <c r="AG184" s="10">
        <f ca="1"/>
        <v>-0.29563463629908504</v>
      </c>
      <c r="AH184" s="10">
        <f ca="1"/>
        <v>-1.5488791997673277</v>
      </c>
      <c r="AI184" s="10">
        <f ca="1"/>
        <v>0.42227978844684722</v>
      </c>
      <c r="AJ184" s="1"/>
      <c r="AK184" s="2" cm="1">
        <f t="array" aca="1" ref="AK184" ca="1">MMULT(MMULT(_xlfn.ANCHORARRAY(AE184),$Q$9:$U$13),TRANSPOSE(_xlfn.ANCHORARRAY(AE184)))</f>
        <v>1.2817421108159046E-3</v>
      </c>
      <c r="AL184" s="2">
        <f t="shared" ca="1" si="11"/>
        <v>3.5801426100309251E-2</v>
      </c>
      <c r="AM184" s="2" cm="1">
        <f t="array" aca="1" ref="AM184" ca="1">MMULT(_xlfn.ANCHORARRAY(AE185),TRANSPOSE($Q$3:$U$3))</f>
        <v>6.9933986507761262E-4</v>
      </c>
    </row>
    <row r="185" spans="1:39" x14ac:dyDescent="0.35">
      <c r="A185" s="3">
        <v>44097</v>
      </c>
      <c r="B185" s="4">
        <v>20.370992660522401</v>
      </c>
      <c r="C185" s="4">
        <v>56.776512145996001</v>
      </c>
      <c r="D185" s="4">
        <v>30.351789474487301</v>
      </c>
      <c r="E185" s="4">
        <v>9.8422193527221609</v>
      </c>
      <c r="F185" s="4">
        <v>191.53433227539</v>
      </c>
      <c r="I185" s="5">
        <f>B185/B184-1</f>
        <v>-2.8404449832766021E-2</v>
      </c>
      <c r="J185" s="5">
        <f>C185/C184-1</f>
        <v>-4.7398199457508894E-2</v>
      </c>
      <c r="K185" s="5">
        <f>D185/D184-1</f>
        <v>-1.0556642288745866E-2</v>
      </c>
      <c r="L185" s="5">
        <f>E185/E184-1</f>
        <v>-3.5285866359761497E-2</v>
      </c>
      <c r="M185" s="5">
        <f>F185/F184-1</f>
        <v>-3.2928326999260515E-2</v>
      </c>
      <c r="N185" s="5">
        <f>SUMPRODUCT(I185:M185,$AJ$13:$AN$13)</f>
        <v>-2.3215886744348511E-2</v>
      </c>
      <c r="P185" s="2" t="s">
        <v>176</v>
      </c>
      <c r="Q185" s="10" cm="1">
        <f t="array" aca="1" ref="Q185:U185" ca="1">_xlfn.LET(_xlpm.array,_xlfn.RANDARRAY(1,COLUMNS(_xlfn.ANCHORARRAY(Q184)),0,1,FALSE),_xlpm.array/SUM(_xlpm.array))</f>
        <v>0.2717392701948958</v>
      </c>
      <c r="R185" s="2">
        <f ca="1"/>
        <v>0.24104337380690685</v>
      </c>
      <c r="S185" s="2">
        <f ca="1"/>
        <v>0.16145428197722692</v>
      </c>
      <c r="T185" s="2">
        <f ca="1"/>
        <v>0.29804055010182617</v>
      </c>
      <c r="U185" s="2">
        <f ca="1"/>
        <v>2.7722523919144218E-2</v>
      </c>
      <c r="V185" s="12"/>
      <c r="X185" s="2" cm="1">
        <f t="array" aca="1" ref="X185" ca="1">MMULT(MMULT(_xlfn.ANCHORARRAY(Q185),$Q$9:$U$13),TRANSPOSE(_xlfn.ANCHORARRAY(Q185)))</f>
        <v>3.2357096000235666E-4</v>
      </c>
      <c r="Y185" s="2">
        <f t="shared" ca="1" si="10"/>
        <v>1.7988078274300361E-2</v>
      </c>
      <c r="Z185" s="2" cm="1">
        <f t="array" aca="1" ref="Z185" ca="1">MMULT(_xlfn.ANCHORARRAY(Q185),TRANSPOSE($Q$3:$U$3))</f>
        <v>9.0201863593907829E-4</v>
      </c>
      <c r="AA185" s="11">
        <f ca="1">AVEDEV(Q185*$Q$3,R185*$R$3,S185*$S$3,T185*$T$3,U185*$U$3)</f>
        <v>8.2351101954596592E-5</v>
      </c>
      <c r="AB185" s="11" cm="1">
        <f t="array" aca="1" ref="AB185" ca="1">MMULT(_xlfn.ANCHORARRAY(Q185),TRANSPOSE($Q$6:$U$6))</f>
        <v>-2.3278368974048599E-2</v>
      </c>
      <c r="AD185" s="2" t="s">
        <v>176</v>
      </c>
      <c r="AE185" s="10" cm="1">
        <f t="array" aca="1" ref="AE185:AI185" ca="1">_xlfn.LET(_xlpm.array,_xlfn.RANDARRAY(1,COLUMNS(_xlfn.ANCHORARRAY(Q184)),-1,1,FALSE),_xlpm.array/SUM(_xlpm.array))</f>
        <v>1.0150143475582758</v>
      </c>
      <c r="AF185" s="10">
        <f ca="1"/>
        <v>0.87332963585116796</v>
      </c>
      <c r="AG185" s="10">
        <f ca="1"/>
        <v>0.47033405624962848</v>
      </c>
      <c r="AH185" s="10">
        <f ca="1"/>
        <v>-0.69678785747748917</v>
      </c>
      <c r="AI185" s="10">
        <f ca="1"/>
        <v>-0.6618901821815828</v>
      </c>
      <c r="AJ185" s="1"/>
      <c r="AK185" s="2" cm="1">
        <f t="array" aca="1" ref="AK185" ca="1">MMULT(MMULT(_xlfn.ANCHORARRAY(AE185),$Q$9:$U$13),TRANSPOSE(_xlfn.ANCHORARRAY(AE185)))</f>
        <v>1.0207315704429251E-3</v>
      </c>
      <c r="AL185" s="2">
        <f t="shared" ca="1" si="11"/>
        <v>3.194888997199942E-2</v>
      </c>
      <c r="AM185" s="2" cm="1">
        <f t="array" aca="1" ref="AM185" ca="1">MMULT(_xlfn.ANCHORARRAY(AE186),TRANSPOSE($Q$3:$U$3))</f>
        <v>1.4217846716207015E-3</v>
      </c>
    </row>
    <row r="186" spans="1:39" x14ac:dyDescent="0.35">
      <c r="A186" s="3">
        <v>44098</v>
      </c>
      <c r="B186" s="4">
        <v>20.441051483154201</v>
      </c>
      <c r="C186" s="4">
        <v>56.658149719238203</v>
      </c>
      <c r="D186" s="4">
        <v>30.240766525268501</v>
      </c>
      <c r="E186" s="4">
        <v>9.9441041946411097</v>
      </c>
      <c r="F186" s="4">
        <v>194.01692199707</v>
      </c>
      <c r="I186" s="5">
        <f>B186/B185-1</f>
        <v>3.4391462310803256E-3</v>
      </c>
      <c r="J186" s="5">
        <f>C186/C185-1</f>
        <v>-2.0847076067905812E-3</v>
      </c>
      <c r="K186" s="5">
        <f>D186/D185-1</f>
        <v>-3.6578716161734803E-3</v>
      </c>
      <c r="L186" s="5">
        <f>E186/E185-1</f>
        <v>1.0351815811823872E-2</v>
      </c>
      <c r="M186" s="5">
        <f>F186/F185-1</f>
        <v>1.2961591231124503E-2</v>
      </c>
      <c r="N186" s="5">
        <f>SUMPRODUCT(I186:M186,$AJ$13:$AN$13)</f>
        <v>6.3358182386232739E-3</v>
      </c>
      <c r="P186" s="2" t="s">
        <v>177</v>
      </c>
      <c r="Q186" s="10" cm="1">
        <f t="array" aca="1" ref="Q186:U186" ca="1">_xlfn.LET(_xlpm.array,_xlfn.RANDARRAY(1,COLUMNS(_xlfn.ANCHORARRAY(Q185)),0,1,FALSE),_xlpm.array/SUM(_xlpm.array))</f>
        <v>0.10335894188825062</v>
      </c>
      <c r="R186" s="2">
        <f ca="1"/>
        <v>0.19126829342001714</v>
      </c>
      <c r="S186" s="2">
        <f ca="1"/>
        <v>2.9599082926036486E-2</v>
      </c>
      <c r="T186" s="2">
        <f ca="1"/>
        <v>0.36523702521621687</v>
      </c>
      <c r="U186" s="2">
        <f ca="1"/>
        <v>0.31053665654947887</v>
      </c>
      <c r="V186" s="12"/>
      <c r="X186" s="2" cm="1">
        <f t="array" aca="1" ref="X186" ca="1">MMULT(MMULT(_xlfn.ANCHORARRAY(Q186),$Q$9:$U$13),TRANSPOSE(_xlfn.ANCHORARRAY(Q186)))</f>
        <v>2.7303077671739592E-4</v>
      </c>
      <c r="Y186" s="2">
        <f t="shared" ca="1" si="10"/>
        <v>1.6523642961447572E-2</v>
      </c>
      <c r="Z186" s="2" cm="1">
        <f t="array" aca="1" ref="Z186" ca="1">MMULT(_xlfn.ANCHORARRAY(Q186),TRANSPOSE($Q$3:$U$3))</f>
        <v>8.5091985233401207E-4</v>
      </c>
      <c r="AA186" s="11">
        <f ca="1">AVEDEV(Q186*$Q$3,R186*$R$3,S186*$S$3,T186*$T$3,U186*$U$3)</f>
        <v>1.0811184270989611E-4</v>
      </c>
      <c r="AB186" s="11" cm="1">
        <f t="array" aca="1" ref="AB186" ca="1">MMULT(_xlfn.ANCHORARRAY(Q186),TRANSPOSE($Q$6:$U$6))</f>
        <v>-2.241834983505803E-2</v>
      </c>
      <c r="AD186" s="2" t="s">
        <v>177</v>
      </c>
      <c r="AE186" s="10" cm="1">
        <f t="array" aca="1" ref="AE186:AI186" ca="1">_xlfn.LET(_xlpm.array,_xlfn.RANDARRAY(1,COLUMNS(_xlfn.ANCHORARRAY(Q185)),-1,1,FALSE),_xlpm.array/SUM(_xlpm.array))</f>
        <v>-1.1274550213018057</v>
      </c>
      <c r="AF186" s="10">
        <f ca="1"/>
        <v>-8.4855641937074729E-3</v>
      </c>
      <c r="AG186" s="10">
        <f ca="1"/>
        <v>-0.11133114891272952</v>
      </c>
      <c r="AH186" s="10">
        <f ca="1"/>
        <v>1.8031137439713283</v>
      </c>
      <c r="AI186" s="10">
        <f ca="1"/>
        <v>0.44415799043691445</v>
      </c>
      <c r="AJ186" s="1"/>
      <c r="AK186" s="2" cm="1">
        <f t="array" aca="1" ref="AK186" ca="1">MMULT(MMULT(_xlfn.ANCHORARRAY(AE186),$Q$9:$U$13),TRANSPOSE(_xlfn.ANCHORARRAY(AE186)))</f>
        <v>1.5491685671389398E-3</v>
      </c>
      <c r="AL186" s="2">
        <f t="shared" ca="1" si="11"/>
        <v>3.9359478745772787E-2</v>
      </c>
      <c r="AM186" s="2" cm="1">
        <f t="array" aca="1" ref="AM186" ca="1">MMULT(_xlfn.ANCHORARRAY(AE187),TRANSPOSE($Q$3:$U$3))</f>
        <v>-1.2855798038859609E-3</v>
      </c>
    </row>
    <row r="187" spans="1:39" x14ac:dyDescent="0.35">
      <c r="A187" s="3">
        <v>44099</v>
      </c>
      <c r="B187" s="4">
        <v>20.572429656982401</v>
      </c>
      <c r="C187" s="4">
        <v>56.681819915771399</v>
      </c>
      <c r="D187" s="4">
        <v>30.402685165405199</v>
      </c>
      <c r="E187" s="4">
        <v>9.8422193527221609</v>
      </c>
      <c r="F187" s="4">
        <v>198.437896728515</v>
      </c>
      <c r="I187" s="5">
        <f>B187/B186-1</f>
        <v>6.4271729825871038E-3</v>
      </c>
      <c r="J187" s="5">
        <f>C187/C186-1</f>
        <v>4.1777214135096941E-4</v>
      </c>
      <c r="K187" s="5">
        <f>D187/D186-1</f>
        <v>5.3543166639444806E-3</v>
      </c>
      <c r="L187" s="5">
        <f>E187/E186-1</f>
        <v>-1.0245753657112222E-2</v>
      </c>
      <c r="M187" s="5">
        <f>F187/F186-1</f>
        <v>2.2786541946643979E-2</v>
      </c>
      <c r="N187" s="5">
        <f>SUMPRODUCT(I187:M187,$AJ$13:$AN$13)</f>
        <v>3.739692403114028E-3</v>
      </c>
      <c r="P187" s="2" t="s">
        <v>178</v>
      </c>
      <c r="Q187" s="10" cm="1">
        <f t="array" aca="1" ref="Q187:U187" ca="1">_xlfn.LET(_xlpm.array,_xlfn.RANDARRAY(1,COLUMNS(_xlfn.ANCHORARRAY(Q186)),0,1,FALSE),_xlpm.array/SUM(_xlpm.array))</f>
        <v>0.49420297388366774</v>
      </c>
      <c r="R187" s="2">
        <f ca="1"/>
        <v>1.1758664827042782E-2</v>
      </c>
      <c r="S187" s="2">
        <f ca="1"/>
        <v>0.44706629315004798</v>
      </c>
      <c r="T187" s="2">
        <f ca="1"/>
        <v>9.8767535535713054E-3</v>
      </c>
      <c r="U187" s="2">
        <f ca="1"/>
        <v>3.7095314585670169E-2</v>
      </c>
      <c r="V187" s="12"/>
      <c r="X187" s="2" cm="1">
        <f t="array" aca="1" ref="X187" ca="1">MMULT(MMULT(_xlfn.ANCHORARRAY(Q187),$Q$9:$U$13),TRANSPOSE(_xlfn.ANCHORARRAY(Q187)))</f>
        <v>4.1219960654873932E-4</v>
      </c>
      <c r="Y187" s="2">
        <f t="shared" ca="1" si="10"/>
        <v>2.0302699489199442E-2</v>
      </c>
      <c r="Z187" s="2" cm="1">
        <f t="array" aca="1" ref="Z187" ca="1">MMULT(_xlfn.ANCHORARRAY(Q187),TRANSPOSE($Q$3:$U$3))</f>
        <v>1.0242622023808867E-3</v>
      </c>
      <c r="AA187" s="11">
        <f ca="1">AVEDEV(Q187*$Q$3,R187*$R$3,S187*$S$3,T187*$T$3,U187*$U$3)</f>
        <v>2.2700317265149104E-4</v>
      </c>
      <c r="AB187" s="11" cm="1">
        <f t="array" aca="1" ref="AB187" ca="1">MMULT(_xlfn.ANCHORARRAY(Q187),TRANSPOSE($Q$6:$U$6))</f>
        <v>-2.4054642974661974E-2</v>
      </c>
      <c r="AD187" s="2" t="s">
        <v>178</v>
      </c>
      <c r="AE187" s="10" cm="1">
        <f t="array" aca="1" ref="AE187:AI187" ca="1">_xlfn.LET(_xlpm.array,_xlfn.RANDARRAY(1,COLUMNS(_xlfn.ANCHORARRAY(Q186)),-1,1,FALSE),_xlpm.array/SUM(_xlpm.array))</f>
        <v>-0.17301447546033608</v>
      </c>
      <c r="AF187" s="10">
        <f ca="1"/>
        <v>2.9005122276803861</v>
      </c>
      <c r="AG187" s="10">
        <f ca="1"/>
        <v>-1.636652433834517</v>
      </c>
      <c r="AH187" s="10">
        <f ca="1"/>
        <v>-2.2912344181085604</v>
      </c>
      <c r="AI187" s="10">
        <f ca="1"/>
        <v>2.2003890997230275</v>
      </c>
      <c r="AJ187" s="1"/>
      <c r="AK187" s="2" cm="1">
        <f t="array" aca="1" ref="AK187" ca="1">MMULT(MMULT(_xlfn.ANCHORARRAY(AE187),$Q$9:$U$13),TRANSPOSE(_xlfn.ANCHORARRAY(AE187)))</f>
        <v>4.2612142962481147E-3</v>
      </c>
      <c r="AL187" s="2">
        <f t="shared" ca="1" si="11"/>
        <v>6.5277977115165836E-2</v>
      </c>
      <c r="AM187" s="2" cm="1">
        <f t="array" aca="1" ref="AM187" ca="1">MMULT(_xlfn.ANCHORARRAY(AE188),TRANSPOSE($Q$3:$U$3))</f>
        <v>-1.0608341715789148E-3</v>
      </c>
    </row>
    <row r="188" spans="1:39" x14ac:dyDescent="0.35">
      <c r="A188" s="3">
        <v>44102</v>
      </c>
      <c r="B188" s="4">
        <v>21.097906112670898</v>
      </c>
      <c r="C188" s="4">
        <v>58.338954925537102</v>
      </c>
      <c r="D188" s="4">
        <v>31.1382236480712</v>
      </c>
      <c r="E188" s="4">
        <v>9.8218393325805593</v>
      </c>
      <c r="F188" s="4">
        <v>199.98478698730401</v>
      </c>
      <c r="I188" s="5">
        <f>B188/B187-1</f>
        <v>2.5542751364331373E-2</v>
      </c>
      <c r="J188" s="5">
        <f>C188/C187-1</f>
        <v>2.9235741058212028E-2</v>
      </c>
      <c r="K188" s="5">
        <f>D188/D187-1</f>
        <v>2.4193207891484603E-2</v>
      </c>
      <c r="L188" s="5">
        <f>E188/E187-1</f>
        <v>-2.0706732304197617E-3</v>
      </c>
      <c r="M188" s="5">
        <f>F188/F187-1</f>
        <v>7.7953369003165296E-3</v>
      </c>
      <c r="N188" s="5">
        <f>SUMPRODUCT(I188:M188,$AJ$13:$AN$13)</f>
        <v>5.8880887515517493E-3</v>
      </c>
      <c r="P188" s="2" t="s">
        <v>179</v>
      </c>
      <c r="Q188" s="10" cm="1">
        <f t="array" aca="1" ref="Q188:U188" ca="1">_xlfn.LET(_xlpm.array,_xlfn.RANDARRAY(1,COLUMNS(_xlfn.ANCHORARRAY(Q187)),0,1,FALSE),_xlpm.array/SUM(_xlpm.array))</f>
        <v>2.1137932092372632E-2</v>
      </c>
      <c r="R188" s="2">
        <f ca="1"/>
        <v>0.33030093093303414</v>
      </c>
      <c r="S188" s="2">
        <f ca="1"/>
        <v>0.37554747307354025</v>
      </c>
      <c r="T188" s="2">
        <f ca="1"/>
        <v>9.4047893703417762E-2</v>
      </c>
      <c r="U188" s="2">
        <f ca="1"/>
        <v>0.17896577019763502</v>
      </c>
      <c r="V188" s="12"/>
      <c r="X188" s="2" cm="1">
        <f t="array" aca="1" ref="X188" ca="1">MMULT(MMULT(_xlfn.ANCHORARRAY(Q188),$Q$9:$U$13),TRANSPOSE(_xlfn.ANCHORARRAY(Q188)))</f>
        <v>3.3307718598169829E-4</v>
      </c>
      <c r="Y188" s="2">
        <f t="shared" ca="1" si="10"/>
        <v>1.8250402351227719E-2</v>
      </c>
      <c r="Z188" s="2" cm="1">
        <f t="array" aca="1" ref="Z188" ca="1">MMULT(_xlfn.ANCHORARRAY(Q188),TRANSPOSE($Q$3:$U$3))</f>
        <v>1.0947948906303469E-3</v>
      </c>
      <c r="AA188" s="11">
        <f ca="1">AVEDEV(Q188*$Q$3,R188*$R$3,S188*$S$3,T188*$T$3,U188*$U$3)</f>
        <v>1.6526802725954081E-4</v>
      </c>
      <c r="AB188" s="11" cm="1">
        <f t="array" aca="1" ref="AB188" ca="1">MMULT(_xlfn.ANCHORARRAY(Q188),TRANSPOSE($Q$6:$U$6))</f>
        <v>-2.3425956582076357E-2</v>
      </c>
      <c r="AD188" s="2" t="s">
        <v>179</v>
      </c>
      <c r="AE188" s="10" cm="1">
        <f t="array" aca="1" ref="AE188:AI188" ca="1">_xlfn.LET(_xlpm.array,_xlfn.RANDARRAY(1,COLUMNS(_xlfn.ANCHORARRAY(Q187)),-1,1,FALSE),_xlpm.array/SUM(_xlpm.array))</f>
        <v>2.7253719902736204</v>
      </c>
      <c r="AF188" s="10">
        <f ca="1"/>
        <v>9.4935219144154459</v>
      </c>
      <c r="AG188" s="10">
        <f ca="1"/>
        <v>5.320270012305496</v>
      </c>
      <c r="AH188" s="10">
        <f ca="1"/>
        <v>-20.908807578373374</v>
      </c>
      <c r="AI188" s="10">
        <f ca="1"/>
        <v>4.3696436613788121</v>
      </c>
      <c r="AJ188" s="1"/>
      <c r="AK188" s="2" cm="1">
        <f t="array" aca="1" ref="AK188" ca="1">MMULT(MMULT(_xlfn.ANCHORARRAY(AE188),$Q$9:$U$13),TRANSPOSE(_xlfn.ANCHORARRAY(AE188)))</f>
        <v>0.16323813664919148</v>
      </c>
      <c r="AL188" s="2">
        <f t="shared" ca="1" si="11"/>
        <v>0.40402739591417741</v>
      </c>
      <c r="AM188" s="2" cm="1">
        <f t="array" aca="1" ref="AM188" ca="1">MMULT(_xlfn.ANCHORARRAY(AE189),TRANSPOSE($Q$3:$U$3))</f>
        <v>1.8229273587884039E-3</v>
      </c>
    </row>
    <row r="189" spans="1:39" x14ac:dyDescent="0.35">
      <c r="A189" s="3">
        <v>44103</v>
      </c>
      <c r="B189" s="4">
        <v>20.817653656005799</v>
      </c>
      <c r="C189" s="4">
        <v>56.737056732177699</v>
      </c>
      <c r="D189" s="4">
        <v>31.6424751281738</v>
      </c>
      <c r="E189" s="4">
        <v>9.4754266738891602</v>
      </c>
      <c r="F189" s="4">
        <v>197.90321350097599</v>
      </c>
      <c r="I189" s="5">
        <f>B189/B188-1</f>
        <v>-1.3283425149796524E-2</v>
      </c>
      <c r="J189" s="5">
        <f>C189/C188-1</f>
        <v>-2.7458465709645274E-2</v>
      </c>
      <c r="K189" s="5">
        <f>D189/D188-1</f>
        <v>1.6193970658112233E-2</v>
      </c>
      <c r="L189" s="5">
        <f>E189/E188-1</f>
        <v>-3.5269631986576622E-2</v>
      </c>
      <c r="M189" s="5">
        <f>F189/F188-1</f>
        <v>-1.0408659166960321E-2</v>
      </c>
      <c r="N189" s="5">
        <f>SUMPRODUCT(I189:M189,$AJ$13:$AN$13)</f>
        <v>-6.7838474599290566E-3</v>
      </c>
      <c r="P189" s="2" t="s">
        <v>180</v>
      </c>
      <c r="Q189" s="10" cm="1">
        <f t="array" aca="1" ref="Q189:U189" ca="1">_xlfn.LET(_xlpm.array,_xlfn.RANDARRAY(1,COLUMNS(_xlfn.ANCHORARRAY(Q188)),0,1,FALSE),_xlpm.array/SUM(_xlpm.array))</f>
        <v>0.22940491949416111</v>
      </c>
      <c r="R189" s="2">
        <f ca="1"/>
        <v>4.0137752031552905E-2</v>
      </c>
      <c r="S189" s="2">
        <f ca="1"/>
        <v>0.26341969287248246</v>
      </c>
      <c r="T189" s="2">
        <f ca="1"/>
        <v>0.26094752463967269</v>
      </c>
      <c r="U189" s="2">
        <f ca="1"/>
        <v>0.20609011096213065</v>
      </c>
      <c r="V189" s="12"/>
      <c r="X189" s="2" cm="1">
        <f t="array" aca="1" ref="X189" ca="1">MMULT(MMULT(_xlfn.ANCHORARRAY(Q189),$Q$9:$U$13),TRANSPOSE(_xlfn.ANCHORARRAY(Q189)))</f>
        <v>2.9293867121792095E-4</v>
      </c>
      <c r="Y189" s="2">
        <f t="shared" ca="1" si="10"/>
        <v>1.7115451242018742E-2</v>
      </c>
      <c r="Z189" s="2" cm="1">
        <f t="array" aca="1" ref="Z189" ca="1">MMULT(_xlfn.ANCHORARRAY(Q189),TRANSPOSE($Q$3:$U$3))</f>
        <v>9.9791539680626259E-4</v>
      </c>
      <c r="AA189" s="11">
        <f ca="1">AVEDEV(Q189*$Q$3,R189*$R$3,S189*$S$3,T189*$T$3,U189*$U$3)</f>
        <v>1.1808643462764423E-4</v>
      </c>
      <c r="AB189" s="11" cm="1">
        <f t="array" aca="1" ref="AB189" ca="1">MMULT(_xlfn.ANCHORARRAY(Q189),TRANSPOSE($Q$6:$U$6))</f>
        <v>-2.3650651605560662E-2</v>
      </c>
      <c r="AD189" s="2" t="s">
        <v>180</v>
      </c>
      <c r="AE189" s="10" cm="1">
        <f t="array" aca="1" ref="AE189:AI189" ca="1">_xlfn.LET(_xlpm.array,_xlfn.RANDARRAY(1,COLUMNS(_xlfn.ANCHORARRAY(Q188)),-1,1,FALSE),_xlpm.array/SUM(_xlpm.array))</f>
        <v>-0.39430921783667683</v>
      </c>
      <c r="AF189" s="10">
        <f ca="1"/>
        <v>-0.34925000724679678</v>
      </c>
      <c r="AG189" s="10">
        <f ca="1"/>
        <v>0.87042387095280793</v>
      </c>
      <c r="AH189" s="10">
        <f ca="1"/>
        <v>0.76716406416907679</v>
      </c>
      <c r="AI189" s="10">
        <f ca="1"/>
        <v>0.1059712899615888</v>
      </c>
      <c r="AJ189" s="1"/>
      <c r="AK189" s="2" cm="1">
        <f t="array" aca="1" ref="AK189" ca="1">MMULT(MMULT(_xlfn.ANCHORARRAY(AE189),$Q$9:$U$13),TRANSPOSE(_xlfn.ANCHORARRAY(AE189)))</f>
        <v>8.6800791098381438E-4</v>
      </c>
      <c r="AL189" s="2">
        <f t="shared" ca="1" si="11"/>
        <v>2.9461973983150116E-2</v>
      </c>
      <c r="AM189" s="2" cm="1">
        <f t="array" aca="1" ref="AM189" ca="1">MMULT(_xlfn.ANCHORARRAY(AE190),TRANSPOSE($Q$3:$U$3))</f>
        <v>2.3324968608231167E-4</v>
      </c>
    </row>
    <row r="190" spans="1:39" x14ac:dyDescent="0.35">
      <c r="A190" s="3">
        <v>44104</v>
      </c>
      <c r="B190" s="4">
        <v>21.097906112670898</v>
      </c>
      <c r="C190" s="4">
        <v>56.815963745117102</v>
      </c>
      <c r="D190" s="4">
        <v>31.314022064208899</v>
      </c>
      <c r="E190" s="4">
        <v>9.5501441955566406</v>
      </c>
      <c r="F190" s="4">
        <v>200.83459472656199</v>
      </c>
      <c r="I190" s="5">
        <f>B190/B189-1</f>
        <v>1.3462249939211857E-2</v>
      </c>
      <c r="J190" s="5">
        <f>C190/C189-1</f>
        <v>1.3907491414628659E-3</v>
      </c>
      <c r="K190" s="5">
        <f>D190/D189-1</f>
        <v>-1.03801318523421E-2</v>
      </c>
      <c r="L190" s="5">
        <f>E190/E189-1</f>
        <v>7.8853991739891161E-3</v>
      </c>
      <c r="M190" s="5">
        <f>F190/F189-1</f>
        <v>1.4812196192921068E-2</v>
      </c>
      <c r="N190" s="5">
        <f>SUMPRODUCT(I190:M190,$AJ$13:$AN$13)</f>
        <v>-7.1121776453156055E-4</v>
      </c>
      <c r="P190" s="2" t="s">
        <v>181</v>
      </c>
      <c r="Q190" s="10" cm="1">
        <f t="array" aca="1" ref="Q190:U190" ca="1">_xlfn.LET(_xlpm.array,_xlfn.RANDARRAY(1,COLUMNS(_xlfn.ANCHORARRAY(Q189)),0,1,FALSE),_xlpm.array/SUM(_xlpm.array))</f>
        <v>8.6076331237936107E-2</v>
      </c>
      <c r="R190" s="2">
        <f ca="1"/>
        <v>0.3152572128427939</v>
      </c>
      <c r="S190" s="2">
        <f ca="1"/>
        <v>0.25657189891324561</v>
      </c>
      <c r="T190" s="2">
        <f ca="1"/>
        <v>0.30817437635268935</v>
      </c>
      <c r="U190" s="2">
        <f ca="1"/>
        <v>3.3920180653335005E-2</v>
      </c>
      <c r="V190" s="12"/>
      <c r="X190" s="2" cm="1">
        <f t="array" aca="1" ref="X190" ca="1">MMULT(MMULT(_xlfn.ANCHORARRAY(Q190),$Q$9:$U$13),TRANSPOSE(_xlfn.ANCHORARRAY(Q190)))</f>
        <v>3.4172103920937074E-4</v>
      </c>
      <c r="Y190" s="2">
        <f t="shared" ca="1" si="10"/>
        <v>1.8485698234293742E-2</v>
      </c>
      <c r="Z190" s="2" cm="1">
        <f t="array" aca="1" ref="Z190" ca="1">MMULT(_xlfn.ANCHORARRAY(Q190),TRANSPOSE($Q$3:$U$3))</f>
        <v>1.0314142625430761E-3</v>
      </c>
      <c r="AA190" s="11">
        <f ca="1">AVEDEV(Q190*$Q$3,R190*$R$3,S190*$S$3,T190*$T$3,U190*$U$3)</f>
        <v>1.3714950120528592E-4</v>
      </c>
      <c r="AB190" s="11" cm="1">
        <f t="array" aca="1" ref="AB190" ca="1">MMULT(_xlfn.ANCHORARRAY(Q190),TRANSPOSE($Q$6:$U$6))</f>
        <v>-2.3757461820092512E-2</v>
      </c>
      <c r="AD190" s="2" t="s">
        <v>181</v>
      </c>
      <c r="AE190" s="10" cm="1">
        <f t="array" aca="1" ref="AE190:AI190" ca="1">_xlfn.LET(_xlpm.array,_xlfn.RANDARRAY(1,COLUMNS(_xlfn.ANCHORARRAY(Q189)),-1,1,FALSE),_xlpm.array/SUM(_xlpm.array))</f>
        <v>1.0882087202604072</v>
      </c>
      <c r="AF190" s="10">
        <f ca="1"/>
        <v>-0.81363797195498011</v>
      </c>
      <c r="AG190" s="10">
        <f ca="1"/>
        <v>-0.39097099919112005</v>
      </c>
      <c r="AH190" s="10">
        <f ca="1"/>
        <v>0.21566990178953535</v>
      </c>
      <c r="AI190" s="10">
        <f ca="1"/>
        <v>0.90073034909615768</v>
      </c>
      <c r="AJ190" s="1"/>
      <c r="AK190" s="2" cm="1">
        <f t="array" aca="1" ref="AK190" ca="1">MMULT(MMULT(_xlfn.ANCHORARRAY(AE190),$Q$9:$U$13),TRANSPOSE(_xlfn.ANCHORARRAY(AE190)))</f>
        <v>7.0383794656005464E-4</v>
      </c>
      <c r="AL190" s="2">
        <f t="shared" ca="1" si="11"/>
        <v>2.6529944337673507E-2</v>
      </c>
      <c r="AM190" s="2" cm="1">
        <f t="array" aca="1" ref="AM190" ca="1">MMULT(_xlfn.ANCHORARRAY(AE191),TRANSPOSE($Q$3:$U$3))</f>
        <v>9.2392012582797201E-4</v>
      </c>
    </row>
    <row r="191" spans="1:39" x14ac:dyDescent="0.35">
      <c r="A191" s="3">
        <v>44105</v>
      </c>
      <c r="B191" s="4">
        <v>21.1066570281982</v>
      </c>
      <c r="C191" s="4">
        <v>55.569183349609297</v>
      </c>
      <c r="D191" s="4">
        <v>31.244630813598601</v>
      </c>
      <c r="E191" s="4">
        <v>9.4075021743774396</v>
      </c>
      <c r="F191" s="4">
        <v>202.86843872070301</v>
      </c>
      <c r="I191" s="5">
        <f>B191/B190-1</f>
        <v>4.1477649395949001E-4</v>
      </c>
      <c r="J191" s="5">
        <f>C191/C190-1</f>
        <v>-2.194419162017569E-2</v>
      </c>
      <c r="K191" s="5">
        <f>D191/D190-1</f>
        <v>-2.2159801276250279E-3</v>
      </c>
      <c r="L191" s="5">
        <f>E191/E190-1</f>
        <v>-1.4936111775732952E-2</v>
      </c>
      <c r="M191" s="5">
        <f>F191/F190-1</f>
        <v>1.012696043184258E-2</v>
      </c>
      <c r="N191" s="5">
        <f>SUMPRODUCT(I191:M191,$AJ$13:$AN$13)</f>
        <v>-4.1509545016522372E-3</v>
      </c>
      <c r="P191" s="2" t="s">
        <v>182</v>
      </c>
      <c r="Q191" s="10" cm="1">
        <f t="array" aca="1" ref="Q191:U191" ca="1">_xlfn.LET(_xlpm.array,_xlfn.RANDARRAY(1,COLUMNS(_xlfn.ANCHORARRAY(Q190)),0,1,FALSE),_xlpm.array/SUM(_xlpm.array))</f>
        <v>0.7755671111912158</v>
      </c>
      <c r="R191" s="2">
        <f ca="1"/>
        <v>1.5162664229319483E-2</v>
      </c>
      <c r="S191" s="2">
        <f ca="1"/>
        <v>5.9304636649120661E-2</v>
      </c>
      <c r="T191" s="2">
        <f ca="1"/>
        <v>0.14176573064587622</v>
      </c>
      <c r="U191" s="2">
        <f ca="1"/>
        <v>8.199857284467817E-3</v>
      </c>
      <c r="V191" s="12"/>
      <c r="X191" s="2" cm="1">
        <f t="array" aca="1" ref="X191" ca="1">MMULT(MMULT(_xlfn.ANCHORARRAY(Q191),$Q$9:$U$13),TRANSPOSE(_xlfn.ANCHORARRAY(Q191)))</f>
        <v>3.805670835109551E-4</v>
      </c>
      <c r="Y191" s="2">
        <f t="shared" ca="1" si="10"/>
        <v>1.9508128652204318E-2</v>
      </c>
      <c r="Z191" s="2" cm="1">
        <f t="array" aca="1" ref="Z191" ca="1">MMULT(_xlfn.ANCHORARRAY(Q191),TRANSPOSE($Q$3:$U$3))</f>
        <v>6.5266420960716372E-4</v>
      </c>
      <c r="AA191" s="11">
        <f ca="1">AVEDEV(Q191*$Q$3,R191*$R$3,S191*$S$3,T191*$T$3,U191*$U$3)</f>
        <v>1.1117747533293435E-4</v>
      </c>
      <c r="AB191" s="11" cm="1">
        <f t="array" aca="1" ref="AB191" ca="1">MMULT(_xlfn.ANCHORARRAY(Q191),TRANSPOSE($Q$6:$U$6))</f>
        <v>-2.2413668242176887E-2</v>
      </c>
      <c r="AD191" s="2" t="s">
        <v>182</v>
      </c>
      <c r="AE191" s="10" cm="1">
        <f t="array" aca="1" ref="AE191:AI191" ca="1">_xlfn.LET(_xlpm.array,_xlfn.RANDARRAY(1,COLUMNS(_xlfn.ANCHORARRAY(Q190)),-1,1,FALSE),_xlpm.array/SUM(_xlpm.array))</f>
        <v>0.1636100461620329</v>
      </c>
      <c r="AF191" s="10">
        <f ca="1"/>
        <v>6.3704184173947895E-2</v>
      </c>
      <c r="AG191" s="10">
        <f ca="1"/>
        <v>0.14973276439901603</v>
      </c>
      <c r="AH191" s="10">
        <f ca="1"/>
        <v>0.29058879811410221</v>
      </c>
      <c r="AI191" s="10">
        <f ca="1"/>
        <v>0.33236420715090087</v>
      </c>
      <c r="AJ191" s="1"/>
      <c r="AK191" s="2" cm="1">
        <f t="array" aca="1" ref="AK191" ca="1">MMULT(MMULT(_xlfn.ANCHORARRAY(AE191),$Q$9:$U$13),TRANSPOSE(_xlfn.ANCHORARRAY(AE191)))</f>
        <v>2.610063370291788E-4</v>
      </c>
      <c r="AL191" s="2">
        <f t="shared" ca="1" si="11"/>
        <v>1.6155690546342451E-2</v>
      </c>
      <c r="AM191" s="2" cm="1">
        <f t="array" aca="1" ref="AM191" ca="1">MMULT(_xlfn.ANCHORARRAY(AE192),TRANSPOSE($Q$3:$U$3))</f>
        <v>1.9750710997001827E-3</v>
      </c>
    </row>
    <row r="192" spans="1:39" x14ac:dyDescent="0.35">
      <c r="A192" s="3">
        <v>44106</v>
      </c>
      <c r="B192" s="4">
        <v>21.202999114990199</v>
      </c>
      <c r="C192" s="4">
        <v>56.176792144775298</v>
      </c>
      <c r="D192" s="4">
        <v>31.0688381195068</v>
      </c>
      <c r="E192" s="4">
        <v>9.4618406295776296</v>
      </c>
      <c r="F192" s="4">
        <v>196.88150024414</v>
      </c>
      <c r="I192" s="5">
        <f>B192/B191-1</f>
        <v>4.5645355710897118E-3</v>
      </c>
      <c r="J192" s="5">
        <f>C192/C191-1</f>
        <v>1.0934276131849607E-2</v>
      </c>
      <c r="K192" s="5">
        <f>D192/D191-1</f>
        <v>-5.6263328934995638E-3</v>
      </c>
      <c r="L192" s="5">
        <f>E192/E191-1</f>
        <v>5.7760768153940489E-3</v>
      </c>
      <c r="M192" s="5">
        <f>F192/F191-1</f>
        <v>-2.9511433687353761E-2</v>
      </c>
      <c r="N192" s="5">
        <f>SUMPRODUCT(I192:M192,$AJ$13:$AN$13)</f>
        <v>-1.1767093406219106E-2</v>
      </c>
      <c r="P192" s="2" t="s">
        <v>183</v>
      </c>
      <c r="Q192" s="10" cm="1">
        <f t="array" aca="1" ref="Q192:U192" ca="1">_xlfn.LET(_xlpm.array,_xlfn.RANDARRAY(1,COLUMNS(_xlfn.ANCHORARRAY(Q191)),0,1,FALSE),_xlpm.array/SUM(_xlpm.array))</f>
        <v>0.1529955511630674</v>
      </c>
      <c r="R192" s="2">
        <f ca="1"/>
        <v>6.1646743168266592E-2</v>
      </c>
      <c r="S192" s="2">
        <f ca="1"/>
        <v>0.40878661676318645</v>
      </c>
      <c r="T192" s="2">
        <f ca="1"/>
        <v>0.13046089732472746</v>
      </c>
      <c r="U192" s="2">
        <f ca="1"/>
        <v>0.2461101915807522</v>
      </c>
      <c r="V192" s="12"/>
      <c r="X192" s="2" cm="1">
        <f t="array" aca="1" ref="X192" ca="1">MMULT(MMULT(_xlfn.ANCHORARRAY(Q192),$Q$9:$U$13),TRANSPOSE(_xlfn.ANCHORARRAY(Q192)))</f>
        <v>3.3720312512662386E-4</v>
      </c>
      <c r="Y192" s="2">
        <f t="shared" ca="1" si="10"/>
        <v>1.8363091382624656E-2</v>
      </c>
      <c r="Z192" s="2" cm="1">
        <f t="array" aca="1" ref="Z192" ca="1">MMULT(_xlfn.ANCHORARRAY(Q192),TRANSPOSE($Q$3:$U$3))</f>
        <v>1.1081654622847462E-3</v>
      </c>
      <c r="AA192" s="11">
        <f ca="1">AVEDEV(Q192*$Q$3,R192*$R$3,S192*$S$3,T192*$T$3,U192*$U$3)</f>
        <v>1.7689467569156607E-4</v>
      </c>
      <c r="AB192" s="11" cm="1">
        <f t="array" aca="1" ref="AB192" ca="1">MMULT(_xlfn.ANCHORARRAY(Q192),TRANSPOSE($Q$6:$U$6))</f>
        <v>-2.3911564058868448E-2</v>
      </c>
      <c r="AD192" s="2" t="s">
        <v>183</v>
      </c>
      <c r="AE192" s="10" cm="1">
        <f t="array" aca="1" ref="AE192:AI192" ca="1">_xlfn.LET(_xlpm.array,_xlfn.RANDARRAY(1,COLUMNS(_xlfn.ANCHORARRAY(Q191)),-1,1,FALSE),_xlpm.array/SUM(_xlpm.array))</f>
        <v>-1.1165741304301366</v>
      </c>
      <c r="AF192" s="10">
        <f ca="1"/>
        <v>1.53799757408342</v>
      </c>
      <c r="AG192" s="10">
        <f ca="1"/>
        <v>1.3682973291050513</v>
      </c>
      <c r="AH192" s="10">
        <f ca="1"/>
        <v>-0.77361188411785897</v>
      </c>
      <c r="AI192" s="10">
        <f ca="1"/>
        <v>-1.6108888640475712E-2</v>
      </c>
      <c r="AJ192" s="1"/>
      <c r="AK192" s="2" cm="1">
        <f t="array" aca="1" ref="AK192" ca="1">MMULT(MMULT(_xlfn.ANCHORARRAY(AE192),$Q$9:$U$13),TRANSPOSE(_xlfn.ANCHORARRAY(AE192)))</f>
        <v>1.9356968132578588E-3</v>
      </c>
      <c r="AL192" s="2">
        <f t="shared" ca="1" si="11"/>
        <v>4.3996554561213756E-2</v>
      </c>
      <c r="AM192" s="2" cm="1">
        <f t="array" aca="1" ref="AM192" ca="1">MMULT(_xlfn.ANCHORARRAY(AE193),TRANSPOSE($Q$3:$U$3))</f>
        <v>1.0127810406068002E-3</v>
      </c>
    </row>
    <row r="193" spans="1:39" x14ac:dyDescent="0.35">
      <c r="A193" s="3">
        <v>44109</v>
      </c>
      <c r="B193" s="4">
        <v>21.562074661254801</v>
      </c>
      <c r="C193" s="4">
        <v>57.368343353271399</v>
      </c>
      <c r="D193" s="4">
        <v>31.554569244384702</v>
      </c>
      <c r="E193" s="4">
        <v>9.8625946044921804</v>
      </c>
      <c r="F193" s="4">
        <v>200.88235473632801</v>
      </c>
      <c r="I193" s="5">
        <f>B193/B192-1</f>
        <v>1.6935129993508324E-2</v>
      </c>
      <c r="J193" s="5">
        <f>C193/C192-1</f>
        <v>2.1210737797653367E-2</v>
      </c>
      <c r="K193" s="5">
        <f>D193/D192-1</f>
        <v>1.5634029280706452E-2</v>
      </c>
      <c r="L193" s="5">
        <f>E193/E192-1</f>
        <v>4.2354758508803991E-2</v>
      </c>
      <c r="M193" s="5">
        <f>F193/F192-1</f>
        <v>2.0321129650204828E-2</v>
      </c>
      <c r="N193" s="5">
        <f>SUMPRODUCT(I193:M193,$AJ$13:$AN$13)</f>
        <v>2.9126171867076913E-2</v>
      </c>
      <c r="P193" s="2" t="s">
        <v>184</v>
      </c>
      <c r="Q193" s="10" cm="1">
        <f t="array" aca="1" ref="Q193:U193" ca="1">_xlfn.LET(_xlpm.array,_xlfn.RANDARRAY(1,COLUMNS(_xlfn.ANCHORARRAY(Q192)),0,1,FALSE),_xlpm.array/SUM(_xlpm.array))</f>
        <v>0.28913949047312787</v>
      </c>
      <c r="R193" s="2">
        <f ca="1"/>
        <v>7.6004509140143561E-2</v>
      </c>
      <c r="S193" s="2">
        <f ca="1"/>
        <v>0.33582569856871936</v>
      </c>
      <c r="T193" s="2">
        <f ca="1"/>
        <v>0.14155357542173755</v>
      </c>
      <c r="U193" s="2">
        <f ca="1"/>
        <v>0.15747672639627167</v>
      </c>
      <c r="V193" s="12"/>
      <c r="X193" s="2" cm="1">
        <f t="array" aca="1" ref="X193" ca="1">MMULT(MMULT(_xlfn.ANCHORARRAY(Q193),$Q$9:$U$13),TRANSPOSE(_xlfn.ANCHORARRAY(Q193)))</f>
        <v>3.1907137265447546E-4</v>
      </c>
      <c r="Y193" s="2">
        <f t="shared" ca="1" si="10"/>
        <v>1.7862569038480311E-2</v>
      </c>
      <c r="Z193" s="2" cm="1">
        <f t="array" aca="1" ref="Z193" ca="1">MMULT(_xlfn.ANCHORARRAY(Q193),TRANSPOSE($Q$3:$U$3))</f>
        <v>1.0128969480214535E-3</v>
      </c>
      <c r="AA193" s="11">
        <f ca="1">AVEDEV(Q193*$Q$3,R193*$R$3,S193*$S$3,T193*$T$3,U193*$U$3)</f>
        <v>1.3712072180896212E-4</v>
      </c>
      <c r="AB193" s="11" cm="1">
        <f t="array" aca="1" ref="AB193" ca="1">MMULT(_xlfn.ANCHORARRAY(Q193),TRANSPOSE($Q$6:$U$6))</f>
        <v>-2.3663235240145599E-2</v>
      </c>
      <c r="AD193" s="2" t="s">
        <v>184</v>
      </c>
      <c r="AE193" s="10" cm="1">
        <f t="array" aca="1" ref="AE193:AI193" ca="1">_xlfn.LET(_xlpm.array,_xlfn.RANDARRAY(1,COLUMNS(_xlfn.ANCHORARRAY(Q192)),-1,1,FALSE),_xlpm.array/SUM(_xlpm.array))</f>
        <v>0.60129563877965864</v>
      </c>
      <c r="AF193" s="10">
        <f ca="1"/>
        <v>-0.53395132197056594</v>
      </c>
      <c r="AG193" s="10">
        <f ca="1"/>
        <v>0.4390077613843526</v>
      </c>
      <c r="AH193" s="10">
        <f ca="1"/>
        <v>2.558563692753188E-2</v>
      </c>
      <c r="AI193" s="10">
        <f ca="1"/>
        <v>0.46806228487902279</v>
      </c>
      <c r="AJ193" s="1"/>
      <c r="AK193" s="2" cm="1">
        <f t="array" aca="1" ref="AK193" ca="1">MMULT(MMULT(_xlfn.ANCHORARRAY(AE193),$Q$9:$U$13),TRANSPOSE(_xlfn.ANCHORARRAY(AE193)))</f>
        <v>5.1886907059741337E-4</v>
      </c>
      <c r="AL193" s="2">
        <f t="shared" ca="1" si="11"/>
        <v>2.2778697737083509E-2</v>
      </c>
      <c r="AM193" s="2" cm="1">
        <f t="array" aca="1" ref="AM193" ca="1">MMULT(_xlfn.ANCHORARRAY(AE194),TRANSPOSE($Q$3:$U$3))</f>
        <v>2.8000941610830622E-3</v>
      </c>
    </row>
    <row r="194" spans="1:39" x14ac:dyDescent="0.35">
      <c r="A194" s="3">
        <v>44110</v>
      </c>
      <c r="B194" s="4">
        <v>21.3431301116943</v>
      </c>
      <c r="C194" s="4">
        <v>57.052703857421797</v>
      </c>
      <c r="D194" s="4">
        <v>31.2168655395507</v>
      </c>
      <c r="E194" s="4">
        <v>9.7063694000244105</v>
      </c>
      <c r="F194" s="4">
        <v>196.61415100097599</v>
      </c>
      <c r="I194" s="5">
        <f>B194/B193-1</f>
        <v>-1.0154150423842379E-2</v>
      </c>
      <c r="J194" s="5">
        <f>C194/C193-1</f>
        <v>-5.5019803152743796E-3</v>
      </c>
      <c r="K194" s="5">
        <f>D194/D193-1</f>
        <v>-1.0702212482082918E-2</v>
      </c>
      <c r="L194" s="5">
        <f>E194/E193-1</f>
        <v>-1.5840172969961985E-2</v>
      </c>
      <c r="M194" s="5">
        <f>F194/F193-1</f>
        <v>-2.1247280483914777E-2</v>
      </c>
      <c r="N194" s="5">
        <f>SUMPRODUCT(I194:M194,$AJ$13:$AN$13)</f>
        <v>-1.6954370521987089E-2</v>
      </c>
      <c r="P194" s="2" t="s">
        <v>185</v>
      </c>
      <c r="Q194" s="10" cm="1">
        <f t="array" aca="1" ref="Q194:U194" ca="1">_xlfn.LET(_xlpm.array,_xlfn.RANDARRAY(1,COLUMNS(_xlfn.ANCHORARRAY(Q193)),0,1,FALSE),_xlpm.array/SUM(_xlpm.array))</f>
        <v>0.11787886014101237</v>
      </c>
      <c r="R194" s="2">
        <f ca="1"/>
        <v>0.16701067722507124</v>
      </c>
      <c r="S194" s="2">
        <f ca="1"/>
        <v>0.40710062770549293</v>
      </c>
      <c r="T194" s="2">
        <f ca="1"/>
        <v>0.28020482321086021</v>
      </c>
      <c r="U194" s="2">
        <f ca="1"/>
        <v>2.7805011717563315E-2</v>
      </c>
      <c r="V194" s="12"/>
      <c r="X194" s="2" cm="1">
        <f t="array" aca="1" ref="X194" ca="1">MMULT(MMULT(_xlfn.ANCHORARRAY(Q194),$Q$9:$U$13),TRANSPOSE(_xlfn.ANCHORARRAY(Q194)))</f>
        <v>3.7078098970002969E-4</v>
      </c>
      <c r="Y194" s="2">
        <f t="shared" ca="1" si="10"/>
        <v>1.9255674220863567E-2</v>
      </c>
      <c r="Z194" s="2" cm="1">
        <f t="array" aca="1" ref="Z194" ca="1">MMULT(_xlfn.ANCHORARRAY(Q194),TRANSPOSE($Q$3:$U$3))</f>
        <v>1.150529756401969E-3</v>
      </c>
      <c r="AA194" s="11">
        <f ca="1">AVEDEV(Q194*$Q$3,R194*$R$3,S194*$S$3,T194*$T$3,U194*$U$3)</f>
        <v>1.9487275121127191E-4</v>
      </c>
      <c r="AB194" s="11" cm="1">
        <f t="array" aca="1" ref="AB194" ca="1">MMULT(_xlfn.ANCHORARRAY(Q194),TRANSPOSE($Q$6:$U$6))</f>
        <v>-2.4651056781940985E-2</v>
      </c>
      <c r="AD194" s="2" t="s">
        <v>185</v>
      </c>
      <c r="AE194" s="10" cm="1">
        <f t="array" aca="1" ref="AE194:AI194" ca="1">_xlfn.LET(_xlpm.array,_xlfn.RANDARRAY(1,COLUMNS(_xlfn.ANCHORARRAY(Q193)),-1,1,FALSE),_xlpm.array/SUM(_xlpm.array))</f>
        <v>0.73729229882166969</v>
      </c>
      <c r="AF194" s="10">
        <f ca="1"/>
        <v>-2.3309332275897208</v>
      </c>
      <c r="AG194" s="10">
        <f ca="1"/>
        <v>2.9739317485668799</v>
      </c>
      <c r="AH194" s="10">
        <f ca="1"/>
        <v>-1.6018409879020101</v>
      </c>
      <c r="AI194" s="10">
        <f ca="1"/>
        <v>1.2215501681031815</v>
      </c>
      <c r="AJ194" s="1"/>
      <c r="AK194" s="2" cm="1">
        <f t="array" aca="1" ref="AK194" ca="1">MMULT(MMULT(_xlfn.ANCHORARRAY(AE194),$Q$9:$U$13),TRANSPOSE(_xlfn.ANCHORARRAY(AE194)))</f>
        <v>1.0661926644104296E-2</v>
      </c>
      <c r="AL194" s="2">
        <f t="shared" ca="1" si="11"/>
        <v>0.10325660581340206</v>
      </c>
      <c r="AM194" s="2" cm="1">
        <f t="array" aca="1" ref="AM194" ca="1">MMULT(_xlfn.ANCHORARRAY(AE195),TRANSPOSE($Q$3:$U$3))</f>
        <v>1.115845299588462E-4</v>
      </c>
    </row>
    <row r="195" spans="1:39" x14ac:dyDescent="0.35">
      <c r="A195" s="3">
        <v>44111</v>
      </c>
      <c r="B195" s="4">
        <v>21.789777755737301</v>
      </c>
      <c r="C195" s="4">
        <v>58.220577239990199</v>
      </c>
      <c r="D195" s="4">
        <v>31.184490203857401</v>
      </c>
      <c r="E195" s="4">
        <v>9.7403287887573207</v>
      </c>
      <c r="F195" s="4">
        <v>200.357177734375</v>
      </c>
      <c r="I195" s="5">
        <f>B195/B194-1</f>
        <v>2.0926998135023966E-2</v>
      </c>
      <c r="J195" s="5">
        <f>C195/C194-1</f>
        <v>2.0470079481017978E-2</v>
      </c>
      <c r="K195" s="5">
        <f>D195/D194-1</f>
        <v>-1.0371103931713366E-3</v>
      </c>
      <c r="L195" s="5">
        <f>E195/E194-1</f>
        <v>3.4986705464583601E-3</v>
      </c>
      <c r="M195" s="5">
        <f>F195/F194-1</f>
        <v>1.9037422862713704E-2</v>
      </c>
      <c r="N195" s="5">
        <f>SUMPRODUCT(I195:M195,$AJ$13:$AN$13)</f>
        <v>7.3115382465884469E-4</v>
      </c>
      <c r="P195" s="2" t="s">
        <v>186</v>
      </c>
      <c r="Q195" s="10" cm="1">
        <f t="array" aca="1" ref="Q195:U195" ca="1">_xlfn.LET(_xlpm.array,_xlfn.RANDARRAY(1,COLUMNS(_xlfn.ANCHORARRAY(Q194)),0,1,FALSE),_xlpm.array/SUM(_xlpm.array))</f>
        <v>0.24245484631986736</v>
      </c>
      <c r="R195" s="2">
        <f ca="1"/>
        <v>3.2979130814594845E-2</v>
      </c>
      <c r="S195" s="2">
        <f ca="1"/>
        <v>0.16747264270744411</v>
      </c>
      <c r="T195" s="2">
        <f ca="1"/>
        <v>0.31170892984043314</v>
      </c>
      <c r="U195" s="2">
        <f ca="1"/>
        <v>0.24538445031766051</v>
      </c>
      <c r="V195" s="12"/>
      <c r="X195" s="2" cm="1">
        <f t="array" aca="1" ref="X195" ca="1">MMULT(MMULT(_xlfn.ANCHORARRAY(Q195),$Q$9:$U$13),TRANSPOSE(_xlfn.ANCHORARRAY(Q195)))</f>
        <v>2.7450713182224177E-4</v>
      </c>
      <c r="Y195" s="2">
        <f t="shared" ca="1" si="10"/>
        <v>1.6568256752665374E-2</v>
      </c>
      <c r="Z195" s="2" cm="1">
        <f t="array" aca="1" ref="Z195" ca="1">MMULT(_xlfn.ANCHORARRAY(Q195),TRANSPOSE($Q$3:$U$3))</f>
        <v>9.2541553115695107E-4</v>
      </c>
      <c r="AA195" s="11">
        <f ca="1">AVEDEV(Q195*$Q$3,R195*$R$3,S195*$S$3,T195*$T$3,U195*$U$3)</f>
        <v>8.9142719026926305E-5</v>
      </c>
      <c r="AB195" s="11" cm="1">
        <f t="array" aca="1" ref="AB195" ca="1">MMULT(_xlfn.ANCHORARRAY(Q195),TRANSPOSE($Q$6:$U$6))</f>
        <v>-2.3248423884218262E-2</v>
      </c>
      <c r="AD195" s="2" t="s">
        <v>186</v>
      </c>
      <c r="AE195" s="10" cm="1">
        <f t="array" aca="1" ref="AE195:AI195" ca="1">_xlfn.LET(_xlpm.array,_xlfn.RANDARRAY(1,COLUMNS(_xlfn.ANCHORARRAY(Q194)),-1,1,FALSE),_xlpm.array/SUM(_xlpm.array))</f>
        <v>-5.2586932404496176</v>
      </c>
      <c r="AF195" s="10">
        <f ca="1"/>
        <v>7.0355580324333502</v>
      </c>
      <c r="AG195" s="10">
        <f ca="1"/>
        <v>-3.1725044796197395</v>
      </c>
      <c r="AH195" s="10">
        <f ca="1"/>
        <v>3.764135913396474</v>
      </c>
      <c r="AI195" s="10">
        <f ca="1"/>
        <v>-1.3684962257604669</v>
      </c>
      <c r="AJ195" s="1"/>
      <c r="AK195" s="2" cm="1">
        <f t="array" aca="1" ref="AK195" ca="1">MMULT(MMULT(_xlfn.ANCHORARRAY(AE195),$Q$9:$U$13),TRANSPOSE(_xlfn.ANCHORARRAY(AE195)))</f>
        <v>3.6853482012059728E-2</v>
      </c>
      <c r="AL195" s="2">
        <f t="shared" ca="1" si="11"/>
        <v>0.19197260745236475</v>
      </c>
      <c r="AM195" s="2" cm="1">
        <f t="array" aca="1" ref="AM195" ca="1">MMULT(_xlfn.ANCHORARRAY(AE196),TRANSPOSE($Q$3:$U$3))</f>
        <v>3.3501878915278248E-2</v>
      </c>
    </row>
    <row r="196" spans="1:39" x14ac:dyDescent="0.35">
      <c r="A196" s="3">
        <v>44112</v>
      </c>
      <c r="B196" s="4">
        <v>22.105064392089801</v>
      </c>
      <c r="C196" s="4">
        <v>59.356906890869098</v>
      </c>
      <c r="D196" s="4">
        <v>31.762750625610298</v>
      </c>
      <c r="E196" s="4">
        <v>9.9373083114624006</v>
      </c>
      <c r="F196" s="4">
        <v>201.07330322265599</v>
      </c>
      <c r="I196" s="5">
        <f>B196/B195-1</f>
        <v>1.4469474626444212E-2</v>
      </c>
      <c r="J196" s="5">
        <f>C196/C195-1</f>
        <v>1.9517663766795978E-2</v>
      </c>
      <c r="K196" s="5">
        <f>D196/D195-1</f>
        <v>1.8543205868453372E-2</v>
      </c>
      <c r="L196" s="5">
        <f>E196/E195-1</f>
        <v>2.022308763667624E-2</v>
      </c>
      <c r="M196" s="5">
        <f>F196/F195-1</f>
        <v>3.5742442391077933E-3</v>
      </c>
      <c r="N196" s="5">
        <f>SUMPRODUCT(I196:M196,$AJ$13:$AN$13)</f>
        <v>1.5474072884147219E-2</v>
      </c>
      <c r="P196" s="2" t="s">
        <v>187</v>
      </c>
      <c r="Q196" s="10" cm="1">
        <f t="array" aca="1" ref="Q196:U196" ca="1">_xlfn.LET(_xlpm.array,_xlfn.RANDARRAY(1,COLUMNS(_xlfn.ANCHORARRAY(Q195)),0,1,FALSE),_xlpm.array/SUM(_xlpm.array))</f>
        <v>0.23751685087095548</v>
      </c>
      <c r="R196" s="2">
        <f ca="1"/>
        <v>0.37304042393933867</v>
      </c>
      <c r="S196" s="2">
        <f ca="1"/>
        <v>7.9803769529535967E-2</v>
      </c>
      <c r="T196" s="2">
        <f ca="1"/>
        <v>5.3338606288334894E-2</v>
      </c>
      <c r="U196" s="2">
        <f ca="1"/>
        <v>0.25630034937183488</v>
      </c>
      <c r="V196" s="12"/>
      <c r="X196" s="2" cm="1">
        <f t="array" aca="1" ref="X196" ca="1">MMULT(MMULT(_xlfn.ANCHORARRAY(Q196),$Q$9:$U$13),TRANSPOSE(_xlfn.ANCHORARRAY(Q196)))</f>
        <v>2.6662221230742262E-4</v>
      </c>
      <c r="Y196" s="2">
        <f t="shared" ca="1" si="10"/>
        <v>1.6328570430610961E-2</v>
      </c>
      <c r="Z196" s="2" cm="1">
        <f t="array" aca="1" ref="Z196" ca="1">MMULT(_xlfn.ANCHORARRAY(Q196),TRANSPOSE($Q$3:$U$3))</f>
        <v>7.7325105049111983E-4</v>
      </c>
      <c r="AA196" s="11">
        <f ca="1">AVEDEV(Q196*$Q$3,R196*$R$3,S196*$S$3,T196*$T$3,U196*$U$3)</f>
        <v>6.3656226023087929E-5</v>
      </c>
      <c r="AB196" s="11" cm="1">
        <f t="array" aca="1" ref="AB196" ca="1">MMULT(_xlfn.ANCHORARRAY(Q196),TRANSPOSE($Q$6:$U$6))</f>
        <v>-2.1484579057044196E-2</v>
      </c>
      <c r="AD196" s="2" t="s">
        <v>187</v>
      </c>
      <c r="AE196" s="10" cm="1">
        <f t="array" aca="1" ref="AE196:AI196" ca="1">_xlfn.LET(_xlpm.array,_xlfn.RANDARRAY(1,COLUMNS(_xlfn.ANCHORARRAY(Q195)),-1,1,FALSE),_xlpm.array/SUM(_xlpm.array))</f>
        <v>26.565459233026161</v>
      </c>
      <c r="AF196" s="10">
        <f ca="1"/>
        <v>20.686399212363021</v>
      </c>
      <c r="AG196" s="10">
        <f ca="1"/>
        <v>57.637002864946602</v>
      </c>
      <c r="AH196" s="10">
        <f ca="1"/>
        <v>-36.020245956798966</v>
      </c>
      <c r="AI196" s="10">
        <f ca="1"/>
        <v>-67.868615353536811</v>
      </c>
      <c r="AJ196" s="1"/>
      <c r="AK196" s="2" cm="1">
        <f t="array" aca="1" ref="AK196" ca="1">MMULT(MMULT(_xlfn.ANCHORARRAY(AE196),$Q$9:$U$13),TRANSPOSE(_xlfn.ANCHORARRAY(AE196)))</f>
        <v>3.2179075719509642</v>
      </c>
      <c r="AL196" s="2">
        <f t="shared" ca="1" si="11"/>
        <v>1.7938527174634389</v>
      </c>
      <c r="AM196" s="2" cm="1">
        <f t="array" aca="1" ref="AM196" ca="1">MMULT(_xlfn.ANCHORARRAY(AE197),TRANSPOSE($Q$3:$U$3))</f>
        <v>1.0851254701891649E-3</v>
      </c>
    </row>
    <row r="197" spans="1:39" x14ac:dyDescent="0.35">
      <c r="A197" s="3">
        <v>44113</v>
      </c>
      <c r="B197" s="4">
        <v>22.210163116455</v>
      </c>
      <c r="C197" s="4">
        <v>58.3941841125488</v>
      </c>
      <c r="D197" s="4">
        <v>31.6378479003906</v>
      </c>
      <c r="E197" s="4">
        <v>10.0527801513671</v>
      </c>
      <c r="F197" s="4">
        <v>206.06723022460901</v>
      </c>
      <c r="I197" s="5">
        <f>B197/B196-1</f>
        <v>4.7545088537632729E-3</v>
      </c>
      <c r="J197" s="5">
        <f>C197/C196-1</f>
        <v>-1.6219220790771982E-2</v>
      </c>
      <c r="K197" s="5">
        <f>D197/D196-1</f>
        <v>-3.9323648852687132E-3</v>
      </c>
      <c r="L197" s="5">
        <f>E197/E196-1</f>
        <v>1.1620031932742414E-2</v>
      </c>
      <c r="M197" s="5">
        <f>F197/F196-1</f>
        <v>2.4836350335494473E-2</v>
      </c>
      <c r="N197" s="5">
        <f>SUMPRODUCT(I197:M197,$AJ$13:$AN$13)</f>
        <v>1.0834845076136282E-2</v>
      </c>
      <c r="P197" s="2" t="s">
        <v>188</v>
      </c>
      <c r="Q197" s="10" cm="1">
        <f t="array" aca="1" ref="Q197:U197" ca="1">_xlfn.LET(_xlpm.array,_xlfn.RANDARRAY(1,COLUMNS(_xlfn.ANCHORARRAY(Q196)),0,1,FALSE),_xlpm.array/SUM(_xlpm.array))</f>
        <v>0.25188558080546292</v>
      </c>
      <c r="R197" s="2">
        <f ca="1"/>
        <v>7.4258364748330266E-2</v>
      </c>
      <c r="S197" s="2">
        <f ca="1"/>
        <v>0.38839391611327834</v>
      </c>
      <c r="T197" s="2">
        <f ca="1"/>
        <v>0.12897676585048357</v>
      </c>
      <c r="U197" s="2">
        <f ca="1"/>
        <v>0.15648537248244498</v>
      </c>
      <c r="V197" s="12"/>
      <c r="X197" s="2" cm="1">
        <f t="array" aca="1" ref="X197" ca="1">MMULT(MMULT(_xlfn.ANCHORARRAY(Q197),$Q$9:$U$13),TRANSPOSE(_xlfn.ANCHORARRAY(Q197)))</f>
        <v>3.3739616272054923E-4</v>
      </c>
      <c r="Y197" s="2">
        <f t="shared" ca="1" si="10"/>
        <v>1.8368346760679069E-2</v>
      </c>
      <c r="Z197" s="2" cm="1">
        <f t="array" aca="1" ref="Z197" ca="1">MMULT(_xlfn.ANCHORARRAY(Q197),TRANSPOSE($Q$3:$U$3))</f>
        <v>1.0644515864685318E-3</v>
      </c>
      <c r="AA197" s="11">
        <f ca="1">AVEDEV(Q197*$Q$3,R197*$R$3,S197*$S$3,T197*$T$3,U197*$U$3)</f>
        <v>1.6714468110785521E-4</v>
      </c>
      <c r="AB197" s="11" cm="1">
        <f t="array" aca="1" ref="AB197" ca="1">MMULT(_xlfn.ANCHORARRAY(Q197),TRANSPOSE($Q$6:$U$6))</f>
        <v>-2.3913109131958332E-2</v>
      </c>
      <c r="AD197" s="2" t="s">
        <v>188</v>
      </c>
      <c r="AE197" s="10" cm="1">
        <f t="array" aca="1" ref="AE197:AI197" ca="1">_xlfn.LET(_xlpm.array,_xlfn.RANDARRAY(1,COLUMNS(_xlfn.ANCHORARRAY(Q196)),-1,1,FALSE),_xlpm.array/SUM(_xlpm.array))</f>
        <v>7.495756684617319E-2</v>
      </c>
      <c r="AF197" s="10">
        <f ca="1"/>
        <v>0.74017098970225526</v>
      </c>
      <c r="AG197" s="10">
        <f ca="1"/>
        <v>0.20292460950927649</v>
      </c>
      <c r="AH197" s="10">
        <f ca="1"/>
        <v>0.74303886849395162</v>
      </c>
      <c r="AI197" s="10">
        <f ca="1"/>
        <v>-0.76109203455165653</v>
      </c>
      <c r="AJ197" s="1"/>
      <c r="AK197" s="2" cm="1">
        <f t="array" aca="1" ref="AK197" ca="1">MMULT(MMULT(_xlfn.ANCHORARRAY(AE197),$Q$9:$U$13),TRANSPOSE(_xlfn.ANCHORARRAY(AE197)))</f>
        <v>1.0418558429139252E-3</v>
      </c>
      <c r="AL197" s="2">
        <f t="shared" ca="1" si="11"/>
        <v>3.2277791791166958E-2</v>
      </c>
      <c r="AM197" s="2" cm="1">
        <f t="array" aca="1" ref="AM197" ca="1">MMULT(_xlfn.ANCHORARRAY(AE198),TRANSPOSE($Q$3:$U$3))</f>
        <v>6.4360906032430811E-4</v>
      </c>
    </row>
    <row r="198" spans="1:39" x14ac:dyDescent="0.35">
      <c r="A198" s="3">
        <v>44116</v>
      </c>
      <c r="B198" s="4">
        <v>22.4904174804687</v>
      </c>
      <c r="C198" s="4">
        <v>58.796646118163999</v>
      </c>
      <c r="D198" s="4">
        <v>32.035690307617102</v>
      </c>
      <c r="E198" s="4">
        <v>9.9848594665527308</v>
      </c>
      <c r="F198" s="4">
        <v>211.40483093261699</v>
      </c>
      <c r="I198" s="5">
        <f>B198/B197-1</f>
        <v>1.2618293820906956E-2</v>
      </c>
      <c r="J198" s="5">
        <f>C198/C197-1</f>
        <v>6.8921590691206625E-3</v>
      </c>
      <c r="K198" s="5">
        <f>D198/D197-1</f>
        <v>1.2574888420953334E-2</v>
      </c>
      <c r="L198" s="5">
        <f>E198/E197-1</f>
        <v>-6.7564080574400442E-3</v>
      </c>
      <c r="M198" s="5">
        <f>F198/F197-1</f>
        <v>2.5902229588810055E-2</v>
      </c>
      <c r="N198" s="5">
        <f>SUMPRODUCT(I198:M198,$AJ$13:$AN$13)</f>
        <v>8.1677818478113305E-3</v>
      </c>
      <c r="P198" s="2" t="s">
        <v>189</v>
      </c>
      <c r="Q198" s="10" cm="1">
        <f t="array" aca="1" ref="Q198:U198" ca="1">_xlfn.LET(_xlpm.array,_xlfn.RANDARRAY(1,COLUMNS(_xlfn.ANCHORARRAY(Q197)),0,1,FALSE),_xlpm.array/SUM(_xlpm.array))</f>
        <v>0.56634814375869613</v>
      </c>
      <c r="R198" s="2">
        <f ca="1"/>
        <v>7.7033180325885445E-3</v>
      </c>
      <c r="S198" s="2">
        <f ca="1"/>
        <v>0.35848355845360297</v>
      </c>
      <c r="T198" s="2">
        <f ca="1"/>
        <v>3.6797283522022307E-2</v>
      </c>
      <c r="U198" s="2">
        <f ca="1"/>
        <v>3.0667696233090052E-2</v>
      </c>
      <c r="V198" s="12"/>
      <c r="X198" s="2" cm="1">
        <f t="array" aca="1" ref="X198" ca="1">MMULT(MMULT(_xlfn.ANCHORARRAY(Q198),$Q$9:$U$13),TRANSPOSE(_xlfn.ANCHORARRAY(Q198)))</f>
        <v>3.8492103591018019E-4</v>
      </c>
      <c r="Y198" s="2">
        <f t="shared" ca="1" si="10"/>
        <v>1.9619404575832066E-2</v>
      </c>
      <c r="Z198" s="2" cm="1">
        <f t="array" aca="1" ref="Z198" ca="1">MMULT(_xlfn.ANCHORARRAY(Q198),TRANSPOSE($Q$3:$U$3))</f>
        <v>9.3669619804571101E-4</v>
      </c>
      <c r="AA198" s="11">
        <f ca="1">AVEDEV(Q198*$Q$3,R198*$R$3,S198*$S$3,T198*$T$3,U198*$U$3)</f>
        <v>1.9813736622832043E-4</v>
      </c>
      <c r="AB198" s="11" cm="1">
        <f t="array" aca="1" ref="AB198" ca="1">MMULT(_xlfn.ANCHORARRAY(Q198),TRANSPOSE($Q$6:$U$6))</f>
        <v>-2.3672984609340468E-2</v>
      </c>
      <c r="AD198" s="2" t="s">
        <v>189</v>
      </c>
      <c r="AE198" s="10" cm="1">
        <f t="array" aca="1" ref="AE198:AI198" ca="1">_xlfn.LET(_xlpm.array,_xlfn.RANDARRAY(1,COLUMNS(_xlfn.ANCHORARRAY(Q197)),-1,1,FALSE),_xlpm.array/SUM(_xlpm.array))</f>
        <v>0.15734386833979733</v>
      </c>
      <c r="AF198" s="10">
        <f ca="1"/>
        <v>0.5204235957455855</v>
      </c>
      <c r="AG198" s="10">
        <f ca="1"/>
        <v>2.2612028893038944E-2</v>
      </c>
      <c r="AH198" s="10">
        <f ca="1"/>
        <v>-0.32045794817007284</v>
      </c>
      <c r="AI198" s="10">
        <f ca="1"/>
        <v>0.62007845519165106</v>
      </c>
      <c r="AJ198" s="1"/>
      <c r="AK198" s="2" cm="1">
        <f t="array" aca="1" ref="AK198" ca="1">MMULT(MMULT(_xlfn.ANCHORARRAY(AE198),$Q$9:$U$13),TRANSPOSE(_xlfn.ANCHORARRAY(AE198)))</f>
        <v>3.0880958629666503E-4</v>
      </c>
      <c r="AL198" s="2">
        <f t="shared" ca="1" si="11"/>
        <v>1.7572978868042408E-2</v>
      </c>
      <c r="AM198" s="2" cm="1">
        <f t="array" aca="1" ref="AM198" ca="1">MMULT(_xlfn.ANCHORARRAY(AE199),TRANSPOSE($Q$3:$U$3))</f>
        <v>1.0408067386575813E-3</v>
      </c>
    </row>
    <row r="199" spans="1:39" x14ac:dyDescent="0.35">
      <c r="A199" s="3">
        <v>44117</v>
      </c>
      <c r="B199" s="4">
        <v>21.851087570190401</v>
      </c>
      <c r="C199" s="4">
        <v>57.920722961425703</v>
      </c>
      <c r="D199" s="4">
        <v>32.618576049804602</v>
      </c>
      <c r="E199" s="4">
        <v>9.82863044738769</v>
      </c>
      <c r="F199" s="4">
        <v>212.79895019531199</v>
      </c>
      <c r="I199" s="5">
        <f>B199/B198-1</f>
        <v>-2.8426769348924297E-2</v>
      </c>
      <c r="J199" s="5">
        <f>C199/C198-1</f>
        <v>-1.489750206122209E-2</v>
      </c>
      <c r="K199" s="5">
        <f>D199/D198-1</f>
        <v>1.8194886284342404E-2</v>
      </c>
      <c r="L199" s="5">
        <f>E199/E198-1</f>
        <v>-1.5646591690987366E-2</v>
      </c>
      <c r="M199" s="5">
        <f>F199/F198-1</f>
        <v>6.5945477998057278E-3</v>
      </c>
      <c r="N199" s="5">
        <f>SUMPRODUCT(I199:M199,$AJ$13:$AN$13)</f>
        <v>1.3074958073656721E-2</v>
      </c>
      <c r="P199" s="2" t="s">
        <v>190</v>
      </c>
      <c r="Q199" s="10" cm="1">
        <f t="array" aca="1" ref="Q199:U199" ca="1">_xlfn.LET(_xlpm.array,_xlfn.RANDARRAY(1,COLUMNS(_xlfn.ANCHORARRAY(Q198)),0,1,FALSE),_xlpm.array/SUM(_xlpm.array))</f>
        <v>0.11769734863452583</v>
      </c>
      <c r="R199" s="2">
        <f ca="1"/>
        <v>0.2766288063672665</v>
      </c>
      <c r="S199" s="2">
        <f ca="1"/>
        <v>8.7498333692412389E-2</v>
      </c>
      <c r="T199" s="2">
        <f ca="1"/>
        <v>0.2656640618235408</v>
      </c>
      <c r="U199" s="2">
        <f ca="1"/>
        <v>0.25251144948225457</v>
      </c>
      <c r="V199" s="12"/>
      <c r="X199" s="2" cm="1">
        <f t="array" aca="1" ref="X199" ca="1">MMULT(MMULT(_xlfn.ANCHORARRAY(Q199),$Q$9:$U$13),TRANSPOSE(_xlfn.ANCHORARRAY(Q199)))</f>
        <v>2.7112944376936538E-4</v>
      </c>
      <c r="Y199" s="2">
        <f t="shared" ca="1" si="10"/>
        <v>1.6466008738287654E-2</v>
      </c>
      <c r="Z199" s="2" cm="1">
        <f t="array" aca="1" ref="Z199" ca="1">MMULT(_xlfn.ANCHORARRAY(Q199),TRANSPOSE($Q$3:$U$3))</f>
        <v>8.68463055641521E-4</v>
      </c>
      <c r="AA199" s="11">
        <f ca="1">AVEDEV(Q199*$Q$3,R199*$R$3,S199*$S$3,T199*$T$3,U199*$U$3)</f>
        <v>5.8187449974583179E-5</v>
      </c>
      <c r="AB199" s="11" cm="1">
        <f t="array" aca="1" ref="AB199" ca="1">MMULT(_xlfn.ANCHORARRAY(Q199),TRANSPOSE($Q$6:$U$6))</f>
        <v>-2.238493663965236E-2</v>
      </c>
      <c r="AD199" s="2" t="s">
        <v>190</v>
      </c>
      <c r="AE199" s="10" cm="1">
        <f t="array" aca="1" ref="AE199:AI199" ca="1">_xlfn.LET(_xlpm.array,_xlfn.RANDARRAY(1,COLUMNS(_xlfn.ANCHORARRAY(Q198)),-1,1,FALSE),_xlpm.array/SUM(_xlpm.array))</f>
        <v>-0.18743432835458648</v>
      </c>
      <c r="AF199" s="10">
        <f ca="1"/>
        <v>0.4161904223015459</v>
      </c>
      <c r="AG199" s="10">
        <f ca="1"/>
        <v>0.22914543702021886</v>
      </c>
      <c r="AH199" s="10">
        <f ca="1"/>
        <v>0.17678765679047778</v>
      </c>
      <c r="AI199" s="10">
        <f ca="1"/>
        <v>0.36531081224234385</v>
      </c>
      <c r="AJ199" s="1"/>
      <c r="AK199" s="2" cm="1">
        <f t="array" aca="1" ref="AK199" ca="1">MMULT(MMULT(_xlfn.ANCHORARRAY(AE199),$Q$9:$U$13),TRANSPOSE(_xlfn.ANCHORARRAY(AE199)))</f>
        <v>3.0051433412134359E-4</v>
      </c>
      <c r="AL199" s="2">
        <f t="shared" ca="1" si="11"/>
        <v>1.7335349264475278E-2</v>
      </c>
      <c r="AM199" s="2" cm="1">
        <f t="array" aca="1" ref="AM199" ca="1">MMULT(_xlfn.ANCHORARRAY(AE200),TRANSPOSE($Q$3:$U$3))</f>
        <v>9.9423616214745531E-4</v>
      </c>
    </row>
    <row r="200" spans="1:39" x14ac:dyDescent="0.35">
      <c r="A200" s="3">
        <v>44118</v>
      </c>
      <c r="B200" s="4">
        <v>20.686281204223601</v>
      </c>
      <c r="C200" s="4">
        <v>57.565620422363203</v>
      </c>
      <c r="D200" s="4">
        <v>32.683345794677699</v>
      </c>
      <c r="E200" s="4">
        <v>9.8490076065063406</v>
      </c>
      <c r="F200" s="4">
        <v>210.88922119140599</v>
      </c>
      <c r="I200" s="5">
        <f>B200/B199-1</f>
        <v>-5.3306562532651536E-2</v>
      </c>
      <c r="J200" s="5">
        <f>C200/C199-1</f>
        <v>-6.1308374776156693E-3</v>
      </c>
      <c r="K200" s="5">
        <f>D200/D199-1</f>
        <v>1.9856705202030422E-3</v>
      </c>
      <c r="L200" s="5">
        <f>E200/E199-1</f>
        <v>2.0732450190013019E-3</v>
      </c>
      <c r="M200" s="5">
        <f>F200/F199-1</f>
        <v>-8.9743347049090483E-3</v>
      </c>
      <c r="N200" s="5">
        <f>SUMPRODUCT(I200:M200,$AJ$13:$AN$13)</f>
        <v>1.4622606545692959E-2</v>
      </c>
      <c r="P200" s="2" t="s">
        <v>191</v>
      </c>
      <c r="Q200" s="10" cm="1">
        <f t="array" aca="1" ref="Q200:U200" ca="1">_xlfn.LET(_xlpm.array,_xlfn.RANDARRAY(1,COLUMNS(_xlfn.ANCHORARRAY(Q199)),0,1,FALSE),_xlpm.array/SUM(_xlpm.array))</f>
        <v>0.32945920455393907</v>
      </c>
      <c r="R200" s="2">
        <f ca="1"/>
        <v>8.4660357711215148E-2</v>
      </c>
      <c r="S200" s="2">
        <f ca="1"/>
        <v>0.22433279438908932</v>
      </c>
      <c r="T200" s="2">
        <f ca="1"/>
        <v>0.19259148759217357</v>
      </c>
      <c r="U200" s="2">
        <f ca="1"/>
        <v>0.16895615575358286</v>
      </c>
      <c r="V200" s="12"/>
      <c r="X200" s="2" cm="1">
        <f t="array" aca="1" ref="X200" ca="1">MMULT(MMULT(_xlfn.ANCHORARRAY(Q200),$Q$9:$U$13),TRANSPOSE(_xlfn.ANCHORARRAY(Q200)))</f>
        <v>2.9051368474919599E-4</v>
      </c>
      <c r="Y200" s="2">
        <f t="shared" ca="1" si="10"/>
        <v>1.7044461996472519E-2</v>
      </c>
      <c r="Z200" s="2" cm="1">
        <f t="array" aca="1" ref="Z200" ca="1">MMULT(_xlfn.ANCHORARRAY(Q200),TRANSPOSE($Q$3:$U$3))</f>
        <v>9.1956685799905302E-4</v>
      </c>
      <c r="AA200" s="11">
        <f ca="1">AVEDEV(Q200*$Q$3,R200*$R$3,S200*$S$3,T200*$T$3,U200*$U$3)</f>
        <v>7.7297860223324256E-5</v>
      </c>
      <c r="AB200" s="11" cm="1">
        <f t="array" aca="1" ref="AB200" ca="1">MMULT(_xlfn.ANCHORARRAY(Q200),TRANSPOSE($Q$6:$U$6))</f>
        <v>-2.3201006956203658E-2</v>
      </c>
      <c r="AD200" s="2" t="s">
        <v>191</v>
      </c>
      <c r="AE200" s="10" cm="1">
        <f t="array" aca="1" ref="AE200:AI200" ca="1">_xlfn.LET(_xlpm.array,_xlfn.RANDARRAY(1,COLUMNS(_xlfn.ANCHORARRAY(Q199)),-1,1,FALSE),_xlpm.array/SUM(_xlpm.array))</f>
        <v>0.4017851781958422</v>
      </c>
      <c r="AF200" s="10">
        <f ca="1"/>
        <v>-0.41795074650990161</v>
      </c>
      <c r="AG200" s="10">
        <f ca="1"/>
        <v>0.23159520177496967</v>
      </c>
      <c r="AH200" s="10">
        <f ca="1"/>
        <v>0.46362497174702044</v>
      </c>
      <c r="AI200" s="10">
        <f ca="1"/>
        <v>0.32094539479206935</v>
      </c>
      <c r="AJ200" s="1"/>
      <c r="AK200" s="2" cm="1">
        <f t="array" aca="1" ref="AK200" ca="1">MMULT(MMULT(_xlfn.ANCHORARRAY(AE200),$Q$9:$U$13),TRANSPOSE(_xlfn.ANCHORARRAY(AE200)))</f>
        <v>3.3535889288165344E-4</v>
      </c>
      <c r="AL200" s="2">
        <f t="shared" ca="1" si="11"/>
        <v>1.8312806799659451E-2</v>
      </c>
      <c r="AM200" s="2" cm="1">
        <f t="array" aca="1" ref="AM200" ca="1">MMULT(_xlfn.ANCHORARRAY(AE201),TRANSPOSE($Q$3:$U$3))</f>
        <v>9.5590484528125367E-4</v>
      </c>
    </row>
    <row r="201" spans="1:39" x14ac:dyDescent="0.35">
      <c r="A201" s="3">
        <v>44119</v>
      </c>
      <c r="B201" s="4">
        <v>21.150453567504801</v>
      </c>
      <c r="C201" s="4">
        <v>58.007518768310497</v>
      </c>
      <c r="D201" s="4">
        <v>32.401153564453097</v>
      </c>
      <c r="E201" s="4">
        <v>9.7131614685058594</v>
      </c>
      <c r="F201" s="4">
        <v>209.743408203125</v>
      </c>
      <c r="I201" s="5">
        <f>B201/B200-1</f>
        <v>2.2438656745439101E-2</v>
      </c>
      <c r="J201" s="5">
        <f>C201/C200-1</f>
        <v>7.6764280955377018E-3</v>
      </c>
      <c r="K201" s="5">
        <f>D201/D200-1</f>
        <v>-8.6341291983196289E-3</v>
      </c>
      <c r="L201" s="5">
        <f>E201/E200-1</f>
        <v>-1.3792875732042242E-2</v>
      </c>
      <c r="M201" s="5">
        <f>F201/F200-1</f>
        <v>-5.4332458615371504E-3</v>
      </c>
      <c r="N201" s="5">
        <f>SUMPRODUCT(I201:M201,$AJ$13:$AN$13)</f>
        <v>-1.9496370625396903E-2</v>
      </c>
      <c r="P201" s="2" t="s">
        <v>192</v>
      </c>
      <c r="Q201" s="10" cm="1">
        <f t="array" aca="1" ref="Q201:U201" ca="1">_xlfn.LET(_xlpm.array,_xlfn.RANDARRAY(1,COLUMNS(_xlfn.ANCHORARRAY(Q200)),0,1,FALSE),_xlpm.array/SUM(_xlpm.array))</f>
        <v>0.12950859942227794</v>
      </c>
      <c r="R201" s="2">
        <f ca="1"/>
        <v>0.27541108305329098</v>
      </c>
      <c r="S201" s="2">
        <f ca="1"/>
        <v>0.16011771907012476</v>
      </c>
      <c r="T201" s="2">
        <f ca="1"/>
        <v>0.26879554989933468</v>
      </c>
      <c r="U201" s="2">
        <f ca="1"/>
        <v>0.16616704855497172</v>
      </c>
      <c r="V201" s="12"/>
      <c r="X201" s="2" cm="1">
        <f t="array" aca="1" ref="X201" ca="1">MMULT(MMULT(_xlfn.ANCHORARRAY(Q201),$Q$9:$U$13),TRANSPOSE(_xlfn.ANCHORARRAY(Q201)))</f>
        <v>2.8934712795767231E-4</v>
      </c>
      <c r="Y201" s="2">
        <f t="shared" ca="1" si="10"/>
        <v>1.7010206581863498E-2</v>
      </c>
      <c r="Z201" s="2" cm="1">
        <f t="array" aca="1" ref="Z201" ca="1">MMULT(_xlfn.ANCHORARRAY(Q201),TRANSPOSE($Q$3:$U$3))</f>
        <v>9.2866912556140407E-4</v>
      </c>
      <c r="AA201" s="11">
        <f ca="1">AVEDEV(Q201*$Q$3,R201*$R$3,S201*$S$3,T201*$T$3,U201*$U$3)</f>
        <v>7.1420755634190802E-5</v>
      </c>
      <c r="AB201" s="11" cm="1">
        <f t="array" aca="1" ref="AB201" ca="1">MMULT(_xlfn.ANCHORARRAY(Q201),TRANSPOSE($Q$6:$U$6))</f>
        <v>-2.2927505480996958E-2</v>
      </c>
      <c r="AD201" s="2" t="s">
        <v>192</v>
      </c>
      <c r="AE201" s="10" cm="1">
        <f t="array" aca="1" ref="AE201:AI201" ca="1">_xlfn.LET(_xlpm.array,_xlfn.RANDARRAY(1,COLUMNS(_xlfn.ANCHORARRAY(Q200)),-1,1,FALSE),_xlpm.array/SUM(_xlpm.array))</f>
        <v>0.25109925932141003</v>
      </c>
      <c r="AF201" s="10">
        <f ca="1"/>
        <v>0.10045591998791095</v>
      </c>
      <c r="AG201" s="10">
        <f ca="1"/>
        <v>0.23863163730048811</v>
      </c>
      <c r="AH201" s="10">
        <f ca="1"/>
        <v>0.21008691751908398</v>
      </c>
      <c r="AI201" s="10">
        <f ca="1"/>
        <v>0.19972626587110712</v>
      </c>
      <c r="AJ201" s="1"/>
      <c r="AK201" s="2" cm="1">
        <f t="array" aca="1" ref="AK201" ca="1">MMULT(MMULT(_xlfn.ANCHORARRAY(AE201),$Q$9:$U$13),TRANSPOSE(_xlfn.ANCHORARRAY(AE201)))</f>
        <v>2.8572395584647748E-4</v>
      </c>
      <c r="AL201" s="2">
        <f t="shared" ca="1" si="11"/>
        <v>1.6903371138517826E-2</v>
      </c>
      <c r="AM201" s="2" cm="1">
        <f t="array" aca="1" ref="AM201" ca="1">MMULT(_xlfn.ANCHORARRAY(AE202),TRANSPOSE($Q$3:$U$3))</f>
        <v>1.0824861837950229E-3</v>
      </c>
    </row>
    <row r="202" spans="1:39" x14ac:dyDescent="0.35">
      <c r="A202" s="3">
        <v>44120</v>
      </c>
      <c r="B202" s="4">
        <v>21.229272842407202</v>
      </c>
      <c r="C202" s="4">
        <v>57.518280029296797</v>
      </c>
      <c r="D202" s="4">
        <v>32.452037811279297</v>
      </c>
      <c r="E202" s="4">
        <v>9.6248588562011701</v>
      </c>
      <c r="F202" s="4">
        <v>209.743408203125</v>
      </c>
      <c r="I202" s="5">
        <f>B202/B201-1</f>
        <v>3.7265997464706047E-3</v>
      </c>
      <c r="J202" s="5">
        <f>C202/C201-1</f>
        <v>-8.4340573325982771E-3</v>
      </c>
      <c r="K202" s="5">
        <f>D202/D201-1</f>
        <v>1.5704455313598764E-3</v>
      </c>
      <c r="L202" s="5">
        <f>E202/E201-1</f>
        <v>-9.091026911372091E-3</v>
      </c>
      <c r="M202" s="5">
        <f>F202/F201-1</f>
        <v>0</v>
      </c>
      <c r="N202" s="5">
        <f>SUMPRODUCT(I202:M202,$AJ$13:$AN$13)</f>
        <v>-4.2316213901911759E-3</v>
      </c>
      <c r="P202" s="2" t="s">
        <v>193</v>
      </c>
      <c r="Q202" s="10" cm="1">
        <f t="array" aca="1" ref="Q202:U202" ca="1">_xlfn.LET(_xlpm.array,_xlfn.RANDARRAY(1,COLUMNS(_xlfn.ANCHORARRAY(Q201)),0,1,FALSE),_xlpm.array/SUM(_xlpm.array))</f>
        <v>0.33591901025363363</v>
      </c>
      <c r="R202" s="2">
        <f ca="1"/>
        <v>1.6398791055992089E-2</v>
      </c>
      <c r="S202" s="2">
        <f ca="1"/>
        <v>0.19840321773138908</v>
      </c>
      <c r="T202" s="2">
        <f ca="1"/>
        <v>1.4708065175354766E-2</v>
      </c>
      <c r="U202" s="2">
        <f ca="1"/>
        <v>0.43457091578363044</v>
      </c>
      <c r="V202" s="12"/>
      <c r="X202" s="2" cm="1">
        <f t="array" aca="1" ref="X202" ca="1">MMULT(MMULT(_xlfn.ANCHORARRAY(Q202),$Q$9:$U$13),TRANSPOSE(_xlfn.ANCHORARRAY(Q202)))</f>
        <v>2.8284067358141712E-4</v>
      </c>
      <c r="Y202" s="2">
        <f t="shared" ca="1" si="10"/>
        <v>1.6817867688307491E-2</v>
      </c>
      <c r="Z202" s="2" cm="1">
        <f t="array" aca="1" ref="Z202" ca="1">MMULT(_xlfn.ANCHORARRAY(Q202),TRANSPOSE($Q$3:$U$3))</f>
        <v>8.5232082829784692E-4</v>
      </c>
      <c r="AA202" s="11">
        <f ca="1">AVEDEV(Q202*$Q$3,R202*$R$3,S202*$S$3,T202*$T$3,U202*$U$3)</f>
        <v>1.2557091297713999E-4</v>
      </c>
      <c r="AB202" s="11" cm="1">
        <f t="array" aca="1" ref="AB202" ca="1">MMULT(_xlfn.ANCHORARRAY(Q202),TRANSPOSE($Q$6:$U$6))</f>
        <v>-2.2100984347039471E-2</v>
      </c>
      <c r="AD202" s="2" t="s">
        <v>193</v>
      </c>
      <c r="AE202" s="10" cm="1">
        <f t="array" aca="1" ref="AE202:AI202" ca="1">_xlfn.LET(_xlpm.array,_xlfn.RANDARRAY(1,COLUMNS(_xlfn.ANCHORARRAY(Q201)),-1,1,FALSE),_xlpm.array/SUM(_xlpm.array))</f>
        <v>-4.6344464037513619E-2</v>
      </c>
      <c r="AF202" s="10">
        <f ca="1"/>
        <v>0.39047548572218638</v>
      </c>
      <c r="AG202" s="10">
        <f ca="1"/>
        <v>0.27454633500305464</v>
      </c>
      <c r="AH202" s="10">
        <f ca="1"/>
        <v>0.32473719353145503</v>
      </c>
      <c r="AI202" s="10">
        <f ca="1"/>
        <v>5.6585449780817566E-2</v>
      </c>
      <c r="AJ202" s="1"/>
      <c r="AK202" s="2" cm="1">
        <f t="array" aca="1" ref="AK202" ca="1">MMULT(MMULT(_xlfn.ANCHORARRAY(AE202),$Q$9:$U$13),TRANSPOSE(_xlfn.ANCHORARRAY(AE202)))</f>
        <v>3.5929041989636172E-4</v>
      </c>
      <c r="AL202" s="2">
        <f t="shared" ca="1" si="11"/>
        <v>1.8954957660104698E-2</v>
      </c>
      <c r="AM202" s="2" cm="1">
        <f t="array" aca="1" ref="AM202" ca="1">MMULT(_xlfn.ANCHORARRAY(AE203),TRANSPOSE($Q$3:$U$3))</f>
        <v>3.4018981499534993E-5</v>
      </c>
    </row>
    <row r="203" spans="1:39" x14ac:dyDescent="0.35">
      <c r="A203" s="3">
        <v>44123</v>
      </c>
      <c r="B203" s="4">
        <v>20.773860931396399</v>
      </c>
      <c r="C203" s="4">
        <v>56.247810363769503</v>
      </c>
      <c r="D203" s="4">
        <v>32.151340484619098</v>
      </c>
      <c r="E203" s="4">
        <v>9.6180667877197195</v>
      </c>
      <c r="F203" s="4">
        <v>204.54896545410099</v>
      </c>
      <c r="I203" s="5">
        <f>B203/B202-1</f>
        <v>-2.1452073012179662E-2</v>
      </c>
      <c r="J203" s="5">
        <f>C203/C202-1</f>
        <v>-2.2088102510718022E-2</v>
      </c>
      <c r="K203" s="5">
        <f>D203/D202-1</f>
        <v>-9.2658996765894175E-3</v>
      </c>
      <c r="L203" s="5">
        <f>E203/E202-1</f>
        <v>-7.056798009120735E-4</v>
      </c>
      <c r="M203" s="5">
        <f>F203/F202-1</f>
        <v>-2.476570202384365E-2</v>
      </c>
      <c r="N203" s="5">
        <f>SUMPRODUCT(I203:M203,$AJ$13:$AN$13)</f>
        <v>-6.4992465948199418E-3</v>
      </c>
      <c r="P203" s="2" t="s">
        <v>194</v>
      </c>
      <c r="Q203" s="10" cm="1">
        <f t="array" aca="1" ref="Q203:U203" ca="1">_xlfn.LET(_xlpm.array,_xlfn.RANDARRAY(1,COLUMNS(_xlfn.ANCHORARRAY(Q202)),0,1,FALSE),_xlpm.array/SUM(_xlpm.array))</f>
        <v>0.10252815293375252</v>
      </c>
      <c r="R203" s="2">
        <f ca="1"/>
        <v>0.23901113561986145</v>
      </c>
      <c r="S203" s="2">
        <f ca="1"/>
        <v>0.22710758799906566</v>
      </c>
      <c r="T203" s="2">
        <f ca="1"/>
        <v>0.21509499317207839</v>
      </c>
      <c r="U203" s="2">
        <f ca="1"/>
        <v>0.21625813027524207</v>
      </c>
      <c r="V203" s="12"/>
      <c r="X203" s="2" cm="1">
        <f t="array" aca="1" ref="X203" ca="1">MMULT(MMULT(_xlfn.ANCHORARRAY(Q203),$Q$9:$U$13),TRANSPOSE(_xlfn.ANCHORARRAY(Q203)))</f>
        <v>2.8366130874879844E-4</v>
      </c>
      <c r="Y203" s="2">
        <f t="shared" ca="1" si="10"/>
        <v>1.6842247734456302E-2</v>
      </c>
      <c r="Z203" s="2" cm="1">
        <f t="array" aca="1" ref="Z203" ca="1">MMULT(_xlfn.ANCHORARRAY(Q203),TRANSPOSE($Q$3:$U$3))</f>
        <v>9.8061829743401182E-4</v>
      </c>
      <c r="AA203" s="11">
        <f ca="1">AVEDEV(Q203*$Q$3,R203*$R$3,S203*$S$3,T203*$T$3,U203*$U$3)</f>
        <v>7.8528123387350485E-5</v>
      </c>
      <c r="AB203" s="11" cm="1">
        <f t="array" aca="1" ref="AB203" ca="1">MMULT(_xlfn.ANCHORARRAY(Q203),TRANSPOSE($Q$6:$U$6))</f>
        <v>-2.3070553057698881E-2</v>
      </c>
      <c r="AD203" s="2" t="s">
        <v>194</v>
      </c>
      <c r="AE203" s="10" cm="1">
        <f t="array" aca="1" ref="AE203:AI203" ca="1">_xlfn.LET(_xlpm.array,_xlfn.RANDARRAY(1,COLUMNS(_xlfn.ANCHORARRAY(Q202)),-1,1,FALSE),_xlpm.array/SUM(_xlpm.array))</f>
        <v>-0.10974371520459981</v>
      </c>
      <c r="AF203" s="10">
        <f ca="1"/>
        <v>0.67964743425892904</v>
      </c>
      <c r="AG203" s="10">
        <f ca="1"/>
        <v>-1.0111683932836284</v>
      </c>
      <c r="AH203" s="10">
        <f ca="1"/>
        <v>0.51904682569138783</v>
      </c>
      <c r="AI203" s="10">
        <f ca="1"/>
        <v>0.92221784853791144</v>
      </c>
      <c r="AJ203" s="1"/>
      <c r="AK203" s="2" cm="1">
        <f t="array" aca="1" ref="AK203" ca="1">MMULT(MMULT(_xlfn.ANCHORARRAY(AE203),$Q$9:$U$13),TRANSPOSE(_xlfn.ANCHORARRAY(AE203)))</f>
        <v>1.0789977448125636E-3</v>
      </c>
      <c r="AL203" s="2">
        <f t="shared" ca="1" si="11"/>
        <v>3.2848101083815535E-2</v>
      </c>
      <c r="AM203" s="2" cm="1">
        <f t="array" aca="1" ref="AM203" ca="1">MMULT(_xlfn.ANCHORARRAY(AE204),TRANSPOSE($Q$3:$U$3))</f>
        <v>1.144637948222036E-3</v>
      </c>
    </row>
    <row r="204" spans="1:39" x14ac:dyDescent="0.35">
      <c r="A204" s="3">
        <v>44124</v>
      </c>
      <c r="B204" s="4">
        <v>21.1416931152343</v>
      </c>
      <c r="C204" s="4">
        <v>56.563453674316399</v>
      </c>
      <c r="D204" s="4">
        <v>32.109706878662102</v>
      </c>
      <c r="E204" s="4">
        <v>9.72674465179443</v>
      </c>
      <c r="F204" s="4">
        <v>204.959548950195</v>
      </c>
      <c r="I204" s="5">
        <f>B204/B203-1</f>
        <v>1.7706491106907363E-2</v>
      </c>
      <c r="J204" s="5">
        <f>C204/C203-1</f>
        <v>5.6116550760918482E-3</v>
      </c>
      <c r="K204" s="5">
        <f>D204/D203-1</f>
        <v>-1.2949259760075549E-3</v>
      </c>
      <c r="L204" s="5">
        <f>E204/E203-1</f>
        <v>1.1299345957284324E-2</v>
      </c>
      <c r="M204" s="5">
        <f>F204/F203-1</f>
        <v>2.0072626384715075E-3</v>
      </c>
      <c r="N204" s="5">
        <f>SUMPRODUCT(I204:M204,$AJ$13:$AN$13)</f>
        <v>-2.8822653899662786E-5</v>
      </c>
      <c r="P204" s="2" t="s">
        <v>195</v>
      </c>
      <c r="Q204" s="10" cm="1">
        <f t="array" aca="1" ref="Q204:U204" ca="1">_xlfn.LET(_xlpm.array,_xlfn.RANDARRAY(1,COLUMNS(_xlfn.ANCHORARRAY(Q203)),0,1,FALSE),_xlpm.array/SUM(_xlpm.array))</f>
        <v>8.8308527114622004E-2</v>
      </c>
      <c r="R204" s="2">
        <f ca="1"/>
        <v>0.23885103380518682</v>
      </c>
      <c r="S204" s="2">
        <f ca="1"/>
        <v>7.812536318257364E-2</v>
      </c>
      <c r="T204" s="2">
        <f ca="1"/>
        <v>0.1540416475038664</v>
      </c>
      <c r="U204" s="2">
        <f ca="1"/>
        <v>0.44067342839375112</v>
      </c>
      <c r="V204" s="12"/>
      <c r="X204" s="2" cm="1">
        <f t="array" aca="1" ref="X204" ca="1">MMULT(MMULT(_xlfn.ANCHORARRAY(Q204),$Q$9:$U$13),TRANSPOSE(_xlfn.ANCHORARRAY(Q204)))</f>
        <v>2.450479940835334E-4</v>
      </c>
      <c r="Y204" s="2">
        <f t="shared" ca="1" si="10"/>
        <v>1.5654008882185207E-2</v>
      </c>
      <c r="Z204" s="2" cm="1">
        <f t="array" aca="1" ref="Z204" ca="1">MMULT(_xlfn.ANCHORARRAY(Q204),TRANSPOSE($Q$3:$U$3))</f>
        <v>8.4059881906069288E-4</v>
      </c>
      <c r="AA204" s="11">
        <f ca="1">AVEDEV(Q204*$Q$3,R204*$R$3,S204*$S$3,T204*$T$3,U204*$U$3)</f>
        <v>7.0091831348413427E-5</v>
      </c>
      <c r="AB204" s="11" cm="1">
        <f t="array" aca="1" ref="AB204" ca="1">MMULT(_xlfn.ANCHORARRAY(Q204),TRANSPOSE($Q$6:$U$6))</f>
        <v>-2.1696007586822066E-2</v>
      </c>
      <c r="AD204" s="2" t="s">
        <v>195</v>
      </c>
      <c r="AE204" s="10" cm="1">
        <f t="array" aca="1" ref="AE204:AI204" ca="1">_xlfn.LET(_xlpm.array,_xlfn.RANDARRAY(1,COLUMNS(_xlfn.ANCHORARRAY(Q203)),-1,1,FALSE),_xlpm.array/SUM(_xlpm.array))</f>
        <v>0.48225806898223228</v>
      </c>
      <c r="AF204" s="10">
        <f ca="1"/>
        <v>0.95290497065092417</v>
      </c>
      <c r="AG204" s="10">
        <f ca="1"/>
        <v>0.67825379711612177</v>
      </c>
      <c r="AH204" s="10">
        <f ca="1"/>
        <v>-0.17993185203198042</v>
      </c>
      <c r="AI204" s="10">
        <f ca="1"/>
        <v>-0.93348498471729768</v>
      </c>
      <c r="AJ204" s="1"/>
      <c r="AK204" s="2" cm="1">
        <f t="array" aca="1" ref="AK204" ca="1">MMULT(MMULT(_xlfn.ANCHORARRAY(AE204),$Q$9:$U$13),TRANSPOSE(_xlfn.ANCHORARRAY(AE204)))</f>
        <v>1.0751225730136584E-3</v>
      </c>
      <c r="AL204" s="2">
        <f t="shared" ca="1" si="11"/>
        <v>3.2789061789164665E-2</v>
      </c>
      <c r="AM204" s="2" cm="1">
        <f t="array" aca="1" ref="AM204" ca="1">MMULT(_xlfn.ANCHORARRAY(AE205),TRANSPOSE($Q$3:$U$3))</f>
        <v>4.5645207883573827E-5</v>
      </c>
    </row>
    <row r="205" spans="1:39" x14ac:dyDescent="0.35">
      <c r="A205" s="3">
        <v>44125</v>
      </c>
      <c r="B205" s="4">
        <v>21.062871932983398</v>
      </c>
      <c r="C205" s="4">
        <v>55.92427444458</v>
      </c>
      <c r="D205" s="4">
        <v>32.304004669189403</v>
      </c>
      <c r="E205" s="4">
        <v>9.5773124694824201</v>
      </c>
      <c r="F205" s="4">
        <v>205.10279846191401</v>
      </c>
      <c r="I205" s="5">
        <f>B205/B204-1</f>
        <v>-3.728234149520615E-3</v>
      </c>
      <c r="J205" s="5">
        <f>C205/C204-1</f>
        <v>-1.130021574383866E-2</v>
      </c>
      <c r="K205" s="5">
        <f>D205/D204-1</f>
        <v>6.0510608602415417E-3</v>
      </c>
      <c r="L205" s="5">
        <f>E205/E204-1</f>
        <v>-1.5363020996386756E-2</v>
      </c>
      <c r="M205" s="5">
        <f>F205/F204-1</f>
        <v>6.9891601758853561E-4</v>
      </c>
      <c r="N205" s="5">
        <f>SUMPRODUCT(I205:M205,$AJ$13:$AN$13)</f>
        <v>-2.3459098878796355E-3</v>
      </c>
      <c r="P205" s="2" t="s">
        <v>196</v>
      </c>
      <c r="Q205" s="10" cm="1">
        <f t="array" aca="1" ref="Q205:U205" ca="1">_xlfn.LET(_xlpm.array,_xlfn.RANDARRAY(1,COLUMNS(_xlfn.ANCHORARRAY(Q204)),0,1,FALSE),_xlpm.array/SUM(_xlpm.array))</f>
        <v>0.27102621101040303</v>
      </c>
      <c r="R205" s="2">
        <f ca="1"/>
        <v>4.2522419754368018E-2</v>
      </c>
      <c r="S205" s="2">
        <f ca="1"/>
        <v>0.42362092101537668</v>
      </c>
      <c r="T205" s="2">
        <f ca="1"/>
        <v>6.8641584033588181E-3</v>
      </c>
      <c r="U205" s="2">
        <f ca="1"/>
        <v>0.25596628981649344</v>
      </c>
      <c r="V205" s="12"/>
      <c r="X205" s="2" cm="1">
        <f t="array" aca="1" ref="X205" ca="1">MMULT(MMULT(_xlfn.ANCHORARRAY(Q205),$Q$9:$U$13),TRANSPOSE(_xlfn.ANCHORARRAY(Q205)))</f>
        <v>3.5786193164202926E-4</v>
      </c>
      <c r="Y205" s="2">
        <f t="shared" ca="1" si="10"/>
        <v>1.8917239006843185E-2</v>
      </c>
      <c r="Z205" s="2" cm="1">
        <f t="array" aca="1" ref="Z205" ca="1">MMULT(_xlfn.ANCHORARRAY(Q205),TRANSPOSE($Q$3:$U$3))</f>
        <v>1.0595496250906172E-3</v>
      </c>
      <c r="AA205" s="11">
        <f ca="1">AVEDEV(Q205*$Q$3,R205*$R$3,S205*$S$3,T205*$T$3,U205*$U$3)</f>
        <v>1.9042031129710789E-4</v>
      </c>
      <c r="AB205" s="11" cm="1">
        <f t="array" aca="1" ref="AB205" ca="1">MMULT(_xlfn.ANCHORARRAY(Q205),TRANSPOSE($Q$6:$U$6))</f>
        <v>-2.3559160768686634E-2</v>
      </c>
      <c r="AD205" s="2" t="s">
        <v>196</v>
      </c>
      <c r="AE205" s="10" cm="1">
        <f t="array" aca="1" ref="AE205:AI205" ca="1">_xlfn.LET(_xlpm.array,_xlfn.RANDARRAY(1,COLUMNS(_xlfn.ANCHORARRAY(Q204)),-1,1,FALSE),_xlpm.array/SUM(_xlpm.array))</f>
        <v>1.0852966610141466</v>
      </c>
      <c r="AF205" s="10">
        <f ca="1"/>
        <v>0.6960886191866299</v>
      </c>
      <c r="AG205" s="10">
        <f ca="1"/>
        <v>-0.66648227664945758</v>
      </c>
      <c r="AH205" s="10">
        <f ca="1"/>
        <v>0.60751629771237692</v>
      </c>
      <c r="AI205" s="10">
        <f ca="1"/>
        <v>-0.72241930126369591</v>
      </c>
      <c r="AJ205" s="1"/>
      <c r="AK205" s="2" cm="1">
        <f t="array" aca="1" ref="AK205" ca="1">MMULT(MMULT(_xlfn.ANCHORARRAY(AE205),$Q$9:$U$13),TRANSPOSE(_xlfn.ANCHORARRAY(AE205)))</f>
        <v>1.6330174261887172E-3</v>
      </c>
      <c r="AL205" s="2">
        <f t="shared" ca="1" si="11"/>
        <v>4.0410610316954101E-2</v>
      </c>
      <c r="AM205" s="2" cm="1">
        <f t="array" aca="1" ref="AM205" ca="1">MMULT(_xlfn.ANCHORARRAY(AE206),TRANSPOSE($Q$3:$U$3))</f>
        <v>1.0054630123286343E-3</v>
      </c>
    </row>
    <row r="206" spans="1:39" x14ac:dyDescent="0.35">
      <c r="A206" s="3">
        <v>44126</v>
      </c>
      <c r="B206" s="4">
        <v>21.781030654907202</v>
      </c>
      <c r="C206" s="4">
        <v>57.920722961425703</v>
      </c>
      <c r="D206" s="4">
        <v>31.8182563781738</v>
      </c>
      <c r="E206" s="4">
        <v>9.6656141281127894</v>
      </c>
      <c r="F206" s="4">
        <v>205.18878173828099</v>
      </c>
      <c r="I206" s="5">
        <f>B206/B205-1</f>
        <v>3.4095954445756416E-2</v>
      </c>
      <c r="J206" s="5">
        <f>C206/C205-1</f>
        <v>3.569914025123655E-2</v>
      </c>
      <c r="K206" s="5">
        <f>D206/D205-1</f>
        <v>-1.5036782466753884E-2</v>
      </c>
      <c r="L206" s="5">
        <f>E206/E205-1</f>
        <v>9.2198786362811536E-3</v>
      </c>
      <c r="M206" s="5">
        <f>F206/F205-1</f>
        <v>4.1922039587838356E-4</v>
      </c>
      <c r="N206" s="5">
        <f>SUMPRODUCT(I206:M206,$AJ$13:$AN$13)</f>
        <v>-1.4411723608883844E-2</v>
      </c>
      <c r="P206" s="2" t="s">
        <v>197</v>
      </c>
      <c r="Q206" s="10" cm="1">
        <f t="array" aca="1" ref="Q206:U206" ca="1">_xlfn.LET(_xlpm.array,_xlfn.RANDARRAY(1,COLUMNS(_xlfn.ANCHORARRAY(Q205)),0,1,FALSE),_xlpm.array/SUM(_xlpm.array))</f>
        <v>0.25290289371813812</v>
      </c>
      <c r="R206" s="2">
        <f ca="1"/>
        <v>0.21606000149857896</v>
      </c>
      <c r="S206" s="2">
        <f ca="1"/>
        <v>5.3603001984973447E-2</v>
      </c>
      <c r="T206" s="2">
        <f ca="1"/>
        <v>0.31421358601683469</v>
      </c>
      <c r="U206" s="2">
        <f ca="1"/>
        <v>0.16322051678147489</v>
      </c>
      <c r="V206" s="12"/>
      <c r="X206" s="2" cm="1">
        <f t="array" aca="1" ref="X206" ca="1">MMULT(MMULT(_xlfn.ANCHORARRAY(Q206),$Q$9:$U$13),TRANSPOSE(_xlfn.ANCHORARRAY(Q206)))</f>
        <v>2.905413187708899E-4</v>
      </c>
      <c r="Y206" s="2">
        <f t="shared" ca="1" si="10"/>
        <v>1.7045272622369226E-2</v>
      </c>
      <c r="Z206" s="2" cm="1">
        <f t="array" aca="1" ref="Z206" ca="1">MMULT(_xlfn.ANCHORARRAY(Q206),TRANSPOSE($Q$3:$U$3))</f>
        <v>8.1920952979253818E-4</v>
      </c>
      <c r="AA206" s="11">
        <f ca="1">AVEDEV(Q206*$Q$3,R206*$R$3,S206*$S$3,T206*$T$3,U206*$U$3)</f>
        <v>6.28656300102468E-5</v>
      </c>
      <c r="AB206" s="11" cm="1">
        <f t="array" aca="1" ref="AB206" ca="1">MMULT(_xlfn.ANCHORARRAY(Q206),TRANSPOSE($Q$6:$U$6))</f>
        <v>-2.2562900121844576E-2</v>
      </c>
      <c r="AD206" s="2" t="s">
        <v>197</v>
      </c>
      <c r="AE206" s="10" cm="1">
        <f t="array" aca="1" ref="AE206:AI206" ca="1">_xlfn.LET(_xlpm.array,_xlfn.RANDARRAY(1,COLUMNS(_xlfn.ANCHORARRAY(Q205)),-1,1,FALSE),_xlpm.array/SUM(_xlpm.array))</f>
        <v>-0.19817755521668742</v>
      </c>
      <c r="AF206" s="10">
        <f ca="1"/>
        <v>0.20243637784650043</v>
      </c>
      <c r="AG206" s="10">
        <f ca="1"/>
        <v>0.23568928471138068</v>
      </c>
      <c r="AH206" s="10">
        <f ca="1"/>
        <v>-2.2312804627646687E-2</v>
      </c>
      <c r="AI206" s="10">
        <f ca="1"/>
        <v>0.78236469728645297</v>
      </c>
      <c r="AJ206" s="1"/>
      <c r="AK206" s="2" cm="1">
        <f t="array" aca="1" ref="AK206" ca="1">MMULT(MMULT(_xlfn.ANCHORARRAY(AE206),$Q$9:$U$13),TRANSPOSE(_xlfn.ANCHORARRAY(AE206)))</f>
        <v>3.4107326696521296E-4</v>
      </c>
      <c r="AL206" s="2">
        <f t="shared" ca="1" si="11"/>
        <v>1.8468169020377005E-2</v>
      </c>
      <c r="AM206" s="2" cm="1">
        <f t="array" aca="1" ref="AM206" ca="1">MMULT(_xlfn.ANCHORARRAY(AE207),TRANSPOSE($Q$3:$U$3))</f>
        <v>8.0774265586771145E-4</v>
      </c>
    </row>
    <row r="207" spans="1:39" x14ac:dyDescent="0.35">
      <c r="A207" s="3">
        <v>44127</v>
      </c>
      <c r="B207" s="4">
        <v>21.8073005676269</v>
      </c>
      <c r="C207" s="4">
        <v>57.265754699707003</v>
      </c>
      <c r="D207" s="4">
        <v>31.5406990051269</v>
      </c>
      <c r="E207" s="4">
        <v>9.6248588562011701</v>
      </c>
      <c r="F207" s="4">
        <v>206.46824645996</v>
      </c>
      <c r="I207" s="5">
        <f>B207/B206-1</f>
        <v>1.2060913524210015E-3</v>
      </c>
      <c r="J207" s="5">
        <f>C207/C206-1</f>
        <v>-1.130801254250402E-2</v>
      </c>
      <c r="K207" s="5">
        <f>D207/D206-1</f>
        <v>-8.7232112831077124E-3</v>
      </c>
      <c r="L207" s="5">
        <f>E207/E206-1</f>
        <v>-4.2165217203407046E-3</v>
      </c>
      <c r="M207" s="5">
        <f>F207/F206-1</f>
        <v>6.2355490921086609E-3</v>
      </c>
      <c r="N207" s="5">
        <f>SUMPRODUCT(I207:M207,$AJ$13:$AN$13)</f>
        <v>-4.4075221459062381E-3</v>
      </c>
      <c r="P207" s="2" t="s">
        <v>198</v>
      </c>
      <c r="Q207" s="10" cm="1">
        <f t="array" aca="1" ref="Q207:U207" ca="1">_xlfn.LET(_xlpm.array,_xlfn.RANDARRAY(1,COLUMNS(_xlfn.ANCHORARRAY(Q206)),0,1,FALSE),_xlpm.array/SUM(_xlpm.array))</f>
        <v>0.17396144870411348</v>
      </c>
      <c r="R207" s="2">
        <f ca="1"/>
        <v>0.29084672529787081</v>
      </c>
      <c r="S207" s="2">
        <f ca="1"/>
        <v>0.30545676178813569</v>
      </c>
      <c r="T207" s="2">
        <f ca="1"/>
        <v>0.20151564147156859</v>
      </c>
      <c r="U207" s="2">
        <f ca="1"/>
        <v>2.8219422738311534E-2</v>
      </c>
      <c r="V207" s="12"/>
      <c r="X207" s="2" cm="1">
        <f t="array" aca="1" ref="X207" ca="1">MMULT(MMULT(_xlfn.ANCHORARRAY(Q207),$Q$9:$U$13),TRANSPOSE(_xlfn.ANCHORARRAY(Q207)))</f>
        <v>3.3694114296618403E-4</v>
      </c>
      <c r="Y207" s="2">
        <f t="shared" ca="1" si="10"/>
        <v>1.8355956607221103E-2</v>
      </c>
      <c r="Z207" s="2" cm="1">
        <f t="array" aca="1" ref="Z207" ca="1">MMULT(_xlfn.ANCHORARRAY(Q207),TRANSPOSE($Q$3:$U$3))</f>
        <v>1.0243204708256983E-3</v>
      </c>
      <c r="AA207" s="11">
        <f ca="1">AVEDEV(Q207*$Q$3,R207*$R$3,S207*$S$3,T207*$T$3,U207*$U$3)</f>
        <v>1.1989168065721521E-4</v>
      </c>
      <c r="AB207" s="11" cm="1">
        <f t="array" aca="1" ref="AB207" ca="1">MMULT(_xlfn.ANCHORARRAY(Q207),TRANSPOSE($Q$6:$U$6))</f>
        <v>-2.3682338559558126E-2</v>
      </c>
      <c r="AD207" s="2" t="s">
        <v>198</v>
      </c>
      <c r="AE207" s="10" cm="1">
        <f t="array" aca="1" ref="AE207:AI207" ca="1">_xlfn.LET(_xlpm.array,_xlfn.RANDARRAY(1,COLUMNS(_xlfn.ANCHORARRAY(Q206)),-1,1,FALSE),_xlpm.array/SUM(_xlpm.array))</f>
        <v>0.34989135591274478</v>
      </c>
      <c r="AF207" s="10">
        <f ca="1"/>
        <v>0.39451763596204742</v>
      </c>
      <c r="AG207" s="10">
        <f ca="1"/>
        <v>7.8582861131173617E-2</v>
      </c>
      <c r="AH207" s="10">
        <f ca="1"/>
        <v>0.30695787469004976</v>
      </c>
      <c r="AI207" s="10">
        <f ca="1"/>
        <v>-0.12994972769601559</v>
      </c>
      <c r="AJ207" s="1"/>
      <c r="AK207" s="2" cm="1">
        <f t="array" aca="1" ref="AK207" ca="1">MMULT(MMULT(_xlfn.ANCHORARRAY(AE207),$Q$9:$U$13),TRANSPOSE(_xlfn.ANCHORARRAY(AE207)))</f>
        <v>4.0086974714062214E-4</v>
      </c>
      <c r="AL207" s="2">
        <f t="shared" ca="1" si="11"/>
        <v>2.0021731871659409E-2</v>
      </c>
      <c r="AM207" s="2" cm="1">
        <f t="array" aca="1" ref="AM207" ca="1">MMULT(_xlfn.ANCHORARRAY(AE208),TRANSPOSE($Q$3:$U$3))</f>
        <v>1.730086438159002E-3</v>
      </c>
    </row>
    <row r="208" spans="1:39" x14ac:dyDescent="0.35">
      <c r="A208" s="3">
        <v>44130</v>
      </c>
      <c r="B208" s="4">
        <v>21.4920139312744</v>
      </c>
      <c r="C208" s="4">
        <v>55.979503631591797</v>
      </c>
      <c r="D208" s="4">
        <v>29.949325561523398</v>
      </c>
      <c r="E208" s="4">
        <v>9.2173156738281197</v>
      </c>
      <c r="F208" s="4">
        <v>200.59588623046801</v>
      </c>
      <c r="I208" s="5">
        <f>B208/B207-1</f>
        <v>-1.4457847975028359E-2</v>
      </c>
      <c r="J208" s="5">
        <f>C208/C207-1</f>
        <v>-2.2461086470616065E-2</v>
      </c>
      <c r="K208" s="5">
        <f>D208/D207-1</f>
        <v>-5.0454602903531875E-2</v>
      </c>
      <c r="L208" s="5">
        <f>E208/E207-1</f>
        <v>-4.2342769744667552E-2</v>
      </c>
      <c r="M208" s="5">
        <f>F208/F207-1</f>
        <v>-2.8441953327824732E-2</v>
      </c>
      <c r="N208" s="5">
        <f>SUMPRODUCT(I208:M208,$AJ$13:$AN$13)</f>
        <v>-5.0638916811069412E-2</v>
      </c>
      <c r="P208" s="2" t="s">
        <v>199</v>
      </c>
      <c r="Q208" s="10" cm="1">
        <f t="array" aca="1" ref="Q208:U208" ca="1">_xlfn.LET(_xlpm.array,_xlfn.RANDARRAY(1,COLUMNS(_xlfn.ANCHORARRAY(Q207)),0,1,FALSE),_xlpm.array/SUM(_xlpm.array))</f>
        <v>0.31624124018928917</v>
      </c>
      <c r="R208" s="2">
        <f ca="1"/>
        <v>0.18262527404259929</v>
      </c>
      <c r="S208" s="2">
        <f ca="1"/>
        <v>0.10363333215352084</v>
      </c>
      <c r="T208" s="2">
        <f ca="1"/>
        <v>0.36690625916131109</v>
      </c>
      <c r="U208" s="2">
        <f ca="1"/>
        <v>3.0593894453279584E-2</v>
      </c>
      <c r="V208" s="12"/>
      <c r="X208" s="2" cm="1">
        <f t="array" aca="1" ref="X208" ca="1">MMULT(MMULT(_xlfn.ANCHORARRAY(Q208),$Q$9:$U$13),TRANSPOSE(_xlfn.ANCHORARRAY(Q208)))</f>
        <v>3.296847431127069E-4</v>
      </c>
      <c r="Y208" s="2">
        <f t="shared" ca="1" si="10"/>
        <v>1.8157222890979416E-2</v>
      </c>
      <c r="Z208" s="2" cm="1">
        <f t="array" aca="1" ref="Z208" ca="1">MMULT(_xlfn.ANCHORARRAY(Q208),TRANSPOSE($Q$3:$U$3))</f>
        <v>8.6062671688166283E-4</v>
      </c>
      <c r="AA208" s="11">
        <f ca="1">AVEDEV(Q208*$Q$3,R208*$R$3,S208*$S$3,T208*$T$3,U208*$U$3)</f>
        <v>8.1084949982045717E-5</v>
      </c>
      <c r="AB208" s="11" cm="1">
        <f t="array" aca="1" ref="AB208" ca="1">MMULT(_xlfn.ANCHORARRAY(Q208),TRANSPOSE($Q$6:$U$6))</f>
        <v>-2.3257442778532492E-2</v>
      </c>
      <c r="AD208" s="2" t="s">
        <v>199</v>
      </c>
      <c r="AE208" s="10" cm="1">
        <f t="array" aca="1" ref="AE208:AI208" ca="1">_xlfn.LET(_xlpm.array,_xlfn.RANDARRAY(1,COLUMNS(_xlfn.ANCHORARRAY(Q207)),-1,1,FALSE),_xlpm.array/SUM(_xlpm.array))</f>
        <v>0.73061558280467431</v>
      </c>
      <c r="AF208" s="10">
        <f ca="1"/>
        <v>-0.75132634342167814</v>
      </c>
      <c r="AG208" s="10">
        <f ca="1"/>
        <v>1.4177688357287646</v>
      </c>
      <c r="AH208" s="10">
        <f ca="1"/>
        <v>-0.35583221122085851</v>
      </c>
      <c r="AI208" s="10">
        <f ca="1"/>
        <v>-4.1225863890902346E-2</v>
      </c>
      <c r="AJ208" s="1"/>
      <c r="AK208" s="2" cm="1">
        <f t="array" aca="1" ref="AK208" ca="1">MMULT(MMULT(_xlfn.ANCHORARRAY(AE208),$Q$9:$U$13),TRANSPOSE(_xlfn.ANCHORARRAY(AE208)))</f>
        <v>1.8879741983046509E-3</v>
      </c>
      <c r="AL208" s="2">
        <f t="shared" ca="1" si="11"/>
        <v>4.3450825058963506E-2</v>
      </c>
      <c r="AM208" s="2" cm="1">
        <f t="array" aca="1" ref="AM208" ca="1">MMULT(_xlfn.ANCHORARRAY(AE209),TRANSPOSE($Q$3:$U$3))</f>
        <v>9.3825081855658304E-4</v>
      </c>
    </row>
    <row r="209" spans="1:39" x14ac:dyDescent="0.35">
      <c r="A209" s="3">
        <v>44131</v>
      </c>
      <c r="B209" s="4">
        <v>20.887706756591701</v>
      </c>
      <c r="C209" s="4">
        <v>54.851078033447202</v>
      </c>
      <c r="D209" s="4">
        <v>29.408067703246999</v>
      </c>
      <c r="E209" s="4">
        <v>9.1222200393676705</v>
      </c>
      <c r="F209" s="4">
        <v>203.622787475585</v>
      </c>
      <c r="I209" s="5">
        <f>B209/B208-1</f>
        <v>-2.8117754651337368E-2</v>
      </c>
      <c r="J209" s="5">
        <f>C209/C208-1</f>
        <v>-2.0157835009951275E-2</v>
      </c>
      <c r="K209" s="5">
        <f>D209/D208-1</f>
        <v>-1.8072455660629871E-2</v>
      </c>
      <c r="L209" s="5">
        <f>E209/E208-1</f>
        <v>-1.0317063863882425E-2</v>
      </c>
      <c r="M209" s="5">
        <f>F209/F208-1</f>
        <v>1.5089547956329108E-2</v>
      </c>
      <c r="N209" s="5">
        <f>SUMPRODUCT(I209:M209,$AJ$13:$AN$13)</f>
        <v>-3.9751038468001029E-4</v>
      </c>
      <c r="P209" s="2" t="s">
        <v>200</v>
      </c>
      <c r="Q209" s="10" cm="1">
        <f t="array" aca="1" ref="Q209:U209" ca="1">_xlfn.LET(_xlpm.array,_xlfn.RANDARRAY(1,COLUMNS(_xlfn.ANCHORARRAY(Q208)),0,1,FALSE),_xlpm.array/SUM(_xlpm.array))</f>
        <v>2.5264384965203907E-2</v>
      </c>
      <c r="R209" s="2">
        <f ca="1"/>
        <v>0.39169404067105273</v>
      </c>
      <c r="S209" s="2">
        <f ca="1"/>
        <v>4.1161610876870982E-3</v>
      </c>
      <c r="T209" s="2">
        <f ca="1"/>
        <v>0.35452863194612499</v>
      </c>
      <c r="U209" s="2">
        <f ca="1"/>
        <v>0.22439678132993127</v>
      </c>
      <c r="V209" s="12"/>
      <c r="X209" s="2" cm="1">
        <f t="array" aca="1" ref="X209" ca="1">MMULT(MMULT(_xlfn.ANCHORARRAY(Q209),$Q$9:$U$13),TRANSPOSE(_xlfn.ANCHORARRAY(Q209)))</f>
        <v>3.1105444723819131E-4</v>
      </c>
      <c r="Y209" s="2">
        <f t="shared" ca="1" si="10"/>
        <v>1.7636735730803228E-2</v>
      </c>
      <c r="Z209" s="2" cm="1">
        <f t="array" aca="1" ref="Z209" ca="1">MMULT(_xlfn.ANCHORARRAY(Q209),TRANSPOSE($Q$3:$U$3))</f>
        <v>8.3937871879313309E-4</v>
      </c>
      <c r="AA209" s="11">
        <f ca="1">AVEDEV(Q209*$Q$3,R209*$R$3,S209*$S$3,T209*$T$3,U209*$U$3)</f>
        <v>1.2649052395248585E-4</v>
      </c>
      <c r="AB209" s="11" cm="1">
        <f t="array" aca="1" ref="AB209" ca="1">MMULT(_xlfn.ANCHORARRAY(Q209),TRANSPOSE($Q$6:$U$6))</f>
        <v>-2.2164094827997666E-2</v>
      </c>
      <c r="AD209" s="2" t="s">
        <v>200</v>
      </c>
      <c r="AE209" s="10" cm="1">
        <f t="array" aca="1" ref="AE209:AI209" ca="1">_xlfn.LET(_xlpm.array,_xlfn.RANDARRAY(1,COLUMNS(_xlfn.ANCHORARRAY(Q208)),-1,1,FALSE),_xlpm.array/SUM(_xlpm.array))</f>
        <v>-0.7778203063224296</v>
      </c>
      <c r="AF209" s="10">
        <f ca="1"/>
        <v>0.49041493783899731</v>
      </c>
      <c r="AG209" s="10">
        <f ca="1"/>
        <v>0.28159016442719192</v>
      </c>
      <c r="AH209" s="10">
        <f ca="1"/>
        <v>-0.97813551452418834</v>
      </c>
      <c r="AI209" s="10">
        <f ca="1"/>
        <v>1.9839507185804286</v>
      </c>
      <c r="AJ209" s="1"/>
      <c r="AK209" s="2" cm="1">
        <f t="array" aca="1" ref="AK209" ca="1">MMULT(MMULT(_xlfn.ANCHORARRAY(AE209),$Q$9:$U$13),TRANSPOSE(_xlfn.ANCHORARRAY(AE209)))</f>
        <v>1.6224585325980961E-3</v>
      </c>
      <c r="AL209" s="2">
        <f t="shared" ca="1" si="11"/>
        <v>4.027975338303471E-2</v>
      </c>
      <c r="AM209" s="2" cm="1">
        <f t="array" aca="1" ref="AM209" ca="1">MMULT(_xlfn.ANCHORARRAY(AE210),TRANSPOSE($Q$3:$U$3))</f>
        <v>2.142293744534716E-3</v>
      </c>
    </row>
    <row r="210" spans="1:39" x14ac:dyDescent="0.35">
      <c r="A210" s="3">
        <v>44132</v>
      </c>
      <c r="B210" s="4">
        <v>20.554914474487301</v>
      </c>
      <c r="C210" s="4">
        <v>52.775733947753899</v>
      </c>
      <c r="D210" s="4">
        <v>28.080377578735298</v>
      </c>
      <c r="E210" s="4">
        <v>8.8029766082763601</v>
      </c>
      <c r="F210" s="4">
        <v>193.52998352050699</v>
      </c>
      <c r="I210" s="5">
        <f>B210/B209-1</f>
        <v>-1.5932447060009514E-2</v>
      </c>
      <c r="J210" s="5">
        <f>C210/C209-1</f>
        <v>-3.7835976248776659E-2</v>
      </c>
      <c r="K210" s="5">
        <f>D210/D209-1</f>
        <v>-4.5147139142539094E-2</v>
      </c>
      <c r="L210" s="5">
        <f>E210/E209-1</f>
        <v>-3.4996243207639166E-2</v>
      </c>
      <c r="M210" s="5">
        <f>F210/F209-1</f>
        <v>-4.9566181075328619E-2</v>
      </c>
      <c r="N210" s="5">
        <f>SUMPRODUCT(I210:M210,$AJ$13:$AN$13)</f>
        <v>-5.0569035019368144E-2</v>
      </c>
      <c r="P210" s="2" t="s">
        <v>201</v>
      </c>
      <c r="Q210" s="10" cm="1">
        <f t="array" aca="1" ref="Q210:U210" ca="1">_xlfn.LET(_xlpm.array,_xlfn.RANDARRAY(1,COLUMNS(_xlfn.ANCHORARRAY(Q209)),0,1,FALSE),_xlpm.array/SUM(_xlpm.array))</f>
        <v>0.22807619436537718</v>
      </c>
      <c r="R210" s="2">
        <f ca="1"/>
        <v>3.9479855646247793E-2</v>
      </c>
      <c r="S210" s="2">
        <f ca="1"/>
        <v>0.31835428225131357</v>
      </c>
      <c r="T210" s="2">
        <f ca="1"/>
        <v>0.10025123433481406</v>
      </c>
      <c r="U210" s="2">
        <f ca="1"/>
        <v>0.31383843340224737</v>
      </c>
      <c r="V210" s="12"/>
      <c r="X210" s="2" cm="1">
        <f t="array" aca="1" ref="X210" ca="1">MMULT(MMULT(_xlfn.ANCHORARRAY(Q210),$Q$9:$U$13),TRANSPOSE(_xlfn.ANCHORARRAY(Q210)))</f>
        <v>3.0175572398391819E-4</v>
      </c>
      <c r="Y210" s="2">
        <f t="shared" ca="1" si="10"/>
        <v>1.7371117522598199E-2</v>
      </c>
      <c r="Z210" s="2" cm="1">
        <f t="array" aca="1" ref="Z210" ca="1">MMULT(_xlfn.ANCHORARRAY(Q210),TRANSPOSE($Q$3:$U$3))</f>
        <v>1.0042151046251776E-3</v>
      </c>
      <c r="AA210" s="11">
        <f ca="1">AVEDEV(Q210*$Q$3,R210*$R$3,S210*$S$3,T210*$T$3,U210*$U$3)</f>
        <v>1.4214483306580712E-4</v>
      </c>
      <c r="AB210" s="11" cm="1">
        <f t="array" aca="1" ref="AB210" ca="1">MMULT(_xlfn.ANCHORARRAY(Q210),TRANSPOSE($Q$6:$U$6))</f>
        <v>-2.3225165119851961E-2</v>
      </c>
      <c r="AD210" s="2" t="s">
        <v>201</v>
      </c>
      <c r="AE210" s="10" cm="1">
        <f t="array" aca="1" ref="AE210:AI210" ca="1">_xlfn.LET(_xlpm.array,_xlfn.RANDARRAY(1,COLUMNS(_xlfn.ANCHORARRAY(Q209)),-1,1,FALSE),_xlpm.array/SUM(_xlpm.array))</f>
        <v>1.523890769269157</v>
      </c>
      <c r="AF210" s="10">
        <f ca="1"/>
        <v>-1.1867665673008301</v>
      </c>
      <c r="AG210" s="10">
        <f ca="1"/>
        <v>1.4942295048398553</v>
      </c>
      <c r="AH210" s="10">
        <f ca="1"/>
        <v>1.7278148380936069</v>
      </c>
      <c r="AI210" s="10">
        <f ca="1"/>
        <v>-2.5591685449017891</v>
      </c>
      <c r="AJ210" s="1"/>
      <c r="AK210" s="2" cm="1">
        <f t="array" aca="1" ref="AK210" ca="1">MMULT(MMULT(_xlfn.ANCHORARRAY(AE210),$Q$9:$U$13),TRANSPOSE(_xlfn.ANCHORARRAY(AE210)))</f>
        <v>4.4923596027161448E-3</v>
      </c>
      <c r="AL210" s="2">
        <f t="shared" ca="1" si="11"/>
        <v>6.702506697285833E-2</v>
      </c>
      <c r="AM210" s="2" cm="1">
        <f t="array" aca="1" ref="AM210" ca="1">MMULT(_xlfn.ANCHORARRAY(AE211),TRANSPOSE($Q$3:$U$3))</f>
        <v>6.6657749327928256E-4</v>
      </c>
    </row>
    <row r="211" spans="1:39" x14ac:dyDescent="0.35">
      <c r="A211" s="3">
        <v>44133</v>
      </c>
      <c r="B211" s="4">
        <v>20.616212844848601</v>
      </c>
      <c r="C211" s="4">
        <v>54.290817260742102</v>
      </c>
      <c r="D211" s="4">
        <v>27.997112274169901</v>
      </c>
      <c r="E211" s="4">
        <v>8.6399574279785103</v>
      </c>
      <c r="F211" s="4">
        <v>195.47785949707</v>
      </c>
      <c r="I211" s="5">
        <f>B211/B210-1</f>
        <v>2.9821758897310424E-3</v>
      </c>
      <c r="J211" s="5">
        <f>C211/C210-1</f>
        <v>2.8707953441028167E-2</v>
      </c>
      <c r="K211" s="5">
        <f>D211/D210-1</f>
        <v>-2.9652487517992654E-3</v>
      </c>
      <c r="L211" s="5">
        <f>E211/E210-1</f>
        <v>-1.8518642903649574E-2</v>
      </c>
      <c r="M211" s="5">
        <f>F211/F210-1</f>
        <v>1.0064982909258724E-2</v>
      </c>
      <c r="N211" s="5">
        <f>SUMPRODUCT(I211:M211,$AJ$13:$AN$13)</f>
        <v>-8.6377197276094799E-3</v>
      </c>
      <c r="P211" s="2" t="s">
        <v>202</v>
      </c>
      <c r="Q211" s="10" cm="1">
        <f t="array" aca="1" ref="Q211:U211" ca="1">_xlfn.LET(_xlpm.array,_xlfn.RANDARRAY(1,COLUMNS(_xlfn.ANCHORARRAY(Q210)),0,1,FALSE),_xlpm.array/SUM(_xlpm.array))</f>
        <v>9.0709582552446447E-2</v>
      </c>
      <c r="R211" s="2">
        <f ca="1"/>
        <v>0.24864625242589411</v>
      </c>
      <c r="S211" s="2">
        <f ca="1"/>
        <v>0.11213144943127136</v>
      </c>
      <c r="T211" s="2">
        <f ca="1"/>
        <v>0.27116902097780426</v>
      </c>
      <c r="U211" s="2">
        <f ca="1"/>
        <v>0.27734369461258385</v>
      </c>
      <c r="V211" s="12"/>
      <c r="X211" s="2" cm="1">
        <f t="array" aca="1" ref="X211" ca="1">MMULT(MMULT(_xlfn.ANCHORARRAY(Q211),$Q$9:$U$13),TRANSPOSE(_xlfn.ANCHORARRAY(Q211)))</f>
        <v>2.6781984747325523E-4</v>
      </c>
      <c r="Y211" s="2">
        <f t="shared" ca="1" si="10"/>
        <v>1.6365202335237264E-2</v>
      </c>
      <c r="Z211" s="2" cm="1">
        <f t="array" aca="1" ref="Z211" ca="1">MMULT(_xlfn.ANCHORARRAY(Q211),TRANSPOSE($Q$3:$U$3))</f>
        <v>8.9893386827962461E-4</v>
      </c>
      <c r="AA211" s="11">
        <f ca="1">AVEDEV(Q211*$Q$3,R211*$R$3,S211*$S$3,T211*$T$3,U211*$U$3)</f>
        <v>5.3473587494345532E-5</v>
      </c>
      <c r="AB211" s="11" cm="1">
        <f t="array" aca="1" ref="AB211" ca="1">MMULT(_xlfn.ANCHORARRAY(Q211),TRANSPOSE($Q$6:$U$6))</f>
        <v>-2.2532552153364672E-2</v>
      </c>
      <c r="AD211" s="2" t="s">
        <v>202</v>
      </c>
      <c r="AE211" s="10" cm="1">
        <f t="array" aca="1" ref="AE211:AI211" ca="1">_xlfn.LET(_xlpm.array,_xlfn.RANDARRAY(1,COLUMNS(_xlfn.ANCHORARRAY(Q210)),-1,1,FALSE),_xlpm.array/SUM(_xlpm.array))</f>
        <v>0.45329470252226728</v>
      </c>
      <c r="AF211" s="10">
        <f ca="1"/>
        <v>0.16611478261340806</v>
      </c>
      <c r="AG211" s="10">
        <f ca="1"/>
        <v>4.0441895577927253E-2</v>
      </c>
      <c r="AH211" s="10">
        <f ca="1"/>
        <v>-4.2657881827650533E-2</v>
      </c>
      <c r="AI211" s="10">
        <f ca="1"/>
        <v>0.38280650111404807</v>
      </c>
      <c r="AJ211" s="1"/>
      <c r="AK211" s="2" cm="1">
        <f t="array" aca="1" ref="AK211" ca="1">MMULT(MMULT(_xlfn.ANCHORARRAY(AE211),$Q$9:$U$13),TRANSPOSE(_xlfn.ANCHORARRAY(AE211)))</f>
        <v>2.7567904468295506E-4</v>
      </c>
      <c r="AL211" s="2">
        <f t="shared" ca="1" si="11"/>
        <v>1.6603585296042389E-2</v>
      </c>
      <c r="AM211" s="2" cm="1">
        <f t="array" aca="1" ref="AM211" ca="1">MMULT(_xlfn.ANCHORARRAY(AE212),TRANSPOSE($Q$3:$U$3))</f>
        <v>5.7611619810934512E-4</v>
      </c>
    </row>
    <row r="212" spans="1:39" x14ac:dyDescent="0.35">
      <c r="A212" s="3">
        <v>44134</v>
      </c>
      <c r="B212" s="4">
        <v>20.7563457489013</v>
      </c>
      <c r="C212" s="4">
        <v>54.843193054199197</v>
      </c>
      <c r="D212" s="4">
        <v>27.876827239990199</v>
      </c>
      <c r="E212" s="4">
        <v>8.7146730422973597</v>
      </c>
      <c r="F212" s="4">
        <v>193.32945251464801</v>
      </c>
      <c r="I212" s="5">
        <f>B212/B211-1</f>
        <v>6.7972185341360625E-3</v>
      </c>
      <c r="J212" s="5">
        <f>C212/C211-1</f>
        <v>1.0174387149197051E-2</v>
      </c>
      <c r="K212" s="5">
        <f>D212/D211-1</f>
        <v>-4.2963371722688493E-3</v>
      </c>
      <c r="L212" s="5">
        <f>E212/E211-1</f>
        <v>8.6476831560420298E-3</v>
      </c>
      <c r="M212" s="5">
        <f>F212/F211-1</f>
        <v>-1.0990538713435138E-2</v>
      </c>
      <c r="N212" s="5">
        <f>SUMPRODUCT(I212:M212,$AJ$13:$AN$13)</f>
        <v>-4.166820731517808E-3</v>
      </c>
      <c r="P212" s="2" t="s">
        <v>203</v>
      </c>
      <c r="Q212" s="10" cm="1">
        <f t="array" aca="1" ref="Q212:U212" ca="1">_xlfn.LET(_xlpm.array,_xlfn.RANDARRAY(1,COLUMNS(_xlfn.ANCHORARRAY(Q211)),0,1,FALSE),_xlpm.array/SUM(_xlpm.array))</f>
        <v>8.5286963908843827E-2</v>
      </c>
      <c r="R212" s="2">
        <f ca="1"/>
        <v>0.3584389287180873</v>
      </c>
      <c r="S212" s="2">
        <f ca="1"/>
        <v>0.13418497474854718</v>
      </c>
      <c r="T212" s="2">
        <f ca="1"/>
        <v>3.8453591470597973E-2</v>
      </c>
      <c r="U212" s="2">
        <f ca="1"/>
        <v>0.38363554115392362</v>
      </c>
      <c r="V212" s="12"/>
      <c r="X212" s="2" cm="1">
        <f t="array" aca="1" ref="X212" ca="1">MMULT(MMULT(_xlfn.ANCHORARRAY(Q212),$Q$9:$U$13),TRANSPOSE(_xlfn.ANCHORARRAY(Q212)))</f>
        <v>2.5603149815244159E-4</v>
      </c>
      <c r="Y212" s="2">
        <f t="shared" ca="1" si="10"/>
        <v>1.6000984286988148E-2</v>
      </c>
      <c r="Z212" s="2" cm="1">
        <f t="array" aca="1" ref="Z212" ca="1">MMULT(_xlfn.ANCHORARRAY(Q212),TRANSPOSE($Q$3:$U$3))</f>
        <v>8.5571934057744191E-4</v>
      </c>
      <c r="AA212" s="11">
        <f ca="1">AVEDEV(Q212*$Q$3,R212*$R$3,S212*$S$3,T212*$T$3,U212*$U$3)</f>
        <v>1.0386244369957437E-4</v>
      </c>
      <c r="AB212" s="11" cm="1">
        <f t="array" aca="1" ref="AB212" ca="1">MMULT(_xlfn.ANCHORARRAY(Q212),TRANSPOSE($Q$6:$U$6))</f>
        <v>-2.1559448126279426E-2</v>
      </c>
      <c r="AD212" s="2" t="s">
        <v>203</v>
      </c>
      <c r="AE212" s="10" cm="1">
        <f t="array" aca="1" ref="AE212:AI212" ca="1">_xlfn.LET(_xlpm.array,_xlfn.RANDARRAY(1,COLUMNS(_xlfn.ANCHORARRAY(Q211)),-1,1,FALSE),_xlpm.array/SUM(_xlpm.array))</f>
        <v>0.50284918016469049</v>
      </c>
      <c r="AF212" s="10">
        <f ca="1"/>
        <v>-0.14076286870462801</v>
      </c>
      <c r="AG212" s="10">
        <f ca="1"/>
        <v>-0.15509273740938989</v>
      </c>
      <c r="AH212" s="10">
        <f ca="1"/>
        <v>0.26745357814077853</v>
      </c>
      <c r="AI212" s="10">
        <f ca="1"/>
        <v>0.52555284780854883</v>
      </c>
      <c r="AJ212" s="1"/>
      <c r="AK212" s="2" cm="1">
        <f t="array" aca="1" ref="AK212" ca="1">MMULT(MMULT(_xlfn.ANCHORARRAY(AE212),$Q$9:$U$13),TRANSPOSE(_xlfn.ANCHORARRAY(AE212)))</f>
        <v>2.983697502687043E-4</v>
      </c>
      <c r="AL212" s="2">
        <f t="shared" ca="1" si="11"/>
        <v>1.7273382710653529E-2</v>
      </c>
      <c r="AM212" s="2" cm="1">
        <f t="array" aca="1" ref="AM212" ca="1">MMULT(_xlfn.ANCHORARRAY(AE213),TRANSPOSE($Q$3:$U$3))</f>
        <v>-8.5842032508249427E-4</v>
      </c>
    </row>
    <row r="213" spans="1:39" x14ac:dyDescent="0.35">
      <c r="A213" s="3">
        <v>44137</v>
      </c>
      <c r="B213" s="4">
        <v>21.089143753051701</v>
      </c>
      <c r="C213" s="4">
        <v>56.934333801269503</v>
      </c>
      <c r="D213" s="4">
        <v>27.8907146453857</v>
      </c>
      <c r="E213" s="4">
        <v>9.0746726989746094</v>
      </c>
      <c r="F213" s="4">
        <v>193.19575500488199</v>
      </c>
      <c r="I213" s="5">
        <f>B213/B212-1</f>
        <v>1.6033554662097327E-2</v>
      </c>
      <c r="J213" s="5">
        <f>C213/C212-1</f>
        <v>3.8129449264628246E-2</v>
      </c>
      <c r="K213" s="5">
        <f>D213/D212-1</f>
        <v>4.9817022848208659E-4</v>
      </c>
      <c r="L213" s="5">
        <f>E213/E212-1</f>
        <v>4.1309599904662209E-2</v>
      </c>
      <c r="M213" s="5">
        <f>F213/F212-1</f>
        <v>-6.9155272529364264E-4</v>
      </c>
      <c r="N213" s="5">
        <f>SUMPRODUCT(I213:M213,$AJ$13:$AN$13)</f>
        <v>1.3444247462146331E-2</v>
      </c>
      <c r="P213" s="2" t="s">
        <v>204</v>
      </c>
      <c r="Q213" s="10" cm="1">
        <f t="array" aca="1" ref="Q213:U213" ca="1">_xlfn.LET(_xlpm.array,_xlfn.RANDARRAY(1,COLUMNS(_xlfn.ANCHORARRAY(Q212)),0,1,FALSE),_xlpm.array/SUM(_xlpm.array))</f>
        <v>0.31890260829005551</v>
      </c>
      <c r="R213" s="2">
        <f ca="1"/>
        <v>7.2951822980783773E-2</v>
      </c>
      <c r="S213" s="2">
        <f ca="1"/>
        <v>0.22369644214526846</v>
      </c>
      <c r="T213" s="2">
        <f ca="1"/>
        <v>0.28563897325281484</v>
      </c>
      <c r="U213" s="2">
        <f ca="1"/>
        <v>9.8810153331077247E-2</v>
      </c>
      <c r="V213" s="12"/>
      <c r="X213" s="2" cm="1">
        <f t="array" aca="1" ref="X213" ca="1">MMULT(MMULT(_xlfn.ANCHORARRAY(Q213),$Q$9:$U$13),TRANSPOSE(_xlfn.ANCHORARRAY(Q213)))</f>
        <v>3.0689540407322064E-4</v>
      </c>
      <c r="Y213" s="2">
        <f t="shared" ca="1" si="10"/>
        <v>1.7518430411233212E-2</v>
      </c>
      <c r="Z213" s="2" cm="1">
        <f t="array" aca="1" ref="Z213" ca="1">MMULT(_xlfn.ANCHORARRAY(Q213),TRANSPOSE($Q$3:$U$3))</f>
        <v>9.4602550896196261E-4</v>
      </c>
      <c r="AA213" s="11">
        <f ca="1">AVEDEV(Q213*$Q$3,R213*$R$3,S213*$S$3,T213*$T$3,U213*$U$3)</f>
        <v>1.1067466344177803E-4</v>
      </c>
      <c r="AB213" s="11" cm="1">
        <f t="array" aca="1" ref="AB213" ca="1">MMULT(_xlfn.ANCHORARRAY(Q213),TRANSPOSE($Q$6:$U$6))</f>
        <v>-2.3643824119474844E-2</v>
      </c>
      <c r="AD213" s="2" t="s">
        <v>204</v>
      </c>
      <c r="AE213" s="10" cm="1">
        <f t="array" aca="1" ref="AE213:AI213" ca="1">_xlfn.LET(_xlpm.array,_xlfn.RANDARRAY(1,COLUMNS(_xlfn.ANCHORARRAY(Q212)),-1,1,FALSE),_xlpm.array/SUM(_xlpm.array))</f>
        <v>1.0339151698762716</v>
      </c>
      <c r="AF213" s="10">
        <f ca="1"/>
        <v>-2.4766688687376002</v>
      </c>
      <c r="AG213" s="10">
        <f ca="1"/>
        <v>-2.312373254249918</v>
      </c>
      <c r="AH213" s="10">
        <f ca="1"/>
        <v>2.1146924768244548</v>
      </c>
      <c r="AI213" s="10">
        <f ca="1"/>
        <v>2.6404344762867917</v>
      </c>
      <c r="AJ213" s="1"/>
      <c r="AK213" s="2" cm="1">
        <f t="array" aca="1" ref="AK213" ca="1">MMULT(MMULT(_xlfn.ANCHORARRAY(AE213),$Q$9:$U$13),TRANSPOSE(_xlfn.ANCHORARRAY(AE213)))</f>
        <v>5.7131967228759434E-3</v>
      </c>
      <c r="AL213" s="2">
        <f t="shared" ca="1" si="11"/>
        <v>7.5585691257512119E-2</v>
      </c>
      <c r="AM213" s="2" cm="1">
        <f t="array" aca="1" ref="AM213" ca="1">MMULT(_xlfn.ANCHORARRAY(AE214),TRANSPOSE($Q$3:$U$3))</f>
        <v>-1.7810666262416071E-4</v>
      </c>
    </row>
    <row r="214" spans="1:39" x14ac:dyDescent="0.35">
      <c r="A214" s="3">
        <v>44138</v>
      </c>
      <c r="B214" s="4">
        <v>21.6233825683593</v>
      </c>
      <c r="C214" s="4">
        <v>56.610794067382798</v>
      </c>
      <c r="D214" s="4">
        <v>28.566123962402301</v>
      </c>
      <c r="E214" s="4">
        <v>8.9184465408325195</v>
      </c>
      <c r="F214" s="4">
        <v>197.11068725585901</v>
      </c>
      <c r="I214" s="5">
        <f>B214/B213-1</f>
        <v>2.5332409014011903E-2</v>
      </c>
      <c r="J214" s="5">
        <f>C214/C213-1</f>
        <v>-5.6826823514968261E-3</v>
      </c>
      <c r="K214" s="5">
        <f>D214/D213-1</f>
        <v>2.4216278629072052E-2</v>
      </c>
      <c r="L214" s="5">
        <f>E214/E213-1</f>
        <v>-1.7215624554673181E-2</v>
      </c>
      <c r="M214" s="5">
        <f>F214/F213-1</f>
        <v>2.0264069730093537E-2</v>
      </c>
      <c r="N214" s="5">
        <f>SUMPRODUCT(I214:M214,$AJ$13:$AN$13)</f>
        <v>4.1934754884124445E-3</v>
      </c>
      <c r="P214" s="2" t="s">
        <v>205</v>
      </c>
      <c r="Q214" s="10" cm="1">
        <f t="array" aca="1" ref="Q214:U214" ca="1">_xlfn.LET(_xlpm.array,_xlfn.RANDARRAY(1,COLUMNS(_xlfn.ANCHORARRAY(Q213)),0,1,FALSE),_xlpm.array/SUM(_xlpm.array))</f>
        <v>0.12373478258390082</v>
      </c>
      <c r="R214" s="2">
        <f ca="1"/>
        <v>0.38911859911377766</v>
      </c>
      <c r="S214" s="2">
        <f ca="1"/>
        <v>6.7221775763322375E-2</v>
      </c>
      <c r="T214" s="2">
        <f ca="1"/>
        <v>0.32911737027686061</v>
      </c>
      <c r="U214" s="2">
        <f ca="1"/>
        <v>9.0807472262138644E-2</v>
      </c>
      <c r="V214" s="12"/>
      <c r="X214" s="2" cm="1">
        <f t="array" aca="1" ref="X214" ca="1">MMULT(MMULT(_xlfn.ANCHORARRAY(Q214),$Q$9:$U$13),TRANSPOSE(_xlfn.ANCHORARRAY(Q214)))</f>
        <v>3.2735083872709528E-4</v>
      </c>
      <c r="Y214" s="2">
        <f t="shared" ca="1" si="10"/>
        <v>1.8092839432413455E-2</v>
      </c>
      <c r="Z214" s="2" cm="1">
        <f t="array" aca="1" ref="Z214" ca="1">MMULT(_xlfn.ANCHORARRAY(Q214),TRANSPOSE($Q$3:$U$3))</f>
        <v>8.6189193466585528E-4</v>
      </c>
      <c r="AA214" s="11">
        <f ca="1">AVEDEV(Q214*$Q$3,R214*$R$3,S214*$S$3,T214*$T$3,U214*$U$3)</f>
        <v>1.1024990569240651E-4</v>
      </c>
      <c r="AB214" s="11" cm="1">
        <f t="array" aca="1" ref="AB214" ca="1">MMULT(_xlfn.ANCHORARRAY(Q214),TRANSPOSE($Q$6:$U$6))</f>
        <v>-2.2623732313920668E-2</v>
      </c>
      <c r="AD214" s="2" t="s">
        <v>205</v>
      </c>
      <c r="AE214" s="10" cm="1">
        <f t="array" aca="1" ref="AE214:AI214" ca="1">_xlfn.LET(_xlpm.array,_xlfn.RANDARRAY(1,COLUMNS(_xlfn.ANCHORARRAY(Q213)),-1,1,FALSE),_xlpm.array/SUM(_xlpm.array))</f>
        <v>0.9962613451527762</v>
      </c>
      <c r="AF214" s="10">
        <f ca="1"/>
        <v>0.78812015859307216</v>
      </c>
      <c r="AG214" s="10">
        <f ca="1"/>
        <v>-0.9153717326220534</v>
      </c>
      <c r="AH214" s="10">
        <f ca="1"/>
        <v>0.49231004807809736</v>
      </c>
      <c r="AI214" s="10">
        <f ca="1"/>
        <v>-0.36131981920189238</v>
      </c>
      <c r="AJ214" s="1"/>
      <c r="AK214" s="2" cm="1">
        <f t="array" aca="1" ref="AK214" ca="1">MMULT(MMULT(_xlfn.ANCHORARRAY(AE214),$Q$9:$U$13),TRANSPOSE(_xlfn.ANCHORARRAY(AE214)))</f>
        <v>1.6110716010435222E-3</v>
      </c>
      <c r="AL214" s="2">
        <f t="shared" ca="1" si="11"/>
        <v>4.0138156423078553E-2</v>
      </c>
      <c r="AM214" s="2" cm="1">
        <f t="array" aca="1" ref="AM214" ca="1">MMULT(_xlfn.ANCHORARRAY(AE215),TRANSPOSE($Q$3:$U$3))</f>
        <v>1.0267570059935215E-3</v>
      </c>
    </row>
    <row r="215" spans="1:39" x14ac:dyDescent="0.35">
      <c r="A215" s="3">
        <v>44139</v>
      </c>
      <c r="B215" s="4">
        <v>20.738828659057599</v>
      </c>
      <c r="C215" s="4">
        <v>56.634456634521399</v>
      </c>
      <c r="D215" s="4">
        <v>28.788169860839801</v>
      </c>
      <c r="E215" s="4">
        <v>9.0203351974487305</v>
      </c>
      <c r="F215" s="4">
        <v>206.62101745605401</v>
      </c>
      <c r="I215" s="5">
        <f>B215/B214-1</f>
        <v>-4.0907286660877729E-2</v>
      </c>
      <c r="J215" s="5">
        <f>C215/C214-1</f>
        <v>4.17986843824103E-4</v>
      </c>
      <c r="K215" s="5">
        <f>D215/D214-1</f>
        <v>7.7730495999299709E-3</v>
      </c>
      <c r="L215" s="5">
        <f>E215/E214-1</f>
        <v>1.1424484763094211E-2</v>
      </c>
      <c r="M215" s="5">
        <f>F215/F214-1</f>
        <v>4.8248678610968154E-2</v>
      </c>
      <c r="N215" s="5">
        <f>SUMPRODUCT(I215:M215,$AJ$13:$AN$13)</f>
        <v>3.7319893274028529E-2</v>
      </c>
      <c r="P215" s="2" t="s">
        <v>206</v>
      </c>
      <c r="Q215" s="10" cm="1">
        <f t="array" aca="1" ref="Q215:U215" ca="1">_xlfn.LET(_xlpm.array,_xlfn.RANDARRAY(1,COLUMNS(_xlfn.ANCHORARRAY(Q214)),0,1,FALSE),_xlpm.array/SUM(_xlpm.array))</f>
        <v>0.32777564143401994</v>
      </c>
      <c r="R215" s="2">
        <f ca="1"/>
        <v>2.0420283343898563E-2</v>
      </c>
      <c r="S215" s="2">
        <f ca="1"/>
        <v>0.38789564601234239</v>
      </c>
      <c r="T215" s="2">
        <f ca="1"/>
        <v>6.9671796784894213E-2</v>
      </c>
      <c r="U215" s="2">
        <f ca="1"/>
        <v>0.1942366324248449</v>
      </c>
      <c r="V215" s="12"/>
      <c r="X215" s="2" cm="1">
        <f t="array" aca="1" ref="X215" ca="1">MMULT(MMULT(_xlfn.ANCHORARRAY(Q215),$Q$9:$U$13),TRANSPOSE(_xlfn.ANCHORARRAY(Q215)))</f>
        <v>3.4358539146607054E-4</v>
      </c>
      <c r="Y215" s="2">
        <f t="shared" ca="1" si="10"/>
        <v>1.8536056524138853E-2</v>
      </c>
      <c r="Z215" s="2" cm="1">
        <f t="array" aca="1" ref="Z215" ca="1">MMULT(_xlfn.ANCHORARRAY(Q215),TRANSPOSE($Q$3:$U$3))</f>
        <v>1.03118578776778E-3</v>
      </c>
      <c r="AA215" s="11">
        <f ca="1">AVEDEV(Q215*$Q$3,R215*$R$3,S215*$S$3,T215*$T$3,U215*$U$3)</f>
        <v>1.694822685922479E-4</v>
      </c>
      <c r="AB215" s="11" cm="1">
        <f t="array" aca="1" ref="AB215" ca="1">MMULT(_xlfn.ANCHORARRAY(Q215),TRANSPOSE($Q$6:$U$6))</f>
        <v>-2.369805387379063E-2</v>
      </c>
      <c r="AD215" s="2" t="s">
        <v>206</v>
      </c>
      <c r="AE215" s="10" cm="1">
        <f t="array" aca="1" ref="AE215:AI215" ca="1">_xlfn.LET(_xlpm.array,_xlfn.RANDARRAY(1,COLUMNS(_xlfn.ANCHORARRAY(Q214)),-1,1,FALSE),_xlpm.array/SUM(_xlpm.array))</f>
        <v>-3.5640155125671966E-2</v>
      </c>
      <c r="AF215" s="10">
        <f ca="1"/>
        <v>0.38364932719203865</v>
      </c>
      <c r="AG215" s="10">
        <f ca="1"/>
        <v>0.37947183951059532</v>
      </c>
      <c r="AH215" s="10">
        <f ca="1"/>
        <v>-0.23361783499114835</v>
      </c>
      <c r="AI215" s="10">
        <f ca="1"/>
        <v>0.50613682341418642</v>
      </c>
      <c r="AJ215" s="1"/>
      <c r="AK215" s="2" cm="1">
        <f t="array" aca="1" ref="AK215" ca="1">MMULT(MMULT(_xlfn.ANCHORARRAY(AE215),$Q$9:$U$13),TRANSPOSE(_xlfn.ANCHORARRAY(AE215)))</f>
        <v>3.6941972478720579E-4</v>
      </c>
      <c r="AL215" s="2">
        <f t="shared" ca="1" si="11"/>
        <v>1.9220294607190748E-2</v>
      </c>
      <c r="AM215" s="2" cm="1">
        <f t="array" aca="1" ref="AM215" ca="1">MMULT(_xlfn.ANCHORARRAY(AE216),TRANSPOSE($Q$3:$U$3))</f>
        <v>8.7601923149140766E-4</v>
      </c>
    </row>
    <row r="216" spans="1:39" x14ac:dyDescent="0.35">
      <c r="A216" s="3">
        <v>44140</v>
      </c>
      <c r="B216" s="4">
        <v>21.553316116333001</v>
      </c>
      <c r="C216" s="4">
        <v>56.926448822021399</v>
      </c>
      <c r="D216" s="4">
        <v>29.842920303344702</v>
      </c>
      <c r="E216" s="4">
        <v>9.1493892669677699</v>
      </c>
      <c r="F216" s="4">
        <v>213.20953369140599</v>
      </c>
      <c r="I216" s="5">
        <f>B216/B215-1</f>
        <v>3.9273551590855105E-2</v>
      </c>
      <c r="J216" s="5">
        <f>C216/C215-1</f>
        <v>5.1557338915477757E-3</v>
      </c>
      <c r="K216" s="5">
        <f>D216/D215-1</f>
        <v>3.6638329133234171E-2</v>
      </c>
      <c r="L216" s="5">
        <f>E216/E215-1</f>
        <v>1.4307014838599308E-2</v>
      </c>
      <c r="M216" s="5">
        <f>F216/F215-1</f>
        <v>3.1886960564180278E-2</v>
      </c>
      <c r="N216" s="5">
        <f>SUMPRODUCT(I216:M216,$AJ$13:$AN$13)</f>
        <v>2.4885984760220747E-2</v>
      </c>
      <c r="P216" s="2" t="s">
        <v>207</v>
      </c>
      <c r="Q216" s="10" cm="1">
        <f t="array" aca="1" ref="Q216:U216" ca="1">_xlfn.LET(_xlpm.array,_xlfn.RANDARRAY(1,COLUMNS(_xlfn.ANCHORARRAY(Q215)),0,1,FALSE),_xlpm.array/SUM(_xlpm.array))</f>
        <v>0.16203506751829055</v>
      </c>
      <c r="R216" s="2">
        <f ca="1"/>
        <v>5.6565931423623407E-2</v>
      </c>
      <c r="S216" s="2">
        <f ca="1"/>
        <v>0.46505065228510878</v>
      </c>
      <c r="T216" s="2">
        <f ca="1"/>
        <v>0.27526275453768906</v>
      </c>
      <c r="U216" s="2">
        <f ca="1"/>
        <v>4.1085594235288278E-2</v>
      </c>
      <c r="V216" s="12"/>
      <c r="X216" s="2" cm="1">
        <f t="array" aca="1" ref="X216" ca="1">MMULT(MMULT(_xlfn.ANCHORARRAY(Q216),$Q$9:$U$13),TRANSPOSE(_xlfn.ANCHORARRAY(Q216)))</f>
        <v>3.9036454317309426E-4</v>
      </c>
      <c r="Y216" s="2">
        <f t="shared" ca="1" si="10"/>
        <v>1.9757645182892983E-2</v>
      </c>
      <c r="Z216" s="2" cm="1">
        <f t="array" aca="1" ref="Z216" ca="1">MMULT(_xlfn.ANCHORARRAY(Q216),TRANSPOSE($Q$3:$U$3))</f>
        <v>1.1915406038926235E-3</v>
      </c>
      <c r="AA216" s="11">
        <f ca="1">AVEDEV(Q216*$Q$3,R216*$R$3,S216*$S$3,T216*$T$3,U216*$U$3)</f>
        <v>2.2393580870226464E-4</v>
      </c>
      <c r="AB216" s="11" cm="1">
        <f t="array" aca="1" ref="AB216" ca="1">MMULT(_xlfn.ANCHORARRAY(Q216),TRANSPOSE($Q$6:$U$6))</f>
        <v>-2.5046543289352866E-2</v>
      </c>
      <c r="AD216" s="2" t="s">
        <v>207</v>
      </c>
      <c r="AE216" s="10" cm="1">
        <f t="array" aca="1" ref="AE216:AI216" ca="1">_xlfn.LET(_xlpm.array,_xlfn.RANDARRAY(1,COLUMNS(_xlfn.ANCHORARRAY(Q215)),-1,1,FALSE),_xlpm.array/SUM(_xlpm.array))</f>
        <v>0.58673203770913784</v>
      </c>
      <c r="AF216" s="10">
        <f ca="1"/>
        <v>0.30685011853585353</v>
      </c>
      <c r="AG216" s="10">
        <f ca="1"/>
        <v>0.32819721476737651</v>
      </c>
      <c r="AH216" s="10">
        <f ca="1"/>
        <v>-3.7477299778487023E-2</v>
      </c>
      <c r="AI216" s="10">
        <f ca="1"/>
        <v>-0.1843020712338809</v>
      </c>
      <c r="AJ216" s="1"/>
      <c r="AK216" s="2" cm="1">
        <f t="array" aca="1" ref="AK216" ca="1">MMULT(MMULT(_xlfn.ANCHORARRAY(AE216),$Q$9:$U$13),TRANSPOSE(_xlfn.ANCHORARRAY(AE216)))</f>
        <v>4.3902818281746646E-4</v>
      </c>
      <c r="AL216" s="2">
        <f t="shared" ca="1" si="11"/>
        <v>2.095299937520799E-2</v>
      </c>
      <c r="AM216" s="2" cm="1">
        <f t="array" aca="1" ref="AM216" ca="1">MMULT(_xlfn.ANCHORARRAY(AE217),TRANSPOSE($Q$3:$U$3))</f>
        <v>1.1824282705023728E-3</v>
      </c>
    </row>
    <row r="217" spans="1:39" x14ac:dyDescent="0.35">
      <c r="A217" s="3">
        <v>44141</v>
      </c>
      <c r="B217" s="4">
        <v>21.290575027465799</v>
      </c>
      <c r="C217" s="4">
        <v>56.145214080810497</v>
      </c>
      <c r="D217" s="4">
        <v>29.879930496215799</v>
      </c>
      <c r="E217" s="4">
        <v>9.0339174270629794</v>
      </c>
      <c r="F217" s="4">
        <v>213.6201171875</v>
      </c>
      <c r="I217" s="5">
        <f>B217/B216-1</f>
        <v>-1.2190286053852195E-2</v>
      </c>
      <c r="J217" s="5">
        <f>C217/C216-1</f>
        <v>-1.3723581171441124E-2</v>
      </c>
      <c r="K217" s="5">
        <f>D217/D216-1</f>
        <v>1.2401665954571151E-3</v>
      </c>
      <c r="L217" s="5">
        <f>E217/E216-1</f>
        <v>-1.2620715605759725E-2</v>
      </c>
      <c r="M217" s="5">
        <f>F217/F216-1</f>
        <v>1.9257276585402661E-3</v>
      </c>
      <c r="N217" s="5">
        <f>SUMPRODUCT(I217:M217,$AJ$13:$AN$13)</f>
        <v>-6.3290750379903769E-4</v>
      </c>
      <c r="P217" s="2" t="s">
        <v>208</v>
      </c>
      <c r="Q217" s="10" cm="1">
        <f t="array" aca="1" ref="Q217:U217" ca="1">_xlfn.LET(_xlpm.array,_xlfn.RANDARRAY(1,COLUMNS(_xlfn.ANCHORARRAY(Q216)),0,1,FALSE),_xlpm.array/SUM(_xlpm.array))</f>
        <v>6.5071370111863588E-3</v>
      </c>
      <c r="R217" s="2">
        <f ca="1"/>
        <v>0.31869775200268607</v>
      </c>
      <c r="S217" s="2">
        <f ca="1"/>
        <v>0.15984270118313063</v>
      </c>
      <c r="T217" s="2">
        <f ca="1"/>
        <v>0.26486147711421898</v>
      </c>
      <c r="U217" s="2">
        <f ca="1"/>
        <v>0.25009093268877797</v>
      </c>
      <c r="V217" s="12"/>
      <c r="X217" s="2" cm="1">
        <f t="array" aca="1" ref="X217" ca="1">MMULT(MMULT(_xlfn.ANCHORARRAY(Q217),$Q$9:$U$13),TRANSPOSE(_xlfn.ANCHORARRAY(Q217)))</f>
        <v>2.8329263286945675E-4</v>
      </c>
      <c r="Y217" s="2">
        <f t="shared" ca="1" si="10"/>
        <v>1.6831299203253942E-2</v>
      </c>
      <c r="Z217" s="2" cm="1">
        <f t="array" aca="1" ref="Z217" ca="1">MMULT(_xlfn.ANCHORARRAY(Q217),TRANSPOSE($Q$3:$U$3))</f>
        <v>9.5748746766241512E-4</v>
      </c>
      <c r="AA217" s="11">
        <f ca="1">AVEDEV(Q217*$Q$3,R217*$R$3,S217*$S$3,T217*$T$3,U217*$U$3)</f>
        <v>7.5361901762481065E-5</v>
      </c>
      <c r="AB217" s="11" cm="1">
        <f t="array" aca="1" ref="AB217" ca="1">MMULT(_xlfn.ANCHORARRAY(Q217),TRANSPOSE($Q$6:$U$6))</f>
        <v>-2.2744143007946194E-2</v>
      </c>
      <c r="AD217" s="2" t="s">
        <v>208</v>
      </c>
      <c r="AE217" s="10" cm="1">
        <f t="array" aca="1" ref="AE217:AI217" ca="1">_xlfn.LET(_xlpm.array,_xlfn.RANDARRAY(1,COLUMNS(_xlfn.ANCHORARRAY(Q216)),-1,1,FALSE),_xlpm.array/SUM(_xlpm.array))</f>
        <v>0.42554294510600926</v>
      </c>
      <c r="AF217" s="10">
        <f ca="1"/>
        <v>-0.82074085253173978</v>
      </c>
      <c r="AG217" s="10">
        <f ca="1"/>
        <v>0.42663953311319697</v>
      </c>
      <c r="AH217" s="10">
        <f ca="1"/>
        <v>0.51337624462745801</v>
      </c>
      <c r="AI217" s="10">
        <f ca="1"/>
        <v>0.4551821296850756</v>
      </c>
      <c r="AJ217" s="1"/>
      <c r="AK217" s="2" cm="1">
        <f t="array" aca="1" ref="AK217" ca="1">MMULT(MMULT(_xlfn.ANCHORARRAY(AE217),$Q$9:$U$13),TRANSPOSE(_xlfn.ANCHORARRAY(AE217)))</f>
        <v>5.105210507645448E-4</v>
      </c>
      <c r="AL217" s="2">
        <f t="shared" ca="1" si="11"/>
        <v>2.25947128940499E-2</v>
      </c>
      <c r="AM217" s="2" cm="1">
        <f t="array" aca="1" ref="AM217" ca="1">MMULT(_xlfn.ANCHORARRAY(AE218),TRANSPOSE($Q$3:$U$3))</f>
        <v>5.3043252289943681E-4</v>
      </c>
    </row>
    <row r="218" spans="1:39" x14ac:dyDescent="0.35">
      <c r="A218" s="3">
        <v>44144</v>
      </c>
      <c r="B218" s="4">
        <v>24.312070846557599</v>
      </c>
      <c r="C218" s="4">
        <v>62.655384063720703</v>
      </c>
      <c r="D218" s="4">
        <v>29.718019485473601</v>
      </c>
      <c r="E218" s="4">
        <v>9.7674999237060494</v>
      </c>
      <c r="F218" s="4">
        <v>208.53068542480401</v>
      </c>
      <c r="I218" s="5">
        <f>B218/B217-1</f>
        <v>0.1419170602575992</v>
      </c>
      <c r="J218" s="5">
        <f>C218/C217-1</f>
        <v>0.11595235835310991</v>
      </c>
      <c r="K218" s="5">
        <f>D218/D217-1</f>
        <v>-5.4187211299806526E-3</v>
      </c>
      <c r="L218" s="5">
        <f>E218/E217-1</f>
        <v>8.1203143881465101E-2</v>
      </c>
      <c r="M218" s="5">
        <f>F218/F217-1</f>
        <v>-2.3824683881382147E-2</v>
      </c>
      <c r="N218" s="5">
        <f>SUMPRODUCT(I218:M218,$AJ$13:$AN$13)</f>
        <v>-1.7680328008185982E-2</v>
      </c>
      <c r="P218" s="2" t="s">
        <v>209</v>
      </c>
      <c r="Q218" s="10" cm="1">
        <f t="array" aca="1" ref="Q218:U218" ca="1">_xlfn.LET(_xlpm.array,_xlfn.RANDARRAY(1,COLUMNS(_xlfn.ANCHORARRAY(Q217)),0,1,FALSE),_xlpm.array/SUM(_xlpm.array))</f>
        <v>0.2813155781671996</v>
      </c>
      <c r="R218" s="2">
        <f ca="1"/>
        <v>0.18538175271785598</v>
      </c>
      <c r="S218" s="2">
        <f ca="1"/>
        <v>0.14662044283100156</v>
      </c>
      <c r="T218" s="2">
        <f ca="1"/>
        <v>0.14963600217615247</v>
      </c>
      <c r="U218" s="2">
        <f ca="1"/>
        <v>0.2370462241077903</v>
      </c>
      <c r="V218" s="12"/>
      <c r="X218" s="2" cm="1">
        <f t="array" aca="1" ref="X218" ca="1">MMULT(MMULT(_xlfn.ANCHORARRAY(Q218),$Q$9:$U$13),TRANSPOSE(_xlfn.ANCHORARRAY(Q218)))</f>
        <v>2.6703487727702287E-4</v>
      </c>
      <c r="Y218" s="2">
        <f t="shared" ref="Y218:Y281" ca="1" si="12">SQRT(X218)</f>
        <v>1.634120183086369E-2</v>
      </c>
      <c r="Z218" s="2" cm="1">
        <f t="array" aca="1" ref="Z218" ca="1">MMULT(_xlfn.ANCHORARRAY(Q218),TRANSPOSE($Q$3:$U$3))</f>
        <v>8.5063870641886212E-4</v>
      </c>
      <c r="AA218" s="11">
        <f ca="1">AVEDEV(Q218*$Q$3,R218*$R$3,S218*$S$3,T218*$T$3,U218*$U$3)</f>
        <v>3.1664775793492103E-5</v>
      </c>
      <c r="AB218" s="11" cm="1">
        <f t="array" aca="1" ref="AB218" ca="1">MMULT(_xlfn.ANCHORARRAY(Q218),TRANSPOSE($Q$6:$U$6))</f>
        <v>-2.2415178276004491E-2</v>
      </c>
      <c r="AD218" s="2" t="s">
        <v>209</v>
      </c>
      <c r="AE218" s="10" cm="1">
        <f t="array" aca="1" ref="AE218:AI218" ca="1">_xlfn.LET(_xlpm.array,_xlfn.RANDARRAY(1,COLUMNS(_xlfn.ANCHORARRAY(Q217)),-1,1,FALSE),_xlpm.array/SUM(_xlpm.array))</f>
        <v>0.35875563515904374</v>
      </c>
      <c r="AF218" s="10">
        <f ca="1"/>
        <v>0.3980040740139722</v>
      </c>
      <c r="AG218" s="10">
        <f ca="1"/>
        <v>-6.0691176931592261E-2</v>
      </c>
      <c r="AH218" s="10">
        <f ca="1"/>
        <v>-0.29771552827463499</v>
      </c>
      <c r="AI218" s="10">
        <f ca="1"/>
        <v>0.60164699603321126</v>
      </c>
      <c r="AJ218" s="1"/>
      <c r="AK218" s="2" cm="1">
        <f t="array" aca="1" ref="AK218" ca="1">MMULT(MMULT(_xlfn.ANCHORARRAY(AE218),$Q$9:$U$13),TRANSPOSE(_xlfn.ANCHORARRAY(AE218)))</f>
        <v>3.1692149464688168E-4</v>
      </c>
      <c r="AL218" s="2">
        <f t="shared" ref="AL218:AL281" ca="1" si="13">SQRT(AK218)</f>
        <v>1.7802289028293009E-2</v>
      </c>
      <c r="AM218" s="2" cm="1">
        <f t="array" aca="1" ref="AM218" ca="1">MMULT(_xlfn.ANCHORARRAY(AE219),TRANSPOSE($Q$3:$U$3))</f>
        <v>1.5362233525378361E-3</v>
      </c>
    </row>
    <row r="219" spans="1:39" x14ac:dyDescent="0.35">
      <c r="A219" s="3">
        <v>44145</v>
      </c>
      <c r="B219" s="4">
        <v>24.224493026733398</v>
      </c>
      <c r="C219" s="4">
        <v>65.551422119140597</v>
      </c>
      <c r="D219" s="4">
        <v>29.889181137084901</v>
      </c>
      <c r="E219" s="4">
        <v>10.120704650878899</v>
      </c>
      <c r="F219" s="4">
        <v>201.48391723632801</v>
      </c>
      <c r="I219" s="5">
        <f>B219/B218-1</f>
        <v>-3.6022361228270627E-3</v>
      </c>
      <c r="J219" s="5">
        <f>C219/C218-1</f>
        <v>4.6221695049776024E-2</v>
      </c>
      <c r="K219" s="5">
        <f>D219/D218-1</f>
        <v>5.7595241733712221E-3</v>
      </c>
      <c r="L219" s="5">
        <f>E219/E218-1</f>
        <v>3.6161221390502485E-2</v>
      </c>
      <c r="M219" s="5">
        <f>F219/F218-1</f>
        <v>-3.3792476028747576E-2</v>
      </c>
      <c r="N219" s="5">
        <f>SUMPRODUCT(I219:M219,$AJ$13:$AN$13)</f>
        <v>8.1346641932535796E-3</v>
      </c>
      <c r="P219" s="2" t="s">
        <v>210</v>
      </c>
      <c r="Q219" s="10" cm="1">
        <f t="array" aca="1" ref="Q219:U219" ca="1">_xlfn.LET(_xlpm.array,_xlfn.RANDARRAY(1,COLUMNS(_xlfn.ANCHORARRAY(Q218)),0,1,FALSE),_xlpm.array/SUM(_xlpm.array))</f>
        <v>0.29173072987190035</v>
      </c>
      <c r="R219" s="2">
        <f ca="1"/>
        <v>0.11115635763696349</v>
      </c>
      <c r="S219" s="2">
        <f ca="1"/>
        <v>2.2615522606071869E-2</v>
      </c>
      <c r="T219" s="2">
        <f ca="1"/>
        <v>0.32119976869206285</v>
      </c>
      <c r="U219" s="2">
        <f ca="1"/>
        <v>0.25329762119300142</v>
      </c>
      <c r="V219" s="12"/>
      <c r="X219" s="2" cm="1">
        <f t="array" aca="1" ref="X219" ca="1">MMULT(MMULT(_xlfn.ANCHORARRAY(Q219),$Q$9:$U$13),TRANSPOSE(_xlfn.ANCHORARRAY(Q219)))</f>
        <v>2.7293070318972867E-4</v>
      </c>
      <c r="Y219" s="2">
        <f t="shared" ca="1" si="12"/>
        <v>1.6520614491892505E-2</v>
      </c>
      <c r="Z219" s="2" cm="1">
        <f t="array" aca="1" ref="Z219" ca="1">MMULT(_xlfn.ANCHORARRAY(Q219),TRANSPOSE($Q$3:$U$3))</f>
        <v>7.8804822526926381E-4</v>
      </c>
      <c r="AA219" s="11">
        <f ca="1">AVEDEV(Q219*$Q$3,R219*$R$3,S219*$S$3,T219*$T$3,U219*$U$3)</f>
        <v>8.2663818954848453E-5</v>
      </c>
      <c r="AB219" s="11" cm="1">
        <f t="array" aca="1" ref="AB219" ca="1">MMULT(_xlfn.ANCHORARRAY(Q219),TRANSPOSE($Q$6:$U$6))</f>
        <v>-2.2388668519371054E-2</v>
      </c>
      <c r="AD219" s="2" t="s">
        <v>210</v>
      </c>
      <c r="AE219" s="10" cm="1">
        <f t="array" aca="1" ref="AE219:AI219" ca="1">_xlfn.LET(_xlpm.array,_xlfn.RANDARRAY(1,COLUMNS(_xlfn.ANCHORARRAY(Q218)),-1,1,FALSE),_xlpm.array/SUM(_xlpm.array))</f>
        <v>-0.19532514906908402</v>
      </c>
      <c r="AF219" s="10">
        <f ca="1"/>
        <v>8.8357381289844716E-2</v>
      </c>
      <c r="AG219" s="10">
        <f ca="1"/>
        <v>0.71130765809036134</v>
      </c>
      <c r="AH219" s="10">
        <f ca="1"/>
        <v>0.44082733114086581</v>
      </c>
      <c r="AI219" s="10">
        <f ca="1"/>
        <v>-4.516722145198785E-2</v>
      </c>
      <c r="AJ219" s="1"/>
      <c r="AK219" s="2" cm="1">
        <f t="array" aca="1" ref="AK219" ca="1">MMULT(MMULT(_xlfn.ANCHORARRAY(AE219),$Q$9:$U$13),TRANSPOSE(_xlfn.ANCHORARRAY(AE219)))</f>
        <v>6.1056669582887878E-4</v>
      </c>
      <c r="AL219" s="2">
        <f t="shared" ca="1" si="13"/>
        <v>2.4709647828912471E-2</v>
      </c>
      <c r="AM219" s="2" cm="1">
        <f t="array" aca="1" ref="AM219" ca="1">MMULT(_xlfn.ANCHORARRAY(AE220),TRANSPOSE($Q$3:$U$3))</f>
        <v>1.036039435544674E-3</v>
      </c>
    </row>
    <row r="220" spans="1:39" x14ac:dyDescent="0.35">
      <c r="A220" s="3">
        <v>44146</v>
      </c>
      <c r="B220" s="4">
        <v>23.944238662719702</v>
      </c>
      <c r="C220" s="4">
        <v>65.070053100585895</v>
      </c>
      <c r="D220" s="4">
        <v>30.014081954956001</v>
      </c>
      <c r="E220" s="4">
        <v>9.9712724685668892</v>
      </c>
      <c r="F220" s="4">
        <v>206.77378845214801</v>
      </c>
      <c r="I220" s="5">
        <f>B220/B219-1</f>
        <v>-1.1569049709499235E-2</v>
      </c>
      <c r="J220" s="5">
        <f>C220/C219-1</f>
        <v>-7.3433802500852963E-3</v>
      </c>
      <c r="K220" s="5">
        <f>D220/D219-1</f>
        <v>4.1787969131121816E-3</v>
      </c>
      <c r="L220" s="5">
        <f>E220/E219-1</f>
        <v>-1.476499784024754E-2</v>
      </c>
      <c r="M220" s="5">
        <f>F220/F219-1</f>
        <v>2.6254558122449589E-2</v>
      </c>
      <c r="N220" s="5">
        <f>SUMPRODUCT(I220:M220,$AJ$13:$AN$13)</f>
        <v>7.6334783191176541E-3</v>
      </c>
      <c r="P220" s="2" t="s">
        <v>211</v>
      </c>
      <c r="Q220" s="10" cm="1">
        <f t="array" aca="1" ref="Q220:U220" ca="1">_xlfn.LET(_xlpm.array,_xlfn.RANDARRAY(1,COLUMNS(_xlfn.ANCHORARRAY(Q219)),0,1,FALSE),_xlpm.array/SUM(_xlpm.array))</f>
        <v>0.14256850419591807</v>
      </c>
      <c r="R220" s="2">
        <f ca="1"/>
        <v>0.53900188666766158</v>
      </c>
      <c r="S220" s="2">
        <f ca="1"/>
        <v>0.27782299232769103</v>
      </c>
      <c r="T220" s="2">
        <f ca="1"/>
        <v>3.0934024256415862E-2</v>
      </c>
      <c r="U220" s="2">
        <f ca="1"/>
        <v>9.6725925523134266E-3</v>
      </c>
      <c r="V220" s="12"/>
      <c r="X220" s="2" cm="1">
        <f t="array" aca="1" ref="X220" ca="1">MMULT(MMULT(_xlfn.ANCHORARRAY(Q220),$Q$9:$U$13),TRANSPOSE(_xlfn.ANCHORARRAY(Q220)))</f>
        <v>3.506958428073623E-4</v>
      </c>
      <c r="Y220" s="2">
        <f t="shared" ca="1" si="12"/>
        <v>1.8726874880966186E-2</v>
      </c>
      <c r="Z220" s="2" cm="1">
        <f t="array" aca="1" ref="Z220" ca="1">MMULT(_xlfn.ANCHORARRAY(Q220),TRANSPOSE($Q$3:$U$3))</f>
        <v>9.5624573516067722E-4</v>
      </c>
      <c r="AA220" s="11">
        <f ca="1">AVEDEV(Q220*$Q$3,R220*$R$3,S220*$S$3,T220*$T$3,U220*$U$3)</f>
        <v>1.8491467421526128E-4</v>
      </c>
      <c r="AB220" s="11" cm="1">
        <f t="array" aca="1" ref="AB220" ca="1">MMULT(_xlfn.ANCHORARRAY(Q220),TRANSPOSE($Q$6:$U$6))</f>
        <v>-2.2699677163146189E-2</v>
      </c>
      <c r="AD220" s="2" t="s">
        <v>211</v>
      </c>
      <c r="AE220" s="10" cm="1">
        <f t="array" aca="1" ref="AE220:AI220" ca="1">_xlfn.LET(_xlpm.array,_xlfn.RANDARRAY(1,COLUMNS(_xlfn.ANCHORARRAY(Q219)),-1,1,FALSE),_xlpm.array/SUM(_xlpm.array))</f>
        <v>-0.14782949732220566</v>
      </c>
      <c r="AF220" s="10">
        <f ca="1"/>
        <v>0.33343005971480466</v>
      </c>
      <c r="AG220" s="10">
        <f ca="1"/>
        <v>0.1744970628366565</v>
      </c>
      <c r="AH220" s="10">
        <f ca="1"/>
        <v>0.36950152249530893</v>
      </c>
      <c r="AI220" s="10">
        <f ca="1"/>
        <v>0.27040085227543559</v>
      </c>
      <c r="AJ220" s="1"/>
      <c r="AK220" s="2" cm="1">
        <f t="array" aca="1" ref="AK220" ca="1">MMULT(MMULT(_xlfn.ANCHORARRAY(AE220),$Q$9:$U$13),TRANSPOSE(_xlfn.ANCHORARRAY(AE220)))</f>
        <v>3.1535047236365508E-4</v>
      </c>
      <c r="AL220" s="2">
        <f t="shared" ca="1" si="13"/>
        <v>1.7758110044812061E-2</v>
      </c>
      <c r="AM220" s="2" cm="1">
        <f t="array" aca="1" ref="AM220" ca="1">MMULT(_xlfn.ANCHORARRAY(AE221),TRANSPOSE($Q$3:$U$3))</f>
        <v>6.7926686112197276E-5</v>
      </c>
    </row>
    <row r="221" spans="1:39" x14ac:dyDescent="0.35">
      <c r="A221" s="3">
        <v>44147</v>
      </c>
      <c r="B221" s="4">
        <v>23.374975204467699</v>
      </c>
      <c r="C221" s="4">
        <v>63.657562255859297</v>
      </c>
      <c r="D221" s="4">
        <v>29.801286697387599</v>
      </c>
      <c r="E221" s="4">
        <v>9.7799119949340803</v>
      </c>
      <c r="F221" s="4">
        <v>205.71395874023401</v>
      </c>
      <c r="I221" s="5">
        <f>B221/B220-1</f>
        <v>-2.3774548285735442E-2</v>
      </c>
      <c r="J221" s="5">
        <f>C221/C220-1</f>
        <v>-2.1707233626245159E-2</v>
      </c>
      <c r="K221" s="5">
        <f>D221/D220-1</f>
        <v>-7.0898472886079533E-3</v>
      </c>
      <c r="L221" s="5">
        <f>E221/E220-1</f>
        <v>-1.9191178882740134E-2</v>
      </c>
      <c r="M221" s="5">
        <f>F221/F220-1</f>
        <v>-5.1255515500663318E-3</v>
      </c>
      <c r="N221" s="5">
        <f>SUMPRODUCT(I221:M221,$AJ$13:$AN$13)</f>
        <v>-6.7837792044020372E-3</v>
      </c>
      <c r="P221" s="2" t="s">
        <v>212</v>
      </c>
      <c r="Q221" s="10" cm="1">
        <f t="array" aca="1" ref="Q221:U221" ca="1">_xlfn.LET(_xlpm.array,_xlfn.RANDARRAY(1,COLUMNS(_xlfn.ANCHORARRAY(Q220)),0,1,FALSE),_xlpm.array/SUM(_xlpm.array))</f>
        <v>0.29151228206430524</v>
      </c>
      <c r="R221" s="2">
        <f ca="1"/>
        <v>0.11230183003595252</v>
      </c>
      <c r="S221" s="2">
        <f ca="1"/>
        <v>0.32489642972790084</v>
      </c>
      <c r="T221" s="2">
        <f ca="1"/>
        <v>0.26418625779810179</v>
      </c>
      <c r="U221" s="2">
        <f ca="1"/>
        <v>7.1032003737395372E-3</v>
      </c>
      <c r="V221" s="12"/>
      <c r="X221" s="2" cm="1">
        <f t="array" aca="1" ref="X221" ca="1">MMULT(MMULT(_xlfn.ANCHORARRAY(Q221),$Q$9:$U$13),TRANSPOSE(_xlfn.ANCHORARRAY(Q221)))</f>
        <v>3.4666546729103715E-4</v>
      </c>
      <c r="Y221" s="2">
        <f t="shared" ca="1" si="12"/>
        <v>1.8618954516595104E-2</v>
      </c>
      <c r="Z221" s="2" cm="1">
        <f t="array" aca="1" ref="Z221" ca="1">MMULT(_xlfn.ANCHORARRAY(Q221),TRANSPOSE($Q$3:$U$3))</f>
        <v>1.0331293736399606E-3</v>
      </c>
      <c r="AA221" s="11">
        <f ca="1">AVEDEV(Q221*$Q$3,R221*$R$3,S221*$S$3,T221*$T$3,U221*$U$3)</f>
        <v>1.5371100371403722E-4</v>
      </c>
      <c r="AB221" s="11" cm="1">
        <f t="array" aca="1" ref="AB221" ca="1">MMULT(_xlfn.ANCHORARRAY(Q221),TRANSPOSE($Q$6:$U$6))</f>
        <v>-2.4224376464922044E-2</v>
      </c>
      <c r="AD221" s="2" t="s">
        <v>212</v>
      </c>
      <c r="AE221" s="10" cm="1">
        <f t="array" aca="1" ref="AE221:AI221" ca="1">_xlfn.LET(_xlpm.array,_xlfn.RANDARRAY(1,COLUMNS(_xlfn.ANCHORARRAY(Q220)),-1,1,FALSE),_xlpm.array/SUM(_xlpm.array))</f>
        <v>0.63551391678508462</v>
      </c>
      <c r="AF221" s="10">
        <f ca="1"/>
        <v>-1.5992401988685812</v>
      </c>
      <c r="AG221" s="10">
        <f ca="1"/>
        <v>-1.3769263695394043</v>
      </c>
      <c r="AH221" s="10">
        <f ca="1"/>
        <v>2.312539596460748</v>
      </c>
      <c r="AI221" s="10">
        <f ca="1"/>
        <v>1.0281130551621531</v>
      </c>
      <c r="AJ221" s="1"/>
      <c r="AK221" s="2" cm="1">
        <f t="array" aca="1" ref="AK221" ca="1">MMULT(MMULT(_xlfn.ANCHORARRAY(AE221),$Q$9:$U$13),TRANSPOSE(_xlfn.ANCHORARRAY(AE221)))</f>
        <v>2.8233563049790108E-3</v>
      </c>
      <c r="AL221" s="2">
        <f t="shared" ca="1" si="13"/>
        <v>5.3135264231760536E-2</v>
      </c>
      <c r="AM221" s="2" cm="1">
        <f t="array" aca="1" ref="AM221" ca="1">MMULT(_xlfn.ANCHORARRAY(AE222),TRANSPOSE($Q$3:$U$3))</f>
        <v>2.7047885473716262E-5</v>
      </c>
    </row>
    <row r="222" spans="1:39" x14ac:dyDescent="0.35">
      <c r="A222" s="3">
        <v>44148</v>
      </c>
      <c r="B222" s="4">
        <v>23.646463394165</v>
      </c>
      <c r="C222" s="4">
        <v>65.519851684570298</v>
      </c>
      <c r="D222" s="4">
        <v>30.583095550537099</v>
      </c>
      <c r="E222" s="4">
        <v>9.9439373016357404</v>
      </c>
      <c r="F222" s="4">
        <v>206.735580444335</v>
      </c>
      <c r="I222" s="5">
        <f>B222/B221-1</f>
        <v>1.1614480328749677E-2</v>
      </c>
      <c r="J222" s="5">
        <f>C222/C221-1</f>
        <v>2.9254802771521371E-2</v>
      </c>
      <c r="K222" s="5">
        <f>D222/D221-1</f>
        <v>2.6234063686184195E-2</v>
      </c>
      <c r="L222" s="5">
        <f>E222/E221-1</f>
        <v>1.6771654672007585E-2</v>
      </c>
      <c r="M222" s="5">
        <f>F222/F221-1</f>
        <v>4.9662245107588987E-3</v>
      </c>
      <c r="N222" s="5">
        <f>SUMPRODUCT(I222:M222,$AJ$13:$AN$13)</f>
        <v>1.8837469907995577E-2</v>
      </c>
      <c r="P222" s="2" t="s">
        <v>213</v>
      </c>
      <c r="Q222" s="10" cm="1">
        <f t="array" aca="1" ref="Q222:U222" ca="1">_xlfn.LET(_xlpm.array,_xlfn.RANDARRAY(1,COLUMNS(_xlfn.ANCHORARRAY(Q221)),0,1,FALSE),_xlpm.array/SUM(_xlpm.array))</f>
        <v>0.11176124631693728</v>
      </c>
      <c r="R222" s="2">
        <f ca="1"/>
        <v>0.38515200047572395</v>
      </c>
      <c r="S222" s="2">
        <f ca="1"/>
        <v>0.34923871995464373</v>
      </c>
      <c r="T222" s="2">
        <f ca="1"/>
        <v>2.4595002511372133E-2</v>
      </c>
      <c r="U222" s="2">
        <f ca="1"/>
        <v>0.12925303074132283</v>
      </c>
      <c r="V222" s="12"/>
      <c r="X222" s="2" cm="1">
        <f t="array" aca="1" ref="X222" ca="1">MMULT(MMULT(_xlfn.ANCHORARRAY(Q222),$Q$9:$U$13),TRANSPOSE(_xlfn.ANCHORARRAY(Q222)))</f>
        <v>3.3132918135596377E-4</v>
      </c>
      <c r="Y222" s="2">
        <f t="shared" ca="1" si="12"/>
        <v>1.8202449872365085E-2</v>
      </c>
      <c r="Z222" s="2" cm="1">
        <f t="array" aca="1" ref="Z222" ca="1">MMULT(_xlfn.ANCHORARRAY(Q222),TRANSPOSE($Q$3:$U$3))</f>
        <v>1.0292055657350617E-3</v>
      </c>
      <c r="AA222" s="11">
        <f ca="1">AVEDEV(Q222*$Q$3,R222*$R$3,S222*$S$3,T222*$T$3,U222*$U$3)</f>
        <v>1.7469390222927102E-4</v>
      </c>
      <c r="AB222" s="11" cm="1">
        <f t="array" aca="1" ref="AB222" ca="1">MMULT(_xlfn.ANCHORARRAY(Q222),TRANSPOSE($Q$6:$U$6))</f>
        <v>-2.305141207411757E-2</v>
      </c>
      <c r="AD222" s="2" t="s">
        <v>213</v>
      </c>
      <c r="AE222" s="10" cm="1">
        <f t="array" aca="1" ref="AE222:AI222" ca="1">_xlfn.LET(_xlpm.array,_xlfn.RANDARRAY(1,COLUMNS(_xlfn.ANCHORARRAY(Q221)),-1,1,FALSE),_xlpm.array/SUM(_xlpm.array))</f>
        <v>0.61306962479588545</v>
      </c>
      <c r="AF222" s="10">
        <f ca="1"/>
        <v>0.37389289611552473</v>
      </c>
      <c r="AG222" s="10">
        <f ca="1"/>
        <v>-0.97042826437589402</v>
      </c>
      <c r="AH222" s="10">
        <f ca="1"/>
        <v>1.036733326185622</v>
      </c>
      <c r="AI222" s="10">
        <f ca="1"/>
        <v>-5.326758272113806E-2</v>
      </c>
      <c r="AJ222" s="1"/>
      <c r="AK222" s="2" cm="1">
        <f t="array" aca="1" ref="AK222" ca="1">MMULT(MMULT(_xlfn.ANCHORARRAY(AE222),$Q$9:$U$13),TRANSPOSE(_xlfn.ANCHORARRAY(AE222)))</f>
        <v>1.5489329972949084E-3</v>
      </c>
      <c r="AL222" s="2">
        <f t="shared" ca="1" si="13"/>
        <v>3.9356486089270067E-2</v>
      </c>
      <c r="AM222" s="2" cm="1">
        <f t="array" aca="1" ref="AM222" ca="1">MMULT(_xlfn.ANCHORARRAY(AE223),TRANSPOSE($Q$3:$U$3))</f>
        <v>-2.2287289968358909E-3</v>
      </c>
    </row>
    <row r="223" spans="1:39" x14ac:dyDescent="0.35">
      <c r="A223" s="3">
        <v>44151</v>
      </c>
      <c r="B223" s="4">
        <v>24.154430389404201</v>
      </c>
      <c r="C223" s="4">
        <v>70.199272155761705</v>
      </c>
      <c r="D223" s="4">
        <v>31.156732559204102</v>
      </c>
      <c r="E223" s="4">
        <v>10.436005592346101</v>
      </c>
      <c r="F223" s="4">
        <v>207.423080444335</v>
      </c>
      <c r="I223" s="5">
        <f>B223/B222-1</f>
        <v>2.148173224773009E-2</v>
      </c>
      <c r="J223" s="5">
        <f>C223/C222-1</f>
        <v>7.1419888032093759E-2</v>
      </c>
      <c r="K223" s="5">
        <f>D223/D222-1</f>
        <v>1.8756669275649118E-2</v>
      </c>
      <c r="L223" s="5">
        <f>E223/E222-1</f>
        <v>4.9484251135555324E-2</v>
      </c>
      <c r="M223" s="5">
        <f>F223/F222-1</f>
        <v>3.325504001402857E-3</v>
      </c>
      <c r="N223" s="5">
        <f>SUMPRODUCT(I223:M223,$AJ$13:$AN$13)</f>
        <v>2.5446150668074694E-2</v>
      </c>
      <c r="P223" s="2" t="s">
        <v>214</v>
      </c>
      <c r="Q223" s="10" cm="1">
        <f t="array" aca="1" ref="Q223:U223" ca="1">_xlfn.LET(_xlpm.array,_xlfn.RANDARRAY(1,COLUMNS(_xlfn.ANCHORARRAY(Q222)),0,1,FALSE),_xlpm.array/SUM(_xlpm.array))</f>
        <v>4.9883660976510709E-2</v>
      </c>
      <c r="R223" s="2">
        <f ca="1"/>
        <v>0.21876191020758029</v>
      </c>
      <c r="S223" s="2">
        <f ca="1"/>
        <v>6.2834119370037689E-2</v>
      </c>
      <c r="T223" s="2">
        <f ca="1"/>
        <v>0.28576731178224934</v>
      </c>
      <c r="U223" s="2">
        <f ca="1"/>
        <v>0.38275299766362203</v>
      </c>
      <c r="V223" s="12"/>
      <c r="X223" s="2" cm="1">
        <f t="array" aca="1" ref="X223" ca="1">MMULT(MMULT(_xlfn.ANCHORARRAY(Q223),$Q$9:$U$13),TRANSPOSE(_xlfn.ANCHORARRAY(Q223)))</f>
        <v>2.5719555233444521E-4</v>
      </c>
      <c r="Y223" s="2">
        <f t="shared" ca="1" si="12"/>
        <v>1.6037317491851472E-2</v>
      </c>
      <c r="Z223" s="2" cm="1">
        <f t="array" aca="1" ref="Z223" ca="1">MMULT(_xlfn.ANCHORARRAY(Q223),TRANSPOSE($Q$3:$U$3))</f>
        <v>8.7183920285732546E-4</v>
      </c>
      <c r="AA223" s="11">
        <f ca="1">AVEDEV(Q223*$Q$3,R223*$R$3,S223*$S$3,T223*$T$3,U223*$U$3)</f>
        <v>9.4383676186869132E-5</v>
      </c>
      <c r="AB223" s="11" cm="1">
        <f t="array" aca="1" ref="AB223" ca="1">MMULT(_xlfn.ANCHORARRAY(Q223),TRANSPOSE($Q$6:$U$6))</f>
        <v>-2.2185469515880893E-2</v>
      </c>
      <c r="AD223" s="2" t="s">
        <v>214</v>
      </c>
      <c r="AE223" s="10" cm="1">
        <f t="array" aca="1" ref="AE223:AI223" ca="1">_xlfn.LET(_xlpm.array,_xlfn.RANDARRAY(1,COLUMNS(_xlfn.ANCHORARRAY(Q222)),-1,1,FALSE),_xlpm.array/SUM(_xlpm.array))</f>
        <v>-0.94942444602234377</v>
      </c>
      <c r="AF223" s="10">
        <f ca="1"/>
        <v>-1.0266489022499834E-2</v>
      </c>
      <c r="AG223" s="10">
        <f ca="1"/>
        <v>-6.0064698257255689</v>
      </c>
      <c r="AH223" s="10">
        <f ca="1"/>
        <v>7.4888915498506083</v>
      </c>
      <c r="AI223" s="10">
        <f ca="1"/>
        <v>0.47726921091980445</v>
      </c>
      <c r="AJ223" s="1"/>
      <c r="AK223" s="2" cm="1">
        <f t="array" aca="1" ref="AK223" ca="1">MMULT(MMULT(_xlfn.ANCHORARRAY(AE223),$Q$9:$U$13),TRANSPOSE(_xlfn.ANCHORARRAY(AE223)))</f>
        <v>4.5103300866236255E-2</v>
      </c>
      <c r="AL223" s="2">
        <f t="shared" ca="1" si="13"/>
        <v>0.21237537725978559</v>
      </c>
      <c r="AM223" s="2" cm="1">
        <f t="array" aca="1" ref="AM223" ca="1">MMULT(_xlfn.ANCHORARRAY(AE224),TRANSPOSE($Q$3:$U$3))</f>
        <v>8.6770641776647342E-4</v>
      </c>
    </row>
    <row r="224" spans="1:39" x14ac:dyDescent="0.35">
      <c r="A224" s="3">
        <v>44152</v>
      </c>
      <c r="B224" s="4">
        <v>24.12815284729</v>
      </c>
      <c r="C224" s="4">
        <v>69.694831848144503</v>
      </c>
      <c r="D224" s="4">
        <v>31.3926601409912</v>
      </c>
      <c r="E224" s="4">
        <v>10.5180187225341</v>
      </c>
      <c r="F224" s="4">
        <v>204.77816772460901</v>
      </c>
      <c r="I224" s="5">
        <f>B224/B223-1</f>
        <v>-1.0878974039366662E-3</v>
      </c>
      <c r="J224" s="5">
        <f>C224/C223-1</f>
        <v>-7.1858338715808934E-3</v>
      </c>
      <c r="K224" s="5">
        <f>D224/D223-1</f>
        <v>7.5722825344020084E-3</v>
      </c>
      <c r="L224" s="5">
        <f>E224/E223-1</f>
        <v>7.8586705863925577E-3</v>
      </c>
      <c r="M224" s="5">
        <f>F224/F223-1</f>
        <v>-1.275129418606713E-2</v>
      </c>
      <c r="N224" s="5">
        <f>SUMPRODUCT(I224:M224,$AJ$13:$AN$13)</f>
        <v>3.9052313128277154E-3</v>
      </c>
      <c r="P224" s="2" t="s">
        <v>215</v>
      </c>
      <c r="Q224" s="10" cm="1">
        <f t="array" aca="1" ref="Q224:U224" ca="1">_xlfn.LET(_xlpm.array,_xlfn.RANDARRAY(1,COLUMNS(_xlfn.ANCHORARRAY(Q223)),0,1,FALSE),_xlpm.array/SUM(_xlpm.array))</f>
        <v>4.256072856941117E-2</v>
      </c>
      <c r="R224" s="2">
        <f ca="1"/>
        <v>0.30091536017480586</v>
      </c>
      <c r="S224" s="2">
        <f ca="1"/>
        <v>3.9880759641138332E-2</v>
      </c>
      <c r="T224" s="2">
        <f ca="1"/>
        <v>0.20553199011357479</v>
      </c>
      <c r="U224" s="2">
        <f ca="1"/>
        <v>0.41111116150106986</v>
      </c>
      <c r="V224" s="12"/>
      <c r="X224" s="2" cm="1">
        <f t="array" aca="1" ref="X224" ca="1">MMULT(MMULT(_xlfn.ANCHORARRAY(Q224),$Q$9:$U$13),TRANSPOSE(_xlfn.ANCHORARRAY(Q224)))</f>
        <v>2.5242699194795762E-4</v>
      </c>
      <c r="Y224" s="2">
        <f t="shared" ca="1" si="12"/>
        <v>1.5887951156393881E-2</v>
      </c>
      <c r="Z224" s="2" cm="1">
        <f t="array" aca="1" ref="Z224" ca="1">MMULT(_xlfn.ANCHORARRAY(Q224),TRANSPOSE($Q$3:$U$3))</f>
        <v>8.3055280427154501E-4</v>
      </c>
      <c r="AA224" s="11">
        <f ca="1">AVEDEV(Q224*$Q$3,R224*$R$3,S224*$S$3,T224*$T$3,U224*$U$3)</f>
        <v>9.8329362656778319E-5</v>
      </c>
      <c r="AB224" s="11" cm="1">
        <f t="array" aca="1" ref="AB224" ca="1">MMULT(_xlfn.ANCHORARRAY(Q224),TRANSPOSE($Q$6:$U$6))</f>
        <v>-2.1648137658240071E-2</v>
      </c>
      <c r="AD224" s="2" t="s">
        <v>215</v>
      </c>
      <c r="AE224" s="10" cm="1">
        <f t="array" aca="1" ref="AE224:AI224" ca="1">_xlfn.LET(_xlpm.array,_xlfn.RANDARRAY(1,COLUMNS(_xlfn.ANCHORARRAY(Q223)),-1,1,FALSE),_xlpm.array/SUM(_xlpm.array))</f>
        <v>0.13396290632489261</v>
      </c>
      <c r="AF224" s="10">
        <f ca="1"/>
        <v>0.10808580854068089</v>
      </c>
      <c r="AG224" s="10">
        <f ca="1"/>
        <v>5.2870093479559753E-2</v>
      </c>
      <c r="AH224" s="10">
        <f ca="1"/>
        <v>0.37211968330250883</v>
      </c>
      <c r="AI224" s="10">
        <f ca="1"/>
        <v>0.33296150835235788</v>
      </c>
      <c r="AJ224" s="1"/>
      <c r="AK224" s="2" cm="1">
        <f t="array" aca="1" ref="AK224" ca="1">MMULT(MMULT(_xlfn.ANCHORARRAY(AE224),$Q$9:$U$13),TRANSPOSE(_xlfn.ANCHORARRAY(AE224)))</f>
        <v>2.6607535997053662E-4</v>
      </c>
      <c r="AL224" s="2">
        <f t="shared" ca="1" si="13"/>
        <v>1.6311816574818901E-2</v>
      </c>
      <c r="AM224" s="2" cm="1">
        <f t="array" aca="1" ref="AM224" ca="1">MMULT(_xlfn.ANCHORARRAY(AE225),TRANSPOSE($Q$3:$U$3))</f>
        <v>9.3889115614145683E-4</v>
      </c>
    </row>
    <row r="225" spans="1:39" x14ac:dyDescent="0.35">
      <c r="A225" s="3">
        <v>44153</v>
      </c>
      <c r="B225" s="4">
        <v>23.628953933715799</v>
      </c>
      <c r="C225" s="4">
        <v>67.484832763671804</v>
      </c>
      <c r="D225" s="4">
        <v>31.272386550903299</v>
      </c>
      <c r="E225" s="4">
        <v>10.408668518066399</v>
      </c>
      <c r="F225" s="4">
        <v>202.07841491699199</v>
      </c>
      <c r="I225" s="5">
        <f>B225/B224-1</f>
        <v>-2.0689479080047701E-2</v>
      </c>
      <c r="J225" s="5">
        <f>C225/C224-1</f>
        <v>-3.170965516192048E-2</v>
      </c>
      <c r="K225" s="5">
        <f>D225/D224-1</f>
        <v>-3.8312646824998353E-3</v>
      </c>
      <c r="L225" s="5">
        <f>E225/E224-1</f>
        <v>-1.0396464139527106E-2</v>
      </c>
      <c r="M225" s="5">
        <f>F225/F224-1</f>
        <v>-1.3183792186517218E-2</v>
      </c>
      <c r="N225" s="5">
        <f>SUMPRODUCT(I225:M225,$AJ$13:$AN$13)</f>
        <v>-4.2341063775842066E-3</v>
      </c>
      <c r="P225" s="2" t="s">
        <v>216</v>
      </c>
      <c r="Q225" s="10" cm="1">
        <f t="array" aca="1" ref="Q225:U225" ca="1">_xlfn.LET(_xlpm.array,_xlfn.RANDARRAY(1,COLUMNS(_xlfn.ANCHORARRAY(Q224)),0,1,FALSE),_xlpm.array/SUM(_xlpm.array))</f>
        <v>0.54621000247430962</v>
      </c>
      <c r="R225" s="2">
        <f ca="1"/>
        <v>0.20371966840761807</v>
      </c>
      <c r="S225" s="2">
        <f ca="1"/>
        <v>7.3664970553222478E-2</v>
      </c>
      <c r="T225" s="2">
        <f ca="1"/>
        <v>8.4033771923815573E-2</v>
      </c>
      <c r="U225" s="2">
        <f ca="1"/>
        <v>9.2371586641034273E-2</v>
      </c>
      <c r="V225" s="12"/>
      <c r="X225" s="2" cm="1">
        <f t="array" aca="1" ref="X225" ca="1">MMULT(MMULT(_xlfn.ANCHORARRAY(Q225),$Q$9:$U$13),TRANSPOSE(_xlfn.ANCHORARRAY(Q225)))</f>
        <v>3.1719273398421617E-4</v>
      </c>
      <c r="Y225" s="2">
        <f t="shared" ca="1" si="12"/>
        <v>1.7809905501832854E-2</v>
      </c>
      <c r="Z225" s="2" cm="1">
        <f t="array" aca="1" ref="Z225" ca="1">MMULT(_xlfn.ANCHORARRAY(Q225),TRANSPOSE($Q$3:$U$3))</f>
        <v>7.0250631140574059E-4</v>
      </c>
      <c r="AA225" s="11">
        <f ca="1">AVEDEV(Q225*$Q$3,R225*$R$3,S225*$S$3,T225*$T$3,U225*$U$3)</f>
        <v>5.8148286545413841E-5</v>
      </c>
      <c r="AB225" s="11" cm="1">
        <f t="array" aca="1" ref="AB225" ca="1">MMULT(_xlfn.ANCHORARRAY(Q225),TRANSPOSE($Q$6:$U$6))</f>
        <v>-2.1973131882483034E-2</v>
      </c>
      <c r="AD225" s="2" t="s">
        <v>216</v>
      </c>
      <c r="AE225" s="10" cm="1">
        <f t="array" aca="1" ref="AE225:AI225" ca="1">_xlfn.LET(_xlpm.array,_xlfn.RANDARRAY(1,COLUMNS(_xlfn.ANCHORARRAY(Q224)),-1,1,FALSE),_xlpm.array/SUM(_xlpm.array))</f>
        <v>0.31682746599939227</v>
      </c>
      <c r="AF225" s="10">
        <f ca="1"/>
        <v>-0.24386017637174409</v>
      </c>
      <c r="AG225" s="10">
        <f ca="1"/>
        <v>0.18975330711199248</v>
      </c>
      <c r="AH225" s="10">
        <f ca="1"/>
        <v>0.32664528775564156</v>
      </c>
      <c r="AI225" s="10">
        <f ca="1"/>
        <v>0.41063411550471779</v>
      </c>
      <c r="AJ225" s="1"/>
      <c r="AK225" s="2" cm="1">
        <f t="array" aca="1" ref="AK225" ca="1">MMULT(MMULT(_xlfn.ANCHORARRAY(AE225),$Q$9:$U$13),TRANSPOSE(_xlfn.ANCHORARRAY(AE225)))</f>
        <v>2.8903651286843945E-4</v>
      </c>
      <c r="AL225" s="2">
        <f t="shared" ca="1" si="13"/>
        <v>1.7001073873977476E-2</v>
      </c>
      <c r="AM225" s="2" cm="1">
        <f t="array" aca="1" ref="AM225" ca="1">MMULT(_xlfn.ANCHORARRAY(AE226),TRANSPOSE($Q$3:$U$3))</f>
        <v>4.5303482727222821E-4</v>
      </c>
    </row>
    <row r="226" spans="1:39" x14ac:dyDescent="0.35">
      <c r="A226" s="3">
        <v>44154</v>
      </c>
      <c r="B226" s="4">
        <v>23.628953933715799</v>
      </c>
      <c r="C226" s="4">
        <v>68.645896911621094</v>
      </c>
      <c r="D226" s="4">
        <v>31.688735961913999</v>
      </c>
      <c r="E226" s="4">
        <v>10.312990188598601</v>
      </c>
      <c r="F226" s="4">
        <v>203.36129760742099</v>
      </c>
      <c r="I226" s="5">
        <f>B226/B225-1</f>
        <v>0</v>
      </c>
      <c r="J226" s="5">
        <f>C226/C225-1</f>
        <v>1.720481625871817E-2</v>
      </c>
      <c r="K226" s="5">
        <f>D226/D225-1</f>
        <v>1.3313643662372643E-2</v>
      </c>
      <c r="L226" s="5">
        <f>E226/E225-1</f>
        <v>-9.1921775875298817E-3</v>
      </c>
      <c r="M226" s="5">
        <f>F226/F225-1</f>
        <v>6.3484399902680178E-3</v>
      </c>
      <c r="N226" s="5">
        <f>SUMPRODUCT(I226:M226,$AJ$13:$AN$13)</f>
        <v>4.1939564825645946E-3</v>
      </c>
      <c r="P226" s="2" t="s">
        <v>217</v>
      </c>
      <c r="Q226" s="10" cm="1">
        <f t="array" aca="1" ref="Q226:U226" ca="1">_xlfn.LET(_xlpm.array,_xlfn.RANDARRAY(1,COLUMNS(_xlfn.ANCHORARRAY(Q225)),0,1,FALSE),_xlpm.array/SUM(_xlpm.array))</f>
        <v>0.22597497733442062</v>
      </c>
      <c r="R226" s="2">
        <f ca="1"/>
        <v>9.902488249871607E-3</v>
      </c>
      <c r="S226" s="2">
        <f ca="1"/>
        <v>0.13387174272852648</v>
      </c>
      <c r="T226" s="2">
        <f ca="1"/>
        <v>2.3903006911648379E-2</v>
      </c>
      <c r="U226" s="2">
        <f ca="1"/>
        <v>0.60634778477553286</v>
      </c>
      <c r="V226" s="12"/>
      <c r="X226" s="2" cm="1">
        <f t="array" aca="1" ref="X226" ca="1">MMULT(MMULT(_xlfn.ANCHORARRAY(Q226),$Q$9:$U$13),TRANSPOSE(_xlfn.ANCHORARRAY(Q226)))</f>
        <v>2.7533502063648734E-4</v>
      </c>
      <c r="Y226" s="2">
        <f t="shared" ca="1" si="12"/>
        <v>1.659322212942644E-2</v>
      </c>
      <c r="Z226" s="2" cm="1">
        <f t="array" aca="1" ref="Z226" ca="1">MMULT(_xlfn.ANCHORARRAY(Q226),TRANSPOSE($Q$3:$U$3))</f>
        <v>8.2767707091456412E-4</v>
      </c>
      <c r="AA226" s="11">
        <f ca="1">AVEDEV(Q226*$Q$3,R226*$R$3,S226*$S$3,T226*$T$3,U226*$U$3)</f>
        <v>1.4004176140012471E-4</v>
      </c>
      <c r="AB226" s="11" cm="1">
        <f t="array" aca="1" ref="AB226" ca="1">MMULT(_xlfn.ANCHORARRAY(Q226),TRANSPOSE($Q$6:$U$6))</f>
        <v>-2.1528470582074542E-2</v>
      </c>
      <c r="AD226" s="2" t="s">
        <v>217</v>
      </c>
      <c r="AE226" s="10" cm="1">
        <f t="array" aca="1" ref="AE226:AI226" ca="1">_xlfn.LET(_xlpm.array,_xlfn.RANDARRAY(1,COLUMNS(_xlfn.ANCHORARRAY(Q225)),-1,1,FALSE),_xlpm.array/SUM(_xlpm.array))</f>
        <v>0.29621261529227155</v>
      </c>
      <c r="AF226" s="10">
        <f ca="1"/>
        <v>0.34456941428030718</v>
      </c>
      <c r="AG226" s="10">
        <f ca="1"/>
        <v>-0.63083457031035317</v>
      </c>
      <c r="AH226" s="10">
        <f ca="1"/>
        <v>1.2388771633079374</v>
      </c>
      <c r="AI226" s="10">
        <f ca="1"/>
        <v>-0.24882462257016305</v>
      </c>
      <c r="AJ226" s="1"/>
      <c r="AK226" s="2" cm="1">
        <f t="array" aca="1" ref="AK226" ca="1">MMULT(MMULT(_xlfn.ANCHORARRAY(AE226),$Q$9:$U$13),TRANSPOSE(_xlfn.ANCHORARRAY(AE226)))</f>
        <v>1.3649742317626225E-3</v>
      </c>
      <c r="AL226" s="2">
        <f t="shared" ca="1" si="13"/>
        <v>3.694555767291411E-2</v>
      </c>
      <c r="AM226" s="2" cm="1">
        <f t="array" aca="1" ref="AM226" ca="1">MMULT(_xlfn.ANCHORARRAY(AE227),TRANSPOSE($Q$3:$U$3))</f>
        <v>5.1921592509809227E-4</v>
      </c>
    </row>
    <row r="227" spans="1:39" x14ac:dyDescent="0.35">
      <c r="A227" s="3">
        <v>44155</v>
      </c>
      <c r="B227" s="4">
        <v>23.480068206787099</v>
      </c>
      <c r="C227" s="4">
        <v>68.693916320800696</v>
      </c>
      <c r="D227" s="4">
        <v>31.6147155761718</v>
      </c>
      <c r="E227" s="4">
        <v>10.2993202209472</v>
      </c>
      <c r="F227" s="4">
        <v>201.41786193847599</v>
      </c>
      <c r="I227" s="5">
        <f>B227/B226-1</f>
        <v>-6.3009868040013739E-3</v>
      </c>
      <c r="J227" s="5">
        <f>C227/C226-1</f>
        <v>6.9952337051448765E-4</v>
      </c>
      <c r="K227" s="5">
        <f>D227/D226-1</f>
        <v>-2.3358579474789254E-3</v>
      </c>
      <c r="L227" s="5">
        <f>E227/E226-1</f>
        <v>-1.3255096147103407E-3</v>
      </c>
      <c r="M227" s="5">
        <f>F227/F226-1</f>
        <v>-9.5565660320318102E-3</v>
      </c>
      <c r="N227" s="5">
        <f>SUMPRODUCT(I227:M227,$AJ$13:$AN$13)</f>
        <v>-3.2284906509971313E-3</v>
      </c>
      <c r="P227" s="2" t="s">
        <v>218</v>
      </c>
      <c r="Q227" s="10" cm="1">
        <f t="array" aca="1" ref="Q227:U227" ca="1">_xlfn.LET(_xlpm.array,_xlfn.RANDARRAY(1,COLUMNS(_xlfn.ANCHORARRAY(Q226)),0,1,FALSE),_xlpm.array/SUM(_xlpm.array))</f>
        <v>0.15548913764919622</v>
      </c>
      <c r="R227" s="2">
        <f ca="1"/>
        <v>0.29857445756340728</v>
      </c>
      <c r="S227" s="2">
        <f ca="1"/>
        <v>0.32569366865890298</v>
      </c>
      <c r="T227" s="2">
        <f ca="1"/>
        <v>7.939408631469632E-3</v>
      </c>
      <c r="U227" s="2">
        <f ca="1"/>
        <v>0.21230332749702388</v>
      </c>
      <c r="V227" s="12"/>
      <c r="X227" s="2" cm="1">
        <f t="array" aca="1" ref="X227" ca="1">MMULT(MMULT(_xlfn.ANCHORARRAY(Q227),$Q$9:$U$13),TRANSPOSE(_xlfn.ANCHORARRAY(Q227)))</f>
        <v>3.1002769427693021E-4</v>
      </c>
      <c r="Y227" s="2">
        <f t="shared" ca="1" si="12"/>
        <v>1.760760330871099E-2</v>
      </c>
      <c r="Z227" s="2" cm="1">
        <f t="array" aca="1" ref="Z227" ca="1">MMULT(_xlfn.ANCHORARRAY(Q227),TRANSPOSE($Q$3:$U$3))</f>
        <v>9.9647631485953107E-4</v>
      </c>
      <c r="AA227" s="11">
        <f ca="1">AVEDEV(Q227*$Q$3,R227*$R$3,S227*$S$3,T227*$T$3,U227*$U$3)</f>
        <v>1.3934678871725865E-4</v>
      </c>
      <c r="AB227" s="11" cm="1">
        <f t="array" aca="1" ref="AB227" ca="1">MMULT(_xlfn.ANCHORARRAY(Q227),TRANSPOSE($Q$6:$U$6))</f>
        <v>-2.2826279119195235E-2</v>
      </c>
      <c r="AD227" s="2" t="s">
        <v>218</v>
      </c>
      <c r="AE227" s="10" cm="1">
        <f t="array" aca="1" ref="AE227:AI227" ca="1">_xlfn.LET(_xlpm.array,_xlfn.RANDARRAY(1,COLUMNS(_xlfn.ANCHORARRAY(Q226)),-1,1,FALSE),_xlpm.array/SUM(_xlpm.array))</f>
        <v>-0.65191989563527897</v>
      </c>
      <c r="AF227" s="10">
        <f ca="1"/>
        <v>0.94172133887023368</v>
      </c>
      <c r="AG227" s="10">
        <f ca="1"/>
        <v>-0.74085638678259003</v>
      </c>
      <c r="AH227" s="10">
        <f ca="1"/>
        <v>0.99771459860172584</v>
      </c>
      <c r="AI227" s="10">
        <f ca="1"/>
        <v>0.4533403449459093</v>
      </c>
      <c r="AJ227" s="1"/>
      <c r="AK227" s="2" cm="1">
        <f t="array" aca="1" ref="AK227" ca="1">MMULT(MMULT(_xlfn.ANCHORARRAY(AE227),$Q$9:$U$13),TRANSPOSE(_xlfn.ANCHORARRAY(AE227)))</f>
        <v>1.3437708356144773E-3</v>
      </c>
      <c r="AL227" s="2">
        <f t="shared" ca="1" si="13"/>
        <v>3.6657479940858967E-2</v>
      </c>
      <c r="AM227" s="2" cm="1">
        <f t="array" aca="1" ref="AM227" ca="1">MMULT(_xlfn.ANCHORARRAY(AE228),TRANSPOSE($Q$3:$U$3))</f>
        <v>-1.1485420901000999E-4</v>
      </c>
    </row>
    <row r="228" spans="1:39" x14ac:dyDescent="0.35">
      <c r="A228" s="3">
        <v>44158</v>
      </c>
      <c r="B228" s="4">
        <v>23.9880256652832</v>
      </c>
      <c r="C228" s="4">
        <v>72.889709472656193</v>
      </c>
      <c r="D228" s="4">
        <v>32.095832824707003</v>
      </c>
      <c r="E228" s="4">
        <v>10.723049163818301</v>
      </c>
      <c r="F228" s="4">
        <v>201.14974975585901</v>
      </c>
      <c r="I228" s="5">
        <f>B228/B227-1</f>
        <v>2.1633559750447118E-2</v>
      </c>
      <c r="J228" s="5">
        <f>C228/C227-1</f>
        <v>6.1079544981263556E-2</v>
      </c>
      <c r="K228" s="5">
        <f>D228/D227-1</f>
        <v>1.5218142556937098E-2</v>
      </c>
      <c r="L228" s="5">
        <f>E228/E227-1</f>
        <v>4.1141447569452483E-2</v>
      </c>
      <c r="M228" s="5">
        <f>F228/F227-1</f>
        <v>-1.3311241616639213E-3</v>
      </c>
      <c r="N228" s="5">
        <f>SUMPRODUCT(I228:M228,$AJ$13:$AN$13)</f>
        <v>1.8444836732351037E-2</v>
      </c>
      <c r="P228" s="2" t="s">
        <v>219</v>
      </c>
      <c r="Q228" s="10" cm="1">
        <f t="array" aca="1" ref="Q228:U228" ca="1">_xlfn.LET(_xlpm.array,_xlfn.RANDARRAY(1,COLUMNS(_xlfn.ANCHORARRAY(Q227)),0,1,FALSE),_xlpm.array/SUM(_xlpm.array))</f>
        <v>0.19194795104912588</v>
      </c>
      <c r="R228" s="2">
        <f ca="1"/>
        <v>0.25644600412535351</v>
      </c>
      <c r="S228" s="2">
        <f ca="1"/>
        <v>0.22948031108259589</v>
      </c>
      <c r="T228" s="2">
        <f ca="1"/>
        <v>9.6392172956063296E-2</v>
      </c>
      <c r="U228" s="2">
        <f ca="1"/>
        <v>0.22573356078686146</v>
      </c>
      <c r="V228" s="12"/>
      <c r="X228" s="2" cm="1">
        <f t="array" aca="1" ref="X228" ca="1">MMULT(MMULT(_xlfn.ANCHORARRAY(Q228),$Q$9:$U$13),TRANSPOSE(_xlfn.ANCHORARRAY(Q228)))</f>
        <v>2.7937241058751517E-4</v>
      </c>
      <c r="Y228" s="2">
        <f t="shared" ca="1" si="12"/>
        <v>1.6714437190271027E-2</v>
      </c>
      <c r="Z228" s="2" cm="1">
        <f t="array" aca="1" ref="Z228" ca="1">MMULT(_xlfn.ANCHORARRAY(Q228),TRANSPOSE($Q$3:$U$3))</f>
        <v>9.2862898523481303E-4</v>
      </c>
      <c r="AA228" s="11">
        <f ca="1">AVEDEV(Q228*$Q$3,R228*$R$3,S228*$S$3,T228*$T$3,U228*$U$3)</f>
        <v>7.5396597906072073E-5</v>
      </c>
      <c r="AB228" s="11" cm="1">
        <f t="array" aca="1" ref="AB228" ca="1">MMULT(_xlfn.ANCHORARRAY(Q228),TRANSPOSE($Q$6:$U$6))</f>
        <v>-2.2630127662367716E-2</v>
      </c>
      <c r="AD228" s="2" t="s">
        <v>219</v>
      </c>
      <c r="AE228" s="10" cm="1">
        <f t="array" aca="1" ref="AE228:AI228" ca="1">_xlfn.LET(_xlpm.array,_xlfn.RANDARRAY(1,COLUMNS(_xlfn.ANCHORARRAY(Q227)),-1,1,FALSE),_xlpm.array/SUM(_xlpm.array))</f>
        <v>0.27352945077684232</v>
      </c>
      <c r="AF228" s="10">
        <f ca="1"/>
        <v>-1.2406352283528179</v>
      </c>
      <c r="AG228" s="10">
        <f ca="1"/>
        <v>-1.4480467832306421</v>
      </c>
      <c r="AH228" s="10">
        <f ca="1"/>
        <v>1.5252272060100247</v>
      </c>
      <c r="AI228" s="10">
        <f ca="1"/>
        <v>1.8899253547965931</v>
      </c>
      <c r="AJ228" s="1"/>
      <c r="AK228" s="2" cm="1">
        <f t="array" aca="1" ref="AK228" ca="1">MMULT(MMULT(_xlfn.ANCHORARRAY(AE228),$Q$9:$U$13),TRANSPOSE(_xlfn.ANCHORARRAY(AE228)))</f>
        <v>2.4042631194325045E-3</v>
      </c>
      <c r="AL228" s="2">
        <f t="shared" ca="1" si="13"/>
        <v>4.9033285831489047E-2</v>
      </c>
      <c r="AM228" s="2" cm="1">
        <f t="array" aca="1" ref="AM228" ca="1">MMULT(_xlfn.ANCHORARRAY(AE229),TRANSPOSE($Q$3:$U$3))</f>
        <v>6.3814482356777018E-4</v>
      </c>
    </row>
    <row r="229" spans="1:39" x14ac:dyDescent="0.35">
      <c r="A229" s="3">
        <v>44159</v>
      </c>
      <c r="B229" s="4">
        <v>25.380538940429599</v>
      </c>
      <c r="C229" s="4">
        <v>76.565025329589801</v>
      </c>
      <c r="D229" s="4">
        <v>32.535301208496001</v>
      </c>
      <c r="E229" s="4">
        <v>11.324468612670801</v>
      </c>
      <c r="F229" s="4">
        <v>204.73983764648401</v>
      </c>
      <c r="I229" s="5">
        <f>B229/B228-1</f>
        <v>5.8050349560936132E-2</v>
      </c>
      <c r="J229" s="5">
        <f>C229/C228-1</f>
        <v>5.0422973057841158E-2</v>
      </c>
      <c r="K229" s="5">
        <f>D229/D228-1</f>
        <v>1.3692381381382956E-2</v>
      </c>
      <c r="L229" s="5">
        <f>E229/E228-1</f>
        <v>5.6086607425228419E-2</v>
      </c>
      <c r="M229" s="5">
        <f>F229/F228-1</f>
        <v>1.7847836723547505E-2</v>
      </c>
      <c r="N229" s="5">
        <f>SUMPRODUCT(I229:M229,$AJ$13:$AN$13)</f>
        <v>2.0857198245669617E-2</v>
      </c>
      <c r="P229" s="2" t="s">
        <v>220</v>
      </c>
      <c r="Q229" s="10" cm="1">
        <f t="array" aca="1" ref="Q229:U229" ca="1">_xlfn.LET(_xlpm.array,_xlfn.RANDARRAY(1,COLUMNS(_xlfn.ANCHORARRAY(Q228)),0,1,FALSE),_xlpm.array/SUM(_xlpm.array))</f>
        <v>0.12283418489208564</v>
      </c>
      <c r="R229" s="2">
        <f ca="1"/>
        <v>0.19817104026775076</v>
      </c>
      <c r="S229" s="2">
        <f ca="1"/>
        <v>0.23956435915298196</v>
      </c>
      <c r="T229" s="2">
        <f ca="1"/>
        <v>0.16352182967956982</v>
      </c>
      <c r="U229" s="2">
        <f ca="1"/>
        <v>0.27590858600761181</v>
      </c>
      <c r="V229" s="12"/>
      <c r="X229" s="2" cm="1">
        <f t="array" aca="1" ref="X229" ca="1">MMULT(MMULT(_xlfn.ANCHORARRAY(Q229),$Q$9:$U$13),TRANSPOSE(_xlfn.ANCHORARRAY(Q229)))</f>
        <v>2.7550471816851151E-4</v>
      </c>
      <c r="Y229" s="2">
        <f t="shared" ca="1" si="12"/>
        <v>1.6598334801073013E-2</v>
      </c>
      <c r="Z229" s="2" cm="1">
        <f t="array" aca="1" ref="Z229" ca="1">MMULT(_xlfn.ANCHORARRAY(Q229),TRANSPOSE($Q$3:$U$3))</f>
        <v>9.7428138725154259E-4</v>
      </c>
      <c r="AA229" s="11">
        <f ca="1">AVEDEV(Q229*$Q$3,R229*$R$3,S229*$S$3,T229*$T$3,U229*$U$3)</f>
        <v>8.4147953996572202E-5</v>
      </c>
      <c r="AB229" s="11" cm="1">
        <f t="array" aca="1" ref="AB229" ca="1">MMULT(_xlfn.ANCHORARRAY(Q229),TRANSPOSE($Q$6:$U$6))</f>
        <v>-2.2909264221425956E-2</v>
      </c>
      <c r="AD229" s="2" t="s">
        <v>220</v>
      </c>
      <c r="AE229" s="10" cm="1">
        <f t="array" aca="1" ref="AE229:AI229" ca="1">_xlfn.LET(_xlpm.array,_xlfn.RANDARRAY(1,COLUMNS(_xlfn.ANCHORARRAY(Q228)),-1,1,FALSE),_xlpm.array/SUM(_xlpm.array))</f>
        <v>-0.1059596756947082</v>
      </c>
      <c r="AF229" s="10">
        <f ca="1"/>
        <v>0.32376767381732141</v>
      </c>
      <c r="AG229" s="10">
        <f ca="1"/>
        <v>-0.31829805465515493</v>
      </c>
      <c r="AH229" s="10">
        <f ca="1"/>
        <v>0.50931302781584176</v>
      </c>
      <c r="AI229" s="10">
        <f ca="1"/>
        <v>0.59117702871669997</v>
      </c>
      <c r="AJ229" s="1"/>
      <c r="AK229" s="2" cm="1">
        <f t="array" aca="1" ref="AK229" ca="1">MMULT(MMULT(_xlfn.ANCHORARRAY(AE229),$Q$9:$U$13),TRANSPOSE(_xlfn.ANCHORARRAY(AE229)))</f>
        <v>3.9802200280448868E-4</v>
      </c>
      <c r="AL229" s="2">
        <f t="shared" ca="1" si="13"/>
        <v>1.9950488786104684E-2</v>
      </c>
      <c r="AM229" s="2" cm="1">
        <f t="array" aca="1" ref="AM229" ca="1">MMULT(_xlfn.ANCHORARRAY(AE230),TRANSPOSE($Q$3:$U$3))</f>
        <v>4.6630130050651945E-3</v>
      </c>
    </row>
    <row r="230" spans="1:39" x14ac:dyDescent="0.35">
      <c r="A230" s="3">
        <v>44160</v>
      </c>
      <c r="B230" s="4">
        <v>25.424331665038999</v>
      </c>
      <c r="C230" s="4">
        <v>73.778503417968693</v>
      </c>
      <c r="D230" s="4">
        <v>32.081947326660099</v>
      </c>
      <c r="E230" s="4">
        <v>11.057929039001399</v>
      </c>
      <c r="F230" s="4">
        <v>204.749420166015</v>
      </c>
      <c r="I230" s="5">
        <f>B230/B229-1</f>
        <v>1.7254450235348884E-3</v>
      </c>
      <c r="J230" s="5">
        <f>C230/C229-1</f>
        <v>-3.6394187811287892E-2</v>
      </c>
      <c r="K230" s="5">
        <f>D230/D229-1</f>
        <v>-1.3934214990993121E-2</v>
      </c>
      <c r="L230" s="5">
        <f>E230/E229-1</f>
        <v>-2.3536607569486612E-2</v>
      </c>
      <c r="M230" s="5">
        <f>F230/F229-1</f>
        <v>4.6803395182593022E-5</v>
      </c>
      <c r="N230" s="5">
        <f>SUMPRODUCT(I230:M230,$AJ$13:$AN$13)</f>
        <v>-1.7543847683132323E-2</v>
      </c>
      <c r="P230" s="2" t="s">
        <v>221</v>
      </c>
      <c r="Q230" s="10" cm="1">
        <f t="array" aca="1" ref="Q230:U230" ca="1">_xlfn.LET(_xlpm.array,_xlfn.RANDARRAY(1,COLUMNS(_xlfn.ANCHORARRAY(Q229)),0,1,FALSE),_xlpm.array/SUM(_xlpm.array))</f>
        <v>0.11920809746571369</v>
      </c>
      <c r="R230" s="2">
        <f ca="1"/>
        <v>0.14793258343364607</v>
      </c>
      <c r="S230" s="2">
        <f ca="1"/>
        <v>0.26268435364844178</v>
      </c>
      <c r="T230" s="2">
        <f ca="1"/>
        <v>0.16702366896399831</v>
      </c>
      <c r="U230" s="2">
        <f ca="1"/>
        <v>0.30315129648820016</v>
      </c>
      <c r="V230" s="12"/>
      <c r="X230" s="2" cm="1">
        <f t="array" aca="1" ref="X230" ca="1">MMULT(MMULT(_xlfn.ANCHORARRAY(Q230),$Q$9:$U$13),TRANSPOSE(_xlfn.ANCHORARRAY(Q230)))</f>
        <v>2.7899027126860156E-4</v>
      </c>
      <c r="Y230" s="2">
        <f t="shared" ca="1" si="12"/>
        <v>1.6703001863994434E-2</v>
      </c>
      <c r="Z230" s="2" cm="1">
        <f t="array" aca="1" ref="Z230" ca="1">MMULT(_xlfn.ANCHORARRAY(Q230),TRANSPOSE($Q$3:$U$3))</f>
        <v>9.9771347801771797E-4</v>
      </c>
      <c r="AA230" s="11">
        <f ca="1">AVEDEV(Q230*$Q$3,R230*$R$3,S230*$S$3,T230*$T$3,U230*$U$3)</f>
        <v>1.0375225149708827E-4</v>
      </c>
      <c r="AB230" s="11" cm="1">
        <f t="array" aca="1" ref="AB230" ca="1">MMULT(_xlfn.ANCHORARRAY(Q230),TRANSPOSE($Q$6:$U$6))</f>
        <v>-2.3060279958199786E-2</v>
      </c>
      <c r="AD230" s="2" t="s">
        <v>221</v>
      </c>
      <c r="AE230" s="10" cm="1">
        <f t="array" aca="1" ref="AE230:AI230" ca="1">_xlfn.LET(_xlpm.array,_xlfn.RANDARRAY(1,COLUMNS(_xlfn.ANCHORARRAY(Q229)),-1,1,FALSE),_xlpm.array/SUM(_xlpm.array))</f>
        <v>-2.2977185868593937</v>
      </c>
      <c r="AF230" s="10">
        <f ca="1"/>
        <v>0.68702703333977722</v>
      </c>
      <c r="AG230" s="10">
        <f ca="1"/>
        <v>3.4064657479997709</v>
      </c>
      <c r="AH230" s="10">
        <f ca="1"/>
        <v>1.5799524094297259</v>
      </c>
      <c r="AI230" s="10">
        <f ca="1"/>
        <v>-2.3757266039098806</v>
      </c>
      <c r="AJ230" s="1"/>
      <c r="AK230" s="2" cm="1">
        <f t="array" aca="1" ref="AK230" ca="1">MMULT(MMULT(_xlfn.ANCHORARRAY(AE230),$Q$9:$U$13),TRANSPOSE(_xlfn.ANCHORARRAY(AE230)))</f>
        <v>1.0444207135771837E-2</v>
      </c>
      <c r="AL230" s="2">
        <f t="shared" ca="1" si="13"/>
        <v>0.10219690374845922</v>
      </c>
      <c r="AM230" s="2" cm="1">
        <f t="array" aca="1" ref="AM230" ca="1">MMULT(_xlfn.ANCHORARRAY(AE231),TRANSPOSE($Q$3:$U$3))</f>
        <v>1.5461932481372611E-3</v>
      </c>
    </row>
    <row r="231" spans="1:39" x14ac:dyDescent="0.35">
      <c r="A231" s="3">
        <v>44162</v>
      </c>
      <c r="B231" s="4">
        <v>25.389299392700099</v>
      </c>
      <c r="C231" s="4">
        <v>73.113899230957003</v>
      </c>
      <c r="D231" s="4">
        <v>32.2993774414062</v>
      </c>
      <c r="E231" s="4">
        <v>11.174114227294901</v>
      </c>
      <c r="F231" s="4">
        <v>206.05143737792901</v>
      </c>
      <c r="I231" s="5">
        <f>B231/B230-1</f>
        <v>-1.3779033722672862E-3</v>
      </c>
      <c r="J231" s="5">
        <f>C231/C230-1</f>
        <v>-9.0081006827501531E-3</v>
      </c>
      <c r="K231" s="5">
        <f>D231/D230-1</f>
        <v>6.777335319836375E-3</v>
      </c>
      <c r="L231" s="5">
        <f>E231/E230-1</f>
        <v>1.0506957304909026E-2</v>
      </c>
      <c r="M231" s="5">
        <f>F231/F230-1</f>
        <v>6.3590764303913527E-3</v>
      </c>
      <c r="N231" s="5">
        <f>SUMPRODUCT(I231:M231,$AJ$13:$AN$13)</f>
        <v>1.1256069404492627E-2</v>
      </c>
      <c r="P231" s="2" t="s">
        <v>222</v>
      </c>
      <c r="Q231" s="10" cm="1">
        <f t="array" aca="1" ref="Q231:U231" ca="1">_xlfn.LET(_xlpm.array,_xlfn.RANDARRAY(1,COLUMNS(_xlfn.ANCHORARRAY(Q230)),0,1,FALSE),_xlpm.array/SUM(_xlpm.array))</f>
        <v>0.25130851502166296</v>
      </c>
      <c r="R231" s="2">
        <f ca="1"/>
        <v>2.3371724270114868E-2</v>
      </c>
      <c r="S231" s="2">
        <f ca="1"/>
        <v>0.15708665105705777</v>
      </c>
      <c r="T231" s="2">
        <f ca="1"/>
        <v>0.28873061202150929</v>
      </c>
      <c r="U231" s="2">
        <f ca="1"/>
        <v>0.27950249762965518</v>
      </c>
      <c r="V231" s="12"/>
      <c r="X231" s="2" cm="1">
        <f t="array" aca="1" ref="X231" ca="1">MMULT(MMULT(_xlfn.ANCHORARRAY(Q231),$Q$9:$U$13),TRANSPOSE(_xlfn.ANCHORARRAY(Q231)))</f>
        <v>2.6794754561860031E-4</v>
      </c>
      <c r="Y231" s="2">
        <f t="shared" ca="1" si="12"/>
        <v>1.6369103384687882E-2</v>
      </c>
      <c r="Z231" s="2" cm="1">
        <f t="array" aca="1" ref="Z231" ca="1">MMULT(_xlfn.ANCHORARRAY(Q231),TRANSPOSE($Q$3:$U$3))</f>
        <v>9.0865308887262653E-4</v>
      </c>
      <c r="AA231" s="11">
        <f ca="1">AVEDEV(Q231*$Q$3,R231*$R$3,S231*$S$3,T231*$T$3,U231*$U$3)</f>
        <v>8.746707207294346E-5</v>
      </c>
      <c r="AB231" s="11" cm="1">
        <f t="array" aca="1" ref="AB231" ca="1">MMULT(_xlfn.ANCHORARRAY(Q231),TRANSPOSE($Q$6:$U$6))</f>
        <v>-2.3068411253309096E-2</v>
      </c>
      <c r="AD231" s="2" t="s">
        <v>222</v>
      </c>
      <c r="AE231" s="10" cm="1">
        <f t="array" aca="1" ref="AE231:AI231" ca="1">_xlfn.LET(_xlpm.array,_xlfn.RANDARRAY(1,COLUMNS(_xlfn.ANCHORARRAY(Q230)),-1,1,FALSE),_xlpm.array/SUM(_xlpm.array))</f>
        <v>0.19166219194996187</v>
      </c>
      <c r="AF231" s="10">
        <f ca="1"/>
        <v>-0.64601138865967189</v>
      </c>
      <c r="AG231" s="10">
        <f ca="1"/>
        <v>0.8559471642931713</v>
      </c>
      <c r="AH231" s="10">
        <f ca="1"/>
        <v>0.28343405110884584</v>
      </c>
      <c r="AI231" s="10">
        <f ca="1"/>
        <v>0.31496798130769282</v>
      </c>
      <c r="AJ231" s="1"/>
      <c r="AK231" s="2" cm="1">
        <f t="array" aca="1" ref="AK231" ca="1">MMULT(MMULT(_xlfn.ANCHORARRAY(AE231),$Q$9:$U$13),TRANSPOSE(_xlfn.ANCHORARRAY(AE231)))</f>
        <v>7.9405197380763494E-4</v>
      </c>
      <c r="AL231" s="2">
        <f t="shared" ca="1" si="13"/>
        <v>2.8178927832826339E-2</v>
      </c>
      <c r="AM231" s="2" cm="1">
        <f t="array" aca="1" ref="AM231" ca="1">MMULT(_xlfn.ANCHORARRAY(AE232),TRANSPOSE($Q$3:$U$3))</f>
        <v>6.6903764469917993E-4</v>
      </c>
    </row>
    <row r="232" spans="1:39" x14ac:dyDescent="0.35">
      <c r="A232" s="3">
        <v>44165</v>
      </c>
      <c r="B232" s="4">
        <v>24.662389755248999</v>
      </c>
      <c r="C232" s="4">
        <v>69.806922912597599</v>
      </c>
      <c r="D232" s="4">
        <v>31.933916091918899</v>
      </c>
      <c r="E232" s="4">
        <v>10.4838466644287</v>
      </c>
      <c r="F232" s="4">
        <v>204.94090270996</v>
      </c>
      <c r="I232" s="5">
        <f>B232/B231-1</f>
        <v>-2.8630551249480329E-2</v>
      </c>
      <c r="J232" s="5">
        <f>C232/C231-1</f>
        <v>-4.5230474002119769E-2</v>
      </c>
      <c r="K232" s="5">
        <f>D232/D231-1</f>
        <v>-1.1314810947990472E-2</v>
      </c>
      <c r="L232" s="5">
        <f>E232/E231-1</f>
        <v>-6.1773805853898467E-2</v>
      </c>
      <c r="M232" s="5">
        <f>F232/F231-1</f>
        <v>-5.3895992287212868E-3</v>
      </c>
      <c r="N232" s="5">
        <f>SUMPRODUCT(I232:M232,$AJ$13:$AN$13)</f>
        <v>-2.6793731981995701E-2</v>
      </c>
      <c r="P232" s="2" t="s">
        <v>223</v>
      </c>
      <c r="Q232" s="10" cm="1">
        <f t="array" aca="1" ref="Q232:U232" ca="1">_xlfn.LET(_xlpm.array,_xlfn.RANDARRAY(1,COLUMNS(_xlfn.ANCHORARRAY(Q231)),0,1,FALSE),_xlpm.array/SUM(_xlpm.array))</f>
        <v>0.31822535867722662</v>
      </c>
      <c r="R232" s="2">
        <f ca="1"/>
        <v>2.0459274804379243E-2</v>
      </c>
      <c r="S232" s="2">
        <f ca="1"/>
        <v>0.35492450281701143</v>
      </c>
      <c r="T232" s="2">
        <f ca="1"/>
        <v>9.8025621866991805E-2</v>
      </c>
      <c r="U232" s="2">
        <f ca="1"/>
        <v>0.20836524183439087</v>
      </c>
      <c r="V232" s="12"/>
      <c r="X232" s="2" cm="1">
        <f t="array" aca="1" ref="X232" ca="1">MMULT(MMULT(_xlfn.ANCHORARRAY(Q232),$Q$9:$U$13),TRANSPOSE(_xlfn.ANCHORARRAY(Q232)))</f>
        <v>3.2650986979722936E-4</v>
      </c>
      <c r="Y232" s="2">
        <f t="shared" ca="1" si="12"/>
        <v>1.8069584106924802E-2</v>
      </c>
      <c r="Z232" s="2" cm="1">
        <f t="array" aca="1" ref="Z232" ca="1">MMULT(_xlfn.ANCHORARRAY(Q232),TRANSPOSE($Q$3:$U$3))</f>
        <v>1.0125882776082186E-3</v>
      </c>
      <c r="AA232" s="11">
        <f ca="1">AVEDEV(Q232*$Q$3,R232*$R$3,S232*$S$3,T232*$T$3,U232*$U$3)</f>
        <v>1.4955200458837721E-4</v>
      </c>
      <c r="AB232" s="11" cm="1">
        <f t="array" aca="1" ref="AB232" ca="1">MMULT(_xlfn.ANCHORARRAY(Q232),TRANSPOSE($Q$6:$U$6))</f>
        <v>-2.3595166844038874E-2</v>
      </c>
      <c r="AD232" s="2" t="s">
        <v>223</v>
      </c>
      <c r="AE232" s="10" cm="1">
        <f t="array" aca="1" ref="AE232:AI232" ca="1">_xlfn.LET(_xlpm.array,_xlfn.RANDARRAY(1,COLUMNS(_xlfn.ANCHORARRAY(Q231)),-1,1,FALSE),_xlpm.array/SUM(_xlpm.array))</f>
        <v>0.20558178946036076</v>
      </c>
      <c r="AF232" s="10">
        <f ca="1"/>
        <v>0.3764824051361102</v>
      </c>
      <c r="AG232" s="10">
        <f ca="1"/>
        <v>-2.0810355571534211E-2</v>
      </c>
      <c r="AH232" s="10">
        <f ca="1"/>
        <v>-4.7325004105274307E-2</v>
      </c>
      <c r="AI232" s="10">
        <f ca="1"/>
        <v>0.48607116508033754</v>
      </c>
      <c r="AJ232" s="1"/>
      <c r="AK232" s="2" cm="1">
        <f t="array" aca="1" ref="AK232" ca="1">MMULT(MMULT(_xlfn.ANCHORARRAY(AE232),$Q$9:$U$13),TRANSPOSE(_xlfn.ANCHORARRAY(AE232)))</f>
        <v>2.5608992432737574E-4</v>
      </c>
      <c r="AL232" s="2">
        <f t="shared" ca="1" si="13"/>
        <v>1.6002809888496949E-2</v>
      </c>
      <c r="AM232" s="2" cm="1">
        <f t="array" aca="1" ref="AM232" ca="1">MMULT(_xlfn.ANCHORARRAY(AE233),TRANSPOSE($Q$3:$U$3))</f>
        <v>-5.1169057987639883E-4</v>
      </c>
    </row>
    <row r="233" spans="1:39" x14ac:dyDescent="0.35">
      <c r="A233" s="3">
        <v>44166</v>
      </c>
      <c r="B233" s="4">
        <v>25.126562118530199</v>
      </c>
      <c r="C233" s="4">
        <v>70.023109436035099</v>
      </c>
      <c r="D233" s="4">
        <v>32.623199462890597</v>
      </c>
      <c r="E233" s="4">
        <v>10.743553161621</v>
      </c>
      <c r="F233" s="4">
        <v>206.98968505859301</v>
      </c>
      <c r="I233" s="5">
        <f>B233/B232-1</f>
        <v>1.882106186333421E-2</v>
      </c>
      <c r="J233" s="5">
        <f>C233/C232-1</f>
        <v>3.0969209702622624E-3</v>
      </c>
      <c r="K233" s="5">
        <f>D233/D232-1</f>
        <v>2.1584680343859297E-2</v>
      </c>
      <c r="L233" s="5">
        <f>E233/E232-1</f>
        <v>2.4772061773230103E-2</v>
      </c>
      <c r="M233" s="5">
        <f>F233/F232-1</f>
        <v>9.9969421503549594E-3</v>
      </c>
      <c r="N233" s="5">
        <f>SUMPRODUCT(I233:M233,$AJ$13:$AN$13)</f>
        <v>2.0608133926859003E-2</v>
      </c>
      <c r="P233" s="2" t="s">
        <v>224</v>
      </c>
      <c r="Q233" s="10" cm="1">
        <f t="array" aca="1" ref="Q233:U233" ca="1">_xlfn.LET(_xlpm.array,_xlfn.RANDARRAY(1,COLUMNS(_xlfn.ANCHORARRAY(Q232)),0,1,FALSE),_xlpm.array/SUM(_xlpm.array))</f>
        <v>8.1007550440951315E-2</v>
      </c>
      <c r="R233" s="2">
        <f ca="1"/>
        <v>0.24661865368779334</v>
      </c>
      <c r="S233" s="2">
        <f ca="1"/>
        <v>0.260081299480237</v>
      </c>
      <c r="T233" s="2">
        <f ca="1"/>
        <v>7.2633319510122724E-2</v>
      </c>
      <c r="U233" s="2">
        <f ca="1"/>
        <v>0.3396591768808957</v>
      </c>
      <c r="V233" s="12"/>
      <c r="X233" s="2" cm="1">
        <f t="array" aca="1" ref="X233" ca="1">MMULT(MMULT(_xlfn.ANCHORARRAY(Q233),$Q$9:$U$13),TRANSPOSE(_xlfn.ANCHORARRAY(Q233)))</f>
        <v>2.780937427100253E-4</v>
      </c>
      <c r="Y233" s="2">
        <f t="shared" ca="1" si="12"/>
        <v>1.6676142920652403E-2</v>
      </c>
      <c r="Z233" s="2" cm="1">
        <f t="array" aca="1" ref="Z233" ca="1">MMULT(_xlfn.ANCHORARRAY(Q233),TRANSPOSE($Q$3:$U$3))</f>
        <v>9.776276475685615E-4</v>
      </c>
      <c r="AA233" s="11">
        <f ca="1">AVEDEV(Q233*$Q$3,R233*$R$3,S233*$S$3,T233*$T$3,U233*$U$3)</f>
        <v>1.164443162571602E-4</v>
      </c>
      <c r="AB233" s="11" cm="1">
        <f t="array" aca="1" ref="AB233" ca="1">MMULT(_xlfn.ANCHORARRAY(Q233),TRANSPOSE($Q$6:$U$6))</f>
        <v>-2.2556670230825485E-2</v>
      </c>
      <c r="AD233" s="2" t="s">
        <v>224</v>
      </c>
      <c r="AE233" s="10" cm="1">
        <f t="array" aca="1" ref="AE233:AI233" ca="1">_xlfn.LET(_xlpm.array,_xlfn.RANDARRAY(1,COLUMNS(_xlfn.ANCHORARRAY(Q232)),-1,1,FALSE),_xlpm.array/SUM(_xlpm.array))</f>
        <v>2.5271208777166962</v>
      </c>
      <c r="AF233" s="10">
        <f ca="1"/>
        <v>0.35141636573104856</v>
      </c>
      <c r="AG233" s="10">
        <f ca="1"/>
        <v>-1.1266949930340773</v>
      </c>
      <c r="AH233" s="10">
        <f ca="1"/>
        <v>1.3712812855323513</v>
      </c>
      <c r="AI233" s="10">
        <f ca="1"/>
        <v>-2.1231235359460188</v>
      </c>
      <c r="AJ233" s="1"/>
      <c r="AK233" s="2" cm="1">
        <f t="array" aca="1" ref="AK233" ca="1">MMULT(MMULT(_xlfn.ANCHORARRAY(AE233),$Q$9:$U$13),TRANSPOSE(_xlfn.ANCHORARRAY(AE233)))</f>
        <v>5.6869463778705821E-3</v>
      </c>
      <c r="AL233" s="2">
        <f t="shared" ca="1" si="13"/>
        <v>7.5411845076689257E-2</v>
      </c>
      <c r="AM233" s="2" cm="1">
        <f t="array" aca="1" ref="AM233" ca="1">MMULT(_xlfn.ANCHORARRAY(AE234),TRANSPOSE($Q$3:$U$3))</f>
        <v>1.5031770320095793E-4</v>
      </c>
    </row>
    <row r="234" spans="1:39" x14ac:dyDescent="0.35">
      <c r="A234" s="3">
        <v>44167</v>
      </c>
      <c r="B234" s="4">
        <v>25.450605392456001</v>
      </c>
      <c r="C234" s="4">
        <v>71.960884094238196</v>
      </c>
      <c r="D234" s="4">
        <v>32.623199462890597</v>
      </c>
      <c r="E234" s="4">
        <v>11.0100908279418</v>
      </c>
      <c r="F234" s="4">
        <v>206.18544006347599</v>
      </c>
      <c r="I234" s="5">
        <f>B234/B233-1</f>
        <v>1.2896442911576322E-2</v>
      </c>
      <c r="J234" s="5">
        <f>C234/C233-1</f>
        <v>2.7673359178275625E-2</v>
      </c>
      <c r="K234" s="5">
        <f>D234/D233-1</f>
        <v>0</v>
      </c>
      <c r="L234" s="5">
        <f>E234/E233-1</f>
        <v>2.4809079669559253E-2</v>
      </c>
      <c r="M234" s="5">
        <f>F234/F233-1</f>
        <v>-3.885435136003812E-3</v>
      </c>
      <c r="N234" s="5">
        <f>SUMPRODUCT(I234:M234,$AJ$13:$AN$13)</f>
        <v>5.6578393650253507E-3</v>
      </c>
      <c r="P234" s="2" t="s">
        <v>225</v>
      </c>
      <c r="Q234" s="10" cm="1">
        <f t="array" aca="1" ref="Q234:U234" ca="1">_xlfn.LET(_xlpm.array,_xlfn.RANDARRAY(1,COLUMNS(_xlfn.ANCHORARRAY(Q233)),0,1,FALSE),_xlpm.array/SUM(_xlpm.array))</f>
        <v>0.15594368713768597</v>
      </c>
      <c r="R234" s="2">
        <f ca="1"/>
        <v>0.14649297123799518</v>
      </c>
      <c r="S234" s="2">
        <f ca="1"/>
        <v>0.43217914258890838</v>
      </c>
      <c r="T234" s="2">
        <f ca="1"/>
        <v>3.2516373154777185E-2</v>
      </c>
      <c r="U234" s="2">
        <f ca="1"/>
        <v>0.23286782588063329</v>
      </c>
      <c r="V234" s="12"/>
      <c r="X234" s="2" cm="1">
        <f t="array" aca="1" ref="X234" ca="1">MMULT(MMULT(_xlfn.ANCHORARRAY(Q234),$Q$9:$U$13),TRANSPOSE(_xlfn.ANCHORARRAY(Q234)))</f>
        <v>3.5108034727476508E-4</v>
      </c>
      <c r="Y234" s="2">
        <f t="shared" ca="1" si="12"/>
        <v>1.8737138182624503E-2</v>
      </c>
      <c r="Z234" s="2" cm="1">
        <f t="array" aca="1" ref="Z234" ca="1">MMULT(_xlfn.ANCHORARRAY(Q234),TRANSPOSE($Q$3:$U$3))</f>
        <v>1.0994210729311014E-3</v>
      </c>
      <c r="AA234" s="11">
        <f ca="1">AVEDEV(Q234*$Q$3,R234*$R$3,S234*$S$3,T234*$T$3,U234*$U$3)</f>
        <v>1.9279001885082696E-4</v>
      </c>
      <c r="AB234" s="11" cm="1">
        <f t="array" aca="1" ref="AB234" ca="1">MMULT(_xlfn.ANCHORARRAY(Q234),TRANSPOSE($Q$6:$U$6))</f>
        <v>-2.3626965045660035E-2</v>
      </c>
      <c r="AD234" s="2" t="s">
        <v>225</v>
      </c>
      <c r="AE234" s="10" cm="1">
        <f t="array" aca="1" ref="AE234:AI234" ca="1">_xlfn.LET(_xlpm.array,_xlfn.RANDARRAY(1,COLUMNS(_xlfn.ANCHORARRAY(Q233)),-1,1,FALSE),_xlpm.array/SUM(_xlpm.array))</f>
        <v>0.53037960413909657</v>
      </c>
      <c r="AF234" s="10">
        <f ca="1"/>
        <v>0.36509669762888808</v>
      </c>
      <c r="AG234" s="10">
        <f ca="1"/>
        <v>-0.46427115588329326</v>
      </c>
      <c r="AH234" s="10">
        <f ca="1"/>
        <v>-0.2606361691248445</v>
      </c>
      <c r="AI234" s="10">
        <f ca="1"/>
        <v>0.82943102324015305</v>
      </c>
      <c r="AJ234" s="1"/>
      <c r="AK234" s="2" cm="1">
        <f t="array" aca="1" ref="AK234" ca="1">MMULT(MMULT(_xlfn.ANCHORARRAY(AE234),$Q$9:$U$13),TRANSPOSE(_xlfn.ANCHORARRAY(AE234)))</f>
        <v>4.828939611246873E-4</v>
      </c>
      <c r="AL234" s="2">
        <f t="shared" ca="1" si="13"/>
        <v>2.197484837546524E-2</v>
      </c>
      <c r="AM234" s="2" cm="1">
        <f t="array" aca="1" ref="AM234" ca="1">MMULT(_xlfn.ANCHORARRAY(AE235),TRANSPOSE($Q$3:$U$3))</f>
        <v>9.5780045405606251E-3</v>
      </c>
    </row>
    <row r="235" spans="1:39" x14ac:dyDescent="0.35">
      <c r="A235" s="3">
        <v>44168</v>
      </c>
      <c r="B235" s="4">
        <v>25.4770412445068</v>
      </c>
      <c r="C235" s="4">
        <v>71.904830932617102</v>
      </c>
      <c r="D235" s="4">
        <v>32.803623199462798</v>
      </c>
      <c r="E235" s="4">
        <v>10.989585876464799</v>
      </c>
      <c r="F235" s="4">
        <v>205.10365295410099</v>
      </c>
      <c r="I235" s="5">
        <f>B235/B234-1</f>
        <v>1.0387121108967889E-3</v>
      </c>
      <c r="J235" s="5">
        <f>C235/C234-1</f>
        <v>-7.7893931302575048E-4</v>
      </c>
      <c r="K235" s="5">
        <f>D235/D234-1</f>
        <v>5.5305346974761083E-3</v>
      </c>
      <c r="L235" s="5">
        <f>E235/E234-1</f>
        <v>-1.8623780491404673E-3</v>
      </c>
      <c r="M235" s="5">
        <f>F235/F234-1</f>
        <v>-5.2466707108026478E-3</v>
      </c>
      <c r="N235" s="5">
        <f>SUMPRODUCT(I235:M235,$AJ$13:$AN$13)</f>
        <v>-1.8129396677022368E-5</v>
      </c>
      <c r="P235" s="2" t="s">
        <v>226</v>
      </c>
      <c r="Q235" s="10" cm="1">
        <f t="array" aca="1" ref="Q235:U235" ca="1">_xlfn.LET(_xlpm.array,_xlfn.RANDARRAY(1,COLUMNS(_xlfn.ANCHORARRAY(Q234)),0,1,FALSE),_xlpm.array/SUM(_xlpm.array))</f>
        <v>0.18700783842497148</v>
      </c>
      <c r="R235" s="2">
        <f ca="1"/>
        <v>6.8515762281663867E-2</v>
      </c>
      <c r="S235" s="2">
        <f ca="1"/>
        <v>0.20236736773981695</v>
      </c>
      <c r="T235" s="2">
        <f ca="1"/>
        <v>0.28441288314529234</v>
      </c>
      <c r="U235" s="2">
        <f ca="1"/>
        <v>0.25769614840825533</v>
      </c>
      <c r="V235" s="12"/>
      <c r="X235" s="2" cm="1">
        <f t="array" aca="1" ref="X235" ca="1">MMULT(MMULT(_xlfn.ANCHORARRAY(Q235),$Q$9:$U$13),TRANSPOSE(_xlfn.ANCHORARRAY(Q235)))</f>
        <v>2.7501619710533769E-4</v>
      </c>
      <c r="Y235" s="2">
        <f t="shared" ca="1" si="12"/>
        <v>1.6583612305687133E-2</v>
      </c>
      <c r="Z235" s="2" cm="1">
        <f t="array" aca="1" ref="Z235" ca="1">MMULT(_xlfn.ANCHORARRAY(Q235),TRANSPOSE($Q$3:$U$3))</f>
        <v>9.6138463437082944E-4</v>
      </c>
      <c r="AA235" s="11">
        <f ca="1">AVEDEV(Q235*$Q$3,R235*$R$3,S235*$S$3,T235*$T$3,U235*$U$3)</f>
        <v>9.578997462398544E-5</v>
      </c>
      <c r="AB235" s="11" cm="1">
        <f t="array" aca="1" ref="AB235" ca="1">MMULT(_xlfn.ANCHORARRAY(Q235),TRANSPOSE($Q$6:$U$6))</f>
        <v>-2.3290697870629755E-2</v>
      </c>
      <c r="AD235" s="2" t="s">
        <v>226</v>
      </c>
      <c r="AE235" s="10" cm="1">
        <f t="array" aca="1" ref="AE235:AI235" ca="1">_xlfn.LET(_xlpm.array,_xlfn.RANDARRAY(1,COLUMNS(_xlfn.ANCHORARRAY(Q234)),-1,1,FALSE),_xlpm.array/SUM(_xlpm.array))</f>
        <v>236.72452502067796</v>
      </c>
      <c r="AF235" s="10">
        <f ca="1"/>
        <v>-43.957526958038336</v>
      </c>
      <c r="AG235" s="10">
        <f ca="1"/>
        <v>110.24157640891742</v>
      </c>
      <c r="AH235" s="10">
        <f ca="1"/>
        <v>-103.89661371840648</v>
      </c>
      <c r="AI235" s="10">
        <f ca="1"/>
        <v>-198.11196075315056</v>
      </c>
      <c r="AJ235" s="1"/>
      <c r="AK235" s="2" cm="1">
        <f t="array" aca="1" ref="AK235" ca="1">MMULT(MMULT(_xlfn.ANCHORARRAY(AE235),$Q$9:$U$13),TRANSPOSE(_xlfn.ANCHORARRAY(AE235)))</f>
        <v>29.873286469997151</v>
      </c>
      <c r="AL235" s="2">
        <f t="shared" ca="1" si="13"/>
        <v>5.4656460249450065</v>
      </c>
      <c r="AM235" s="2" cm="1">
        <f t="array" aca="1" ref="AM235" ca="1">MMULT(_xlfn.ANCHORARRAY(AE236),TRANSPOSE($Q$3:$U$3))</f>
        <v>1.0822533322125923E-3</v>
      </c>
    </row>
    <row r="236" spans="1:39" x14ac:dyDescent="0.35">
      <c r="A236" s="3">
        <v>44169</v>
      </c>
      <c r="B236" s="4">
        <v>25.8119182586669</v>
      </c>
      <c r="C236" s="4">
        <v>74.691329956054602</v>
      </c>
      <c r="D236" s="4">
        <v>33.3541259765625</v>
      </c>
      <c r="E236" s="4">
        <v>11.43381690979</v>
      </c>
      <c r="F236" s="4">
        <v>205.21853637695301</v>
      </c>
      <c r="I236" s="5">
        <f>B236/B235-1</f>
        <v>1.3144266280618488E-2</v>
      </c>
      <c r="J236" s="5">
        <f>C236/C235-1</f>
        <v>3.8752598223181556E-2</v>
      </c>
      <c r="K236" s="5">
        <f>D236/D235-1</f>
        <v>1.6781767481974796E-2</v>
      </c>
      <c r="L236" s="5">
        <f>E236/E235-1</f>
        <v>4.0422909317862743E-2</v>
      </c>
      <c r="M236" s="5">
        <f>F236/F235-1</f>
        <v>5.6012372864810978E-4</v>
      </c>
      <c r="N236" s="5">
        <f>SUMPRODUCT(I236:M236,$AJ$13:$AN$13)</f>
        <v>2.2741681414431919E-2</v>
      </c>
      <c r="P236" s="2" t="s">
        <v>227</v>
      </c>
      <c r="Q236" s="10" cm="1">
        <f t="array" aca="1" ref="Q236:U236" ca="1">_xlfn.LET(_xlpm.array,_xlfn.RANDARRAY(1,COLUMNS(_xlfn.ANCHORARRAY(Q235)),0,1,FALSE),_xlpm.array/SUM(_xlpm.array))</f>
        <v>0.38225538847205615</v>
      </c>
      <c r="R236" s="2">
        <f ca="1"/>
        <v>2.9824963245652664E-2</v>
      </c>
      <c r="S236" s="2">
        <f ca="1"/>
        <v>0.32119344794716914</v>
      </c>
      <c r="T236" s="2">
        <f ca="1"/>
        <v>0.17247797366641435</v>
      </c>
      <c r="U236" s="2">
        <f ca="1"/>
        <v>9.4248226668707691E-2</v>
      </c>
      <c r="V236" s="12"/>
      <c r="X236" s="2" cm="1">
        <f t="array" aca="1" ref="X236" ca="1">MMULT(MMULT(_xlfn.ANCHORARRAY(Q236),$Q$9:$U$13),TRANSPOSE(_xlfn.ANCHORARRAY(Q236)))</f>
        <v>3.3082207394702248E-4</v>
      </c>
      <c r="Y236" s="2">
        <f t="shared" ca="1" si="12"/>
        <v>1.8188514891189507E-2</v>
      </c>
      <c r="Z236" s="2" cm="1">
        <f t="array" aca="1" ref="Z236" ca="1">MMULT(_xlfn.ANCHORARRAY(Q236),TRANSPOSE($Q$3:$U$3))</f>
        <v>9.8597019519470748E-4</v>
      </c>
      <c r="AA236" s="11">
        <f ca="1">AVEDEV(Q236*$Q$3,R236*$R$3,S236*$S$3,T236*$T$3,U236*$U$3)</f>
        <v>1.2976974750604297E-4</v>
      </c>
      <c r="AB236" s="11" cm="1">
        <f t="array" aca="1" ref="AB236" ca="1">MMULT(_xlfn.ANCHORARRAY(Q236),TRANSPOSE($Q$6:$U$6))</f>
        <v>-2.3832226512070977E-2</v>
      </c>
      <c r="AD236" s="2" t="s">
        <v>227</v>
      </c>
      <c r="AE236" s="10" cm="1">
        <f t="array" aca="1" ref="AE236:AI236" ca="1">_xlfn.LET(_xlpm.array,_xlfn.RANDARRAY(1,COLUMNS(_xlfn.ANCHORARRAY(Q235)),-1,1,FALSE),_xlpm.array/SUM(_xlpm.array))</f>
        <v>0.10809199603590511</v>
      </c>
      <c r="AF236" s="10">
        <f ca="1"/>
        <v>5.960420537819644E-2</v>
      </c>
      <c r="AG236" s="10">
        <f ca="1"/>
        <v>0.28376362271473216</v>
      </c>
      <c r="AH236" s="10">
        <f ca="1"/>
        <v>0.4027260457389204</v>
      </c>
      <c r="AI236" s="10">
        <f ca="1"/>
        <v>0.14581413013224589</v>
      </c>
      <c r="AJ236" s="1"/>
      <c r="AK236" s="2" cm="1">
        <f t="array" aca="1" ref="AK236" ca="1">MMULT(MMULT(_xlfn.ANCHORARRAY(AE236),$Q$9:$U$13),TRANSPOSE(_xlfn.ANCHORARRAY(AE236)))</f>
        <v>3.2296854634865954E-4</v>
      </c>
      <c r="AL236" s="2">
        <f t="shared" ca="1" si="13"/>
        <v>1.7971325670318804E-2</v>
      </c>
      <c r="AM236" s="2" cm="1">
        <f t="array" aca="1" ref="AM236" ca="1">MMULT(_xlfn.ANCHORARRAY(AE237),TRANSPOSE($Q$3:$U$3))</f>
        <v>1.2352006133663407E-3</v>
      </c>
    </row>
    <row r="237" spans="1:39" x14ac:dyDescent="0.35">
      <c r="A237" s="3">
        <v>44172</v>
      </c>
      <c r="B237" s="4">
        <v>25.6356697082519</v>
      </c>
      <c r="C237" s="4">
        <v>72.673507690429602</v>
      </c>
      <c r="D237" s="4">
        <v>32.558437347412102</v>
      </c>
      <c r="E237" s="4">
        <v>11.2902975082397</v>
      </c>
      <c r="F237" s="4">
        <v>205.15148925781199</v>
      </c>
      <c r="I237" s="5">
        <f>B237/B236-1</f>
        <v>-6.8281848969447001E-3</v>
      </c>
      <c r="J237" s="5">
        <f>C237/C236-1</f>
        <v>-2.7015481807757369E-2</v>
      </c>
      <c r="K237" s="5">
        <f>D237/D236-1</f>
        <v>-2.3855778134001082E-2</v>
      </c>
      <c r="L237" s="5">
        <f>E237/E236-1</f>
        <v>-1.2552186438057666E-2</v>
      </c>
      <c r="M237" s="5">
        <f>F237/F236-1</f>
        <v>-3.2671083384916422E-4</v>
      </c>
      <c r="N237" s="5">
        <f>SUMPRODUCT(I237:M237,$AJ$13:$AN$13)</f>
        <v>-1.5535401549014706E-2</v>
      </c>
      <c r="P237" s="2" t="s">
        <v>228</v>
      </c>
      <c r="Q237" s="10" cm="1">
        <f t="array" aca="1" ref="Q237:U237" ca="1">_xlfn.LET(_xlpm.array,_xlfn.RANDARRAY(1,COLUMNS(_xlfn.ANCHORARRAY(Q236)),0,1,FALSE),_xlpm.array/SUM(_xlpm.array))</f>
        <v>0.27549503704268413</v>
      </c>
      <c r="R237" s="2">
        <f ca="1"/>
        <v>0.2241131983677922</v>
      </c>
      <c r="S237" s="2">
        <f ca="1"/>
        <v>1.608465709178978E-3</v>
      </c>
      <c r="T237" s="2">
        <f ca="1"/>
        <v>0.41517882148051083</v>
      </c>
      <c r="U237" s="2">
        <f ca="1"/>
        <v>8.3604477399833899E-2</v>
      </c>
      <c r="V237" s="12"/>
      <c r="X237" s="2" cm="1">
        <f t="array" aca="1" ref="X237" ca="1">MMULT(MMULT(_xlfn.ANCHORARRAY(Q237),$Q$9:$U$13),TRANSPOSE(_xlfn.ANCHORARRAY(Q237)))</f>
        <v>3.3481496004564184E-4</v>
      </c>
      <c r="Y237" s="2">
        <f t="shared" ca="1" si="12"/>
        <v>1.8297949613157258E-2</v>
      </c>
      <c r="Z237" s="2" cm="1">
        <f t="array" aca="1" ref="Z237" ca="1">MMULT(_xlfn.ANCHORARRAY(Q237),TRANSPOSE($Q$3:$U$3))</f>
        <v>7.9438667565105161E-4</v>
      </c>
      <c r="AA237" s="11">
        <f ca="1">AVEDEV(Q237*$Q$3,R237*$R$3,S237*$S$3,T237*$T$3,U237*$U$3)</f>
        <v>1.0802213335759349E-4</v>
      </c>
      <c r="AB237" s="11" cm="1">
        <f t="array" aca="1" ref="AB237" ca="1">MMULT(_xlfn.ANCHORARRAY(Q237),TRANSPOSE($Q$6:$U$6))</f>
        <v>-2.274327226198334E-2</v>
      </c>
      <c r="AD237" s="2" t="s">
        <v>228</v>
      </c>
      <c r="AE237" s="10" cm="1">
        <f t="array" aca="1" ref="AE237:AI237" ca="1">_xlfn.LET(_xlpm.array,_xlfn.RANDARRAY(1,COLUMNS(_xlfn.ANCHORARRAY(Q236)),-1,1,FALSE),_xlpm.array/SUM(_xlpm.array))</f>
        <v>-0.51619119147466497</v>
      </c>
      <c r="AF237" s="10">
        <f ca="1"/>
        <v>0.63223408938782555</v>
      </c>
      <c r="AG237" s="10">
        <f ca="1"/>
        <v>8.0828605237065643E-2</v>
      </c>
      <c r="AH237" s="10">
        <f ca="1"/>
        <v>1.1307270325955217</v>
      </c>
      <c r="AI237" s="10">
        <f ca="1"/>
        <v>-0.32759853574574788</v>
      </c>
      <c r="AJ237" s="1"/>
      <c r="AK237" s="2" cm="1">
        <f t="array" aca="1" ref="AK237" ca="1">MMULT(MMULT(_xlfn.ANCHORARRAY(AE237),$Q$9:$U$13),TRANSPOSE(_xlfn.ANCHORARRAY(AE237)))</f>
        <v>1.0997202209895422E-3</v>
      </c>
      <c r="AL237" s="2">
        <f t="shared" ca="1" si="13"/>
        <v>3.3162029808043149E-2</v>
      </c>
      <c r="AM237" s="2" cm="1">
        <f t="array" aca="1" ref="AM237" ca="1">MMULT(_xlfn.ANCHORARRAY(AE238),TRANSPOSE($Q$3:$U$3))</f>
        <v>8.9274745292152911E-4</v>
      </c>
    </row>
    <row r="238" spans="1:39" x14ac:dyDescent="0.35">
      <c r="A238" s="3">
        <v>44173</v>
      </c>
      <c r="B238" s="4">
        <v>25.494672775268501</v>
      </c>
      <c r="C238" s="4">
        <v>73.298088073730398</v>
      </c>
      <c r="D238" s="4">
        <v>33.247718811035099</v>
      </c>
      <c r="E238" s="4">
        <v>11.324468612670801</v>
      </c>
      <c r="F238" s="4">
        <v>206.79821777343699</v>
      </c>
      <c r="I238" s="5">
        <f>B238/B237-1</f>
        <v>-5.5000292400402273E-3</v>
      </c>
      <c r="J238" s="5">
        <f>C238/C237-1</f>
        <v>8.5943337971430278E-3</v>
      </c>
      <c r="K238" s="5">
        <f>D238/D237-1</f>
        <v>2.1170594161755263E-2</v>
      </c>
      <c r="L238" s="5">
        <f>E238/E237-1</f>
        <v>3.0265902564712288E-3</v>
      </c>
      <c r="M238" s="5">
        <f>F238/F237-1</f>
        <v>8.0268903802866998E-3</v>
      </c>
      <c r="N238" s="5">
        <f>SUMPRODUCT(I238:M238,$AJ$13:$AN$13)</f>
        <v>1.6427609411520064E-2</v>
      </c>
      <c r="P238" s="2" t="s">
        <v>229</v>
      </c>
      <c r="Q238" s="10" cm="1">
        <f t="array" aca="1" ref="Q238:U238" ca="1">_xlfn.LET(_xlpm.array,_xlfn.RANDARRAY(1,COLUMNS(_xlfn.ANCHORARRAY(Q237)),0,1,FALSE),_xlpm.array/SUM(_xlpm.array))</f>
        <v>0.11721367581875687</v>
      </c>
      <c r="R238" s="2">
        <f ca="1"/>
        <v>0.34659797170750911</v>
      </c>
      <c r="S238" s="2">
        <f ca="1"/>
        <v>0.43053559416509501</v>
      </c>
      <c r="T238" s="2">
        <f ca="1"/>
        <v>4.1609028084704978E-2</v>
      </c>
      <c r="U238" s="2">
        <f ca="1"/>
        <v>6.4043730223933934E-2</v>
      </c>
      <c r="V238" s="12"/>
      <c r="X238" s="2" cm="1">
        <f t="array" aca="1" ref="X238" ca="1">MMULT(MMULT(_xlfn.ANCHORARRAY(Q238),$Q$9:$U$13),TRANSPOSE(_xlfn.ANCHORARRAY(Q238)))</f>
        <v>3.7081611668239074E-4</v>
      </c>
      <c r="Y238" s="2">
        <f t="shared" ca="1" si="12"/>
        <v>1.9256586319552869E-2</v>
      </c>
      <c r="Z238" s="2" cm="1">
        <f t="array" aca="1" ref="Z238" ca="1">MMULT(_xlfn.ANCHORARRAY(Q238),TRANSPOSE($Q$3:$U$3))</f>
        <v>1.103355509289214E-3</v>
      </c>
      <c r="AA238" s="11">
        <f ca="1">AVEDEV(Q238*$Q$3,R238*$R$3,S238*$S$3,T238*$T$3,U238*$U$3)</f>
        <v>2.0437892296552366E-4</v>
      </c>
      <c r="AB238" s="11" cm="1">
        <f t="array" aca="1" ref="AB238" ca="1">MMULT(_xlfn.ANCHORARRAY(Q238),TRANSPOSE($Q$6:$U$6))</f>
        <v>-2.3697858632694656E-2</v>
      </c>
      <c r="AD238" s="2" t="s">
        <v>229</v>
      </c>
      <c r="AE238" s="10" cm="1">
        <f t="array" aca="1" ref="AE238:AI238" ca="1">_xlfn.LET(_xlpm.array,_xlfn.RANDARRAY(1,COLUMNS(_xlfn.ANCHORARRAY(Q237)),-1,1,FALSE),_xlpm.array/SUM(_xlpm.array))</f>
        <v>-0.12394535650517947</v>
      </c>
      <c r="AF238" s="10">
        <f ca="1"/>
        <v>0.8028432124605337</v>
      </c>
      <c r="AG238" s="10">
        <f ca="1"/>
        <v>0.56282159594904502</v>
      </c>
      <c r="AH238" s="10">
        <f ca="1"/>
        <v>-1.4007761142051931</v>
      </c>
      <c r="AI238" s="10">
        <f ca="1"/>
        <v>1.1590566623007938</v>
      </c>
      <c r="AJ238" s="1"/>
      <c r="AK238" s="2" cm="1">
        <f t="array" aca="1" ref="AK238" ca="1">MMULT(MMULT(_xlfn.ANCHORARRAY(AE238),$Q$9:$U$13),TRANSPOSE(_xlfn.ANCHORARRAY(AE238)))</f>
        <v>1.3869483327340309E-3</v>
      </c>
      <c r="AL238" s="2">
        <f t="shared" ca="1" si="13"/>
        <v>3.7241755231648667E-2</v>
      </c>
      <c r="AM238" s="2" cm="1">
        <f t="array" aca="1" ref="AM238" ca="1">MMULT(_xlfn.ANCHORARRAY(AE239),TRANSPOSE($Q$3:$U$3))</f>
        <v>1.6304407862241807E-3</v>
      </c>
    </row>
    <row r="239" spans="1:39" x14ac:dyDescent="0.35">
      <c r="A239" s="3">
        <v>44174</v>
      </c>
      <c r="B239" s="4">
        <v>25.380098342895501</v>
      </c>
      <c r="C239" s="4">
        <v>72.417289733886705</v>
      </c>
      <c r="D239" s="4">
        <v>33.090438842773402</v>
      </c>
      <c r="E239" s="4">
        <v>11.454320907592701</v>
      </c>
      <c r="F239" s="4">
        <v>202.76773071289</v>
      </c>
      <c r="I239" s="5">
        <f>B239/B238-1</f>
        <v>-4.4940538512870942E-3</v>
      </c>
      <c r="J239" s="5">
        <f>C239/C238-1</f>
        <v>-1.201666186651007E-2</v>
      </c>
      <c r="K239" s="5">
        <f>D239/D238-1</f>
        <v>-4.7305491590446946E-3</v>
      </c>
      <c r="L239" s="5">
        <f>E239/E238-1</f>
        <v>1.1466524334449613E-2</v>
      </c>
      <c r="M239" s="5">
        <f>F239/F238-1</f>
        <v>-1.9489950657905042E-2</v>
      </c>
      <c r="N239" s="5">
        <f>SUMPRODUCT(I239:M239,$AJ$13:$AN$13)</f>
        <v>-1.9223720372231398E-3</v>
      </c>
      <c r="P239" s="2" t="s">
        <v>230</v>
      </c>
      <c r="Q239" s="10" cm="1">
        <f t="array" aca="1" ref="Q239:U239" ca="1">_xlfn.LET(_xlpm.array,_xlfn.RANDARRAY(1,COLUMNS(_xlfn.ANCHORARRAY(Q238)),0,1,FALSE),_xlpm.array/SUM(_xlpm.array))</f>
        <v>0.13792347991240927</v>
      </c>
      <c r="R239" s="2">
        <f ca="1"/>
        <v>0.21499742791767165</v>
      </c>
      <c r="S239" s="2">
        <f ca="1"/>
        <v>0.37722404410084359</v>
      </c>
      <c r="T239" s="2">
        <f ca="1"/>
        <v>8.0464392108558047E-2</v>
      </c>
      <c r="U239" s="2">
        <f ca="1"/>
        <v>0.18939065596051743</v>
      </c>
      <c r="V239" s="12"/>
      <c r="X239" s="2" cm="1">
        <f t="array" aca="1" ref="X239" ca="1">MMULT(MMULT(_xlfn.ANCHORARRAY(Q239),$Q$9:$U$13),TRANSPOSE(_xlfn.ANCHORARRAY(Q239)))</f>
        <v>3.2673399288300168E-4</v>
      </c>
      <c r="Y239" s="2">
        <f t="shared" ca="1" si="12"/>
        <v>1.8075784710020245E-2</v>
      </c>
      <c r="Z239" s="2" cm="1">
        <f t="array" aca="1" ref="Z239" ca="1">MMULT(_xlfn.ANCHORARRAY(Q239),TRANSPOSE($Q$3:$U$3))</f>
        <v>1.0667707150737906E-3</v>
      </c>
      <c r="AA239" s="11">
        <f ca="1">AVEDEV(Q239*$Q$3,R239*$R$3,S239*$S$3,T239*$T$3,U239*$U$3)</f>
        <v>1.59703198505663E-4</v>
      </c>
      <c r="AB239" s="11" cm="1">
        <f t="array" aca="1" ref="AB239" ca="1">MMULT(_xlfn.ANCHORARRAY(Q239),TRANSPOSE($Q$6:$U$6))</f>
        <v>-2.3487968762889617E-2</v>
      </c>
      <c r="AD239" s="2" t="s">
        <v>230</v>
      </c>
      <c r="AE239" s="10" cm="1">
        <f t="array" aca="1" ref="AE239:AI239" ca="1">_xlfn.LET(_xlpm.array,_xlfn.RANDARRAY(1,COLUMNS(_xlfn.ANCHORARRAY(Q238)),-1,1,FALSE),_xlpm.array/SUM(_xlpm.array))</f>
        <v>-7.2938999889176723E-2</v>
      </c>
      <c r="AF239" s="10">
        <f ca="1"/>
        <v>-0.11919055884255381</v>
      </c>
      <c r="AG239" s="10">
        <f ca="1"/>
        <v>0.92268905789101519</v>
      </c>
      <c r="AH239" s="10">
        <f ca="1"/>
        <v>0.19480595017731919</v>
      </c>
      <c r="AI239" s="10">
        <f ca="1"/>
        <v>7.4634550663396193E-2</v>
      </c>
      <c r="AJ239" s="1"/>
      <c r="AK239" s="2" cm="1">
        <f t="array" aca="1" ref="AK239" ca="1">MMULT(MMULT(_xlfn.ANCHORARRAY(AE239),$Q$9:$U$13),TRANSPOSE(_xlfn.ANCHORARRAY(AE239)))</f>
        <v>7.6662606208697474E-4</v>
      </c>
      <c r="AL239" s="2">
        <f t="shared" ca="1" si="13"/>
        <v>2.7688012967473391E-2</v>
      </c>
      <c r="AM239" s="2" cm="1">
        <f t="array" aca="1" ref="AM239" ca="1">MMULT(_xlfn.ANCHORARRAY(AE240),TRANSPOSE($Q$3:$U$3))</f>
        <v>2.5945470324127771E-4</v>
      </c>
    </row>
    <row r="240" spans="1:39" x14ac:dyDescent="0.35">
      <c r="A240" s="3">
        <v>44175</v>
      </c>
      <c r="B240" s="4">
        <v>25.653295516967699</v>
      </c>
      <c r="C240" s="4">
        <v>74.747398376464801</v>
      </c>
      <c r="D240" s="4">
        <v>33.381877899169901</v>
      </c>
      <c r="E240" s="4">
        <v>11.5705041885375</v>
      </c>
      <c r="F240" s="4">
        <v>201.54229736328099</v>
      </c>
      <c r="I240" s="5">
        <f>B240/B239-1</f>
        <v>1.0764228348574267E-2</v>
      </c>
      <c r="J240" s="5">
        <f>C240/C239-1</f>
        <v>3.2176137095721202E-2</v>
      </c>
      <c r="K240" s="5">
        <f>D240/D239-1</f>
        <v>8.8073493912017575E-3</v>
      </c>
      <c r="L240" s="5">
        <f>E240/E239-1</f>
        <v>1.0143183684314661E-2</v>
      </c>
      <c r="M240" s="5">
        <f>F240/F239-1</f>
        <v>-6.0435323968988097E-3</v>
      </c>
      <c r="N240" s="5">
        <f>SUMPRODUCT(I240:M240,$AJ$13:$AN$13)</f>
        <v>3.1390925338847801E-3</v>
      </c>
      <c r="P240" s="2" t="s">
        <v>231</v>
      </c>
      <c r="Q240" s="10" cm="1">
        <f t="array" aca="1" ref="Q240:U240" ca="1">_xlfn.LET(_xlpm.array,_xlfn.RANDARRAY(1,COLUMNS(_xlfn.ANCHORARRAY(Q239)),0,1,FALSE),_xlpm.array/SUM(_xlpm.array))</f>
        <v>0.1281616872610539</v>
      </c>
      <c r="R240" s="2">
        <f ca="1"/>
        <v>7.3828528723663706E-3</v>
      </c>
      <c r="S240" s="2">
        <f ca="1"/>
        <v>0.23981434152007003</v>
      </c>
      <c r="T240" s="2">
        <f ca="1"/>
        <v>0.36451575673537623</v>
      </c>
      <c r="U240" s="2">
        <f ca="1"/>
        <v>0.26012536161113348</v>
      </c>
      <c r="V240" s="12"/>
      <c r="X240" s="2" cm="1">
        <f t="array" aca="1" ref="X240" ca="1">MMULT(MMULT(_xlfn.ANCHORARRAY(Q240),$Q$9:$U$13),TRANSPOSE(_xlfn.ANCHORARRAY(Q240)))</f>
        <v>2.9104951674249117E-4</v>
      </c>
      <c r="Y240" s="2">
        <f t="shared" ca="1" si="12"/>
        <v>1.7060173408922054E-2</v>
      </c>
      <c r="Z240" s="2" cm="1">
        <f t="array" aca="1" ref="Z240" ca="1">MMULT(_xlfn.ANCHORARRAY(Q240),TRANSPOSE($Q$3:$U$3))</f>
        <v>1.0313410361732652E-3</v>
      </c>
      <c r="AA240" s="11">
        <f ca="1">AVEDEV(Q240*$Q$3,R240*$R$3,S240*$S$3,T240*$T$3,U240*$U$3)</f>
        <v>1.3972712067530045E-4</v>
      </c>
      <c r="AB240" s="11" cm="1">
        <f t="array" aca="1" ref="AB240" ca="1">MMULT(_xlfn.ANCHORARRAY(Q240),TRANSPOSE($Q$6:$U$6))</f>
        <v>-2.3841119635341898E-2</v>
      </c>
      <c r="AD240" s="2" t="s">
        <v>231</v>
      </c>
      <c r="AE240" s="10" cm="1">
        <f t="array" aca="1" ref="AE240:AI240" ca="1">_xlfn.LET(_xlpm.array,_xlfn.RANDARRAY(1,COLUMNS(_xlfn.ANCHORARRAY(Q239)),-1,1,FALSE),_xlpm.array/SUM(_xlpm.array))</f>
        <v>0.48748203297632497</v>
      </c>
      <c r="AF240" s="10">
        <f ca="1"/>
        <v>0.31282570453758135</v>
      </c>
      <c r="AG240" s="10">
        <f ca="1"/>
        <v>-0.47051244402896591</v>
      </c>
      <c r="AH240" s="10">
        <f ca="1"/>
        <v>0.13537833265297811</v>
      </c>
      <c r="AI240" s="10">
        <f ca="1"/>
        <v>0.53482637386208154</v>
      </c>
      <c r="AJ240" s="1"/>
      <c r="AK240" s="2" cm="1">
        <f t="array" aca="1" ref="AK240" ca="1">MMULT(MMULT(_xlfn.ANCHORARRAY(AE240),$Q$9:$U$13),TRANSPOSE(_xlfn.ANCHORARRAY(AE240)))</f>
        <v>4.3087904693114946E-4</v>
      </c>
      <c r="AL240" s="2">
        <f t="shared" ca="1" si="13"/>
        <v>2.075762623546222E-2</v>
      </c>
      <c r="AM240" s="2" cm="1">
        <f t="array" aca="1" ref="AM240" ca="1">MMULT(_xlfn.ANCHORARRAY(AE241),TRANSPOSE($Q$3:$U$3))</f>
        <v>9.4329241720947962E-4</v>
      </c>
    </row>
    <row r="241" spans="1:39" x14ac:dyDescent="0.35">
      <c r="A241" s="3">
        <v>44176</v>
      </c>
      <c r="B241" s="4">
        <v>25.177415847778299</v>
      </c>
      <c r="C241" s="4">
        <v>74.0267333984375</v>
      </c>
      <c r="D241" s="4">
        <v>33.141323089599602</v>
      </c>
      <c r="E241" s="4">
        <v>11.529497146606399</v>
      </c>
      <c r="F241" s="4">
        <v>204.16548156738199</v>
      </c>
      <c r="I241" s="5">
        <f>B241/B240-1</f>
        <v>-1.8550430250750538E-2</v>
      </c>
      <c r="J241" s="5">
        <f>C241/C240-1</f>
        <v>-9.6413386108460397E-3</v>
      </c>
      <c r="K241" s="5">
        <f>D241/D240-1</f>
        <v>-7.2061497048456769E-3</v>
      </c>
      <c r="L241" s="5">
        <f>E241/E240-1</f>
        <v>-3.544101558834889E-3</v>
      </c>
      <c r="M241" s="5">
        <f>F241/F240-1</f>
        <v>1.3015551764663513E-2</v>
      </c>
      <c r="N241" s="5">
        <f>SUMPRODUCT(I241:M241,$AJ$13:$AN$13)</f>
        <v>4.6206417684724306E-3</v>
      </c>
      <c r="P241" s="2" t="s">
        <v>232</v>
      </c>
      <c r="Q241" s="10" cm="1">
        <f t="array" aca="1" ref="Q241:U241" ca="1">_xlfn.LET(_xlpm.array,_xlfn.RANDARRAY(1,COLUMNS(_xlfn.ANCHORARRAY(Q240)),0,1,FALSE),_xlpm.array/SUM(_xlpm.array))</f>
        <v>0.12966289154984273</v>
      </c>
      <c r="R241" s="2">
        <f ca="1"/>
        <v>0.19508645434730532</v>
      </c>
      <c r="S241" s="2">
        <f ca="1"/>
        <v>0.38140267104032749</v>
      </c>
      <c r="T241" s="2">
        <f ca="1"/>
        <v>2.3544786041226083E-2</v>
      </c>
      <c r="U241" s="2">
        <f ca="1"/>
        <v>0.27030319702129835</v>
      </c>
      <c r="V241" s="12"/>
      <c r="X241" s="2" cm="1">
        <f t="array" aca="1" ref="X241" ca="1">MMULT(MMULT(_xlfn.ANCHORARRAY(Q241),$Q$9:$U$13),TRANSPOSE(_xlfn.ANCHORARRAY(Q241)))</f>
        <v>3.2549846849988637E-4</v>
      </c>
      <c r="Y241" s="2">
        <f t="shared" ca="1" si="12"/>
        <v>1.804157610908444E-2</v>
      </c>
      <c r="Z241" s="2" cm="1">
        <f t="array" aca="1" ref="Z241" ca="1">MMULT(_xlfn.ANCHORARRAY(Q241),TRANSPOSE($Q$3:$U$3))</f>
        <v>1.0585548465415237E-3</v>
      </c>
      <c r="AA241" s="11">
        <f ca="1">AVEDEV(Q241*$Q$3,R241*$R$3,S241*$S$3,T241*$T$3,U241*$U$3)</f>
        <v>1.6307490534045246E-4</v>
      </c>
      <c r="AB241" s="11" cm="1">
        <f t="array" aca="1" ref="AB241" ca="1">MMULT(_xlfn.ANCHORARRAY(Q241),TRANSPOSE($Q$6:$U$6))</f>
        <v>-2.3209209339143517E-2</v>
      </c>
      <c r="AD241" s="2" t="s">
        <v>232</v>
      </c>
      <c r="AE241" s="10" cm="1">
        <f t="array" aca="1" ref="AE241:AI241" ca="1">_xlfn.LET(_xlpm.array,_xlfn.RANDARRAY(1,COLUMNS(_xlfn.ANCHORARRAY(Q240)),-1,1,FALSE),_xlpm.array/SUM(_xlpm.array))</f>
        <v>-0.52786840447537486</v>
      </c>
      <c r="AF241" s="10">
        <f ca="1"/>
        <v>0.44417107222867752</v>
      </c>
      <c r="AG241" s="10">
        <f ca="1"/>
        <v>-0.1098474023827567</v>
      </c>
      <c r="AH241" s="10">
        <f ca="1"/>
        <v>0.5948416508375296</v>
      </c>
      <c r="AI241" s="10">
        <f ca="1"/>
        <v>0.59870308379192438</v>
      </c>
      <c r="AJ241" s="1"/>
      <c r="AK241" s="2" cm="1">
        <f t="array" aca="1" ref="AK241" ca="1">MMULT(MMULT(_xlfn.ANCHORARRAY(AE241),$Q$9:$U$13),TRANSPOSE(_xlfn.ANCHORARRAY(AE241)))</f>
        <v>4.5823819067331831E-4</v>
      </c>
      <c r="AL241" s="2">
        <f t="shared" ca="1" si="13"/>
        <v>2.1406498795303222E-2</v>
      </c>
      <c r="AM241" s="2" cm="1">
        <f t="array" aca="1" ref="AM241" ca="1">MMULT(_xlfn.ANCHORARRAY(AE242),TRANSPOSE($Q$3:$U$3))</f>
        <v>7.3509395654477257E-4</v>
      </c>
    </row>
    <row r="242" spans="1:39" x14ac:dyDescent="0.35">
      <c r="A242" s="3">
        <v>44179</v>
      </c>
      <c r="B242" s="4">
        <v>24.868980407714801</v>
      </c>
      <c r="C242" s="4">
        <v>71.616569519042898</v>
      </c>
      <c r="D242" s="4">
        <v>33.506786346435497</v>
      </c>
      <c r="E242" s="4">
        <v>11.331301689147899</v>
      </c>
      <c r="F242" s="4">
        <v>205.06539916992099</v>
      </c>
      <c r="I242" s="5">
        <f>B242/B241-1</f>
        <v>-1.2250480427708932E-2</v>
      </c>
      <c r="J242" s="5">
        <f>C242/C241-1</f>
        <v>-3.2558020173904856E-2</v>
      </c>
      <c r="K242" s="5">
        <f>D242/D241-1</f>
        <v>1.102741902753368E-2</v>
      </c>
      <c r="L242" s="5">
        <f>E242/E241-1</f>
        <v>-1.7190295026599411E-2</v>
      </c>
      <c r="M242" s="5">
        <f>F242/F241-1</f>
        <v>4.4077852711943422E-3</v>
      </c>
      <c r="N242" s="5">
        <f>SUMPRODUCT(I242:M242,$AJ$13:$AN$13)</f>
        <v>3.7914600706800959E-3</v>
      </c>
      <c r="P242" s="2" t="s">
        <v>233</v>
      </c>
      <c r="Q242" s="10" cm="1">
        <f t="array" aca="1" ref="Q242:U242" ca="1">_xlfn.LET(_xlpm.array,_xlfn.RANDARRAY(1,COLUMNS(_xlfn.ANCHORARRAY(Q241)),0,1,FALSE),_xlpm.array/SUM(_xlpm.array))</f>
        <v>0.2887410989529377</v>
      </c>
      <c r="R242" s="2">
        <f ca="1"/>
        <v>0.18049609918508178</v>
      </c>
      <c r="S242" s="2">
        <f ca="1"/>
        <v>0.18998754907271859</v>
      </c>
      <c r="T242" s="2">
        <f ca="1"/>
        <v>0.18374927310645894</v>
      </c>
      <c r="U242" s="2">
        <f ca="1"/>
        <v>0.15702597968280291</v>
      </c>
      <c r="V242" s="12"/>
      <c r="X242" s="2" cm="1">
        <f t="array" aca="1" ref="X242" ca="1">MMULT(MMULT(_xlfn.ANCHORARRAY(Q242),$Q$9:$U$13),TRANSPOSE(_xlfn.ANCHORARRAY(Q242)))</f>
        <v>2.8515494181875425E-4</v>
      </c>
      <c r="Y242" s="2">
        <f t="shared" ca="1" si="12"/>
        <v>1.6886531373220322E-2</v>
      </c>
      <c r="Z242" s="2" cm="1">
        <f t="array" aca="1" ref="Z242" ca="1">MMULT(_xlfn.ANCHORARRAY(Q242),TRANSPOSE($Q$3:$U$3))</f>
        <v>8.9492013094669978E-4</v>
      </c>
      <c r="AA242" s="11">
        <f ca="1">AVEDEV(Q242*$Q$3,R242*$R$3,S242*$S$3,T242*$T$3,U242*$U$3)</f>
        <v>5.531731146888655E-5</v>
      </c>
      <c r="AB242" s="11" cm="1">
        <f t="array" aca="1" ref="AB242" ca="1">MMULT(_xlfn.ANCHORARRAY(Q242),TRANSPOSE($Q$6:$U$6))</f>
        <v>-2.2900100814155305E-2</v>
      </c>
      <c r="AD242" s="2" t="s">
        <v>233</v>
      </c>
      <c r="AE242" s="10" cm="1">
        <f t="array" aca="1" ref="AE242:AI242" ca="1">_xlfn.LET(_xlpm.array,_xlfn.RANDARRAY(1,COLUMNS(_xlfn.ANCHORARRAY(Q241)),-1,1,FALSE),_xlpm.array/SUM(_xlpm.array))</f>
        <v>0.33498012868208787</v>
      </c>
      <c r="AF242" s="10">
        <f ca="1"/>
        <v>0.31634331395018689</v>
      </c>
      <c r="AG242" s="10">
        <f ca="1"/>
        <v>1.861648962183745E-2</v>
      </c>
      <c r="AH242" s="10">
        <f ca="1"/>
        <v>0.19922794318672035</v>
      </c>
      <c r="AI242" s="10">
        <f ca="1"/>
        <v>0.13083212455916751</v>
      </c>
      <c r="AJ242" s="1"/>
      <c r="AK242" s="2" cm="1">
        <f t="array" aca="1" ref="AK242" ca="1">MMULT(MMULT(_xlfn.ANCHORARRAY(AE242),$Q$9:$U$13),TRANSPOSE(_xlfn.ANCHORARRAY(AE242)))</f>
        <v>2.9928788446113424E-4</v>
      </c>
      <c r="AL242" s="2">
        <f t="shared" ca="1" si="13"/>
        <v>1.7299938857150168E-2</v>
      </c>
      <c r="AM242" s="2" cm="1">
        <f t="array" aca="1" ref="AM242" ca="1">MMULT(_xlfn.ANCHORARRAY(AE243),TRANSPOSE($Q$3:$U$3))</f>
        <v>6.6874521050710903E-4</v>
      </c>
    </row>
    <row r="243" spans="1:39" x14ac:dyDescent="0.35">
      <c r="A243" s="3">
        <v>44180</v>
      </c>
      <c r="B243" s="4">
        <v>25.239101409912099</v>
      </c>
      <c r="C243" s="4">
        <v>71.560516357421804</v>
      </c>
      <c r="D243" s="4">
        <v>34.112800598144503</v>
      </c>
      <c r="E243" s="4">
        <v>11.5773401260375</v>
      </c>
      <c r="F243" s="4">
        <v>204.99836730957</v>
      </c>
      <c r="I243" s="5">
        <f>B243/B242-1</f>
        <v>1.4882837821629469E-2</v>
      </c>
      <c r="J243" s="5">
        <f>C243/C242-1</f>
        <v>-7.8268425865035685E-4</v>
      </c>
      <c r="K243" s="5">
        <f>D243/D242-1</f>
        <v>1.8086313782625041E-2</v>
      </c>
      <c r="L243" s="5">
        <f>E243/E242-1</f>
        <v>2.1713166204482492E-2</v>
      </c>
      <c r="M243" s="5">
        <f>F243/F242-1</f>
        <v>-3.2688040314132749E-4</v>
      </c>
      <c r="N243" s="5">
        <f>SUMPRODUCT(I243:M243,$AJ$13:$AN$13)</f>
        <v>1.5174799742532894E-2</v>
      </c>
      <c r="P243" s="2" t="s">
        <v>234</v>
      </c>
      <c r="Q243" s="10" cm="1">
        <f t="array" aca="1" ref="Q243:U243" ca="1">_xlfn.LET(_xlpm.array,_xlfn.RANDARRAY(1,COLUMNS(_xlfn.ANCHORARRAY(Q242)),0,1,FALSE),_xlpm.array/SUM(_xlpm.array))</f>
        <v>2.5698814548348811E-2</v>
      </c>
      <c r="R243" s="2">
        <f ca="1"/>
        <v>0.43221586130182787</v>
      </c>
      <c r="S243" s="2">
        <f ca="1"/>
        <v>9.8245236744362224E-2</v>
      </c>
      <c r="T243" s="2">
        <f ca="1"/>
        <v>0.4108430202839794</v>
      </c>
      <c r="U243" s="2">
        <f ca="1"/>
        <v>3.299706712148158E-2</v>
      </c>
      <c r="V243" s="12"/>
      <c r="X243" s="2" cm="1">
        <f t="array" aca="1" ref="X243" ca="1">MMULT(MMULT(_xlfn.ANCHORARRAY(Q243),$Q$9:$U$13),TRANSPOSE(_xlfn.ANCHORARRAY(Q243)))</f>
        <v>3.7228465731385809E-4</v>
      </c>
      <c r="Y243" s="2">
        <f t="shared" ca="1" si="12"/>
        <v>1.9294679507933218E-2</v>
      </c>
      <c r="Z243" s="2" cm="1">
        <f t="array" aca="1" ref="Z243" ca="1">MMULT(_xlfn.ANCHORARRAY(Q243),TRANSPOSE($Q$3:$U$3))</f>
        <v>9.3319476487140909E-4</v>
      </c>
      <c r="AA243" s="11">
        <f ca="1">AVEDEV(Q243*$Q$3,R243*$R$3,S243*$S$3,T243*$T$3,U243*$U$3)</f>
        <v>1.4482690386769667E-4</v>
      </c>
      <c r="AB243" s="11" cm="1">
        <f t="array" aca="1" ref="AB243" ca="1">MMULT(_xlfn.ANCHORARRAY(Q243),TRANSPOSE($Q$6:$U$6))</f>
        <v>-2.3128185993481747E-2</v>
      </c>
      <c r="AD243" s="2" t="s">
        <v>234</v>
      </c>
      <c r="AE243" s="10" cm="1">
        <f t="array" aca="1" ref="AE243:AI243" ca="1">_xlfn.LET(_xlpm.array,_xlfn.RANDARRAY(1,COLUMNS(_xlfn.ANCHORARRAY(Q242)),-1,1,FALSE),_xlpm.array/SUM(_xlpm.array))</f>
        <v>0.28490718593734465</v>
      </c>
      <c r="AF243" s="10">
        <f ca="1"/>
        <v>0.2494115261519706</v>
      </c>
      <c r="AG243" s="10">
        <f ca="1"/>
        <v>-0.10237206110795841</v>
      </c>
      <c r="AH243" s="10">
        <f ca="1"/>
        <v>0.28659351922551329</v>
      </c>
      <c r="AI243" s="10">
        <f ca="1"/>
        <v>0.28145982979312978</v>
      </c>
      <c r="AJ243" s="1"/>
      <c r="AK243" s="2" cm="1">
        <f t="array" aca="1" ref="AK243" ca="1">MMULT(MMULT(_xlfn.ANCHORARRAY(AE243),$Q$9:$U$13),TRANSPOSE(_xlfn.ANCHORARRAY(AE243)))</f>
        <v>2.9008548669410937E-4</v>
      </c>
      <c r="AL243" s="2">
        <f t="shared" ca="1" si="13"/>
        <v>1.7031896156743952E-2</v>
      </c>
      <c r="AM243" s="2" cm="1">
        <f t="array" aca="1" ref="AM243" ca="1">MMULT(_xlfn.ANCHORARRAY(AE244),TRANSPOSE($Q$3:$U$3))</f>
        <v>4.7627228031534605E-4</v>
      </c>
    </row>
    <row r="244" spans="1:39" x14ac:dyDescent="0.35">
      <c r="A244" s="3">
        <v>44181</v>
      </c>
      <c r="B244" s="4">
        <v>25.3096008300781</v>
      </c>
      <c r="C244" s="4">
        <v>71.016014099121094</v>
      </c>
      <c r="D244" s="4">
        <v>34.172943115234297</v>
      </c>
      <c r="E244" s="4">
        <v>11.495326042175201</v>
      </c>
      <c r="F244" s="4">
        <v>209.92872619628901</v>
      </c>
      <c r="I244" s="5">
        <f>B244/B243-1</f>
        <v>2.7932618923711683E-3</v>
      </c>
      <c r="J244" s="5">
        <f>C244/C243-1</f>
        <v>-7.6089760948774288E-3</v>
      </c>
      <c r="K244" s="5">
        <f>D244/D243-1</f>
        <v>1.7630483582478096E-3</v>
      </c>
      <c r="L244" s="5">
        <f>E244/E243-1</f>
        <v>-7.0840178287454592E-3</v>
      </c>
      <c r="M244" s="5">
        <f>F244/F243-1</f>
        <v>2.4050722702945393E-2</v>
      </c>
      <c r="N244" s="5">
        <f>SUMPRODUCT(I244:M244,$AJ$13:$AN$13)</f>
        <v>5.0833989593848071E-3</v>
      </c>
      <c r="P244" s="2" t="s">
        <v>235</v>
      </c>
      <c r="Q244" s="10" cm="1">
        <f t="array" aca="1" ref="Q244:U244" ca="1">_xlfn.LET(_xlpm.array,_xlfn.RANDARRAY(1,COLUMNS(_xlfn.ANCHORARRAY(Q243)),0,1,FALSE),_xlpm.array/SUM(_xlpm.array))</f>
        <v>0.29942074669237179</v>
      </c>
      <c r="R244" s="2">
        <f ca="1"/>
        <v>5.5008846743710066E-2</v>
      </c>
      <c r="S244" s="2">
        <f ca="1"/>
        <v>0.26091833112155732</v>
      </c>
      <c r="T244" s="2">
        <f ca="1"/>
        <v>0.15105584323830915</v>
      </c>
      <c r="U244" s="2">
        <f ca="1"/>
        <v>0.23359623220405165</v>
      </c>
      <c r="V244" s="12"/>
      <c r="X244" s="2" cm="1">
        <f t="array" aca="1" ref="X244" ca="1">MMULT(MMULT(_xlfn.ANCHORARRAY(Q244),$Q$9:$U$13),TRANSPOSE(_xlfn.ANCHORARRAY(Q244)))</f>
        <v>2.8957357332354738E-4</v>
      </c>
      <c r="Y244" s="2">
        <f t="shared" ca="1" si="12"/>
        <v>1.7016861441627458E-2</v>
      </c>
      <c r="Z244" s="2" cm="1">
        <f t="array" aca="1" ref="Z244" ca="1">MMULT(_xlfn.ANCHORARRAY(Q244),TRANSPOSE($Q$3:$U$3))</f>
        <v>9.490688568954583E-4</v>
      </c>
      <c r="AA244" s="11">
        <f ca="1">AVEDEV(Q244*$Q$3,R244*$R$3,S244*$S$3,T244*$T$3,U244*$U$3)</f>
        <v>9.3567120038847508E-5</v>
      </c>
      <c r="AB244" s="11" cm="1">
        <f t="array" aca="1" ref="AB244" ca="1">MMULT(_xlfn.ANCHORARRAY(Q244),TRANSPOSE($Q$6:$U$6))</f>
        <v>-2.3190450051799684E-2</v>
      </c>
      <c r="AD244" s="2" t="s">
        <v>235</v>
      </c>
      <c r="AE244" s="10" cm="1">
        <f t="array" aca="1" ref="AE244:AI244" ca="1">_xlfn.LET(_xlpm.array,_xlfn.RANDARRAY(1,COLUMNS(_xlfn.ANCHORARRAY(Q243)),-1,1,FALSE),_xlpm.array/SUM(_xlpm.array))</f>
        <v>-0.72449389907149819</v>
      </c>
      <c r="AF244" s="10">
        <f ca="1"/>
        <v>0.58181736123979055</v>
      </c>
      <c r="AG244" s="10">
        <f ca="1"/>
        <v>-0.81553804863394908</v>
      </c>
      <c r="AH244" s="10">
        <f ca="1"/>
        <v>0.95930508411189552</v>
      </c>
      <c r="AI244" s="10">
        <f ca="1"/>
        <v>0.99890950235376108</v>
      </c>
      <c r="AJ244" s="1"/>
      <c r="AK244" s="2" cm="1">
        <f t="array" aca="1" ref="AK244" ca="1">MMULT(MMULT(_xlfn.ANCHORARRAY(AE244),$Q$9:$U$13),TRANSPOSE(_xlfn.ANCHORARRAY(AE244)))</f>
        <v>1.1936893960968571E-3</v>
      </c>
      <c r="AL244" s="2">
        <f t="shared" ca="1" si="13"/>
        <v>3.4549810362675758E-2</v>
      </c>
      <c r="AM244" s="2" cm="1">
        <f t="array" aca="1" ref="AM244" ca="1">MMULT(_xlfn.ANCHORARRAY(AE245),TRANSPOSE($Q$3:$U$3))</f>
        <v>2.2180213572646414E-4</v>
      </c>
    </row>
    <row r="245" spans="1:39" x14ac:dyDescent="0.35">
      <c r="A245" s="3">
        <v>44182</v>
      </c>
      <c r="B245" s="4">
        <v>25.406539916992099</v>
      </c>
      <c r="C245" s="4">
        <v>70.791824340820298</v>
      </c>
      <c r="D245" s="4">
        <v>34.561534881591797</v>
      </c>
      <c r="E245" s="4">
        <v>11.536333084106399</v>
      </c>
      <c r="F245" s="4">
        <v>210.06275939941401</v>
      </c>
      <c r="I245" s="5">
        <f>B245/B244-1</f>
        <v>3.8301310069970285E-3</v>
      </c>
      <c r="J245" s="5">
        <f>C245/C244-1</f>
        <v>-3.1568901908219926E-3</v>
      </c>
      <c r="K245" s="5">
        <f>D245/D244-1</f>
        <v>1.137132862824064E-2</v>
      </c>
      <c r="L245" s="5">
        <f>E245/E244-1</f>
        <v>3.5672795865682172E-3</v>
      </c>
      <c r="M245" s="5">
        <f>F245/F244-1</f>
        <v>6.3847004435046983E-4</v>
      </c>
      <c r="N245" s="5">
        <f>SUMPRODUCT(I245:M245,$AJ$13:$AN$13)</f>
        <v>6.7965524154151294E-3</v>
      </c>
      <c r="P245" s="2" t="s">
        <v>236</v>
      </c>
      <c r="Q245" s="10" cm="1">
        <f t="array" aca="1" ref="Q245:U245" ca="1">_xlfn.LET(_xlpm.array,_xlfn.RANDARRAY(1,COLUMNS(_xlfn.ANCHORARRAY(Q244)),0,1,FALSE),_xlpm.array/SUM(_xlpm.array))</f>
        <v>0.21071180241427123</v>
      </c>
      <c r="R245" s="2">
        <f ca="1"/>
        <v>6.2687619054243138E-2</v>
      </c>
      <c r="S245" s="2">
        <f ca="1"/>
        <v>0.32255894956801551</v>
      </c>
      <c r="T245" s="2">
        <f ca="1"/>
        <v>0.18787458479514407</v>
      </c>
      <c r="U245" s="2">
        <f ca="1"/>
        <v>0.21616704416832597</v>
      </c>
      <c r="V245" s="12"/>
      <c r="X245" s="2" cm="1">
        <f t="array" aca="1" ref="X245" ca="1">MMULT(MMULT(_xlfn.ANCHORARRAY(Q245),$Q$9:$U$13),TRANSPOSE(_xlfn.ANCHORARRAY(Q245)))</f>
        <v>3.0556720539630291E-4</v>
      </c>
      <c r="Y245" s="2">
        <f t="shared" ca="1" si="12"/>
        <v>1.7480480696946035E-2</v>
      </c>
      <c r="Z245" s="2" cm="1">
        <f t="array" aca="1" ref="Z245" ca="1">MMULT(_xlfn.ANCHORARRAY(Q245),TRANSPOSE($Q$3:$U$3))</f>
        <v>1.0339784962312634E-3</v>
      </c>
      <c r="AA245" s="11">
        <f ca="1">AVEDEV(Q245*$Q$3,R245*$R$3,S245*$S$3,T245*$T$3,U245*$U$3)</f>
        <v>1.2681611369832747E-4</v>
      </c>
      <c r="AB245" s="11" cm="1">
        <f t="array" aca="1" ref="AB245" ca="1">MMULT(_xlfn.ANCHORARRAY(Q245),TRANSPOSE($Q$6:$U$6))</f>
        <v>-2.368099249303084E-2</v>
      </c>
      <c r="AD245" s="2" t="s">
        <v>236</v>
      </c>
      <c r="AE245" s="10" cm="1">
        <f t="array" aca="1" ref="AE245:AI245" ca="1">_xlfn.LET(_xlpm.array,_xlfn.RANDARRAY(1,COLUMNS(_xlfn.ANCHORARRAY(Q244)),-1,1,FALSE),_xlpm.array/SUM(_xlpm.array))</f>
        <v>0.94481000226669964</v>
      </c>
      <c r="AF245" s="10">
        <f ca="1"/>
        <v>-1.0222964484444637</v>
      </c>
      <c r="AG245" s="10">
        <f ca="1"/>
        <v>-0.56538115122142441</v>
      </c>
      <c r="AH245" s="10">
        <f ca="1"/>
        <v>0.58323230599234432</v>
      </c>
      <c r="AI245" s="10">
        <f ca="1"/>
        <v>1.0596352914068441</v>
      </c>
      <c r="AJ245" s="1"/>
      <c r="AK245" s="2" cm="1">
        <f t="array" aca="1" ref="AK245" ca="1">MMULT(MMULT(_xlfn.ANCHORARRAY(AE245),$Q$9:$U$13),TRANSPOSE(_xlfn.ANCHORARRAY(AE245)))</f>
        <v>8.2203855272264183E-4</v>
      </c>
      <c r="AL245" s="2">
        <f t="shared" ca="1" si="13"/>
        <v>2.8671214706088785E-2</v>
      </c>
      <c r="AM245" s="2" cm="1">
        <f t="array" aca="1" ref="AM245" ca="1">MMULT(_xlfn.ANCHORARRAY(AE246),TRANSPOSE($Q$3:$U$3))</f>
        <v>6.6269475488965081E-4</v>
      </c>
    </row>
    <row r="246" spans="1:39" x14ac:dyDescent="0.35">
      <c r="A246" s="3">
        <v>44183</v>
      </c>
      <c r="B246" s="4">
        <v>25.265539169311499</v>
      </c>
      <c r="C246" s="4">
        <v>69.814949035644503</v>
      </c>
      <c r="D246" s="4">
        <v>33.733467102050703</v>
      </c>
      <c r="E246" s="4">
        <v>11.474824905395501</v>
      </c>
      <c r="F246" s="4">
        <v>209.268142700195</v>
      </c>
      <c r="I246" s="5">
        <f>B246/B245-1</f>
        <v>-5.5497815972295195E-3</v>
      </c>
      <c r="J246" s="5">
        <f>C246/C245-1</f>
        <v>-1.3799267277994187E-2</v>
      </c>
      <c r="K246" s="5">
        <f>D246/D245-1</f>
        <v>-2.3959230467572201E-2</v>
      </c>
      <c r="L246" s="5">
        <f>E246/E245-1</f>
        <v>-5.3316923378051717E-3</v>
      </c>
      <c r="M246" s="5">
        <f>F246/F245-1</f>
        <v>-3.7827585503059646E-3</v>
      </c>
      <c r="N246" s="5">
        <f>SUMPRODUCT(I246:M246,$AJ$13:$AN$13)</f>
        <v>-1.4172639604958882E-2</v>
      </c>
      <c r="P246" s="2" t="s">
        <v>237</v>
      </c>
      <c r="Q246" s="10" cm="1">
        <f t="array" aca="1" ref="Q246:U246" ca="1">_xlfn.LET(_xlpm.array,_xlfn.RANDARRAY(1,COLUMNS(_xlfn.ANCHORARRAY(Q245)),0,1,FALSE),_xlpm.array/SUM(_xlpm.array))</f>
        <v>0.26967271595821241</v>
      </c>
      <c r="R246" s="2">
        <f ca="1"/>
        <v>0.19110305567504129</v>
      </c>
      <c r="S246" s="2">
        <f ca="1"/>
        <v>0.24898335227625307</v>
      </c>
      <c r="T246" s="2">
        <f ca="1"/>
        <v>3.2942993397568336E-2</v>
      </c>
      <c r="U246" s="2">
        <f ca="1"/>
        <v>0.25729788269292481</v>
      </c>
      <c r="V246" s="12"/>
      <c r="X246" s="2" cm="1">
        <f t="array" aca="1" ref="X246" ca="1">MMULT(MMULT(_xlfn.ANCHORARRAY(Q246),$Q$9:$U$13),TRANSPOSE(_xlfn.ANCHORARRAY(Q246)))</f>
        <v>2.8505491026614141E-4</v>
      </c>
      <c r="Y246" s="2">
        <f t="shared" ca="1" si="12"/>
        <v>1.6883569239534081E-2</v>
      </c>
      <c r="Z246" s="2" cm="1">
        <f t="array" aca="1" ref="Z246" ca="1">MMULT(_xlfn.ANCHORARRAY(Q246),TRANSPOSE($Q$3:$U$3))</f>
        <v>9.1141061033772977E-4</v>
      </c>
      <c r="AA246" s="11">
        <f ca="1">AVEDEV(Q246*$Q$3,R246*$R$3,S246*$S$3,T246*$T$3,U246*$U$3)</f>
        <v>9.4632072154941376E-5</v>
      </c>
      <c r="AB246" s="11" cm="1">
        <f t="array" aca="1" ref="AB246" ca="1">MMULT(_xlfn.ANCHORARRAY(Q246),TRANSPOSE($Q$6:$U$6))</f>
        <v>-2.2531964134770634E-2</v>
      </c>
      <c r="AD246" s="2" t="s">
        <v>237</v>
      </c>
      <c r="AE246" s="10" cm="1">
        <f t="array" aca="1" ref="AE246:AI246" ca="1">_xlfn.LET(_xlpm.array,_xlfn.RANDARRAY(1,COLUMNS(_xlfn.ANCHORARRAY(Q245)),-1,1,FALSE),_xlpm.array/SUM(_xlpm.array))</f>
        <v>-8.0433990501402985E-2</v>
      </c>
      <c r="AF246" s="10">
        <f ca="1"/>
        <v>-0.2760983990558234</v>
      </c>
      <c r="AG246" s="10">
        <f ca="1"/>
        <v>-0.47807798147345321</v>
      </c>
      <c r="AH246" s="10">
        <f ca="1"/>
        <v>1.0842013490934443</v>
      </c>
      <c r="AI246" s="10">
        <f ca="1"/>
        <v>0.75040902193723524</v>
      </c>
      <c r="AJ246" s="1"/>
      <c r="AK246" s="2" cm="1">
        <f t="array" aca="1" ref="AK246" ca="1">MMULT(MMULT(_xlfn.ANCHORARRAY(AE246),$Q$9:$U$13),TRANSPOSE(_xlfn.ANCHORARRAY(AE246)))</f>
        <v>6.7202888075013263E-4</v>
      </c>
      <c r="AL246" s="2">
        <f t="shared" ca="1" si="13"/>
        <v>2.5923519837208309E-2</v>
      </c>
      <c r="AM246" s="2" cm="1">
        <f t="array" aca="1" ref="AM246" ca="1">MMULT(_xlfn.ANCHORARRAY(AE247),TRANSPOSE($Q$3:$U$3))</f>
        <v>1.0441078725219278E-3</v>
      </c>
    </row>
    <row r="247" spans="1:39" x14ac:dyDescent="0.35">
      <c r="A247" s="3">
        <v>44186</v>
      </c>
      <c r="B247" s="4">
        <v>26.2084846496582</v>
      </c>
      <c r="C247" s="4">
        <v>68.934158325195298</v>
      </c>
      <c r="D247" s="4">
        <v>33.7982368469238</v>
      </c>
      <c r="E247" s="4">
        <v>11.0852661132812</v>
      </c>
      <c r="F247" s="4">
        <v>213.09759521484301</v>
      </c>
      <c r="I247" s="5">
        <f>B247/B246-1</f>
        <v>3.7321407393198891E-2</v>
      </c>
      <c r="J247" s="5">
        <f>C247/C246-1</f>
        <v>-1.2616076107131557E-2</v>
      </c>
      <c r="K247" s="5">
        <f>D247/D246-1</f>
        <v>1.9200441115985178E-3</v>
      </c>
      <c r="L247" s="5">
        <f>E247/E246-1</f>
        <v>-3.3948996636203876E-2</v>
      </c>
      <c r="M247" s="5">
        <f>F247/F246-1</f>
        <v>1.8299261728213612E-2</v>
      </c>
      <c r="N247" s="5">
        <f>SUMPRODUCT(I247:M247,$AJ$13:$AN$13)</f>
        <v>-1.9130904183312758E-2</v>
      </c>
      <c r="P247" s="2" t="s">
        <v>238</v>
      </c>
      <c r="Q247" s="10" cm="1">
        <f t="array" aca="1" ref="Q247:U247" ca="1">_xlfn.LET(_xlpm.array,_xlfn.RANDARRAY(1,COLUMNS(_xlfn.ANCHORARRAY(Q246)),0,1,FALSE),_xlpm.array/SUM(_xlpm.array))</f>
        <v>5.992037942338652E-3</v>
      </c>
      <c r="R247" s="2">
        <f ca="1"/>
        <v>0.15346248109202459</v>
      </c>
      <c r="S247" s="2">
        <f ca="1"/>
        <v>0.14861677333843451</v>
      </c>
      <c r="T247" s="2">
        <f ca="1"/>
        <v>0.44435635405771889</v>
      </c>
      <c r="U247" s="2">
        <f ca="1"/>
        <v>0.24757235356948332</v>
      </c>
      <c r="V247" s="12"/>
      <c r="X247" s="2" cm="1">
        <f t="array" aca="1" ref="X247" ca="1">MMULT(MMULT(_xlfn.ANCHORARRAY(Q247),$Q$9:$U$13),TRANSPOSE(_xlfn.ANCHORARRAY(Q247)))</f>
        <v>3.0136600647709269E-4</v>
      </c>
      <c r="Y247" s="2">
        <f t="shared" ca="1" si="12"/>
        <v>1.735989649960773E-2</v>
      </c>
      <c r="Z247" s="2" cm="1">
        <f t="array" aca="1" ref="Z247" ca="1">MMULT(_xlfn.ANCHORARRAY(Q247),TRANSPOSE($Q$3:$U$3))</f>
        <v>9.9978220348795007E-4</v>
      </c>
      <c r="AA247" s="11">
        <f ca="1">AVEDEV(Q247*$Q$3,R247*$R$3,S247*$S$3,T247*$T$3,U247*$U$3)</f>
        <v>1.1816117406863674E-4</v>
      </c>
      <c r="AB247" s="11" cm="1">
        <f t="array" aca="1" ref="AB247" ca="1">MMULT(_xlfn.ANCHORARRAY(Q247),TRANSPOSE($Q$6:$U$6))</f>
        <v>-2.349054829615373E-2</v>
      </c>
      <c r="AD247" s="2" t="s">
        <v>238</v>
      </c>
      <c r="AE247" s="10" cm="1">
        <f t="array" aca="1" ref="AE247:AI247" ca="1">_xlfn.LET(_xlpm.array,_xlfn.RANDARRAY(1,COLUMNS(_xlfn.ANCHORARRAY(Q246)),-1,1,FALSE),_xlpm.array/SUM(_xlpm.array))</f>
        <v>-3.6745346477030261E-2</v>
      </c>
      <c r="AF247" s="10">
        <f ca="1"/>
        <v>0.26218131364249431</v>
      </c>
      <c r="AG247" s="10">
        <f ca="1"/>
        <v>0.27791909321694347</v>
      </c>
      <c r="AH247" s="10">
        <f ca="1"/>
        <v>0.15627981836038315</v>
      </c>
      <c r="AI247" s="10">
        <f ca="1"/>
        <v>0.34036512125720919</v>
      </c>
      <c r="AJ247" s="1"/>
      <c r="AK247" s="2" cm="1">
        <f t="array" aca="1" ref="AK247" ca="1">MMULT(MMULT(_xlfn.ANCHORARRAY(AE247),$Q$9:$U$13),TRANSPOSE(_xlfn.ANCHORARRAY(AE247)))</f>
        <v>2.8895341658769446E-4</v>
      </c>
      <c r="AL247" s="2">
        <f t="shared" ca="1" si="13"/>
        <v>1.6998629844422592E-2</v>
      </c>
      <c r="AM247" s="2" cm="1">
        <f t="array" aca="1" ref="AM247" ca="1">MMULT(_xlfn.ANCHORARRAY(AE248),TRANSPOSE($Q$3:$U$3))</f>
        <v>1.3836847067705067E-2</v>
      </c>
    </row>
    <row r="248" spans="1:39" x14ac:dyDescent="0.35">
      <c r="A248" s="3">
        <v>44187</v>
      </c>
      <c r="B248" s="4">
        <v>25.741416931152301</v>
      </c>
      <c r="C248" s="4">
        <v>67.548904418945298</v>
      </c>
      <c r="D248" s="4">
        <v>33.645565032958899</v>
      </c>
      <c r="E248" s="4">
        <v>10.859733581542899</v>
      </c>
      <c r="F248" s="4">
        <v>214.38998413085901</v>
      </c>
      <c r="I248" s="5">
        <f>B248/B247-1</f>
        <v>-1.782124089772541E-2</v>
      </c>
      <c r="J248" s="5">
        <f>C248/C247-1</f>
        <v>-2.0095319068307083E-2</v>
      </c>
      <c r="K248" s="5">
        <f>D248/D247-1</f>
        <v>-4.5171532070258369E-3</v>
      </c>
      <c r="L248" s="5">
        <f>E248/E247-1</f>
        <v>-2.0345251925715235E-2</v>
      </c>
      <c r="M248" s="5">
        <f>F248/F247-1</f>
        <v>6.0647747559656739E-3</v>
      </c>
      <c r="N248" s="5">
        <f>SUMPRODUCT(I248:M248,$AJ$13:$AN$13)</f>
        <v>-4.0199976676448465E-3</v>
      </c>
      <c r="P248" s="2" t="s">
        <v>239</v>
      </c>
      <c r="Q248" s="10" cm="1">
        <f t="array" aca="1" ref="Q248:U248" ca="1">_xlfn.LET(_xlpm.array,_xlfn.RANDARRAY(1,COLUMNS(_xlfn.ANCHORARRAY(Q247)),0,1,FALSE),_xlpm.array/SUM(_xlpm.array))</f>
        <v>0.23910828299054318</v>
      </c>
      <c r="R248" s="2">
        <f ca="1"/>
        <v>0.23594362907753949</v>
      </c>
      <c r="S248" s="2">
        <f ca="1"/>
        <v>0.28788569317009921</v>
      </c>
      <c r="T248" s="2">
        <f ca="1"/>
        <v>0.19779720292102651</v>
      </c>
      <c r="U248" s="2">
        <f ca="1"/>
        <v>3.9265191840791698E-2</v>
      </c>
      <c r="V248" s="12"/>
      <c r="X248" s="2" cm="1">
        <f t="array" aca="1" ref="X248" ca="1">MMULT(MMULT(_xlfn.ANCHORARRAY(Q248),$Q$9:$U$13),TRANSPOSE(_xlfn.ANCHORARRAY(Q248)))</f>
        <v>3.2750720293114595E-4</v>
      </c>
      <c r="Y248" s="2">
        <f t="shared" ca="1" si="12"/>
        <v>1.809716007917115E-2</v>
      </c>
      <c r="Z248" s="2" cm="1">
        <f t="array" aca="1" ref="Z248" ca="1">MMULT(_xlfn.ANCHORARRAY(Q248),TRANSPOSE($Q$3:$U$3))</f>
        <v>9.9345286922662311E-4</v>
      </c>
      <c r="AA248" s="11">
        <f ca="1">AVEDEV(Q248*$Q$3,R248*$R$3,S248*$S$3,T248*$T$3,U248*$U$3)</f>
        <v>1.0888738030511072E-4</v>
      </c>
      <c r="AB248" s="11" cm="1">
        <f t="array" aca="1" ref="AB248" ca="1">MMULT(_xlfn.ANCHORARRAY(Q248),TRANSPOSE($Q$6:$U$6))</f>
        <v>-2.3610833947344062E-2</v>
      </c>
      <c r="AD248" s="2" t="s">
        <v>239</v>
      </c>
      <c r="AE248" s="10" cm="1">
        <f t="array" aca="1" ref="AE248:AI248" ca="1">_xlfn.LET(_xlpm.array,_xlfn.RANDARRAY(1,COLUMNS(_xlfn.ANCHORARRAY(Q247)),-1,1,FALSE),_xlpm.array/SUM(_xlpm.array))</f>
        <v>20.349605110541408</v>
      </c>
      <c r="AF248" s="10">
        <f ca="1"/>
        <v>-24.55125429036298</v>
      </c>
      <c r="AG248" s="10">
        <f ca="1"/>
        <v>18.995545146001177</v>
      </c>
      <c r="AH248" s="10">
        <f ca="1"/>
        <v>4.3777875519522791</v>
      </c>
      <c r="AI248" s="10">
        <f ca="1"/>
        <v>-18.171683518131882</v>
      </c>
      <c r="AJ248" s="1"/>
      <c r="AK248" s="2" cm="1">
        <f t="array" aca="1" ref="AK248" ca="1">MMULT(MMULT(_xlfn.ANCHORARRAY(AE248),$Q$9:$U$13),TRANSPOSE(_xlfn.ANCHORARRAY(AE248)))</f>
        <v>0.41769422792297489</v>
      </c>
      <c r="AL248" s="2">
        <f t="shared" ca="1" si="13"/>
        <v>0.6462926797689843</v>
      </c>
      <c r="AM248" s="2" cm="1">
        <f t="array" aca="1" ref="AM248" ca="1">MMULT(_xlfn.ANCHORARRAY(AE249),TRANSPOSE($Q$3:$U$3))</f>
        <v>-5.0591632868214934E-4</v>
      </c>
    </row>
    <row r="249" spans="1:39" x14ac:dyDescent="0.35">
      <c r="A249" s="3">
        <v>44188</v>
      </c>
      <c r="B249" s="4">
        <v>26.481672286987301</v>
      </c>
      <c r="C249" s="4">
        <v>68.613876342773395</v>
      </c>
      <c r="D249" s="4">
        <v>33.955513000488203</v>
      </c>
      <c r="E249" s="4">
        <v>11.1604442596435</v>
      </c>
      <c r="F249" s="4">
        <v>211.59452819824199</v>
      </c>
      <c r="I249" s="5">
        <f>B249/B248-1</f>
        <v>2.8757366302518461E-2</v>
      </c>
      <c r="J249" s="5">
        <f>C249/C248-1</f>
        <v>1.5765939255254713E-2</v>
      </c>
      <c r="K249" s="5">
        <f>D249/D248-1</f>
        <v>9.2121492751178202E-3</v>
      </c>
      <c r="L249" s="5">
        <f>E249/E248-1</f>
        <v>2.7690428668681655E-2</v>
      </c>
      <c r="M249" s="5">
        <f>F249/F248-1</f>
        <v>-1.3039116281247209E-2</v>
      </c>
      <c r="N249" s="5">
        <f>SUMPRODUCT(I249:M249,$AJ$13:$AN$13)</f>
        <v>4.5458490273415286E-3</v>
      </c>
      <c r="P249" s="2" t="s">
        <v>240</v>
      </c>
      <c r="Q249" s="10" cm="1">
        <f t="array" aca="1" ref="Q249:U249" ca="1">_xlfn.LET(_xlpm.array,_xlfn.RANDARRAY(1,COLUMNS(_xlfn.ANCHORARRAY(Q248)),0,1,FALSE),_xlpm.array/SUM(_xlpm.array))</f>
        <v>0.30837501251305738</v>
      </c>
      <c r="R249" s="2">
        <f ca="1"/>
        <v>0.21460823352626943</v>
      </c>
      <c r="S249" s="2">
        <f ca="1"/>
        <v>0.15442631443876187</v>
      </c>
      <c r="T249" s="2">
        <f ca="1"/>
        <v>0.10490807538650597</v>
      </c>
      <c r="U249" s="2">
        <f ca="1"/>
        <v>0.21768236413540526</v>
      </c>
      <c r="V249" s="12"/>
      <c r="X249" s="2" cm="1">
        <f t="array" aca="1" ref="X249" ca="1">MMULT(MMULT(_xlfn.ANCHORARRAY(Q249),$Q$9:$U$13),TRANSPOSE(_xlfn.ANCHORARRAY(Q249)))</f>
        <v>2.7233413321208345E-4</v>
      </c>
      <c r="Y249" s="2">
        <f t="shared" ca="1" si="12"/>
        <v>1.6502549294338843E-2</v>
      </c>
      <c r="Z249" s="2" cm="1">
        <f t="array" aca="1" ref="Z249" ca="1">MMULT(_xlfn.ANCHORARRAY(Q249),TRANSPOSE($Q$3:$U$3))</f>
        <v>8.379052831725541E-4</v>
      </c>
      <c r="AA249" s="11">
        <f ca="1">AVEDEV(Q249*$Q$3,R249*$R$3,S249*$S$3,T249*$T$3,U249*$U$3)</f>
        <v>3.3282958964868991E-5</v>
      </c>
      <c r="AB249" s="11" cm="1">
        <f t="array" aca="1" ref="AB249" ca="1">MMULT(_xlfn.ANCHORARRAY(Q249),TRANSPOSE($Q$6:$U$6))</f>
        <v>-2.2298579208645902E-2</v>
      </c>
      <c r="AD249" s="2" t="s">
        <v>240</v>
      </c>
      <c r="AE249" s="10" cm="1">
        <f t="array" aca="1" ref="AE249:AI249" ca="1">_xlfn.LET(_xlpm.array,_xlfn.RANDARRAY(1,COLUMNS(_xlfn.ANCHORARRAY(Q248)),-1,1,FALSE),_xlpm.array/SUM(_xlpm.array))</f>
        <v>0.93350203510624508</v>
      </c>
      <c r="AF249" s="10">
        <f ca="1"/>
        <v>2.4700175465892995</v>
      </c>
      <c r="AG249" s="10">
        <f ca="1"/>
        <v>-1.5872407417860579</v>
      </c>
      <c r="AH249" s="10">
        <f ca="1"/>
        <v>1.6277468967708857</v>
      </c>
      <c r="AI249" s="10">
        <f ca="1"/>
        <v>-2.4440257366803722</v>
      </c>
      <c r="AJ249" s="1"/>
      <c r="AK249" s="2" cm="1">
        <f t="array" aca="1" ref="AK249" ca="1">MMULT(MMULT(_xlfn.ANCHORARRAY(AE249),$Q$9:$U$13),TRANSPOSE(_xlfn.ANCHORARRAY(AE249)))</f>
        <v>9.2405541672683361E-3</v>
      </c>
      <c r="AL249" s="2">
        <f t="shared" ca="1" si="13"/>
        <v>9.6127801219357642E-2</v>
      </c>
      <c r="AM249" s="2" cm="1">
        <f t="array" aca="1" ref="AM249" ca="1">MMULT(_xlfn.ANCHORARRAY(AE250),TRANSPOSE($Q$3:$U$3))</f>
        <v>1.2686626291341652E-3</v>
      </c>
    </row>
    <row r="250" spans="1:39" x14ac:dyDescent="0.35">
      <c r="A250" s="3">
        <v>44189</v>
      </c>
      <c r="B250" s="4">
        <v>26.402360916137599</v>
      </c>
      <c r="C250" s="4">
        <v>68.325584411621094</v>
      </c>
      <c r="D250" s="4">
        <v>33.765846252441399</v>
      </c>
      <c r="E250" s="4">
        <v>11.133109092712401</v>
      </c>
      <c r="F250" s="4">
        <v>213.250717163085</v>
      </c>
      <c r="I250" s="5">
        <f>B250/B249-1</f>
        <v>-2.9949532639097498E-3</v>
      </c>
      <c r="J250" s="5">
        <f>C250/C249-1</f>
        <v>-4.2016563779618821E-3</v>
      </c>
      <c r="K250" s="5">
        <f>D250/D249-1</f>
        <v>-5.5857423813351348E-3</v>
      </c>
      <c r="L250" s="5">
        <f>E250/E249-1</f>
        <v>-2.4492902159767294E-3</v>
      </c>
      <c r="M250" s="5">
        <f>F250/F249-1</f>
        <v>7.8271823895716963E-3</v>
      </c>
      <c r="N250" s="5">
        <f>SUMPRODUCT(I250:M250,$AJ$13:$AN$13)</f>
        <v>-4.3431729090882137E-4</v>
      </c>
      <c r="P250" s="2" t="s">
        <v>241</v>
      </c>
      <c r="Q250" s="10" cm="1">
        <f t="array" aca="1" ref="Q250:U250" ca="1">_xlfn.LET(_xlpm.array,_xlfn.RANDARRAY(1,COLUMNS(_xlfn.ANCHORARRAY(Q249)),0,1,FALSE),_xlpm.array/SUM(_xlpm.array))</f>
        <v>0.1882762888939557</v>
      </c>
      <c r="R250" s="2">
        <f ca="1"/>
        <v>0.18756970534769327</v>
      </c>
      <c r="S250" s="2">
        <f ca="1"/>
        <v>0.19614777867763397</v>
      </c>
      <c r="T250" s="2">
        <f ca="1"/>
        <v>0.22083246163435877</v>
      </c>
      <c r="U250" s="2">
        <f ca="1"/>
        <v>0.20717376544635829</v>
      </c>
      <c r="V250" s="12"/>
      <c r="X250" s="2" cm="1">
        <f t="array" aca="1" ref="X250" ca="1">MMULT(MMULT(_xlfn.ANCHORARRAY(Q250),$Q$9:$U$13),TRANSPOSE(_xlfn.ANCHORARRAY(Q250)))</f>
        <v>2.774413307492597E-4</v>
      </c>
      <c r="Y250" s="2">
        <f t="shared" ca="1" si="12"/>
        <v>1.6656570197650527E-2</v>
      </c>
      <c r="Z250" s="2" cm="1">
        <f t="array" aca="1" ref="Z250" ca="1">MMULT(_xlfn.ANCHORARRAY(Q250),TRANSPOSE($Q$3:$U$3))</f>
        <v>9.3526945525762302E-4</v>
      </c>
      <c r="AA250" s="11">
        <f ca="1">AVEDEV(Q250*$Q$3,R250*$R$3,S250*$S$3,T250*$T$3,U250*$U$3)</f>
        <v>6.8017034843944796E-5</v>
      </c>
      <c r="AB250" s="11" cm="1">
        <f t="array" aca="1" ref="AB250" ca="1">MMULT(_xlfn.ANCHORARRAY(Q250),TRANSPOSE($Q$6:$U$6))</f>
        <v>-2.2984738817299639E-2</v>
      </c>
      <c r="AD250" s="2" t="s">
        <v>241</v>
      </c>
      <c r="AE250" s="10" cm="1">
        <f t="array" aca="1" ref="AE250:AI250" ca="1">_xlfn.LET(_xlpm.array,_xlfn.RANDARRAY(1,COLUMNS(_xlfn.ANCHORARRAY(Q249)),-1,1,FALSE),_xlpm.array/SUM(_xlpm.array))</f>
        <v>-8.5020396885754565E-2</v>
      </c>
      <c r="AF250" s="10">
        <f ca="1"/>
        <v>-0.14690594229566578</v>
      </c>
      <c r="AG250" s="10">
        <f ca="1"/>
        <v>0.505924693761026</v>
      </c>
      <c r="AH250" s="10">
        <f ca="1"/>
        <v>0.16452178637477247</v>
      </c>
      <c r="AI250" s="10">
        <f ca="1"/>
        <v>0.56147985904562192</v>
      </c>
      <c r="AJ250" s="1"/>
      <c r="AK250" s="2" cm="1">
        <f t="array" aca="1" ref="AK250" ca="1">MMULT(MMULT(_xlfn.ANCHORARRAY(AE250),$Q$9:$U$13),TRANSPOSE(_xlfn.ANCHORARRAY(AE250)))</f>
        <v>4.3778397301905733E-4</v>
      </c>
      <c r="AL250" s="2">
        <f t="shared" ca="1" si="13"/>
        <v>2.0923287815710449E-2</v>
      </c>
      <c r="AM250" s="2" cm="1">
        <f t="array" aca="1" ref="AM250" ca="1">MMULT(_xlfn.ANCHORARRAY(AE251),TRANSPOSE($Q$3:$U$3))</f>
        <v>5.7956635725419769E-4</v>
      </c>
    </row>
    <row r="251" spans="1:39" x14ac:dyDescent="0.35">
      <c r="A251" s="3">
        <v>44193</v>
      </c>
      <c r="B251" s="4">
        <v>26.552167892456001</v>
      </c>
      <c r="C251" s="4">
        <v>67.981285095214801</v>
      </c>
      <c r="D251" s="4">
        <v>33.701087951660099</v>
      </c>
      <c r="E251" s="4">
        <v>11.215120315551699</v>
      </c>
      <c r="F251" s="4">
        <v>215.36647033691401</v>
      </c>
      <c r="I251" s="5">
        <f>B251/B250-1</f>
        <v>5.6739992606811285E-3</v>
      </c>
      <c r="J251" s="5">
        <f>C251/C250-1</f>
        <v>-5.0390980094966453E-3</v>
      </c>
      <c r="K251" s="5">
        <f>D251/D250-1</f>
        <v>-1.917863994793767E-3</v>
      </c>
      <c r="L251" s="5">
        <f>E251/E250-1</f>
        <v>7.3664258704679852E-3</v>
      </c>
      <c r="M251" s="5">
        <f>F251/F250-1</f>
        <v>9.9214352100442937E-3</v>
      </c>
      <c r="N251" s="5">
        <f>SUMPRODUCT(I251:M251,$AJ$13:$AN$13)</f>
        <v>4.2817395423375695E-3</v>
      </c>
      <c r="P251" s="2" t="s">
        <v>242</v>
      </c>
      <c r="Q251" s="10" cm="1">
        <f t="array" aca="1" ref="Q251:U251" ca="1">_xlfn.LET(_xlpm.array,_xlfn.RANDARRAY(1,COLUMNS(_xlfn.ANCHORARRAY(Q250)),0,1,FALSE),_xlpm.array/SUM(_xlpm.array))</f>
        <v>0.30011260386172628</v>
      </c>
      <c r="R251" s="2">
        <f ca="1"/>
        <v>0.15644265125485607</v>
      </c>
      <c r="S251" s="2">
        <f ca="1"/>
        <v>5.1482649681010755E-3</v>
      </c>
      <c r="T251" s="2">
        <f ca="1"/>
        <v>0.28509990619653863</v>
      </c>
      <c r="U251" s="2">
        <f ca="1"/>
        <v>0.25319657371877785</v>
      </c>
      <c r="V251" s="12"/>
      <c r="X251" s="2" cm="1">
        <f t="array" aca="1" ref="X251" ca="1">MMULT(MMULT(_xlfn.ANCHORARRAY(Q251),$Q$9:$U$13),TRANSPOSE(_xlfn.ANCHORARRAY(Q251)))</f>
        <v>2.7235351806804303E-4</v>
      </c>
      <c r="Y251" s="2">
        <f t="shared" ca="1" si="12"/>
        <v>1.6503136613021267E-2</v>
      </c>
      <c r="Z251" s="2" cm="1">
        <f t="array" aca="1" ref="Z251" ca="1">MMULT(_xlfn.ANCHORARRAY(Q251),TRANSPOSE($Q$3:$U$3))</f>
        <v>7.6005373700394031E-4</v>
      </c>
      <c r="AA251" s="11">
        <f ca="1">AVEDEV(Q251*$Q$3,R251*$R$3,S251*$S$3,T251*$T$3,U251*$U$3)</f>
        <v>7.2568070240158037E-5</v>
      </c>
      <c r="AB251" s="11" cm="1">
        <f t="array" aca="1" ref="AB251" ca="1">MMULT(_xlfn.ANCHORARRAY(Q251),TRANSPOSE($Q$6:$U$6))</f>
        <v>-2.2117956341593328E-2</v>
      </c>
      <c r="AD251" s="2" t="s">
        <v>242</v>
      </c>
      <c r="AE251" s="10" cm="1">
        <f t="array" aca="1" ref="AE251:AI251" ca="1">_xlfn.LET(_xlpm.array,_xlfn.RANDARRAY(1,COLUMNS(_xlfn.ANCHORARRAY(Q250)),-1,1,FALSE),_xlpm.array/SUM(_xlpm.array))</f>
        <v>1.318787804780855</v>
      </c>
      <c r="AF251" s="10">
        <f ca="1"/>
        <v>-0.26116373044837143</v>
      </c>
      <c r="AG251" s="10">
        <f ca="1"/>
        <v>0.47619568506187121</v>
      </c>
      <c r="AH251" s="10">
        <f ca="1"/>
        <v>-1.0322297290158131</v>
      </c>
      <c r="AI251" s="10">
        <f ca="1"/>
        <v>0.49840996962145839</v>
      </c>
      <c r="AJ251" s="1"/>
      <c r="AK251" s="2" cm="1">
        <f t="array" aca="1" ref="AK251" ca="1">MMULT(MMULT(_xlfn.ANCHORARRAY(AE251),$Q$9:$U$13),TRANSPOSE(_xlfn.ANCHORARRAY(AE251)))</f>
        <v>1.339588846333813E-3</v>
      </c>
      <c r="AL251" s="2">
        <f t="shared" ca="1" si="13"/>
        <v>3.6600394073477038E-2</v>
      </c>
      <c r="AM251" s="2" cm="1">
        <f t="array" aca="1" ref="AM251" ca="1">MMULT(_xlfn.ANCHORARRAY(AE252),TRANSPOSE($Q$3:$U$3))</f>
        <v>9.3860933061466853E-4</v>
      </c>
    </row>
    <row r="252" spans="1:39" x14ac:dyDescent="0.35">
      <c r="A252" s="3">
        <v>44194</v>
      </c>
      <c r="B252" s="4">
        <v>26.446422576904201</v>
      </c>
      <c r="C252" s="4">
        <v>67.749076843261705</v>
      </c>
      <c r="D252" s="4">
        <v>33.0765571594238</v>
      </c>
      <c r="E252" s="4">
        <v>11.4064817428588</v>
      </c>
      <c r="F252" s="4">
        <v>214.59100341796801</v>
      </c>
      <c r="I252" s="5">
        <f>B252/B251-1</f>
        <v>-3.98254922084329E-3</v>
      </c>
      <c r="J252" s="5">
        <f>C252/C251-1</f>
        <v>-3.4157673193124793E-3</v>
      </c>
      <c r="K252" s="5">
        <f>D252/D251-1</f>
        <v>-1.8531472726699749E-2</v>
      </c>
      <c r="L252" s="5">
        <f>E252/E251-1</f>
        <v>1.7062806454402946E-2</v>
      </c>
      <c r="M252" s="5">
        <f>F252/F251-1</f>
        <v>-3.6006854629361262E-3</v>
      </c>
      <c r="N252" s="5">
        <f>SUMPRODUCT(I252:M252,$AJ$13:$AN$13)</f>
        <v>-1.6152051283752525E-3</v>
      </c>
      <c r="P252" s="2" t="s">
        <v>243</v>
      </c>
      <c r="Q252" s="10" cm="1">
        <f t="array" aca="1" ref="Q252:U252" ca="1">_xlfn.LET(_xlpm.array,_xlfn.RANDARRAY(1,COLUMNS(_xlfn.ANCHORARRAY(Q251)),0,1,FALSE),_xlpm.array/SUM(_xlpm.array))</f>
        <v>0.14482340333534904</v>
      </c>
      <c r="R252" s="2">
        <f ca="1"/>
        <v>0.22140511392455692</v>
      </c>
      <c r="S252" s="2">
        <f ca="1"/>
        <v>0.19031781947040269</v>
      </c>
      <c r="T252" s="2">
        <f ca="1"/>
        <v>0.24415917426314826</v>
      </c>
      <c r="U252" s="2">
        <f ca="1"/>
        <v>0.19929448900654304</v>
      </c>
      <c r="V252" s="12"/>
      <c r="X252" s="2" cm="1">
        <f t="array" aca="1" ref="X252" ca="1">MMULT(MMULT(_xlfn.ANCHORARRAY(Q252),$Q$9:$U$13),TRANSPOSE(_xlfn.ANCHORARRAY(Q252)))</f>
        <v>2.8092018680214942E-4</v>
      </c>
      <c r="Y252" s="2">
        <f t="shared" ca="1" si="12"/>
        <v>1.6760673817068018E-2</v>
      </c>
      <c r="Z252" s="2" cm="1">
        <f t="array" aca="1" ref="Z252" ca="1">MMULT(_xlfn.ANCHORARRAY(Q252),TRANSPOSE($Q$3:$U$3))</f>
        <v>9.4622924203957158E-4</v>
      </c>
      <c r="AA252" s="11">
        <f ca="1">AVEDEV(Q252*$Q$3,R252*$R$3,S252*$S$3,T252*$T$3,U252*$U$3)</f>
        <v>7.2008713309267331E-5</v>
      </c>
      <c r="AB252" s="11" cm="1">
        <f t="array" aca="1" ref="AB252" ca="1">MMULT(_xlfn.ANCHORARRAY(Q252),TRANSPOSE($Q$6:$U$6))</f>
        <v>-2.3012837473483101E-2</v>
      </c>
      <c r="AD252" s="2" t="s">
        <v>243</v>
      </c>
      <c r="AE252" s="10" cm="1">
        <f t="array" aca="1" ref="AE252:AI252" ca="1">_xlfn.LET(_xlpm.array,_xlfn.RANDARRAY(1,COLUMNS(_xlfn.ANCHORARRAY(Q251)),-1,1,FALSE),_xlpm.array/SUM(_xlpm.array))</f>
        <v>0.20260037702258341</v>
      </c>
      <c r="AF252" s="10">
        <f ca="1"/>
        <v>0.17413080582663049</v>
      </c>
      <c r="AG252" s="10">
        <f ca="1"/>
        <v>0.20727058532468157</v>
      </c>
      <c r="AH252" s="10">
        <f ca="1"/>
        <v>0.2091260964974288</v>
      </c>
      <c r="AI252" s="10">
        <f ca="1"/>
        <v>0.20687213532867577</v>
      </c>
      <c r="AJ252" s="1"/>
      <c r="AK252" s="2" cm="1">
        <f t="array" aca="1" ref="AK252" ca="1">MMULT(MMULT(_xlfn.ANCHORARRAY(AE252),$Q$9:$U$13),TRANSPOSE(_xlfn.ANCHORARRAY(AE252)))</f>
        <v>2.7836735465613184E-4</v>
      </c>
      <c r="AL252" s="2">
        <f t="shared" ca="1" si="13"/>
        <v>1.6684344597739879E-2</v>
      </c>
      <c r="AM252" s="2" cm="1">
        <f t="array" aca="1" ref="AM252" ca="1">MMULT(_xlfn.ANCHORARRAY(AE253),TRANSPOSE($Q$3:$U$3))</f>
        <v>9.7497544325695349E-4</v>
      </c>
    </row>
    <row r="253" spans="1:39" x14ac:dyDescent="0.35">
      <c r="A253" s="3">
        <v>44195</v>
      </c>
      <c r="B253" s="4">
        <v>26.4199829101562</v>
      </c>
      <c r="C253" s="4">
        <v>68.325584411621094</v>
      </c>
      <c r="D253" s="4">
        <v>33.539173126220703</v>
      </c>
      <c r="E253" s="4">
        <v>11.4133148193359</v>
      </c>
      <c r="F253" s="4">
        <v>212.22636413574199</v>
      </c>
      <c r="I253" s="5">
        <f>B253/B252-1</f>
        <v>-9.9974454658724454E-4</v>
      </c>
      <c r="J253" s="5">
        <f>C253/C252-1</f>
        <v>8.5094527515576779E-3</v>
      </c>
      <c r="K253" s="5">
        <f>D253/D252-1</f>
        <v>1.398621883671769E-2</v>
      </c>
      <c r="L253" s="5">
        <f>E253/E252-1</f>
        <v>5.9905206803834155E-4</v>
      </c>
      <c r="M253" s="5">
        <f>F253/F252-1</f>
        <v>-1.1019284334210067E-2</v>
      </c>
      <c r="N253" s="5">
        <f>SUMPRODUCT(I253:M253,$AJ$13:$AN$13)</f>
        <v>3.8915598661544686E-3</v>
      </c>
      <c r="P253" s="2" t="s">
        <v>244</v>
      </c>
      <c r="Q253" s="10" cm="1">
        <f t="array" aca="1" ref="Q253:U253" ca="1">_xlfn.LET(_xlpm.array,_xlfn.RANDARRAY(1,COLUMNS(_xlfn.ANCHORARRAY(Q252)),0,1,FALSE),_xlpm.array/SUM(_xlpm.array))</f>
        <v>0.17543259691468849</v>
      </c>
      <c r="R253" s="2">
        <f ca="1"/>
        <v>0.2194679353616725</v>
      </c>
      <c r="S253" s="2">
        <f ca="1"/>
        <v>0.22743448285354714</v>
      </c>
      <c r="T253" s="2">
        <f ca="1"/>
        <v>5.7449200056420797E-2</v>
      </c>
      <c r="U253" s="2">
        <f ca="1"/>
        <v>0.32021578481367113</v>
      </c>
      <c r="V253" s="12"/>
      <c r="X253" s="2" cm="1">
        <f t="array" aca="1" ref="X253" ca="1">MMULT(MMULT(_xlfn.ANCHORARRAY(Q253),$Q$9:$U$13),TRANSPOSE(_xlfn.ANCHORARRAY(Q253)))</f>
        <v>2.709966433900265E-4</v>
      </c>
      <c r="Y253" s="2">
        <f t="shared" ca="1" si="12"/>
        <v>1.6461975683071169E-2</v>
      </c>
      <c r="Z253" s="2" cm="1">
        <f t="array" aca="1" ref="Z253" ca="1">MMULT(_xlfn.ANCHORARRAY(Q253),TRANSPOSE($Q$3:$U$3))</f>
        <v>9.2239014375657515E-4</v>
      </c>
      <c r="AA253" s="11">
        <f ca="1">AVEDEV(Q253*$Q$3,R253*$R$3,S253*$S$3,T253*$T$3,U253*$U$3)</f>
        <v>9.8126393627411728E-5</v>
      </c>
      <c r="AB253" s="11" cm="1">
        <f t="array" aca="1" ref="AB253" ca="1">MMULT(_xlfn.ANCHORARRAY(Q253),TRANSPOSE($Q$6:$U$6))</f>
        <v>-2.2377932160097189E-2</v>
      </c>
      <c r="AD253" s="2" t="s">
        <v>244</v>
      </c>
      <c r="AE253" s="10" cm="1">
        <f t="array" aca="1" ref="AE253:AI253" ca="1">_xlfn.LET(_xlpm.array,_xlfn.RANDARRAY(1,COLUMNS(_xlfn.ANCHORARRAY(Q252)),-1,1,FALSE),_xlpm.array/SUM(_xlpm.array))</f>
        <v>0.38850446421104484</v>
      </c>
      <c r="AF253" s="10">
        <f ca="1"/>
        <v>0.25947248141311752</v>
      </c>
      <c r="AG253" s="10">
        <f ca="1"/>
        <v>0.22712520731324923</v>
      </c>
      <c r="AH253" s="10">
        <f ca="1"/>
        <v>0.48162045496997608</v>
      </c>
      <c r="AI253" s="10">
        <f ca="1"/>
        <v>-0.35672260790738763</v>
      </c>
      <c r="AJ253" s="1"/>
      <c r="AK253" s="2" cm="1">
        <f t="array" aca="1" ref="AK253" ca="1">MMULT(MMULT(_xlfn.ANCHORARRAY(AE253),$Q$9:$U$13),TRANSPOSE(_xlfn.ANCHORARRAY(AE253)))</f>
        <v>5.2326707307124123E-4</v>
      </c>
      <c r="AL253" s="2">
        <f t="shared" ca="1" si="13"/>
        <v>2.287503165180851E-2</v>
      </c>
      <c r="AM253" s="2" cm="1">
        <f t="array" aca="1" ref="AM253" ca="1">MMULT(_xlfn.ANCHORARRAY(AE254),TRANSPOSE($Q$3:$U$3))</f>
        <v>9.0766463537722162E-4</v>
      </c>
    </row>
    <row r="254" spans="1:39" x14ac:dyDescent="0.35">
      <c r="A254" s="3">
        <v>44196</v>
      </c>
      <c r="B254" s="4">
        <v>26.710792541503899</v>
      </c>
      <c r="C254" s="4">
        <v>67.620948791503906</v>
      </c>
      <c r="D254" s="4">
        <v>33.904624938964801</v>
      </c>
      <c r="E254" s="4">
        <v>11.2219533920288</v>
      </c>
      <c r="F254" s="4">
        <v>212.934814453125</v>
      </c>
      <c r="I254" s="5">
        <f>B254/B253-1</f>
        <v>1.1007184688068383E-2</v>
      </c>
      <c r="J254" s="5">
        <f>C254/C253-1</f>
        <v>-1.031291025441039E-2</v>
      </c>
      <c r="K254" s="5">
        <f>D254/D253-1</f>
        <v>1.0896267817001926E-2</v>
      </c>
      <c r="L254" s="5">
        <f>E254/E253-1</f>
        <v>-1.6766507393882191E-2</v>
      </c>
      <c r="M254" s="5">
        <f>F254/F253-1</f>
        <v>3.3381824179481434E-3</v>
      </c>
      <c r="N254" s="5">
        <f>SUMPRODUCT(I254:M254,$AJ$13:$AN$13)</f>
        <v>-3.8913205735552109E-3</v>
      </c>
      <c r="P254" s="2" t="s">
        <v>245</v>
      </c>
      <c r="Q254" s="10" cm="1">
        <f t="array" aca="1" ref="Q254:U254" ca="1">_xlfn.LET(_xlpm.array,_xlfn.RANDARRAY(1,COLUMNS(_xlfn.ANCHORARRAY(Q253)),0,1,FALSE),_xlpm.array/SUM(_xlpm.array))</f>
        <v>0.31946477840290599</v>
      </c>
      <c r="R254" s="2">
        <f ca="1"/>
        <v>0.1010014977401575</v>
      </c>
      <c r="S254" s="2">
        <f ca="1"/>
        <v>0.36263755724633229</v>
      </c>
      <c r="T254" s="2">
        <f ca="1"/>
        <v>2.637608528923489E-2</v>
      </c>
      <c r="U254" s="2">
        <f ca="1"/>
        <v>0.19052008132136933</v>
      </c>
      <c r="V254" s="12"/>
      <c r="X254" s="2" cm="1">
        <f t="array" aca="1" ref="X254" ca="1">MMULT(MMULT(_xlfn.ANCHORARRAY(Q254),$Q$9:$U$13),TRANSPOSE(_xlfn.ANCHORARRAY(Q254)))</f>
        <v>3.3259318567220689E-4</v>
      </c>
      <c r="Y254" s="2">
        <f t="shared" ca="1" si="12"/>
        <v>1.8237137540529951E-2</v>
      </c>
      <c r="Z254" s="2" cm="1">
        <f t="array" aca="1" ref="Z254" ca="1">MMULT(_xlfn.ANCHORARRAY(Q254),TRANSPOSE($Q$3:$U$3))</f>
        <v>9.9771195783633073E-4</v>
      </c>
      <c r="AA254" s="11">
        <f ca="1">AVEDEV(Q254*$Q$3,R254*$R$3,S254*$S$3,T254*$T$3,U254*$U$3)</f>
        <v>1.5575251271282282E-4</v>
      </c>
      <c r="AB254" s="11" cm="1">
        <f t="array" aca="1" ref="AB254" ca="1">MMULT(_xlfn.ANCHORARRAY(Q254),TRANSPOSE($Q$6:$U$6))</f>
        <v>-2.3328292597743647E-2</v>
      </c>
      <c r="AD254" s="2" t="s">
        <v>245</v>
      </c>
      <c r="AE254" s="10" cm="1">
        <f t="array" aca="1" ref="AE254:AI254" ca="1">_xlfn.LET(_xlpm.array,_xlfn.RANDARRAY(1,COLUMNS(_xlfn.ANCHORARRAY(Q253)),-1,1,FALSE),_xlpm.array/SUM(_xlpm.array))</f>
        <v>0.22915877417134436</v>
      </c>
      <c r="AF254" s="10">
        <f ca="1"/>
        <v>0.33027833742710744</v>
      </c>
      <c r="AG254" s="10">
        <f ca="1"/>
        <v>0.27527893055913544</v>
      </c>
      <c r="AH254" s="10">
        <f ca="1"/>
        <v>-9.1359832814599279E-2</v>
      </c>
      <c r="AI254" s="10">
        <f ca="1"/>
        <v>0.25664379065701215</v>
      </c>
      <c r="AJ254" s="1"/>
      <c r="AK254" s="2" cm="1">
        <f t="array" aca="1" ref="AK254" ca="1">MMULT(MMULT(_xlfn.ANCHORARRAY(AE254),$Q$9:$U$13),TRANSPOSE(_xlfn.ANCHORARRAY(AE254)))</f>
        <v>3.0217192427838295E-4</v>
      </c>
      <c r="AL254" s="2">
        <f t="shared" ca="1" si="13"/>
        <v>1.7383093058439943E-2</v>
      </c>
      <c r="AM254" s="2" cm="1">
        <f t="array" aca="1" ref="AM254" ca="1">MMULT(_xlfn.ANCHORARRAY(AE255),TRANSPOSE($Q$3:$U$3))</f>
        <v>3.3744268039949231E-4</v>
      </c>
    </row>
    <row r="255" spans="1:39" x14ac:dyDescent="0.35">
      <c r="A255" s="3">
        <v>44200</v>
      </c>
      <c r="B255" s="4">
        <v>26.4640502929687</v>
      </c>
      <c r="C255" s="4">
        <v>67.829162597656193</v>
      </c>
      <c r="D255" s="4">
        <v>33.534549713134702</v>
      </c>
      <c r="E255" s="4">
        <v>11.529497146606399</v>
      </c>
      <c r="F255" s="4">
        <v>208.40652465820301</v>
      </c>
      <c r="I255" s="5">
        <f>B255/B254-1</f>
        <v>-9.2375487605544926E-3</v>
      </c>
      <c r="J255" s="5">
        <f>C255/C254-1</f>
        <v>3.0791316873455266E-3</v>
      </c>
      <c r="K255" s="5">
        <f>D255/D254-1</f>
        <v>-1.0915184181990223E-2</v>
      </c>
      <c r="L255" s="5">
        <f>E255/E254-1</f>
        <v>2.7405545526151931E-2</v>
      </c>
      <c r="M255" s="5">
        <f>F255/F254-1</f>
        <v>-2.1266084677378227E-2</v>
      </c>
      <c r="N255" s="5">
        <f>SUMPRODUCT(I255:M255,$AJ$13:$AN$13)</f>
        <v>2.5890762948981971E-3</v>
      </c>
      <c r="P255" s="2" t="s">
        <v>246</v>
      </c>
      <c r="Q255" s="10" cm="1">
        <f t="array" aca="1" ref="Q255:U255" ca="1">_xlfn.LET(_xlpm.array,_xlfn.RANDARRAY(1,COLUMNS(_xlfn.ANCHORARRAY(Q254)),0,1,FALSE),_xlpm.array/SUM(_xlpm.array))</f>
        <v>8.4830684795459757E-2</v>
      </c>
      <c r="R255" s="2">
        <f ca="1"/>
        <v>0.26368246177877613</v>
      </c>
      <c r="S255" s="2">
        <f ca="1"/>
        <v>4.4622952593509013E-2</v>
      </c>
      <c r="T255" s="2">
        <f ca="1"/>
        <v>0.34715492602914511</v>
      </c>
      <c r="U255" s="2">
        <f ca="1"/>
        <v>0.25970897480311</v>
      </c>
      <c r="V255" s="12"/>
      <c r="X255" s="2" cm="1">
        <f t="array" aca="1" ref="X255" ca="1">MMULT(MMULT(_xlfn.ANCHORARRAY(Q255),$Q$9:$U$13),TRANSPOSE(_xlfn.ANCHORARRAY(Q255)))</f>
        <v>2.8260543603147276E-4</v>
      </c>
      <c r="Y255" s="2">
        <f t="shared" ca="1" si="12"/>
        <v>1.6810872554138073E-2</v>
      </c>
      <c r="Z255" s="2" cm="1">
        <f t="array" aca="1" ref="Z255" ca="1">MMULT(_xlfn.ANCHORARRAY(Q255),TRANSPOSE($Q$3:$U$3))</f>
        <v>8.6143263594900784E-4</v>
      </c>
      <c r="AA255" s="11">
        <f ca="1">AVEDEV(Q255*$Q$3,R255*$R$3,S255*$S$3,T255*$T$3,U255*$U$3)</f>
        <v>9.1596187067717133E-5</v>
      </c>
      <c r="AB255" s="11" cm="1">
        <f t="array" aca="1" ref="AB255" ca="1">MMULT(_xlfn.ANCHORARRAY(Q255),TRANSPOSE($Q$6:$U$6))</f>
        <v>-2.2439408558948881E-2</v>
      </c>
      <c r="AD255" s="2" t="s">
        <v>246</v>
      </c>
      <c r="AE255" s="10" cm="1">
        <f t="array" aca="1" ref="AE255:AI255" ca="1">_xlfn.LET(_xlpm.array,_xlfn.RANDARRAY(1,COLUMNS(_xlfn.ANCHORARRAY(Q254)),-1,1,FALSE),_xlpm.array/SUM(_xlpm.array))</f>
        <v>0.43191207242302149</v>
      </c>
      <c r="AF255" s="10">
        <f ca="1"/>
        <v>0.75122093041650706</v>
      </c>
      <c r="AG255" s="10">
        <f ca="1"/>
        <v>-0.53325919210041073</v>
      </c>
      <c r="AH255" s="10">
        <f ca="1"/>
        <v>0.65263265526227654</v>
      </c>
      <c r="AI255" s="10">
        <f ca="1"/>
        <v>-0.30250646600139436</v>
      </c>
      <c r="AJ255" s="1"/>
      <c r="AK255" s="2" cm="1">
        <f t="array" aca="1" ref="AK255" ca="1">MMULT(MMULT(_xlfn.ANCHORARRAY(AE255),$Q$9:$U$13),TRANSPOSE(_xlfn.ANCHORARRAY(AE255)))</f>
        <v>1.0531207992250328E-3</v>
      </c>
      <c r="AL255" s="2">
        <f t="shared" ca="1" si="13"/>
        <v>3.2451822741181011E-2</v>
      </c>
      <c r="AM255" s="2" cm="1">
        <f t="array" aca="1" ref="AM255" ca="1">MMULT(_xlfn.ANCHORARRAY(AE256),TRANSPOSE($Q$3:$U$3))</f>
        <v>7.7563370102464307E-3</v>
      </c>
    </row>
    <row r="256" spans="1:39" x14ac:dyDescent="0.35">
      <c r="A256" s="3">
        <v>44201</v>
      </c>
      <c r="B256" s="4">
        <v>26.666734695434499</v>
      </c>
      <c r="C256" s="4">
        <v>69.662811279296804</v>
      </c>
      <c r="D256" s="4">
        <v>33.983280181884702</v>
      </c>
      <c r="E256" s="4">
        <v>11.782369613647401</v>
      </c>
      <c r="F256" s="4">
        <v>208.60758972167901</v>
      </c>
      <c r="I256" s="5">
        <f>B256/B255-1</f>
        <v>7.6588579685268332E-3</v>
      </c>
      <c r="J256" s="5">
        <f>C256/C255-1</f>
        <v>2.7033338042477428E-2</v>
      </c>
      <c r="K256" s="5">
        <f>D256/D255-1</f>
        <v>1.3381138932491599E-2</v>
      </c>
      <c r="L256" s="5">
        <f>E256/E255-1</f>
        <v>2.1932653594995077E-2</v>
      </c>
      <c r="M256" s="5">
        <f>F256/F255-1</f>
        <v>9.6477336209011E-4</v>
      </c>
      <c r="N256" s="5">
        <f>SUMPRODUCT(I256:M256,$AJ$13:$AN$13)</f>
        <v>1.4436943331492499E-2</v>
      </c>
      <c r="P256" s="2" t="s">
        <v>247</v>
      </c>
      <c r="Q256" s="10" cm="1">
        <f t="array" aca="1" ref="Q256:U256" ca="1">_xlfn.LET(_xlpm.array,_xlfn.RANDARRAY(1,COLUMNS(_xlfn.ANCHORARRAY(Q255)),0,1,FALSE),_xlpm.array/SUM(_xlpm.array))</f>
        <v>2.7360967949545609E-2</v>
      </c>
      <c r="R256" s="2">
        <f ca="1"/>
        <v>0.13532215200227241</v>
      </c>
      <c r="S256" s="2">
        <f ca="1"/>
        <v>0.29414215178366793</v>
      </c>
      <c r="T256" s="2">
        <f ca="1"/>
        <v>4.6721164941777915E-2</v>
      </c>
      <c r="U256" s="2">
        <f ca="1"/>
        <v>0.49645356332273616</v>
      </c>
      <c r="V256" s="12"/>
      <c r="X256" s="2" cm="1">
        <f t="array" aca="1" ref="X256" ca="1">MMULT(MMULT(_xlfn.ANCHORARRAY(Q256),$Q$9:$U$13),TRANSPOSE(_xlfn.ANCHORARRAY(Q256)))</f>
        <v>2.967109820324772E-4</v>
      </c>
      <c r="Y256" s="2">
        <f t="shared" ca="1" si="12"/>
        <v>1.7225300636925824E-2</v>
      </c>
      <c r="Z256" s="2" cm="1">
        <f t="array" aca="1" ref="Z256" ca="1">MMULT(_xlfn.ANCHORARRAY(Q256),TRANSPOSE($Q$3:$U$3))</f>
        <v>1.0178562564372162E-3</v>
      </c>
      <c r="AA256" s="11">
        <f ca="1">AVEDEV(Q256*$Q$3,R256*$R$3,S256*$S$3,T256*$T$3,U256*$U$3)</f>
        <v>1.8010359306743897E-4</v>
      </c>
      <c r="AB256" s="11" cm="1">
        <f t="array" aca="1" ref="AB256" ca="1">MMULT(_xlfn.ANCHORARRAY(Q256),TRANSPOSE($Q$6:$U$6))</f>
        <v>-2.2533777576920176E-2</v>
      </c>
      <c r="AD256" s="2" t="s">
        <v>247</v>
      </c>
      <c r="AE256" s="10" cm="1">
        <f t="array" aca="1" ref="AE256:AI256" ca="1">_xlfn.LET(_xlpm.array,_xlfn.RANDARRAY(1,COLUMNS(_xlfn.ANCHORARRAY(Q255)),-1,1,FALSE),_xlpm.array/SUM(_xlpm.array))</f>
        <v>-30.698989634774101</v>
      </c>
      <c r="AF256" s="10">
        <f ca="1"/>
        <v>44.497555027436142</v>
      </c>
      <c r="AG256" s="10">
        <f ca="1"/>
        <v>0.53622882245527848</v>
      </c>
      <c r="AH256" s="10">
        <f ca="1"/>
        <v>0.75346923307259428</v>
      </c>
      <c r="AI256" s="10">
        <f ca="1"/>
        <v>-14.088263448189913</v>
      </c>
      <c r="AJ256" s="1"/>
      <c r="AK256" s="2" cm="1">
        <f t="array" aca="1" ref="AK256" ca="1">MMULT(MMULT(_xlfn.ANCHORARRAY(AE256),$Q$9:$U$13),TRANSPOSE(_xlfn.ANCHORARRAY(AE256)))</f>
        <v>0.64374307853448476</v>
      </c>
      <c r="AL256" s="2">
        <f t="shared" ca="1" si="13"/>
        <v>0.80233601348467765</v>
      </c>
      <c r="AM256" s="2" cm="1">
        <f t="array" aca="1" ref="AM256" ca="1">MMULT(_xlfn.ANCHORARRAY(AE257),TRANSPOSE($Q$3:$U$3))</f>
        <v>1.1269260210536099E-3</v>
      </c>
    </row>
    <row r="257" spans="1:39" x14ac:dyDescent="0.35">
      <c r="A257" s="3">
        <v>44202</v>
      </c>
      <c r="B257" s="4">
        <v>28.3323040008544</v>
      </c>
      <c r="C257" s="4">
        <v>71.904830932617102</v>
      </c>
      <c r="D257" s="4">
        <v>34.265464782714801</v>
      </c>
      <c r="E257" s="4">
        <v>12.226598739624</v>
      </c>
      <c r="F257" s="4">
        <v>203.19853210449199</v>
      </c>
      <c r="I257" s="5">
        <f>B257/B256-1</f>
        <v>6.2458689616207597E-2</v>
      </c>
      <c r="J257" s="5">
        <f>C257/C256-1</f>
        <v>3.2183881358612387E-2</v>
      </c>
      <c r="K257" s="5">
        <f>D257/D256-1</f>
        <v>8.303630471214074E-3</v>
      </c>
      <c r="L257" s="5">
        <f>E257/E256-1</f>
        <v>3.7702867975050847E-2</v>
      </c>
      <c r="M257" s="5">
        <f>F257/F256-1</f>
        <v>-2.5929342381088349E-2</v>
      </c>
      <c r="N257" s="5">
        <f>SUMPRODUCT(I257:M257,$AJ$13:$AN$13)</f>
        <v>-5.8394945670204989E-3</v>
      </c>
      <c r="P257" s="2" t="s">
        <v>248</v>
      </c>
      <c r="Q257" s="10" cm="1">
        <f t="array" aca="1" ref="Q257:U257" ca="1">_xlfn.LET(_xlpm.array,_xlfn.RANDARRAY(1,COLUMNS(_xlfn.ANCHORARRAY(Q256)),0,1,FALSE),_xlpm.array/SUM(_xlpm.array))</f>
        <v>7.7333833250344527E-2</v>
      </c>
      <c r="R257" s="2">
        <f ca="1"/>
        <v>0.24245008562328937</v>
      </c>
      <c r="S257" s="2">
        <f ca="1"/>
        <v>0.25989309055995286</v>
      </c>
      <c r="T257" s="2">
        <f ca="1"/>
        <v>0.19375146869913101</v>
      </c>
      <c r="U257" s="2">
        <f ca="1"/>
        <v>0.22657152186728227</v>
      </c>
      <c r="V257" s="12"/>
      <c r="X257" s="2" cm="1">
        <f t="array" aca="1" ref="X257" ca="1">MMULT(MMULT(_xlfn.ANCHORARRAY(Q257),$Q$9:$U$13),TRANSPOSE(_xlfn.ANCHORARRAY(Q257)))</f>
        <v>2.8882321723809504E-4</v>
      </c>
      <c r="Y257" s="2">
        <f t="shared" ca="1" si="12"/>
        <v>1.6994799711620465E-2</v>
      </c>
      <c r="Z257" s="2" cm="1">
        <f t="array" aca="1" ref="Z257" ca="1">MMULT(_xlfn.ANCHORARRAY(Q257),TRANSPOSE($Q$3:$U$3))</f>
        <v>1.0096516428765323E-3</v>
      </c>
      <c r="AA257" s="11">
        <f ca="1">AVEDEV(Q257*$Q$3,R257*$R$3,S257*$S$3,T257*$T$3,U257*$U$3)</f>
        <v>8.8054500574468304E-5</v>
      </c>
      <c r="AB257" s="11" cm="1">
        <f t="array" aca="1" ref="AB257" ca="1">MMULT(_xlfn.ANCHORARRAY(Q257),TRANSPOSE($Q$6:$U$6))</f>
        <v>-2.3157662868910214E-2</v>
      </c>
      <c r="AD257" s="2" t="s">
        <v>248</v>
      </c>
      <c r="AE257" s="10" cm="1">
        <f t="array" aca="1" ref="AE257:AI257" ca="1">_xlfn.LET(_xlpm.array,_xlfn.RANDARRAY(1,COLUMNS(_xlfn.ANCHORARRAY(Q256)),-1,1,FALSE),_xlpm.array/SUM(_xlpm.array))</f>
        <v>0.15748823494005026</v>
      </c>
      <c r="AF257" s="10">
        <f ca="1"/>
        <v>-4.9331671334755675E-2</v>
      </c>
      <c r="AG257" s="10">
        <f ca="1"/>
        <v>0.35039585211986396</v>
      </c>
      <c r="AH257" s="10">
        <f ca="1"/>
        <v>0.38843455878293287</v>
      </c>
      <c r="AI257" s="10">
        <f ca="1"/>
        <v>0.15301302549190862</v>
      </c>
      <c r="AJ257" s="1"/>
      <c r="AK257" s="2" cm="1">
        <f t="array" aca="1" ref="AK257" ca="1">MMULT(MMULT(_xlfn.ANCHORARRAY(AE257),$Q$9:$U$13),TRANSPOSE(_xlfn.ANCHORARRAY(AE257)))</f>
        <v>3.3864740010807712E-4</v>
      </c>
      <c r="AL257" s="2">
        <f t="shared" ca="1" si="13"/>
        <v>1.8402374849678427E-2</v>
      </c>
      <c r="AM257" s="2" cm="1">
        <f t="array" aca="1" ref="AM257" ca="1">MMULT(_xlfn.ANCHORARRAY(AE258),TRANSPOSE($Q$3:$U$3))</f>
        <v>9.6784805597547078E-4</v>
      </c>
    </row>
    <row r="258" spans="1:39" x14ac:dyDescent="0.35">
      <c r="A258" s="3">
        <v>44203</v>
      </c>
      <c r="B258" s="4">
        <v>28.9579963684082</v>
      </c>
      <c r="C258" s="4">
        <v>72.241127014160099</v>
      </c>
      <c r="D258" s="4">
        <v>35.315582275390597</v>
      </c>
      <c r="E258" s="4">
        <v>12.493136405944799</v>
      </c>
      <c r="F258" s="4">
        <v>208.98089599609301</v>
      </c>
      <c r="I258" s="5">
        <f>B258/B257-1</f>
        <v>2.208406233163851E-2</v>
      </c>
      <c r="J258" s="5">
        <f>C258/C257-1</f>
        <v>4.6769608826164877E-3</v>
      </c>
      <c r="K258" s="5">
        <f>D258/D257-1</f>
        <v>3.0646527030490756E-2</v>
      </c>
      <c r="L258" s="5">
        <f>E258/E257-1</f>
        <v>2.1799821192872049E-2</v>
      </c>
      <c r="M258" s="5">
        <f>F258/F257-1</f>
        <v>2.8456720782941147E-2</v>
      </c>
      <c r="N258" s="5">
        <f>SUMPRODUCT(I258:M258,$AJ$13:$AN$13)</f>
        <v>2.9108536990986953E-2</v>
      </c>
      <c r="P258" s="2" t="s">
        <v>249</v>
      </c>
      <c r="Q258" s="10" cm="1">
        <f t="array" aca="1" ref="Q258:U258" ca="1">_xlfn.LET(_xlpm.array,_xlfn.RANDARRAY(1,COLUMNS(_xlfn.ANCHORARRAY(Q257)),0,1,FALSE),_xlpm.array/SUM(_xlpm.array))</f>
        <v>0.40287158683084001</v>
      </c>
      <c r="R258" s="2">
        <f ca="1"/>
        <v>0.16007744588848752</v>
      </c>
      <c r="S258" s="2">
        <f ca="1"/>
        <v>2.0538775789297196E-2</v>
      </c>
      <c r="T258" s="2">
        <f ca="1"/>
        <v>0.37079767505279598</v>
      </c>
      <c r="U258" s="2">
        <f ca="1"/>
        <v>4.5714516438579267E-2</v>
      </c>
      <c r="V258" s="12"/>
      <c r="X258" s="2" cm="1">
        <f t="array" aca="1" ref="X258" ca="1">MMULT(MMULT(_xlfn.ANCHORARRAY(Q258),$Q$9:$U$13),TRANSPOSE(_xlfn.ANCHORARRAY(Q258)))</f>
        <v>3.3580936338387546E-4</v>
      </c>
      <c r="Y258" s="2">
        <f t="shared" ca="1" si="12"/>
        <v>1.8325102002004667E-2</v>
      </c>
      <c r="Z258" s="2" cm="1">
        <f t="array" aca="1" ref="Z258" ca="1">MMULT(_xlfn.ANCHORARRAY(Q258),TRANSPOSE($Q$3:$U$3))</f>
        <v>7.6878593966030011E-4</v>
      </c>
      <c r="AA258" s="11">
        <f ca="1">AVEDEV(Q258*$Q$3,R258*$R$3,S258*$S$3,T258*$T$3,U258*$U$3)</f>
        <v>1.104227406849194E-4</v>
      </c>
      <c r="AB258" s="11" cm="1">
        <f t="array" aca="1" ref="AB258" ca="1">MMULT(_xlfn.ANCHORARRAY(Q258),TRANSPOSE($Q$6:$U$6))</f>
        <v>-2.2811137009520303E-2</v>
      </c>
      <c r="AD258" s="2" t="s">
        <v>249</v>
      </c>
      <c r="AE258" s="10" cm="1">
        <f t="array" aca="1" ref="AE258:AI258" ca="1">_xlfn.LET(_xlpm.array,_xlfn.RANDARRAY(1,COLUMNS(_xlfn.ANCHORARRAY(Q257)),-1,1,FALSE),_xlpm.array/SUM(_xlpm.array))</f>
        <v>0.2726302414459601</v>
      </c>
      <c r="AF258" s="10">
        <f ca="1"/>
        <v>-2.2854004660062585E-2</v>
      </c>
      <c r="AG258" s="10">
        <f ca="1"/>
        <v>0.23045853211765957</v>
      </c>
      <c r="AH258" s="10">
        <f ca="1"/>
        <v>0.28884341004883468</v>
      </c>
      <c r="AI258" s="10">
        <f ca="1"/>
        <v>0.23092182104760825</v>
      </c>
      <c r="AJ258" s="1"/>
      <c r="AK258" s="2" cm="1">
        <f t="array" aca="1" ref="AK258" ca="1">MMULT(MMULT(_xlfn.ANCHORARRAY(AE258),$Q$9:$U$13),TRANSPOSE(_xlfn.ANCHORARRAY(AE258)))</f>
        <v>2.870274324951028E-4</v>
      </c>
      <c r="AL258" s="2">
        <f t="shared" ca="1" si="13"/>
        <v>1.694188397124425E-2</v>
      </c>
      <c r="AM258" s="2" cm="1">
        <f t="array" aca="1" ref="AM258" ca="1">MMULT(_xlfn.ANCHORARRAY(AE259),TRANSPOSE($Q$3:$U$3))</f>
        <v>-1.5397126252101158E-4</v>
      </c>
    </row>
    <row r="259" spans="1:39" x14ac:dyDescent="0.35">
      <c r="A259" s="3">
        <v>44204</v>
      </c>
      <c r="B259" s="4">
        <v>28.667179107666001</v>
      </c>
      <c r="C259" s="4">
        <v>72.929740905761705</v>
      </c>
      <c r="D259" s="4">
        <v>35.722686767578097</v>
      </c>
      <c r="E259" s="4">
        <v>12.6434926986694</v>
      </c>
      <c r="F259" s="4">
        <v>210.25421142578099</v>
      </c>
      <c r="I259" s="5">
        <f>B259/B258-1</f>
        <v>-1.0042727302068011E-2</v>
      </c>
      <c r="J259" s="5">
        <f>C259/C258-1</f>
        <v>9.5321587586338907E-3</v>
      </c>
      <c r="K259" s="5">
        <f>D259/D258-1</f>
        <v>1.1527616591817891E-2</v>
      </c>
      <c r="L259" s="5">
        <f>E259/E258-1</f>
        <v>1.2035111747683569E-2</v>
      </c>
      <c r="M259" s="5">
        <f>F259/F258-1</f>
        <v>6.0929752627330025E-3</v>
      </c>
      <c r="N259" s="5">
        <f>SUMPRODUCT(I259:M259,$AJ$13:$AN$13)</f>
        <v>1.6253132690275889E-2</v>
      </c>
      <c r="P259" s="2" t="s">
        <v>250</v>
      </c>
      <c r="Q259" s="10" cm="1">
        <f t="array" aca="1" ref="Q259:U259" ca="1">_xlfn.LET(_xlpm.array,_xlfn.RANDARRAY(1,COLUMNS(_xlfn.ANCHORARRAY(Q258)),0,1,FALSE),_xlpm.array/SUM(_xlpm.array))</f>
        <v>0.18733689368366263</v>
      </c>
      <c r="R259" s="2">
        <f ca="1"/>
        <v>0.16048087001656974</v>
      </c>
      <c r="S259" s="2">
        <f ca="1"/>
        <v>0.24893662353111823</v>
      </c>
      <c r="T259" s="2">
        <f ca="1"/>
        <v>0.1064082514760359</v>
      </c>
      <c r="U259" s="2">
        <f ca="1"/>
        <v>0.29683736129261368</v>
      </c>
      <c r="V259" s="12"/>
      <c r="X259" s="2" cm="1">
        <f t="array" aca="1" ref="X259" ca="1">MMULT(MMULT(_xlfn.ANCHORARRAY(Q259),$Q$9:$U$13),TRANSPOSE(_xlfn.ANCHORARRAY(Q259)))</f>
        <v>2.7621185739664034E-4</v>
      </c>
      <c r="Y259" s="2">
        <f t="shared" ca="1" si="12"/>
        <v>1.6619622661078692E-2</v>
      </c>
      <c r="Z259" s="2" cm="1">
        <f t="array" aca="1" ref="Z259" ca="1">MMULT(_xlfn.ANCHORARRAY(Q259),TRANSPOSE($Q$3:$U$3))</f>
        <v>9.5242162144654739E-4</v>
      </c>
      <c r="AA259" s="11">
        <f ca="1">AVEDEV(Q259*$Q$3,R259*$R$3,S259*$S$3,T259*$T$3,U259*$U$3)</f>
        <v>1.0013672383635535E-4</v>
      </c>
      <c r="AB259" s="11" cm="1">
        <f t="array" aca="1" ref="AB259" ca="1">MMULT(_xlfn.ANCHORARRAY(Q259),TRANSPOSE($Q$6:$U$6))</f>
        <v>-2.2765284301628261E-2</v>
      </c>
      <c r="AD259" s="2" t="s">
        <v>250</v>
      </c>
      <c r="AE259" s="10" cm="1">
        <f t="array" aca="1" ref="AE259:AI259" ca="1">_xlfn.LET(_xlpm.array,_xlfn.RANDARRAY(1,COLUMNS(_xlfn.ANCHORARRAY(Q258)),-1,1,FALSE),_xlpm.array/SUM(_xlpm.array))</f>
        <v>1.921219211114692</v>
      </c>
      <c r="AF259" s="10">
        <f ca="1"/>
        <v>-3.9315992152506367</v>
      </c>
      <c r="AG259" s="10">
        <f ca="1"/>
        <v>-1.021657729330854</v>
      </c>
      <c r="AH259" s="10">
        <f ca="1"/>
        <v>1.2300707815907037</v>
      </c>
      <c r="AI259" s="10">
        <f ca="1"/>
        <v>2.801966951876095</v>
      </c>
      <c r="AJ259" s="1"/>
      <c r="AK259" s="2" cm="1">
        <f t="array" aca="1" ref="AK259" ca="1">MMULT(MMULT(_xlfn.ANCHORARRAY(AE259),$Q$9:$U$13),TRANSPOSE(_xlfn.ANCHORARRAY(AE259)))</f>
        <v>5.3855515624348666E-3</v>
      </c>
      <c r="AL259" s="2">
        <f t="shared" ca="1" si="13"/>
        <v>7.3386317269875767E-2</v>
      </c>
      <c r="AM259" s="2" cm="1">
        <f t="array" aca="1" ref="AM259" ca="1">MMULT(_xlfn.ANCHORARRAY(AE260),TRANSPOSE($Q$3:$U$3))</f>
        <v>3.1186545563897613E-4</v>
      </c>
    </row>
    <row r="260" spans="1:39" x14ac:dyDescent="0.35">
      <c r="A260" s="3">
        <v>44207</v>
      </c>
      <c r="B260" s="4">
        <v>29.143058776855401</v>
      </c>
      <c r="C260" s="4">
        <v>73.346138000488196</v>
      </c>
      <c r="D260" s="4">
        <v>34.987133026122997</v>
      </c>
      <c r="E260" s="4">
        <v>12.698168754577599</v>
      </c>
      <c r="F260" s="4">
        <v>208.215072631835</v>
      </c>
      <c r="I260" s="5">
        <f>B260/B259-1</f>
        <v>1.6600156834480462E-2</v>
      </c>
      <c r="J260" s="5">
        <f>C260/C259-1</f>
        <v>5.7095649806921944E-3</v>
      </c>
      <c r="K260" s="5">
        <f>D260/D259-1</f>
        <v>-2.0590661229957896E-2</v>
      </c>
      <c r="L260" s="5">
        <f>E260/E259-1</f>
        <v>4.3244423998405335E-3</v>
      </c>
      <c r="M260" s="5">
        <f>F260/F259-1</f>
        <v>-9.6984444692838068E-3</v>
      </c>
      <c r="N260" s="5">
        <f>SUMPRODUCT(I260:M260,$AJ$13:$AN$13)</f>
        <v>-1.6928137623562829E-2</v>
      </c>
      <c r="P260" s="2" t="s">
        <v>251</v>
      </c>
      <c r="Q260" s="10" cm="1">
        <f t="array" aca="1" ref="Q260:U260" ca="1">_xlfn.LET(_xlpm.array,_xlfn.RANDARRAY(1,COLUMNS(_xlfn.ANCHORARRAY(Q259)),0,1,FALSE),_xlpm.array/SUM(_xlpm.array))</f>
        <v>0.12849951543526555</v>
      </c>
      <c r="R260" s="2">
        <f ca="1"/>
        <v>8.9904485259523839E-2</v>
      </c>
      <c r="S260" s="2">
        <f ca="1"/>
        <v>0.45601537507769718</v>
      </c>
      <c r="T260" s="2">
        <f ca="1"/>
        <v>7.9132655205535307E-2</v>
      </c>
      <c r="U260" s="2">
        <f ca="1"/>
        <v>0.24644796902197813</v>
      </c>
      <c r="V260" s="12"/>
      <c r="X260" s="2" cm="1">
        <f t="array" aca="1" ref="X260" ca="1">MMULT(MMULT(_xlfn.ANCHORARRAY(Q260),$Q$9:$U$13),TRANSPOSE(_xlfn.ANCHORARRAY(Q260)))</f>
        <v>3.6131819072307564E-4</v>
      </c>
      <c r="Y260" s="2">
        <f t="shared" ca="1" si="12"/>
        <v>1.9008371595775259E-2</v>
      </c>
      <c r="Z260" s="2" cm="1">
        <f t="array" aca="1" ref="Z260" ca="1">MMULT(_xlfn.ANCHORARRAY(Q260),TRANSPOSE($Q$3:$U$3))</f>
        <v>1.140870429913251E-3</v>
      </c>
      <c r="AA260" s="11">
        <f ca="1">AVEDEV(Q260*$Q$3,R260*$R$3,S260*$S$3,T260*$T$3,U260*$U$3)</f>
        <v>2.0495809428877718E-4</v>
      </c>
      <c r="AB260" s="11" cm="1">
        <f t="array" aca="1" ref="AB260" ca="1">MMULT(_xlfn.ANCHORARRAY(Q260),TRANSPOSE($Q$6:$U$6))</f>
        <v>-2.3961832308314501E-2</v>
      </c>
      <c r="AD260" s="2" t="s">
        <v>251</v>
      </c>
      <c r="AE260" s="10" cm="1">
        <f t="array" aca="1" ref="AE260:AI260" ca="1">_xlfn.LET(_xlpm.array,_xlfn.RANDARRAY(1,COLUMNS(_xlfn.ANCHORARRAY(Q259)),-1,1,FALSE),_xlpm.array/SUM(_xlpm.array))</f>
        <v>1.3656487414150562</v>
      </c>
      <c r="AF260" s="10">
        <f ca="1"/>
        <v>-1.3193738063714315</v>
      </c>
      <c r="AG260" s="10">
        <f ca="1"/>
        <v>0.4206040633514212</v>
      </c>
      <c r="AH260" s="10">
        <f ca="1"/>
        <v>-1.9846413329781174</v>
      </c>
      <c r="AI260" s="10">
        <f ca="1"/>
        <v>2.5177623345830717</v>
      </c>
      <c r="AJ260" s="1"/>
      <c r="AK260" s="2" cm="1">
        <f t="array" aca="1" ref="AK260" ca="1">MMULT(MMULT(_xlfn.ANCHORARRAY(AE260),$Q$9:$U$13),TRANSPOSE(_xlfn.ANCHORARRAY(AE260)))</f>
        <v>5.4054394624477283E-3</v>
      </c>
      <c r="AL260" s="2">
        <f t="shared" ca="1" si="13"/>
        <v>7.3521693821944345E-2</v>
      </c>
      <c r="AM260" s="2" cm="1">
        <f t="array" aca="1" ref="AM260" ca="1">MMULT(_xlfn.ANCHORARRAY(AE261),TRANSPOSE($Q$3:$U$3))</f>
        <v>9.6234374713696444E-4</v>
      </c>
    </row>
    <row r="261" spans="1:39" x14ac:dyDescent="0.35">
      <c r="A261" s="3">
        <v>44208</v>
      </c>
      <c r="B261" s="4">
        <v>29.662998199462798</v>
      </c>
      <c r="C261" s="4">
        <v>74.7393798828125</v>
      </c>
      <c r="D261" s="4">
        <v>35.505264282226499</v>
      </c>
      <c r="E261" s="4">
        <v>13.039881706237701</v>
      </c>
      <c r="F261" s="4">
        <v>205.76420593261699</v>
      </c>
      <c r="I261" s="5">
        <f>B261/B260-1</f>
        <v>1.7840935180775119E-2</v>
      </c>
      <c r="J261" s="5">
        <f>C261/C260-1</f>
        <v>1.8995436164819246E-2</v>
      </c>
      <c r="K261" s="5">
        <f>D261/D260-1</f>
        <v>1.4809194446330887E-2</v>
      </c>
      <c r="L261" s="5">
        <f>E261/E260-1</f>
        <v>2.6910411907773435E-2</v>
      </c>
      <c r="M261" s="5">
        <f>F261/F260-1</f>
        <v>-1.1770841890738737E-2</v>
      </c>
      <c r="N261" s="5">
        <f>SUMPRODUCT(I261:M261,$AJ$13:$AN$13)</f>
        <v>1.0570644763394312E-2</v>
      </c>
      <c r="P261" s="2" t="s">
        <v>252</v>
      </c>
      <c r="Q261" s="10" cm="1">
        <f t="array" aca="1" ref="Q261:U261" ca="1">_xlfn.LET(_xlpm.array,_xlfn.RANDARRAY(1,COLUMNS(_xlfn.ANCHORARRAY(Q260)),0,1,FALSE),_xlpm.array/SUM(_xlpm.array))</f>
        <v>0.18654026438305174</v>
      </c>
      <c r="R261" s="2">
        <f ca="1"/>
        <v>0.10355514129906726</v>
      </c>
      <c r="S261" s="2">
        <f ca="1"/>
        <v>0.30587075600516694</v>
      </c>
      <c r="T261" s="2">
        <f ca="1"/>
        <v>0.23231672904509434</v>
      </c>
      <c r="U261" s="2">
        <f ca="1"/>
        <v>0.17171710926761968</v>
      </c>
      <c r="V261" s="12"/>
      <c r="X261" s="2" cm="1">
        <f t="array" aca="1" ref="X261" ca="1">MMULT(MMULT(_xlfn.ANCHORARRAY(Q261),$Q$9:$U$13),TRANSPOSE(_xlfn.ANCHORARRAY(Q261)))</f>
        <v>3.0605157840190715E-4</v>
      </c>
      <c r="Y261" s="2">
        <f t="shared" ca="1" si="12"/>
        <v>1.7494329892908365E-2</v>
      </c>
      <c r="Z261" s="2" cm="1">
        <f t="array" aca="1" ref="Z261" ca="1">MMULT(_xlfn.ANCHORARRAY(Q261),TRANSPOSE($Q$3:$U$3))</f>
        <v>1.0358399773846968E-3</v>
      </c>
      <c r="AA261" s="11">
        <f ca="1">AVEDEV(Q261*$Q$3,R261*$R$3,S261*$S$3,T261*$T$3,U261*$U$3)</f>
        <v>1.2789484102023182E-4</v>
      </c>
      <c r="AB261" s="11" cm="1">
        <f t="array" aca="1" ref="AB261" ca="1">MMULT(_xlfn.ANCHORARRAY(Q261),TRANSPOSE($Q$6:$U$6))</f>
        <v>-2.3770967347359385E-2</v>
      </c>
      <c r="AD261" s="2" t="s">
        <v>252</v>
      </c>
      <c r="AE261" s="10" cm="1">
        <f t="array" aca="1" ref="AE261:AI261" ca="1">_xlfn.LET(_xlpm.array,_xlfn.RANDARRAY(1,COLUMNS(_xlfn.ANCHORARRAY(Q260)),-1,1,FALSE),_xlpm.array/SUM(_xlpm.array))</f>
        <v>0.22704043009294711</v>
      </c>
      <c r="AF261" s="10">
        <f ca="1"/>
        <v>0.43118761974523262</v>
      </c>
      <c r="AG261" s="10">
        <f ca="1"/>
        <v>0.25061040325719813</v>
      </c>
      <c r="AH261" s="10">
        <f ca="1"/>
        <v>0.21562472243781933</v>
      </c>
      <c r="AI261" s="10">
        <f ca="1"/>
        <v>-0.12446317553319733</v>
      </c>
      <c r="AJ261" s="1"/>
      <c r="AK261" s="2" cm="1">
        <f t="array" aca="1" ref="AK261" ca="1">MMULT(MMULT(_xlfn.ANCHORARRAY(AE261),$Q$9:$U$13),TRANSPOSE(_xlfn.ANCHORARRAY(AE261)))</f>
        <v>3.8777208135282805E-4</v>
      </c>
      <c r="AL261" s="2">
        <f t="shared" ca="1" si="13"/>
        <v>1.9691929345618423E-2</v>
      </c>
      <c r="AM261" s="2" cm="1">
        <f t="array" aca="1" ref="AM261" ca="1">MMULT(_xlfn.ANCHORARRAY(AE262),TRANSPOSE($Q$3:$U$3))</f>
        <v>9.96730066639963E-4</v>
      </c>
    </row>
    <row r="262" spans="1:39" x14ac:dyDescent="0.35">
      <c r="A262" s="3">
        <v>44209</v>
      </c>
      <c r="B262" s="4">
        <v>29.486747741699201</v>
      </c>
      <c r="C262" s="4">
        <v>74.667297363281193</v>
      </c>
      <c r="D262" s="4">
        <v>32.95166015625</v>
      </c>
      <c r="E262" s="4">
        <v>13.101390838623001</v>
      </c>
      <c r="F262" s="4">
        <v>207.11410522460901</v>
      </c>
      <c r="I262" s="5">
        <f>B262/B261-1</f>
        <v>-5.941761401812351E-3</v>
      </c>
      <c r="J262" s="5">
        <f>C262/C261-1</f>
        <v>-9.6445166717107345E-4</v>
      </c>
      <c r="K262" s="5">
        <f>D262/D261-1</f>
        <v>-7.1921845326322509E-2</v>
      </c>
      <c r="L262" s="5">
        <f>E262/E261-1</f>
        <v>4.7170007957877402E-3</v>
      </c>
      <c r="M262" s="5">
        <f>F262/F261-1</f>
        <v>6.5604184453444958E-3</v>
      </c>
      <c r="N262" s="5">
        <f>SUMPRODUCT(I262:M262,$AJ$13:$AN$13)</f>
        <v>-3.1302170969960678E-2</v>
      </c>
      <c r="P262" s="2" t="s">
        <v>253</v>
      </c>
      <c r="Q262" s="10" cm="1">
        <f t="array" aca="1" ref="Q262:U262" ca="1">_xlfn.LET(_xlpm.array,_xlfn.RANDARRAY(1,COLUMNS(_xlfn.ANCHORARRAY(Q261)),0,1,FALSE),_xlpm.array/SUM(_xlpm.array))</f>
        <v>0.13315339641632545</v>
      </c>
      <c r="R262" s="2">
        <f ca="1"/>
        <v>9.4747011691511021E-2</v>
      </c>
      <c r="S262" s="2">
        <f ca="1"/>
        <v>0.45505387430679334</v>
      </c>
      <c r="T262" s="2">
        <f ca="1"/>
        <v>0.22483157694143102</v>
      </c>
      <c r="U262" s="2">
        <f ca="1"/>
        <v>9.2214140643939096E-2</v>
      </c>
      <c r="V262" s="12"/>
      <c r="X262" s="2" cm="1">
        <f t="array" aca="1" ref="X262" ca="1">MMULT(MMULT(_xlfn.ANCHORARRAY(Q262),$Q$9:$U$13),TRANSPOSE(_xlfn.ANCHORARRAY(Q262)))</f>
        <v>3.7420856224943885E-4</v>
      </c>
      <c r="Y262" s="2">
        <f t="shared" ca="1" si="12"/>
        <v>1.9344471102861378E-2</v>
      </c>
      <c r="Z262" s="2" cm="1">
        <f t="array" aca="1" ref="Z262" ca="1">MMULT(_xlfn.ANCHORARRAY(Q262),TRANSPOSE($Q$3:$U$3))</f>
        <v>1.1760926526911955E-3</v>
      </c>
      <c r="AA262" s="11">
        <f ca="1">AVEDEV(Q262*$Q$3,R262*$R$3,S262*$S$3,T262*$T$3,U262*$U$3)</f>
        <v>2.0151572526840017E-4</v>
      </c>
      <c r="AB262" s="11" cm="1">
        <f t="array" aca="1" ref="AB262" ca="1">MMULT(_xlfn.ANCHORARRAY(Q262),TRANSPOSE($Q$6:$U$6))</f>
        <v>-2.4697683801426697E-2</v>
      </c>
      <c r="AD262" s="2" t="s">
        <v>253</v>
      </c>
      <c r="AE262" s="10" cm="1">
        <f t="array" aca="1" ref="AE262:AI262" ca="1">_xlfn.LET(_xlpm.array,_xlfn.RANDARRAY(1,COLUMNS(_xlfn.ANCHORARRAY(Q261)),-1,1,FALSE),_xlpm.array/SUM(_xlpm.array))</f>
        <v>0.66033934877796341</v>
      </c>
      <c r="AF262" s="10">
        <f ca="1"/>
        <v>-0.28112191499541689</v>
      </c>
      <c r="AG262" s="10">
        <f ca="1"/>
        <v>0.57316186098586674</v>
      </c>
      <c r="AH262" s="10">
        <f ca="1"/>
        <v>-0.39272321790403081</v>
      </c>
      <c r="AI262" s="10">
        <f ca="1"/>
        <v>0.44034392313561743</v>
      </c>
      <c r="AJ262" s="1"/>
      <c r="AK262" s="2" cm="1">
        <f t="array" aca="1" ref="AK262" ca="1">MMULT(MMULT(_xlfn.ANCHORARRAY(AE262),$Q$9:$U$13),TRANSPOSE(_xlfn.ANCHORARRAY(AE262)))</f>
        <v>7.0220900885655446E-4</v>
      </c>
      <c r="AL262" s="2">
        <f t="shared" ca="1" si="13"/>
        <v>2.6499226570912488E-2</v>
      </c>
      <c r="AM262" s="2" cm="1">
        <f t="array" aca="1" ref="AM262" ca="1">MMULT(_xlfn.ANCHORARRAY(AE263),TRANSPOSE($Q$3:$U$3))</f>
        <v>1.6774333959973867E-3</v>
      </c>
    </row>
    <row r="263" spans="1:39" x14ac:dyDescent="0.35">
      <c r="A263" s="3">
        <v>44210</v>
      </c>
      <c r="B263" s="4">
        <v>29.953809738159102</v>
      </c>
      <c r="C263" s="4">
        <v>76.460914611816406</v>
      </c>
      <c r="D263" s="4">
        <v>33.886123657226499</v>
      </c>
      <c r="E263" s="4">
        <v>13.470445632934499</v>
      </c>
      <c r="F263" s="4">
        <v>203.93571472167901</v>
      </c>
      <c r="I263" s="5">
        <f>B263/B262-1</f>
        <v>1.5839725715135256E-2</v>
      </c>
      <c r="J263" s="5">
        <f>C263/C262-1</f>
        <v>2.4021456673444019E-2</v>
      </c>
      <c r="K263" s="5">
        <f>D263/D262-1</f>
        <v>2.8358616729641684E-2</v>
      </c>
      <c r="L263" s="5">
        <f>E263/E262-1</f>
        <v>2.8169130961540612E-2</v>
      </c>
      <c r="M263" s="5">
        <f>F263/F262-1</f>
        <v>-1.5346084224843737E-2</v>
      </c>
      <c r="N263" s="5">
        <f>SUMPRODUCT(I263:M263,$AJ$13:$AN$13)</f>
        <v>1.7433422653458069E-2</v>
      </c>
      <c r="P263" s="2" t="s">
        <v>254</v>
      </c>
      <c r="Q263" s="10" cm="1">
        <f t="array" aca="1" ref="Q263:U263" ca="1">_xlfn.LET(_xlpm.array,_xlfn.RANDARRAY(1,COLUMNS(_xlfn.ANCHORARRAY(Q262)),0,1,FALSE),_xlpm.array/SUM(_xlpm.array))</f>
        <v>0.10584068265479211</v>
      </c>
      <c r="R263" s="2">
        <f ca="1"/>
        <v>0.33222335367954026</v>
      </c>
      <c r="S263" s="2">
        <f ca="1"/>
        <v>0.3508174373900641</v>
      </c>
      <c r="T263" s="2">
        <f ca="1"/>
        <v>0.11811314196029825</v>
      </c>
      <c r="U263" s="2">
        <f ca="1"/>
        <v>9.3005384315305348E-2</v>
      </c>
      <c r="V263" s="12"/>
      <c r="X263" s="2" cm="1">
        <f t="array" aca="1" ref="X263" ca="1">MMULT(MMULT(_xlfn.ANCHORARRAY(Q263),$Q$9:$U$13),TRANSPOSE(_xlfn.ANCHORARRAY(Q263)))</f>
        <v>3.3516301214463261E-4</v>
      </c>
      <c r="Y263" s="2">
        <f t="shared" ca="1" si="12"/>
        <v>1.8307457828563543E-2</v>
      </c>
      <c r="Z263" s="2" cm="1">
        <f t="array" aca="1" ref="Z263" ca="1">MMULT(_xlfn.ANCHORARRAY(Q263),TRANSPOSE($Q$3:$U$3))</f>
        <v>1.0579253172730849E-3</v>
      </c>
      <c r="AA263" s="11">
        <f ca="1">AVEDEV(Q263*$Q$3,R263*$R$3,S263*$S$3,T263*$T$3,U263*$U$3)</f>
        <v>1.5566405143194236E-4</v>
      </c>
      <c r="AB263" s="11" cm="1">
        <f t="array" aca="1" ref="AB263" ca="1">MMULT(_xlfn.ANCHORARRAY(Q263),TRANSPOSE($Q$6:$U$6))</f>
        <v>-2.3499656030582846E-2</v>
      </c>
      <c r="AD263" s="2" t="s">
        <v>254</v>
      </c>
      <c r="AE263" s="10" cm="1">
        <f t="array" aca="1" ref="AE263:AI263" ca="1">_xlfn.LET(_xlpm.array,_xlfn.RANDARRAY(1,COLUMNS(_xlfn.ANCHORARRAY(Q262)),-1,1,FALSE),_xlpm.array/SUM(_xlpm.array))</f>
        <v>0.23853129172879728</v>
      </c>
      <c r="AF263" s="10">
        <f ca="1"/>
        <v>-0.84544641564222978</v>
      </c>
      <c r="AG263" s="10">
        <f ca="1"/>
        <v>0.99209531325298383</v>
      </c>
      <c r="AH263" s="10">
        <f ca="1"/>
        <v>0.35896060824061277</v>
      </c>
      <c r="AI263" s="10">
        <f ca="1"/>
        <v>0.2558592024198359</v>
      </c>
      <c r="AJ263" s="1"/>
      <c r="AK263" s="2" cm="1">
        <f t="array" aca="1" ref="AK263" ca="1">MMULT(MMULT(_xlfn.ANCHORARRAY(AE263),$Q$9:$U$13),TRANSPOSE(_xlfn.ANCHORARRAY(AE263)))</f>
        <v>1.0034866892156139E-3</v>
      </c>
      <c r="AL263" s="2">
        <f t="shared" ca="1" si="13"/>
        <v>3.1677858027581565E-2</v>
      </c>
      <c r="AM263" s="2" cm="1">
        <f t="array" aca="1" ref="AM263" ca="1">MMULT(_xlfn.ANCHORARRAY(AE264),TRANSPOSE($Q$3:$U$3))</f>
        <v>6.8893425105457436E-4</v>
      </c>
    </row>
    <row r="264" spans="1:39" x14ac:dyDescent="0.35">
      <c r="A264" s="3">
        <v>44211</v>
      </c>
      <c r="B264" s="4">
        <v>29.0901794433593</v>
      </c>
      <c r="C264" s="4">
        <v>73.738456726074205</v>
      </c>
      <c r="D264" s="4">
        <v>34.353363037109297</v>
      </c>
      <c r="E264" s="4">
        <v>13.1355638504028</v>
      </c>
      <c r="F264" s="4">
        <v>203.58146667480401</v>
      </c>
      <c r="I264" s="5">
        <f>B264/B263-1</f>
        <v>-2.883206851980491E-2</v>
      </c>
      <c r="J264" s="5">
        <f>C264/C263-1</f>
        <v>-3.5605876539194115E-2</v>
      </c>
      <c r="K264" s="5">
        <f>D264/D263-1</f>
        <v>1.3788516639115622E-2</v>
      </c>
      <c r="L264" s="5">
        <f>E264/E263-1</f>
        <v>-2.4860482842002818E-2</v>
      </c>
      <c r="M264" s="5">
        <f>F264/F263-1</f>
        <v>-1.73705742203345E-3</v>
      </c>
      <c r="N264" s="5">
        <f>SUMPRODUCT(I264:M264,$AJ$13:$AN$13)</f>
        <v>4.487952517825953E-3</v>
      </c>
      <c r="P264" s="2" t="s">
        <v>255</v>
      </c>
      <c r="Q264" s="10" cm="1">
        <f t="array" aca="1" ref="Q264:U264" ca="1">_xlfn.LET(_xlpm.array,_xlfn.RANDARRAY(1,COLUMNS(_xlfn.ANCHORARRAY(Q263)),0,1,FALSE),_xlpm.array/SUM(_xlpm.array))</f>
        <v>0.19012846524027349</v>
      </c>
      <c r="R264" s="2">
        <f ca="1"/>
        <v>0.16930360910748554</v>
      </c>
      <c r="S264" s="2">
        <f ca="1"/>
        <v>0.20404255450774347</v>
      </c>
      <c r="T264" s="2">
        <f ca="1"/>
        <v>0.18252914711300694</v>
      </c>
      <c r="U264" s="2">
        <f ca="1"/>
        <v>0.25399622403149064</v>
      </c>
      <c r="V264" s="12"/>
      <c r="X264" s="2" cm="1">
        <f t="array" aca="1" ref="X264" ca="1">MMULT(MMULT(_xlfn.ANCHORARRAY(Q264),$Q$9:$U$13),TRANSPOSE(_xlfn.ANCHORARRAY(Q264)))</f>
        <v>2.7061911207056923E-4</v>
      </c>
      <c r="Y264" s="2">
        <f t="shared" ca="1" si="12"/>
        <v>1.6450504918408104E-2</v>
      </c>
      <c r="Z264" s="2" cm="1">
        <f t="array" aca="1" ref="Z264" ca="1">MMULT(_xlfn.ANCHORARRAY(Q264),TRANSPOSE($Q$3:$U$3))</f>
        <v>9.3237433631556928E-4</v>
      </c>
      <c r="AA264" s="11">
        <f ca="1">AVEDEV(Q264*$Q$3,R264*$R$3,S264*$S$3,T264*$T$3,U264*$U$3)</f>
        <v>6.1074219611690912E-5</v>
      </c>
      <c r="AB264" s="11" cm="1">
        <f t="array" aca="1" ref="AB264" ca="1">MMULT(_xlfn.ANCHORARRAY(Q264),TRANSPOSE($Q$6:$U$6))</f>
        <v>-2.28415184210948E-2</v>
      </c>
      <c r="AD264" s="2" t="s">
        <v>255</v>
      </c>
      <c r="AE264" s="10" cm="1">
        <f t="array" aca="1" ref="AE264:AI264" ca="1">_xlfn.LET(_xlpm.array,_xlfn.RANDARRAY(1,COLUMNS(_xlfn.ANCHORARRAY(Q263)),-1,1,FALSE),_xlpm.array/SUM(_xlpm.array))</f>
        <v>0.44748848134411956</v>
      </c>
      <c r="AF264" s="10">
        <f ca="1"/>
        <v>0.50469214294971909</v>
      </c>
      <c r="AG264" s="10">
        <f ca="1"/>
        <v>8.636537721067139E-2</v>
      </c>
      <c r="AH264" s="10">
        <f ca="1"/>
        <v>-6.9407828988278061E-2</v>
      </c>
      <c r="AI264" s="10">
        <f ca="1"/>
        <v>3.0861827483767996E-2</v>
      </c>
      <c r="AJ264" s="1"/>
      <c r="AK264" s="2" cm="1">
        <f t="array" aca="1" ref="AK264" ca="1">MMULT(MMULT(_xlfn.ANCHORARRAY(AE264),$Q$9:$U$13),TRANSPOSE(_xlfn.ANCHORARRAY(AE264)))</f>
        <v>3.446392187001565E-4</v>
      </c>
      <c r="AL264" s="2">
        <f t="shared" ca="1" si="13"/>
        <v>1.85644611745172E-2</v>
      </c>
      <c r="AM264" s="2" cm="1">
        <f t="array" aca="1" ref="AM264" ca="1">MMULT(_xlfn.ANCHORARRAY(AE265),TRANSPOSE($Q$3:$U$3))</f>
        <v>-2.1990415893736594E-2</v>
      </c>
    </row>
    <row r="265" spans="1:39" x14ac:dyDescent="0.35">
      <c r="A265" s="3">
        <v>44215</v>
      </c>
      <c r="B265" s="4">
        <v>28.8786811828613</v>
      </c>
      <c r="C265" s="4">
        <v>75.676223754882798</v>
      </c>
      <c r="D265" s="4">
        <v>34.630928039550703</v>
      </c>
      <c r="E265" s="4">
        <v>13.5387878417968</v>
      </c>
      <c r="F265" s="4">
        <v>207.20985412597599</v>
      </c>
      <c r="I265" s="5">
        <f>B265/B264-1</f>
        <v>-7.2704350590137024E-3</v>
      </c>
      <c r="J265" s="5">
        <f>C265/C264-1</f>
        <v>2.6278920319787291E-2</v>
      </c>
      <c r="K265" s="5">
        <f>D265/D264-1</f>
        <v>8.0797039329620901E-3</v>
      </c>
      <c r="L265" s="5">
        <f>E265/E264-1</f>
        <v>3.0697120883899975E-2</v>
      </c>
      <c r="M265" s="5">
        <f>F265/F264-1</f>
        <v>1.7822778813986417E-2</v>
      </c>
      <c r="N265" s="5">
        <f>SUMPRODUCT(I265:M265,$AJ$13:$AN$13)</f>
        <v>2.5745700604482863E-2</v>
      </c>
      <c r="P265" s="2" t="s">
        <v>256</v>
      </c>
      <c r="Q265" s="10" cm="1">
        <f t="array" aca="1" ref="Q265:U265" ca="1">_xlfn.LET(_xlpm.array,_xlfn.RANDARRAY(1,COLUMNS(_xlfn.ANCHORARRAY(Q264)),0,1,FALSE),_xlpm.array/SUM(_xlpm.array))</f>
        <v>1.2069004307974151E-2</v>
      </c>
      <c r="R265" s="2">
        <f ca="1"/>
        <v>0.25791531413038049</v>
      </c>
      <c r="S265" s="2">
        <f ca="1"/>
        <v>0.35132964541037137</v>
      </c>
      <c r="T265" s="2">
        <f ca="1"/>
        <v>0.30846072716522827</v>
      </c>
      <c r="U265" s="2">
        <f ca="1"/>
        <v>7.0225308986045523E-2</v>
      </c>
      <c r="V265" s="12"/>
      <c r="X265" s="2" cm="1">
        <f t="array" aca="1" ref="X265" ca="1">MMULT(MMULT(_xlfn.ANCHORARRAY(Q265),$Q$9:$U$13),TRANSPOSE(_xlfn.ANCHORARRAY(Q265)))</f>
        <v>3.5555957632688777E-4</v>
      </c>
      <c r="Y265" s="2">
        <f t="shared" ca="1" si="12"/>
        <v>1.8856287448140149E-2</v>
      </c>
      <c r="Z265" s="2" cm="1">
        <f t="array" aca="1" ref="Z265" ca="1">MMULT(_xlfn.ANCHORARRAY(Q265),TRANSPOSE($Q$3:$U$3))</f>
        <v>1.1338743332511131E-3</v>
      </c>
      <c r="AA265" s="11">
        <f ca="1">AVEDEV(Q265*$Q$3,R265*$R$3,S265*$S$3,T265*$T$3,U265*$U$3)</f>
        <v>1.7285545773476572E-4</v>
      </c>
      <c r="AB265" s="11" cm="1">
        <f t="array" aca="1" ref="AB265" ca="1">MMULT(_xlfn.ANCHORARRAY(Q265),TRANSPOSE($Q$6:$U$6))</f>
        <v>-2.428785552747563E-2</v>
      </c>
      <c r="AD265" s="2" t="s">
        <v>256</v>
      </c>
      <c r="AE265" s="10" cm="1">
        <f t="array" aca="1" ref="AE265:AI265" ca="1">_xlfn.LET(_xlpm.array,_xlfn.RANDARRAY(1,COLUMNS(_xlfn.ANCHORARRAY(Q264)),-1,1,FALSE),_xlpm.array/SUM(_xlpm.array))</f>
        <v>26.669805197677974</v>
      </c>
      <c r="AF265" s="10">
        <f ca="1"/>
        <v>11.191412732349086</v>
      </c>
      <c r="AG265" s="10">
        <f ca="1"/>
        <v>-16.241199964955467</v>
      </c>
      <c r="AH265" s="10">
        <f ca="1"/>
        <v>-6.1170349176474987</v>
      </c>
      <c r="AI265" s="10">
        <f ca="1"/>
        <v>-14.502983047424093</v>
      </c>
      <c r="AJ265" s="1"/>
      <c r="AK265" s="2" cm="1">
        <f t="array" aca="1" ref="AK265" ca="1">MMULT(MMULT(_xlfn.ANCHORARRAY(AE265),$Q$9:$U$13),TRANSPOSE(_xlfn.ANCHORARRAY(AE265)))</f>
        <v>0.46536146021876557</v>
      </c>
      <c r="AL265" s="2">
        <f t="shared" ca="1" si="13"/>
        <v>0.68217406885542464</v>
      </c>
      <c r="AM265" s="2" cm="1">
        <f t="array" aca="1" ref="AM265" ca="1">MMULT(_xlfn.ANCHORARRAY(AE266),TRANSPOSE($Q$3:$U$3))</f>
        <v>1.0712210770765314E-3</v>
      </c>
    </row>
    <row r="266" spans="1:39" x14ac:dyDescent="0.35">
      <c r="A266" s="3">
        <v>44216</v>
      </c>
      <c r="B266" s="4">
        <v>28.499748229980401</v>
      </c>
      <c r="C266" s="4">
        <v>76.372840881347599</v>
      </c>
      <c r="D266" s="4">
        <v>35.644035339355398</v>
      </c>
      <c r="E266" s="4">
        <v>13.443107604980399</v>
      </c>
      <c r="F266" s="4">
        <v>214.77291870117099</v>
      </c>
      <c r="I266" s="5">
        <f>B266/B265-1</f>
        <v>-1.3121546322751865E-2</v>
      </c>
      <c r="J266" s="5">
        <f>C266/C265-1</f>
        <v>9.2052310739125787E-3</v>
      </c>
      <c r="K266" s="5">
        <f>D266/D265-1</f>
        <v>2.9254408043805968E-2</v>
      </c>
      <c r="L266" s="5">
        <f>E266/E265-1</f>
        <v>-7.0671198880166708E-3</v>
      </c>
      <c r="M266" s="5">
        <f>F266/F265-1</f>
        <v>3.6499541043047756E-2</v>
      </c>
      <c r="N266" s="5">
        <f>SUMPRODUCT(I266:M266,$AJ$13:$AN$13)</f>
        <v>2.7615682556982768E-2</v>
      </c>
      <c r="P266" s="2" t="s">
        <v>257</v>
      </c>
      <c r="Q266" s="10" cm="1">
        <f t="array" aca="1" ref="Q266:U266" ca="1">_xlfn.LET(_xlpm.array,_xlfn.RANDARRAY(1,COLUMNS(_xlfn.ANCHORARRAY(Q265)),0,1,FALSE),_xlpm.array/SUM(_xlpm.array))</f>
        <v>0.23061914487625074</v>
      </c>
      <c r="R266" s="2">
        <f ca="1"/>
        <v>0.19941020382509819</v>
      </c>
      <c r="S266" s="2">
        <f ca="1"/>
        <v>0.25201443012181518</v>
      </c>
      <c r="T266" s="2">
        <f ca="1"/>
        <v>0.11523063563771818</v>
      </c>
      <c r="U266" s="2">
        <f ca="1"/>
        <v>0.2027255855391176</v>
      </c>
      <c r="V266" s="12"/>
      <c r="X266" s="2" cm="1">
        <f t="array" aca="1" ref="X266" ca="1">MMULT(MMULT(_xlfn.ANCHORARRAY(Q266),$Q$9:$U$13),TRANSPOSE(_xlfn.ANCHORARRAY(Q266)))</f>
        <v>2.8671855435835999E-4</v>
      </c>
      <c r="Y266" s="2">
        <f t="shared" ca="1" si="12"/>
        <v>1.6932765703167336E-2</v>
      </c>
      <c r="Z266" s="2" cm="1">
        <f t="array" aca="1" ref="Z266" ca="1">MMULT(_xlfn.ANCHORARRAY(Q266),TRANSPOSE($Q$3:$U$3))</f>
        <v>9.4487709094167433E-4</v>
      </c>
      <c r="AA266" s="11">
        <f ca="1">AVEDEV(Q266*$Q$3,R266*$R$3,S266*$S$3,T266*$T$3,U266*$U$3)</f>
        <v>8.8118484472018193E-5</v>
      </c>
      <c r="AB266" s="11" cm="1">
        <f t="array" aca="1" ref="AB266" ca="1">MMULT(_xlfn.ANCHORARRAY(Q266),TRANSPOSE($Q$6:$U$6))</f>
        <v>-2.2913611062326689E-2</v>
      </c>
      <c r="AD266" s="2" t="s">
        <v>257</v>
      </c>
      <c r="AE266" s="10" cm="1">
        <f t="array" aca="1" ref="AE266:AI266" ca="1">_xlfn.LET(_xlpm.array,_xlfn.RANDARRAY(1,COLUMNS(_xlfn.ANCHORARRAY(Q265)),-1,1,FALSE),_xlpm.array/SUM(_xlpm.array))</f>
        <v>-6.3750670947005914E-2</v>
      </c>
      <c r="AF266" s="10">
        <f ca="1"/>
        <v>0.24617053355824783</v>
      </c>
      <c r="AG266" s="10">
        <f ca="1"/>
        <v>0.27879854672549131</v>
      </c>
      <c r="AH266" s="10">
        <f ca="1"/>
        <v>0.22978582148500742</v>
      </c>
      <c r="AI266" s="10">
        <f ca="1"/>
        <v>0.30899576917825933</v>
      </c>
      <c r="AJ266" s="1"/>
      <c r="AK266" s="2" cm="1">
        <f t="array" aca="1" ref="AK266" ca="1">MMULT(MMULT(_xlfn.ANCHORARRAY(AE266),$Q$9:$U$13),TRANSPOSE(_xlfn.ANCHORARRAY(AE266)))</f>
        <v>2.9681471821128933E-4</v>
      </c>
      <c r="AL266" s="2">
        <f t="shared" ca="1" si="13"/>
        <v>1.7228311531060997E-2</v>
      </c>
      <c r="AM266" s="2" cm="1">
        <f t="array" aca="1" ref="AM266" ca="1">MMULT(_xlfn.ANCHORARRAY(AE267),TRANSPOSE($Q$3:$U$3))</f>
        <v>1.7866833325109663E-4</v>
      </c>
    </row>
    <row r="267" spans="1:39" x14ac:dyDescent="0.35">
      <c r="A267" s="3">
        <v>44217</v>
      </c>
      <c r="B267" s="4">
        <v>27.9974250793457</v>
      </c>
      <c r="C267" s="4">
        <v>73.674407958984304</v>
      </c>
      <c r="D267" s="4">
        <v>35.574649810791001</v>
      </c>
      <c r="E267" s="4">
        <v>13.347428321838301</v>
      </c>
      <c r="F267" s="4">
        <v>215.37609863281199</v>
      </c>
      <c r="I267" s="5">
        <f>B267/B266-1</f>
        <v>-1.7625529411038121E-2</v>
      </c>
      <c r="J267" s="5">
        <f>C267/C266-1</f>
        <v>-3.533236280362495E-2</v>
      </c>
      <c r="K267" s="5">
        <f>D267/D266-1</f>
        <v>-1.9466238293111005E-3</v>
      </c>
      <c r="L267" s="5">
        <f>E267/E266-1</f>
        <v>-7.1173486037299227E-3</v>
      </c>
      <c r="M267" s="5">
        <f>F267/F266-1</f>
        <v>2.8084543213766633E-3</v>
      </c>
      <c r="N267" s="5">
        <f>SUMPRODUCT(I267:M267,$AJ$13:$AN$13)</f>
        <v>2.8540587838930464E-3</v>
      </c>
      <c r="P267" s="2" t="s">
        <v>258</v>
      </c>
      <c r="Q267" s="10" cm="1">
        <f t="array" aca="1" ref="Q267:U267" ca="1">_xlfn.LET(_xlpm.array,_xlfn.RANDARRAY(1,COLUMNS(_xlfn.ANCHORARRAY(Q266)),0,1,FALSE),_xlpm.array/SUM(_xlpm.array))</f>
        <v>0.28902842722693928</v>
      </c>
      <c r="R267" s="2">
        <f ca="1"/>
        <v>0.13411085763168071</v>
      </c>
      <c r="S267" s="2">
        <f ca="1"/>
        <v>0.23038134286749554</v>
      </c>
      <c r="T267" s="2">
        <f ca="1"/>
        <v>0.11333149978103348</v>
      </c>
      <c r="U267" s="2">
        <f ca="1"/>
        <v>0.23314787249285102</v>
      </c>
      <c r="V267" s="12"/>
      <c r="X267" s="2" cm="1">
        <f t="array" aca="1" ref="X267" ca="1">MMULT(MMULT(_xlfn.ANCHORARRAY(Q267),$Q$9:$U$13),TRANSPOSE(_xlfn.ANCHORARRAY(Q267)))</f>
        <v>2.8092952881913656E-4</v>
      </c>
      <c r="Y267" s="2">
        <f t="shared" ca="1" si="12"/>
        <v>1.6760952503337527E-2</v>
      </c>
      <c r="Z267" s="2" cm="1">
        <f t="array" aca="1" ref="Z267" ca="1">MMULT(_xlfn.ANCHORARRAY(Q267),TRANSPOSE($Q$3:$U$3))</f>
        <v>9.1307551920129216E-4</v>
      </c>
      <c r="AA267" s="11">
        <f ca="1">AVEDEV(Q267*$Q$3,R267*$R$3,S267*$S$3,T267*$T$3,U267*$U$3)</f>
        <v>7.6609750040402031E-5</v>
      </c>
      <c r="AB267" s="11" cm="1">
        <f t="array" aca="1" ref="AB267" ca="1">MMULT(_xlfn.ANCHORARRAY(Q267),TRANSPOSE($Q$6:$U$6))</f>
        <v>-2.2807895008396632E-2</v>
      </c>
      <c r="AD267" s="2" t="s">
        <v>258</v>
      </c>
      <c r="AE267" s="10" cm="1">
        <f t="array" aca="1" ref="AE267:AI267" ca="1">_xlfn.LET(_xlpm.array,_xlfn.RANDARRAY(1,COLUMNS(_xlfn.ANCHORARRAY(Q266)),-1,1,FALSE),_xlpm.array/SUM(_xlpm.array))</f>
        <v>-0.29208131147317312</v>
      </c>
      <c r="AF267" s="10">
        <f ca="1"/>
        <v>1.3018765623648285</v>
      </c>
      <c r="AG267" s="10">
        <f ca="1"/>
        <v>-1.001380217757992</v>
      </c>
      <c r="AH267" s="10">
        <f ca="1"/>
        <v>0.95130866517824042</v>
      </c>
      <c r="AI267" s="10">
        <f ca="1"/>
        <v>4.0276301688096122E-2</v>
      </c>
      <c r="AJ267" s="1"/>
      <c r="AK267" s="2" cm="1">
        <f t="array" aca="1" ref="AK267" ca="1">MMULT(MMULT(_xlfn.ANCHORARRAY(AE267),$Q$9:$U$13),TRANSPOSE(_xlfn.ANCHORARRAY(AE267)))</f>
        <v>1.9636310190179374E-3</v>
      </c>
      <c r="AL267" s="2">
        <f t="shared" ca="1" si="13"/>
        <v>4.4312876447122423E-2</v>
      </c>
      <c r="AM267" s="2" cm="1">
        <f t="array" aca="1" ref="AM267" ca="1">MMULT(_xlfn.ANCHORARRAY(AE268),TRANSPOSE($Q$3:$U$3))</f>
        <v>7.8220899813115558E-4</v>
      </c>
    </row>
    <row r="268" spans="1:39" x14ac:dyDescent="0.35">
      <c r="A268" s="3">
        <v>44218</v>
      </c>
      <c r="B268" s="4">
        <v>27.8035564422607</v>
      </c>
      <c r="C268" s="4">
        <v>73.450210571289006</v>
      </c>
      <c r="D268" s="4">
        <v>35.130538940429602</v>
      </c>
      <c r="E268" s="4">
        <v>13.156064987182599</v>
      </c>
      <c r="F268" s="4">
        <v>216.31428527832</v>
      </c>
      <c r="I268" s="5">
        <f>B268/B267-1</f>
        <v>-6.9245166845011141E-3</v>
      </c>
      <c r="J268" s="5">
        <f>C268/C267-1</f>
        <v>-3.0430836691638374E-3</v>
      </c>
      <c r="K268" s="5">
        <f>D268/D267-1</f>
        <v>-1.2483914043383892E-2</v>
      </c>
      <c r="L268" s="5">
        <f>E268/E267-1</f>
        <v>-1.4337094011031559E-2</v>
      </c>
      <c r="M268" s="5">
        <f>F268/F267-1</f>
        <v>4.3560388151866469E-3</v>
      </c>
      <c r="N268" s="5">
        <f>SUMPRODUCT(I268:M268,$AJ$13:$AN$13)</f>
        <v>-9.641655881143402E-3</v>
      </c>
      <c r="P268" s="2" t="s">
        <v>259</v>
      </c>
      <c r="Q268" s="10" cm="1">
        <f t="array" aca="1" ref="Q268:U268" ca="1">_xlfn.LET(_xlpm.array,_xlfn.RANDARRAY(1,COLUMNS(_xlfn.ANCHORARRAY(Q267)),0,1,FALSE),_xlpm.array/SUM(_xlpm.array))</f>
        <v>0.27467481514863334</v>
      </c>
      <c r="R268" s="2">
        <f ca="1"/>
        <v>0.19898236250118262</v>
      </c>
      <c r="S268" s="2">
        <f ca="1"/>
        <v>0.20011839978576498</v>
      </c>
      <c r="T268" s="2">
        <f ca="1"/>
        <v>0.14553401916096481</v>
      </c>
      <c r="U268" s="2">
        <f ca="1"/>
        <v>0.1806904034034543</v>
      </c>
      <c r="V268" s="12"/>
      <c r="X268" s="2" cm="1">
        <f t="array" aca="1" ref="X268" ca="1">MMULT(MMULT(_xlfn.ANCHORARRAY(Q268),$Q$9:$U$13),TRANSPOSE(_xlfn.ANCHORARRAY(Q268)))</f>
        <v>2.8156604724839424E-4</v>
      </c>
      <c r="Y268" s="2">
        <f t="shared" ca="1" si="12"/>
        <v>1.6779929894025013E-2</v>
      </c>
      <c r="Z268" s="2" cm="1">
        <f t="array" aca="1" ref="Z268" ca="1">MMULT(_xlfn.ANCHORARRAY(Q268),TRANSPOSE($Q$3:$U$3))</f>
        <v>8.9678136262082229E-4</v>
      </c>
      <c r="AA268" s="11">
        <f ca="1">AVEDEV(Q268*$Q$3,R268*$R$3,S268*$S$3,T268*$T$3,U268*$U$3)</f>
        <v>5.8254465381560899E-5</v>
      </c>
      <c r="AB268" s="11" cm="1">
        <f t="array" aca="1" ref="AB268" ca="1">MMULT(_xlfn.ANCHORARRAY(Q268),TRANSPOSE($Q$6:$U$6))</f>
        <v>-2.2766732996909213E-2</v>
      </c>
      <c r="AD268" s="2" t="s">
        <v>259</v>
      </c>
      <c r="AE268" s="10" cm="1">
        <f t="array" aca="1" ref="AE268:AI268" ca="1">_xlfn.LET(_xlpm.array,_xlfn.RANDARRAY(1,COLUMNS(_xlfn.ANCHORARRAY(Q267)),-1,1,FALSE),_xlpm.array/SUM(_xlpm.array))</f>
        <v>0.36626884442540564</v>
      </c>
      <c r="AF268" s="10">
        <f ca="1"/>
        <v>0.2593392328214012</v>
      </c>
      <c r="AG268" s="10">
        <f ca="1"/>
        <v>0.15655428396081147</v>
      </c>
      <c r="AH268" s="10">
        <f ca="1"/>
        <v>-5.5240097571841534E-2</v>
      </c>
      <c r="AI268" s="10">
        <f ca="1"/>
        <v>0.27307773636422322</v>
      </c>
      <c r="AJ268" s="1"/>
      <c r="AK268" s="2" cm="1">
        <f t="array" aca="1" ref="AK268" ca="1">MMULT(MMULT(_xlfn.ANCHORARRAY(AE268),$Q$9:$U$13),TRANSPOSE(_xlfn.ANCHORARRAY(AE268)))</f>
        <v>2.8118924949557518E-4</v>
      </c>
      <c r="AL268" s="2">
        <f t="shared" ca="1" si="13"/>
        <v>1.6768698503329803E-2</v>
      </c>
      <c r="AM268" s="2" cm="1">
        <f t="array" aca="1" ref="AM268" ca="1">MMULT(_xlfn.ANCHORARRAY(AE269),TRANSPOSE($Q$3:$U$3))</f>
        <v>8.7727513141775554E-4</v>
      </c>
    </row>
    <row r="269" spans="1:39" x14ac:dyDescent="0.35">
      <c r="A269" s="3">
        <v>44221</v>
      </c>
      <c r="B269" s="4">
        <v>27.4598579406738</v>
      </c>
      <c r="C269" s="4">
        <v>72.785629272460895</v>
      </c>
      <c r="D269" s="4">
        <v>35.010261535644503</v>
      </c>
      <c r="E269" s="4">
        <v>12.869021415710399</v>
      </c>
      <c r="F269" s="4">
        <v>219.741607666015</v>
      </c>
      <c r="I269" s="5">
        <f>B269/B268-1</f>
        <v>-1.2361674029027658E-2</v>
      </c>
      <c r="J269" s="5">
        <f>C269/C268-1</f>
        <v>-9.0480516483079088E-3</v>
      </c>
      <c r="K269" s="5">
        <f>D269/D268-1</f>
        <v>-3.4237278565254492E-3</v>
      </c>
      <c r="L269" s="5">
        <f>E269/E268-1</f>
        <v>-2.1818345512267912E-2</v>
      </c>
      <c r="M269" s="5">
        <f>F269/F268-1</f>
        <v>1.5844179607857445E-2</v>
      </c>
      <c r="N269" s="5">
        <f>SUMPRODUCT(I269:M269,$AJ$13:$AN$13)</f>
        <v>-2.8131298827196519E-3</v>
      </c>
      <c r="P269" s="2" t="s">
        <v>260</v>
      </c>
      <c r="Q269" s="10" cm="1">
        <f t="array" aca="1" ref="Q269:U269" ca="1">_xlfn.LET(_xlpm.array,_xlfn.RANDARRAY(1,COLUMNS(_xlfn.ANCHORARRAY(Q268)),0,1,FALSE),_xlpm.array/SUM(_xlpm.array))</f>
        <v>0.18901657466405183</v>
      </c>
      <c r="R269" s="2">
        <f ca="1"/>
        <v>2.1870152599324635E-2</v>
      </c>
      <c r="S269" s="2">
        <f ca="1"/>
        <v>0.20554414310708513</v>
      </c>
      <c r="T269" s="2">
        <f ca="1"/>
        <v>0.32410007383587769</v>
      </c>
      <c r="U269" s="2">
        <f ca="1"/>
        <v>0.2594690557936607</v>
      </c>
      <c r="V269" s="12"/>
      <c r="X269" s="2" cm="1">
        <f t="array" aca="1" ref="X269" ca="1">MMULT(MMULT(_xlfn.ANCHORARRAY(Q269),$Q$9:$U$13),TRANSPOSE(_xlfn.ANCHORARRAY(Q269)))</f>
        <v>2.7918697071044118E-4</v>
      </c>
      <c r="Y269" s="2">
        <f t="shared" ca="1" si="12"/>
        <v>1.6708888972952127E-2</v>
      </c>
      <c r="Z269" s="2" cm="1">
        <f t="array" aca="1" ref="Z269" ca="1">MMULT(_xlfn.ANCHORARRAY(Q269),TRANSPOSE($Q$3:$U$3))</f>
        <v>9.7540333572430611E-4</v>
      </c>
      <c r="AA269" s="11">
        <f ca="1">AVEDEV(Q269*$Q$3,R269*$R$3,S269*$S$3,T269*$T$3,U269*$U$3)</f>
        <v>1.1124957204467484E-4</v>
      </c>
      <c r="AB269" s="11" cm="1">
        <f t="array" aca="1" ref="AB269" ca="1">MMULT(_xlfn.ANCHORARRAY(Q269),TRANSPOSE($Q$6:$U$6))</f>
        <v>-2.3493858620774667E-2</v>
      </c>
      <c r="AD269" s="2" t="s">
        <v>260</v>
      </c>
      <c r="AE269" s="10" cm="1">
        <f t="array" aca="1" ref="AE269:AI269" ca="1">_xlfn.LET(_xlpm.array,_xlfn.RANDARRAY(1,COLUMNS(_xlfn.ANCHORARRAY(Q268)),-1,1,FALSE),_xlpm.array/SUM(_xlpm.array))</f>
        <v>-0.10704795401369688</v>
      </c>
      <c r="AF269" s="10">
        <f ca="1"/>
        <v>0.29357342700307143</v>
      </c>
      <c r="AG269" s="10">
        <f ca="1"/>
        <v>-0.14986223079581654</v>
      </c>
      <c r="AH269" s="10">
        <f ca="1"/>
        <v>0.87188334856163918</v>
      </c>
      <c r="AI269" s="10">
        <f ca="1"/>
        <v>9.1453409244802761E-2</v>
      </c>
      <c r="AJ269" s="1"/>
      <c r="AK269" s="2" cm="1">
        <f t="array" aca="1" ref="AK269" ca="1">MMULT(MMULT(_xlfn.ANCHORARRAY(AE269),$Q$9:$U$13),TRANSPOSE(_xlfn.ANCHORARRAY(AE269)))</f>
        <v>5.8191323092280235E-4</v>
      </c>
      <c r="AL269" s="2">
        <f t="shared" ca="1" si="13"/>
        <v>2.4122877749613587E-2</v>
      </c>
      <c r="AM269" s="2" cm="1">
        <f t="array" aca="1" ref="AM269" ca="1">MMULT(_xlfn.ANCHORARRAY(AE270),TRANSPOSE($Q$3:$U$3))</f>
        <v>-8.1522433851941023E-5</v>
      </c>
    </row>
    <row r="270" spans="1:39" x14ac:dyDescent="0.35">
      <c r="A270" s="3">
        <v>44222</v>
      </c>
      <c r="B270" s="4">
        <v>27.2659893035888</v>
      </c>
      <c r="C270" s="4">
        <v>71.552497863769503</v>
      </c>
      <c r="D270" s="4">
        <v>35.1768188476562</v>
      </c>
      <c r="E270" s="4">
        <v>12.5546464920043</v>
      </c>
      <c r="F270" s="4">
        <v>222.42221069335901</v>
      </c>
      <c r="I270" s="5">
        <f>B270/B269-1</f>
        <v>-7.0600742911287595E-3</v>
      </c>
      <c r="J270" s="5">
        <f>C270/C269-1</f>
        <v>-1.6941962596426441E-2</v>
      </c>
      <c r="K270" s="5">
        <f>D270/D269-1</f>
        <v>4.757385540868464E-3</v>
      </c>
      <c r="L270" s="5">
        <f>E270/E269-1</f>
        <v>-2.4428813470021349E-2</v>
      </c>
      <c r="M270" s="5">
        <f>F270/F269-1</f>
        <v>1.2198886937326181E-2</v>
      </c>
      <c r="N270" s="5">
        <f>SUMPRODUCT(I270:M270,$AJ$13:$AN$13)</f>
        <v>-2.2655767932004715E-3</v>
      </c>
      <c r="P270" s="2" t="s">
        <v>261</v>
      </c>
      <c r="Q270" s="10" cm="1">
        <f t="array" aca="1" ref="Q270:U270" ca="1">_xlfn.LET(_xlpm.array,_xlfn.RANDARRAY(1,COLUMNS(_xlfn.ANCHORARRAY(Q269)),0,1,FALSE),_xlpm.array/SUM(_xlpm.array))</f>
        <v>9.9141535175812742E-2</v>
      </c>
      <c r="R270" s="2">
        <f ca="1"/>
        <v>0.4287560071556144</v>
      </c>
      <c r="S270" s="2">
        <f ca="1"/>
        <v>1.3203788439364652E-2</v>
      </c>
      <c r="T270" s="2">
        <f ca="1"/>
        <v>0.12715213241152906</v>
      </c>
      <c r="U270" s="2">
        <f ca="1"/>
        <v>0.33174653681767913</v>
      </c>
      <c r="V270" s="12"/>
      <c r="X270" s="2" cm="1">
        <f t="array" aca="1" ref="X270" ca="1">MMULT(MMULT(_xlfn.ANCHORARRAY(Q270),$Q$9:$U$13),TRANSPOSE(_xlfn.ANCHORARRAY(Q270)))</f>
        <v>2.639186541198087E-4</v>
      </c>
      <c r="Y270" s="2">
        <f t="shared" ca="1" si="12"/>
        <v>1.6245573369992477E-2</v>
      </c>
      <c r="Z270" s="2" cm="1">
        <f t="array" aca="1" ref="Z270" ca="1">MMULT(_xlfn.ANCHORARRAY(Q270),TRANSPOSE($Q$3:$U$3))</f>
        <v>7.6856405631210213E-4</v>
      </c>
      <c r="AA270" s="11">
        <f ca="1">AVEDEV(Q270*$Q$3,R270*$R$3,S270*$S$3,T270*$T$3,U270*$U$3)</f>
        <v>1.0376254470394562E-4</v>
      </c>
      <c r="AB270" s="11" cm="1">
        <f t="array" aca="1" ref="AB270" ca="1">MMULT(_xlfn.ANCHORARRAY(Q270),TRANSPOSE($Q$6:$U$6))</f>
        <v>-2.1209981913683673E-2</v>
      </c>
      <c r="AD270" s="2" t="s">
        <v>261</v>
      </c>
      <c r="AE270" s="10" cm="1">
        <f t="array" aca="1" ref="AE270:AI270" ca="1">_xlfn.LET(_xlpm.array,_xlfn.RANDARRAY(1,COLUMNS(_xlfn.ANCHORARRAY(Q269)),-1,1,FALSE),_xlpm.array/SUM(_xlpm.array))</f>
        <v>-3.1694175286432098</v>
      </c>
      <c r="AF270" s="10">
        <f ca="1"/>
        <v>1.2320578924804499</v>
      </c>
      <c r="AG270" s="10">
        <f ca="1"/>
        <v>-2.9550319839882055</v>
      </c>
      <c r="AH270" s="10">
        <f ca="1"/>
        <v>3.5900041559338578</v>
      </c>
      <c r="AI270" s="10">
        <f ca="1"/>
        <v>2.3023874642171078</v>
      </c>
      <c r="AJ270" s="1"/>
      <c r="AK270" s="2" cm="1">
        <f t="array" aca="1" ref="AK270" ca="1">MMULT(MMULT(_xlfn.ANCHORARRAY(AE270),$Q$9:$U$13),TRANSPOSE(_xlfn.ANCHORARRAY(AE270)))</f>
        <v>1.3466862303952481E-2</v>
      </c>
      <c r="AL270" s="2">
        <f t="shared" ca="1" si="13"/>
        <v>0.11604681083059749</v>
      </c>
      <c r="AM270" s="2" cm="1">
        <f t="array" aca="1" ref="AM270" ca="1">MMULT(_xlfn.ANCHORARRAY(AE271),TRANSPOSE($Q$3:$U$3))</f>
        <v>1.060392259478099E-3</v>
      </c>
    </row>
    <row r="271" spans="1:39" x14ac:dyDescent="0.35">
      <c r="A271" s="3">
        <v>44223</v>
      </c>
      <c r="B271" s="4">
        <v>26.287796020507798</v>
      </c>
      <c r="C271" s="4">
        <v>70.623664855957003</v>
      </c>
      <c r="D271" s="4">
        <v>34.168312072753899</v>
      </c>
      <c r="E271" s="4">
        <v>12.199261665344199</v>
      </c>
      <c r="F271" s="4">
        <v>222.96788024902301</v>
      </c>
      <c r="I271" s="5">
        <f>B271/B270-1</f>
        <v>-3.5875950518041488E-2</v>
      </c>
      <c r="J271" s="5">
        <f>C271/C270-1</f>
        <v>-1.2981140219324394E-2</v>
      </c>
      <c r="K271" s="5">
        <f>D271/D270-1</f>
        <v>-2.8669641199505325E-2</v>
      </c>
      <c r="L271" s="5">
        <f>E271/E270-1</f>
        <v>-2.8307035716731321E-2</v>
      </c>
      <c r="M271" s="5">
        <f>F271/F270-1</f>
        <v>2.4533051531274719E-3</v>
      </c>
      <c r="N271" s="5">
        <f>SUMPRODUCT(I271:M271,$AJ$13:$AN$13)</f>
        <v>-1.6533538557237538E-2</v>
      </c>
      <c r="P271" s="2" t="s">
        <v>262</v>
      </c>
      <c r="Q271" s="10" cm="1">
        <f t="array" aca="1" ref="Q271:U271" ca="1">_xlfn.LET(_xlpm.array,_xlfn.RANDARRAY(1,COLUMNS(_xlfn.ANCHORARRAY(Q270)),0,1,FALSE),_xlpm.array/SUM(_xlpm.array))</f>
        <v>0.14233265914856835</v>
      </c>
      <c r="R271" s="2">
        <f ca="1"/>
        <v>0.20183301840407017</v>
      </c>
      <c r="S271" s="2">
        <f ca="1"/>
        <v>0.32338362217542521</v>
      </c>
      <c r="T271" s="2">
        <f ca="1"/>
        <v>0.31159177026798035</v>
      </c>
      <c r="U271" s="2">
        <f ca="1"/>
        <v>2.0858930003955976E-2</v>
      </c>
      <c r="V271" s="12"/>
      <c r="X271" s="2" cm="1">
        <f t="array" aca="1" ref="X271" ca="1">MMULT(MMULT(_xlfn.ANCHORARRAY(Q271),$Q$9:$U$13),TRANSPOSE(_xlfn.ANCHORARRAY(Q271)))</f>
        <v>3.4984247010596018E-4</v>
      </c>
      <c r="Y271" s="2">
        <f t="shared" ca="1" si="12"/>
        <v>1.8704076296517831E-2</v>
      </c>
      <c r="Z271" s="2" cm="1">
        <f t="array" aca="1" ref="Z271" ca="1">MMULT(_xlfn.ANCHORARRAY(Q271),TRANSPOSE($Q$3:$U$3))</f>
        <v>1.0791831651412733E-3</v>
      </c>
      <c r="AA271" s="11">
        <f ca="1">AVEDEV(Q271*$Q$3,R271*$R$3,S271*$S$3,T271*$T$3,U271*$U$3)</f>
        <v>1.647317901996357E-4</v>
      </c>
      <c r="AB271" s="11" cm="1">
        <f t="array" aca="1" ref="AB271" ca="1">MMULT(_xlfn.ANCHORARRAY(Q271),TRANSPOSE($Q$6:$U$6))</f>
        <v>-2.4273753360984671E-2</v>
      </c>
      <c r="AD271" s="2" t="s">
        <v>262</v>
      </c>
      <c r="AE271" s="10" cm="1">
        <f t="array" aca="1" ref="AE271:AI271" ca="1">_xlfn.LET(_xlpm.array,_xlfn.RANDARRAY(1,COLUMNS(_xlfn.ANCHORARRAY(Q270)),-1,1,FALSE),_xlpm.array/SUM(_xlpm.array))</f>
        <v>0.68817717656237176</v>
      </c>
      <c r="AF271" s="10">
        <f ca="1"/>
        <v>5.9451863007507065E-2</v>
      </c>
      <c r="AG271" s="10">
        <f ca="1"/>
        <v>0.39120509683490989</v>
      </c>
      <c r="AH271" s="10">
        <f ca="1"/>
        <v>0.53779163478404701</v>
      </c>
      <c r="AI271" s="10">
        <f ca="1"/>
        <v>-0.67662577118883582</v>
      </c>
      <c r="AJ271" s="1"/>
      <c r="AK271" s="2" cm="1">
        <f t="array" aca="1" ref="AK271" ca="1">MMULT(MMULT(_xlfn.ANCHORARRAY(AE271),$Q$9:$U$13),TRANSPOSE(_xlfn.ANCHORARRAY(AE271)))</f>
        <v>7.5459399452940926E-4</v>
      </c>
      <c r="AL271" s="2">
        <f t="shared" ca="1" si="13"/>
        <v>2.7469874308584108E-2</v>
      </c>
      <c r="AM271" s="2" cm="1">
        <f t="array" aca="1" ref="AM271" ca="1">MMULT(_xlfn.ANCHORARRAY(AE272),TRANSPOSE($Q$3:$U$3))</f>
        <v>5.3423167526681428E-4</v>
      </c>
    </row>
    <row r="272" spans="1:39" x14ac:dyDescent="0.35">
      <c r="A272" s="3">
        <v>44224</v>
      </c>
      <c r="B272" s="4">
        <v>26.719606399536101</v>
      </c>
      <c r="C272" s="4">
        <v>71.280258178710895</v>
      </c>
      <c r="D272" s="4">
        <v>34.196079254150298</v>
      </c>
      <c r="E272" s="4">
        <v>12.3701181411743</v>
      </c>
      <c r="F272" s="4">
        <v>228.74073791503901</v>
      </c>
      <c r="I272" s="5">
        <f>B272/B271-1</f>
        <v>1.6426267865569111E-2</v>
      </c>
      <c r="J272" s="5">
        <f>C272/C271-1</f>
        <v>9.2970723636767172E-3</v>
      </c>
      <c r="K272" s="5">
        <f>D272/D271-1</f>
        <v>8.1265885588011066E-4</v>
      </c>
      <c r="L272" s="5">
        <f>E272/E271-1</f>
        <v>1.4005476767128711E-2</v>
      </c>
      <c r="M272" s="5">
        <f>F272/F271-1</f>
        <v>2.5890983309203808E-2</v>
      </c>
      <c r="N272" s="5">
        <f>SUMPRODUCT(I272:M272,$AJ$13:$AN$13)</f>
        <v>1.0560773543239043E-2</v>
      </c>
      <c r="P272" s="2" t="s">
        <v>263</v>
      </c>
      <c r="Q272" s="10" cm="1">
        <f t="array" aca="1" ref="Q272:U272" ca="1">_xlfn.LET(_xlpm.array,_xlfn.RANDARRAY(1,COLUMNS(_xlfn.ANCHORARRAY(Q271)),0,1,FALSE),_xlpm.array/SUM(_xlpm.array))</f>
        <v>0.10558899940305079</v>
      </c>
      <c r="R272" s="2">
        <f ca="1"/>
        <v>0.34132494208918696</v>
      </c>
      <c r="S272" s="2">
        <f ca="1"/>
        <v>0.15004776860514688</v>
      </c>
      <c r="T272" s="2">
        <f ca="1"/>
        <v>0.10113236569198598</v>
      </c>
      <c r="U272" s="2">
        <f ca="1"/>
        <v>0.30190592421062939</v>
      </c>
      <c r="V272" s="12"/>
      <c r="X272" s="2" cm="1">
        <f t="array" aca="1" ref="X272" ca="1">MMULT(MMULT(_xlfn.ANCHORARRAY(Q272),$Q$9:$U$13),TRANSPOSE(_xlfn.ANCHORARRAY(Q272)))</f>
        <v>2.6214502626952614E-4</v>
      </c>
      <c r="Y272" s="2">
        <f t="shared" ca="1" si="12"/>
        <v>1.6190893312894323E-2</v>
      </c>
      <c r="Z272" s="2" cm="1">
        <f t="array" aca="1" ref="Z272" ca="1">MMULT(_xlfn.ANCHORARRAY(Q272),TRANSPOSE($Q$3:$U$3))</f>
        <v>8.8082416177463405E-4</v>
      </c>
      <c r="AA272" s="11">
        <f ca="1">AVEDEV(Q272*$Q$3,R272*$R$3,S272*$S$3,T272*$T$3,U272*$U$3)</f>
        <v>7.8138358055263379E-5</v>
      </c>
      <c r="AB272" s="11" cm="1">
        <f t="array" aca="1" ref="AB272" ca="1">MMULT(_xlfn.ANCHORARRAY(Q272),TRANSPOSE($Q$6:$U$6))</f>
        <v>-2.2008350497098879E-2</v>
      </c>
      <c r="AD272" s="2" t="s">
        <v>263</v>
      </c>
      <c r="AE272" s="10" cm="1">
        <f t="array" aca="1" ref="AE272:AI272" ca="1">_xlfn.LET(_xlpm.array,_xlfn.RANDARRAY(1,COLUMNS(_xlfn.ANCHORARRAY(Q271)),-1,1,FALSE),_xlpm.array/SUM(_xlpm.array))</f>
        <v>0.74421125971794566</v>
      </c>
      <c r="AF272" s="10">
        <f ca="1"/>
        <v>0.83553711552300558</v>
      </c>
      <c r="AG272" s="10">
        <f ca="1"/>
        <v>-0.13778033855619368</v>
      </c>
      <c r="AH272" s="10">
        <f ca="1"/>
        <v>0.41923273049898252</v>
      </c>
      <c r="AI272" s="10">
        <f ca="1"/>
        <v>-0.86120076718374017</v>
      </c>
      <c r="AJ272" s="1"/>
      <c r="AK272" s="2" cm="1">
        <f t="array" aca="1" ref="AK272" ca="1">MMULT(MMULT(_xlfn.ANCHORARRAY(AE272),$Q$9:$U$13),TRANSPOSE(_xlfn.ANCHORARRAY(AE272)))</f>
        <v>1.1650721621554205E-3</v>
      </c>
      <c r="AL272" s="2">
        <f t="shared" ca="1" si="13"/>
        <v>3.4133153416516036E-2</v>
      </c>
      <c r="AM272" s="2" cm="1">
        <f t="array" aca="1" ref="AM272" ca="1">MMULT(_xlfn.ANCHORARRAY(AE273),TRANSPOSE($Q$3:$U$3))</f>
        <v>-5.5016743945919509E-3</v>
      </c>
    </row>
    <row r="273" spans="1:39" x14ac:dyDescent="0.35">
      <c r="A273" s="3">
        <v>44225</v>
      </c>
      <c r="B273" s="4">
        <v>26.129167556762599</v>
      </c>
      <c r="C273" s="4">
        <v>68.221488952636705</v>
      </c>
      <c r="D273" s="4">
        <v>33.719585418701101</v>
      </c>
      <c r="E273" s="4">
        <v>12.117250442504799</v>
      </c>
      <c r="F273" s="4">
        <v>222.06797790527301</v>
      </c>
      <c r="I273" s="5">
        <f>B273/B272-1</f>
        <v>-2.2097587589604339E-2</v>
      </c>
      <c r="J273" s="5">
        <f>C273/C272-1</f>
        <v>-4.291187075116043E-2</v>
      </c>
      <c r="K273" s="5">
        <f>D273/D272-1</f>
        <v>-1.3934165724316716E-2</v>
      </c>
      <c r="L273" s="5">
        <f>E273/E272-1</f>
        <v>-2.0441817594920475E-2</v>
      </c>
      <c r="M273" s="5">
        <f>F273/F272-1</f>
        <v>-2.9171716724304964E-2</v>
      </c>
      <c r="N273" s="5">
        <f>SUMPRODUCT(I273:M273,$AJ$13:$AN$13)</f>
        <v>-1.8754620726370429E-2</v>
      </c>
      <c r="P273" s="2" t="s">
        <v>264</v>
      </c>
      <c r="Q273" s="10" cm="1">
        <f t="array" aca="1" ref="Q273:U273" ca="1">_xlfn.LET(_xlpm.array,_xlfn.RANDARRAY(1,COLUMNS(_xlfn.ANCHORARRAY(Q272)),0,1,FALSE),_xlpm.array/SUM(_xlpm.array))</f>
        <v>0.30876056642361577</v>
      </c>
      <c r="R273" s="2">
        <f ca="1"/>
        <v>0.18316647146796833</v>
      </c>
      <c r="S273" s="2">
        <f ca="1"/>
        <v>9.6659634533093966E-2</v>
      </c>
      <c r="T273" s="2">
        <f ca="1"/>
        <v>0.14005816024343304</v>
      </c>
      <c r="U273" s="2">
        <f ca="1"/>
        <v>0.2713551673318888</v>
      </c>
      <c r="V273" s="12"/>
      <c r="X273" s="2" cm="1">
        <f t="array" aca="1" ref="X273" ca="1">MMULT(MMULT(_xlfn.ANCHORARRAY(Q273),$Q$9:$U$13),TRANSPOSE(_xlfn.ANCHORARRAY(Q273)))</f>
        <v>2.607514898960902E-4</v>
      </c>
      <c r="Y273" s="2">
        <f t="shared" ca="1" si="12"/>
        <v>1.6147801395115381E-2</v>
      </c>
      <c r="Z273" s="2" cm="1">
        <f t="array" aca="1" ref="Z273" ca="1">MMULT(_xlfn.ANCHORARRAY(Q273),TRANSPOSE($Q$3:$U$3))</f>
        <v>7.9828988138381791E-4</v>
      </c>
      <c r="AA273" s="11">
        <f ca="1">AVEDEV(Q273*$Q$3,R273*$R$3,S273*$S$3,T273*$T$3,U273*$U$3)</f>
        <v>1.9155623787060446E-5</v>
      </c>
      <c r="AB273" s="11" cm="1">
        <f t="array" aca="1" ref="AB273" ca="1">MMULT(_xlfn.ANCHORARRAY(Q273),TRANSPOSE($Q$6:$U$6))</f>
        <v>-2.2055716677518072E-2</v>
      </c>
      <c r="AD273" s="2" t="s">
        <v>264</v>
      </c>
      <c r="AE273" s="10" cm="1">
        <f t="array" aca="1" ref="AE273:AI273" ca="1">_xlfn.LET(_xlpm.array,_xlfn.RANDARRAY(1,COLUMNS(_xlfn.ANCHORARRAY(Q272)),-1,1,FALSE),_xlpm.array/SUM(_xlpm.array))</f>
        <v>2.8122426970743866</v>
      </c>
      <c r="AF273" s="10">
        <f ca="1"/>
        <v>-11.722728629447015</v>
      </c>
      <c r="AG273" s="10">
        <f ca="1"/>
        <v>-9.2739324615707801</v>
      </c>
      <c r="AH273" s="10">
        <f ca="1"/>
        <v>7.8555065358678222</v>
      </c>
      <c r="AI273" s="10">
        <f ca="1"/>
        <v>11.328911858075585</v>
      </c>
      <c r="AJ273" s="1"/>
      <c r="AK273" s="2" cm="1">
        <f t="array" aca="1" ref="AK273" ca="1">MMULT(MMULT(_xlfn.ANCHORARRAY(AE273),$Q$9:$U$13),TRANSPOSE(_xlfn.ANCHORARRAY(AE273)))</f>
        <v>9.8459205865964489E-2</v>
      </c>
      <c r="AL273" s="2">
        <f t="shared" ca="1" si="13"/>
        <v>0.31378209933959661</v>
      </c>
      <c r="AM273" s="2" cm="1">
        <f t="array" aca="1" ref="AM273" ca="1">MMULT(_xlfn.ANCHORARRAY(AE274),TRANSPOSE($Q$3:$U$3))</f>
        <v>3.2006560829578789E-4</v>
      </c>
    </row>
    <row r="274" spans="1:39" x14ac:dyDescent="0.35">
      <c r="A274" s="3">
        <v>44228</v>
      </c>
      <c r="B274" s="4">
        <v>26.402360916137599</v>
      </c>
      <c r="C274" s="4">
        <v>69.190376281738196</v>
      </c>
      <c r="D274" s="4">
        <v>34.209957122802699</v>
      </c>
      <c r="E274" s="4">
        <v>12.2949419021606</v>
      </c>
      <c r="F274" s="4">
        <v>229.43006896972599</v>
      </c>
      <c r="I274" s="5">
        <f>B274/B273-1</f>
        <v>1.045549418218239E-2</v>
      </c>
      <c r="J274" s="5">
        <f>C274/C273-1</f>
        <v>1.4202084181630159E-2</v>
      </c>
      <c r="K274" s="5">
        <f>D274/D273-1</f>
        <v>1.4542637402345848E-2</v>
      </c>
      <c r="L274" s="5">
        <f>E274/E273-1</f>
        <v>1.4664338291836998E-2</v>
      </c>
      <c r="M274" s="5">
        <f>F274/F273-1</f>
        <v>3.3152420866341181E-2</v>
      </c>
      <c r="N274" s="5">
        <f>SUMPRODUCT(I274:M274,$AJ$13:$AN$13)</f>
        <v>2.2009239259466316E-2</v>
      </c>
      <c r="P274" s="2" t="s">
        <v>265</v>
      </c>
      <c r="Q274" s="10" cm="1">
        <f t="array" aca="1" ref="Q274:U274" ca="1">_xlfn.LET(_xlpm.array,_xlfn.RANDARRAY(1,COLUMNS(_xlfn.ANCHORARRAY(Q273)),0,1,FALSE),_xlpm.array/SUM(_xlpm.array))</f>
        <v>6.3797540550995499E-2</v>
      </c>
      <c r="R274" s="2">
        <f ca="1"/>
        <v>0.31891247648347959</v>
      </c>
      <c r="S274" s="2">
        <f ca="1"/>
        <v>0.31055496131867494</v>
      </c>
      <c r="T274" s="2">
        <f ca="1"/>
        <v>0.30530219589021179</v>
      </c>
      <c r="U274" s="2">
        <f ca="1"/>
        <v>1.4328257566381696E-3</v>
      </c>
      <c r="V274" s="12"/>
      <c r="X274" s="2" cm="1">
        <f t="array" aca="1" ref="X274" ca="1">MMULT(MMULT(_xlfn.ANCHORARRAY(Q274),$Q$9:$U$13),TRANSPOSE(_xlfn.ANCHORARRAY(Q274)))</f>
        <v>3.6233514727920682E-4</v>
      </c>
      <c r="Y274" s="2">
        <f t="shared" ca="1" si="12"/>
        <v>1.9035103027806463E-2</v>
      </c>
      <c r="Z274" s="2" cm="1">
        <f t="array" aca="1" ref="Z274" ca="1">MMULT(_xlfn.ANCHORARRAY(Q274),TRANSPOSE($Q$3:$U$3))</f>
        <v>1.0826465559352124E-3</v>
      </c>
      <c r="AA274" s="11">
        <f ca="1">AVEDEV(Q274*$Q$3,R274*$R$3,S274*$S$3,T274*$T$3,U274*$U$3)</f>
        <v>1.5981514382247268E-4</v>
      </c>
      <c r="AB274" s="11" cm="1">
        <f t="array" aca="1" ref="AB274" ca="1">MMULT(_xlfn.ANCHORARRAY(Q274),TRANSPOSE($Q$6:$U$6))</f>
        <v>-2.4090811263526465E-2</v>
      </c>
      <c r="AD274" s="2" t="s">
        <v>265</v>
      </c>
      <c r="AE274" s="10" cm="1">
        <f t="array" aca="1" ref="AE274:AI274" ca="1">_xlfn.LET(_xlpm.array,_xlfn.RANDARRAY(1,COLUMNS(_xlfn.ANCHORARRAY(Q273)),-1,1,FALSE),_xlpm.array/SUM(_xlpm.array))</f>
        <v>0.462295934248318</v>
      </c>
      <c r="AF274" s="10">
        <f ca="1"/>
        <v>0.78659602652257843</v>
      </c>
      <c r="AG274" s="10">
        <f ca="1"/>
        <v>-0.3643629220707475</v>
      </c>
      <c r="AH274" s="10">
        <f ca="1"/>
        <v>5.4951627113752524E-2</v>
      </c>
      <c r="AI274" s="10">
        <f ca="1"/>
        <v>6.0519334186098568E-2</v>
      </c>
      <c r="AJ274" s="1"/>
      <c r="AK274" s="2" cm="1">
        <f t="array" aca="1" ref="AK274" ca="1">MMULT(MMULT(_xlfn.ANCHORARRAY(AE274),$Q$9:$U$13),TRANSPOSE(_xlfn.ANCHORARRAY(AE274)))</f>
        <v>5.4267478161427692E-4</v>
      </c>
      <c r="AL274" s="2">
        <f t="shared" ca="1" si="13"/>
        <v>2.3295381121893603E-2</v>
      </c>
      <c r="AM274" s="2" cm="1">
        <f t="array" aca="1" ref="AM274" ca="1">MMULT(_xlfn.ANCHORARRAY(AE275),TRANSPOSE($Q$3:$U$3))</f>
        <v>4.2274735168841847E-4</v>
      </c>
    </row>
    <row r="275" spans="1:39" x14ac:dyDescent="0.35">
      <c r="A275" s="3">
        <v>44229</v>
      </c>
      <c r="B275" s="4">
        <v>27.345300674438398</v>
      </c>
      <c r="C275" s="4">
        <v>69.710845947265597</v>
      </c>
      <c r="D275" s="4">
        <v>35.699562072753899</v>
      </c>
      <c r="E275" s="4">
        <v>12.390622138976999</v>
      </c>
      <c r="F275" s="4">
        <v>229.29600524902301</v>
      </c>
      <c r="I275" s="5">
        <f>B275/B274-1</f>
        <v>3.5714221212863384E-2</v>
      </c>
      <c r="J275" s="5">
        <f>C275/C274-1</f>
        <v>7.5222840732660501E-3</v>
      </c>
      <c r="K275" s="5">
        <f>D275/D274-1</f>
        <v>4.3543023003624448E-2</v>
      </c>
      <c r="L275" s="5">
        <f>E275/E274-1</f>
        <v>7.7820812475402068E-3</v>
      </c>
      <c r="M275" s="5">
        <f>F275/F274-1</f>
        <v>-5.8433369830290793E-4</v>
      </c>
      <c r="N275" s="5">
        <f>SUMPRODUCT(I275:M275,$AJ$13:$AN$13)</f>
        <v>1.5537221271549634E-2</v>
      </c>
      <c r="P275" s="2" t="s">
        <v>266</v>
      </c>
      <c r="Q275" s="10" cm="1">
        <f t="array" aca="1" ref="Q275:U275" ca="1">_xlfn.LET(_xlpm.array,_xlfn.RANDARRAY(1,COLUMNS(_xlfn.ANCHORARRAY(Q274)),0,1,FALSE),_xlpm.array/SUM(_xlpm.array))</f>
        <v>0.4878045526055983</v>
      </c>
      <c r="R275" s="2">
        <f ca="1"/>
        <v>2.3115173362052332E-2</v>
      </c>
      <c r="S275" s="2">
        <f ca="1"/>
        <v>0.32367037327849724</v>
      </c>
      <c r="T275" s="2">
        <f ca="1"/>
        <v>0.15972040509620392</v>
      </c>
      <c r="U275" s="2">
        <f ca="1"/>
        <v>5.6894956576482086E-3</v>
      </c>
      <c r="V275" s="12"/>
      <c r="X275" s="2" cm="1">
        <f t="array" aca="1" ref="X275" ca="1">MMULT(MMULT(_xlfn.ANCHORARRAY(Q275),$Q$9:$U$13),TRANSPOSE(_xlfn.ANCHORARRAY(Q275)))</f>
        <v>3.5968572457635513E-4</v>
      </c>
      <c r="Y275" s="2">
        <f t="shared" ca="1" si="12"/>
        <v>1.8965382268131457E-2</v>
      </c>
      <c r="Z275" s="2" cm="1">
        <f t="array" aca="1" ref="Z275" ca="1">MMULT(_xlfn.ANCHORARRAY(Q275),TRANSPOSE($Q$3:$U$3))</f>
        <v>9.5797010575928441E-4</v>
      </c>
      <c r="AA275" s="11">
        <f ca="1">AVEDEV(Q275*$Q$3,R275*$R$3,S275*$S$3,T275*$T$3,U275*$U$3)</f>
        <v>1.5615109095876021E-4</v>
      </c>
      <c r="AB275" s="11" cm="1">
        <f t="array" aca="1" ref="AB275" ca="1">MMULT(_xlfn.ANCHORARRAY(Q275),TRANSPOSE($Q$6:$U$6))</f>
        <v>-2.3938381705802331E-2</v>
      </c>
      <c r="AD275" s="2" t="s">
        <v>266</v>
      </c>
      <c r="AE275" s="10" cm="1">
        <f t="array" aca="1" ref="AE275:AI275" ca="1">_xlfn.LET(_xlpm.array,_xlfn.RANDARRAY(1,COLUMNS(_xlfn.ANCHORARRAY(Q274)),-1,1,FALSE),_xlpm.array/SUM(_xlpm.array))</f>
        <v>-9.5380598464408092E-2</v>
      </c>
      <c r="AF275" s="10">
        <f ca="1"/>
        <v>0.64081261291377067</v>
      </c>
      <c r="AG275" s="10">
        <f ca="1"/>
        <v>-0.59593931936886324</v>
      </c>
      <c r="AH275" s="10">
        <f ca="1"/>
        <v>0.65273805233297655</v>
      </c>
      <c r="AI275" s="10">
        <f ca="1"/>
        <v>0.39776925258652412</v>
      </c>
      <c r="AJ275" s="1"/>
      <c r="AK275" s="2" cm="1">
        <f t="array" aca="1" ref="AK275" ca="1">MMULT(MMULT(_xlfn.ANCHORARRAY(AE275),$Q$9:$U$13),TRANSPOSE(_xlfn.ANCHORARRAY(AE275)))</f>
        <v>7.4506368109947794E-4</v>
      </c>
      <c r="AL275" s="2">
        <f t="shared" ca="1" si="13"/>
        <v>2.7295854650468045E-2</v>
      </c>
      <c r="AM275" s="2" cm="1">
        <f t="array" aca="1" ref="AM275" ca="1">MMULT(_xlfn.ANCHORARRAY(AE276),TRANSPOSE($Q$3:$U$3))</f>
        <v>8.6319731069861788E-4</v>
      </c>
    </row>
    <row r="276" spans="1:39" x14ac:dyDescent="0.35">
      <c r="A276" s="3">
        <v>44230</v>
      </c>
      <c r="B276" s="4">
        <v>27.829988479614201</v>
      </c>
      <c r="C276" s="4">
        <v>71.232223510742102</v>
      </c>
      <c r="D276" s="4">
        <v>35.967872619628899</v>
      </c>
      <c r="E276" s="4">
        <v>12.493136405944799</v>
      </c>
      <c r="F276" s="4">
        <v>232.63719177246</v>
      </c>
      <c r="I276" s="5">
        <f>B276/B275-1</f>
        <v>1.7724720270816841E-2</v>
      </c>
      <c r="J276" s="5">
        <f>C276/C275-1</f>
        <v>2.1824115642311792E-2</v>
      </c>
      <c r="K276" s="5">
        <f>D276/D275-1</f>
        <v>7.5157937883998382E-3</v>
      </c>
      <c r="L276" s="5">
        <f>E276/E275-1</f>
        <v>8.2735366971866675E-3</v>
      </c>
      <c r="M276" s="5">
        <f>F276/F275-1</f>
        <v>1.4571499053410708E-2</v>
      </c>
      <c r="N276" s="5">
        <f>SUMPRODUCT(I276:M276,$AJ$13:$AN$13)</f>
        <v>6.8054610543010242E-3</v>
      </c>
      <c r="P276" s="2" t="s">
        <v>267</v>
      </c>
      <c r="Q276" s="10" cm="1">
        <f t="array" aca="1" ref="Q276:U276" ca="1">_xlfn.LET(_xlpm.array,_xlfn.RANDARRAY(1,COLUMNS(_xlfn.ANCHORARRAY(Q275)),0,1,FALSE),_xlpm.array/SUM(_xlpm.array))</f>
        <v>0.16680706141479296</v>
      </c>
      <c r="R276" s="2">
        <f ca="1"/>
        <v>0.20622283688028886</v>
      </c>
      <c r="S276" s="2">
        <f ca="1"/>
        <v>0.18875817701532982</v>
      </c>
      <c r="T276" s="2">
        <f ca="1"/>
        <v>0.28505359513049011</v>
      </c>
      <c r="U276" s="2">
        <f ca="1"/>
        <v>0.15315832955909819</v>
      </c>
      <c r="V276" s="12"/>
      <c r="X276" s="2" cm="1">
        <f t="array" aca="1" ref="X276" ca="1">MMULT(MMULT(_xlfn.ANCHORARRAY(Q276),$Q$9:$U$13),TRANSPOSE(_xlfn.ANCHORARRAY(Q276)))</f>
        <v>2.9186978277294693E-4</v>
      </c>
      <c r="Y276" s="2">
        <f t="shared" ca="1" si="12"/>
        <v>1.7084196872342198E-2</v>
      </c>
      <c r="Z276" s="2" cm="1">
        <f t="array" aca="1" ref="Z276" ca="1">MMULT(_xlfn.ANCHORARRAY(Q276),TRANSPOSE($Q$3:$U$3))</f>
        <v>9.5027382470794437E-4</v>
      </c>
      <c r="AA276" s="11">
        <f ca="1">AVEDEV(Q276*$Q$3,R276*$R$3,S276*$S$3,T276*$T$3,U276*$U$3)</f>
        <v>8.7059812162499384E-5</v>
      </c>
      <c r="AB276" s="11" cm="1">
        <f t="array" aca="1" ref="AB276" ca="1">MMULT(_xlfn.ANCHORARRAY(Q276),TRANSPOSE($Q$6:$U$6))</f>
        <v>-2.3233138974679369E-2</v>
      </c>
      <c r="AD276" s="2" t="s">
        <v>267</v>
      </c>
      <c r="AE276" s="10" cm="1">
        <f t="array" aca="1" ref="AE276:AI276" ca="1">_xlfn.LET(_xlpm.array,_xlfn.RANDARRAY(1,COLUMNS(_xlfn.ANCHORARRAY(Q275)),-1,1,FALSE),_xlpm.array/SUM(_xlpm.array))</f>
        <v>0.87310926935470223</v>
      </c>
      <c r="AF276" s="10">
        <f ca="1"/>
        <v>-0.27379610643979369</v>
      </c>
      <c r="AG276" s="10">
        <f ca="1"/>
        <v>0.16509593417028262</v>
      </c>
      <c r="AH276" s="10">
        <f ca="1"/>
        <v>0.66625906927377743</v>
      </c>
      <c r="AI276" s="10">
        <f ca="1"/>
        <v>-0.43066816635896854</v>
      </c>
      <c r="AJ276" s="1"/>
      <c r="AK276" s="2" cm="1">
        <f t="array" aca="1" ref="AK276" ca="1">MMULT(MMULT(_xlfn.ANCHORARRAY(AE276),$Q$9:$U$13),TRANSPOSE(_xlfn.ANCHORARRAY(AE276)))</f>
        <v>6.4539434309372756E-4</v>
      </c>
      <c r="AL276" s="2">
        <f t="shared" ca="1" si="13"/>
        <v>2.5404612634199474E-2</v>
      </c>
      <c r="AM276" s="2" cm="1">
        <f t="array" aca="1" ref="AM276" ca="1">MMULT(_xlfn.ANCHORARRAY(AE277),TRANSPOSE($Q$3:$U$3))</f>
        <v>-1.3417684348407204E-3</v>
      </c>
    </row>
    <row r="277" spans="1:39" x14ac:dyDescent="0.35">
      <c r="A277" s="3">
        <v>44231</v>
      </c>
      <c r="B277" s="4">
        <v>28.640739440917901</v>
      </c>
      <c r="C277" s="4">
        <v>71.264251708984304</v>
      </c>
      <c r="D277" s="4">
        <v>36.689537048339801</v>
      </c>
      <c r="E277" s="4">
        <v>12.4247922897338</v>
      </c>
      <c r="F277" s="4">
        <v>231.68937683105401</v>
      </c>
      <c r="I277" s="5">
        <f>B277/B276-1</f>
        <v>2.9132278006424039E-2</v>
      </c>
      <c r="J277" s="5">
        <f>C277/C276-1</f>
        <v>4.4963075225878946E-4</v>
      </c>
      <c r="K277" s="5">
        <f>D277/D276-1</f>
        <v>2.0064139915716428E-2</v>
      </c>
      <c r="L277" s="5">
        <f>E277/E276-1</f>
        <v>-5.4705330983562117E-3</v>
      </c>
      <c r="M277" s="5">
        <f>F277/F276-1</f>
        <v>-4.0742193205850485E-3</v>
      </c>
      <c r="N277" s="5">
        <f>SUMPRODUCT(I277:M277,$AJ$13:$AN$13)</f>
        <v>-1.9104442465204326E-3</v>
      </c>
      <c r="P277" s="2" t="s">
        <v>268</v>
      </c>
      <c r="Q277" s="10" cm="1">
        <f t="array" aca="1" ref="Q277:U277" ca="1">_xlfn.LET(_xlpm.array,_xlfn.RANDARRAY(1,COLUMNS(_xlfn.ANCHORARRAY(Q276)),0,1,FALSE),_xlpm.array/SUM(_xlpm.array))</f>
        <v>0.21908599801309878</v>
      </c>
      <c r="R277" s="2">
        <f ca="1"/>
        <v>4.4421368552941924E-2</v>
      </c>
      <c r="S277" s="2">
        <f ca="1"/>
        <v>0.26831670919859596</v>
      </c>
      <c r="T277" s="2">
        <f ca="1"/>
        <v>0.27688902826496842</v>
      </c>
      <c r="U277" s="2">
        <f ca="1"/>
        <v>0.19128689597039492</v>
      </c>
      <c r="V277" s="12"/>
      <c r="X277" s="2" cm="1">
        <f t="array" aca="1" ref="X277" ca="1">MMULT(MMULT(_xlfn.ANCHORARRAY(Q277),$Q$9:$U$13),TRANSPOSE(_xlfn.ANCHORARRAY(Q277)))</f>
        <v>2.9674628942550588E-4</v>
      </c>
      <c r="Y277" s="2">
        <f t="shared" ca="1" si="12"/>
        <v>1.7226325476592676E-2</v>
      </c>
      <c r="Z277" s="2" cm="1">
        <f t="array" aca="1" ref="Z277" ca="1">MMULT(_xlfn.ANCHORARRAY(Q277),TRANSPOSE($Q$3:$U$3))</f>
        <v>1.0087154836723252E-3</v>
      </c>
      <c r="AA277" s="11">
        <f ca="1">AVEDEV(Q277*$Q$3,R277*$R$3,S277*$S$3,T277*$T$3,U277*$U$3)</f>
        <v>1.2605396930196315E-4</v>
      </c>
      <c r="AB277" s="11" cm="1">
        <f t="array" aca="1" ref="AB277" ca="1">MMULT(_xlfn.ANCHORARRAY(Q277),TRANSPOSE($Q$6:$U$6))</f>
        <v>-2.3752032530408376E-2</v>
      </c>
      <c r="AD277" s="2" t="s">
        <v>268</v>
      </c>
      <c r="AE277" s="10" cm="1">
        <f t="array" aca="1" ref="AE277:AI277" ca="1">_xlfn.LET(_xlpm.array,_xlfn.RANDARRAY(1,COLUMNS(_xlfn.ANCHORARRAY(Q276)),-1,1,FALSE),_xlpm.array/SUM(_xlpm.array))</f>
        <v>2.2513204166176548</v>
      </c>
      <c r="AF277" s="10">
        <f ca="1"/>
        <v>1.2319739461589523</v>
      </c>
      <c r="AG277" s="10">
        <f ca="1"/>
        <v>-1.3334255649774691</v>
      </c>
      <c r="AH277" s="10">
        <f ca="1"/>
        <v>-1.3267603683886511</v>
      </c>
      <c r="AI277" s="10">
        <f ca="1"/>
        <v>0.17689157058951338</v>
      </c>
      <c r="AJ277" s="1"/>
      <c r="AK277" s="2" cm="1">
        <f t="array" aca="1" ref="AK277" ca="1">MMULT(MMULT(_xlfn.ANCHORARRAY(AE277),$Q$9:$U$13),TRANSPOSE(_xlfn.ANCHORARRAY(AE277)))</f>
        <v>3.1407713172560314E-3</v>
      </c>
      <c r="AL277" s="2">
        <f t="shared" ca="1" si="13"/>
        <v>5.6042584855233356E-2</v>
      </c>
      <c r="AM277" s="2" cm="1">
        <f t="array" aca="1" ref="AM277" ca="1">MMULT(_xlfn.ANCHORARRAY(AE278),TRANSPOSE($Q$3:$U$3))</f>
        <v>8.6279783254033203E-4</v>
      </c>
    </row>
    <row r="278" spans="1:39" x14ac:dyDescent="0.35">
      <c r="A278" s="3">
        <v>44232</v>
      </c>
      <c r="B278" s="4">
        <v>28.526178359985298</v>
      </c>
      <c r="C278" s="4">
        <v>71.472427368164006</v>
      </c>
      <c r="D278" s="4">
        <v>36.828327178955</v>
      </c>
      <c r="E278" s="4">
        <v>12.499971389770501</v>
      </c>
      <c r="F278" s="4">
        <v>231.87130737304599</v>
      </c>
      <c r="I278" s="5">
        <f>B278/B277-1</f>
        <v>-3.9999344698807837E-3</v>
      </c>
      <c r="J278" s="5">
        <f>C278/C277-1</f>
        <v>2.9211793316767931E-3</v>
      </c>
      <c r="K278" s="5">
        <f>D278/D277-1</f>
        <v>3.7828258893628508E-3</v>
      </c>
      <c r="L278" s="5">
        <f>E278/E277-1</f>
        <v>6.0507329445513847E-3</v>
      </c>
      <c r="M278" s="5">
        <f>F278/F277-1</f>
        <v>7.8523471589564409E-4</v>
      </c>
      <c r="N278" s="5">
        <f>SUMPRODUCT(I278:M278,$AJ$13:$AN$13)</f>
        <v>6.1202940241898898E-3</v>
      </c>
      <c r="P278" s="2" t="s">
        <v>269</v>
      </c>
      <c r="Q278" s="10" cm="1">
        <f t="array" aca="1" ref="Q278:U278" ca="1">_xlfn.LET(_xlpm.array,_xlfn.RANDARRAY(1,COLUMNS(_xlfn.ANCHORARRAY(Q277)),0,1,FALSE),_xlpm.array/SUM(_xlpm.array))</f>
        <v>7.4016793697819133E-2</v>
      </c>
      <c r="R278" s="2">
        <f ca="1"/>
        <v>0.16134721519245226</v>
      </c>
      <c r="S278" s="2">
        <f ca="1"/>
        <v>0.17707188933244788</v>
      </c>
      <c r="T278" s="2">
        <f ca="1"/>
        <v>0.26220783687666471</v>
      </c>
      <c r="U278" s="2">
        <f ca="1"/>
        <v>0.32535626490061603</v>
      </c>
      <c r="V278" s="12"/>
      <c r="X278" s="2" cm="1">
        <f t="array" aca="1" ref="X278" ca="1">MMULT(MMULT(_xlfn.ANCHORARRAY(Q278),$Q$9:$U$13),TRANSPOSE(_xlfn.ANCHORARRAY(Q278)))</f>
        <v>2.6542460844620742E-4</v>
      </c>
      <c r="Y278" s="2">
        <f t="shared" ca="1" si="12"/>
        <v>1.629185712085051E-2</v>
      </c>
      <c r="Z278" s="2" cm="1">
        <f t="array" aca="1" ref="Z278" ca="1">MMULT(_xlfn.ANCHORARRAY(Q278),TRANSPOSE($Q$3:$U$3))</f>
        <v>9.5973167818693718E-4</v>
      </c>
      <c r="AA278" s="11">
        <f ca="1">AVEDEV(Q278*$Q$3,R278*$R$3,S278*$S$3,T278*$T$3,U278*$U$3)</f>
        <v>9.1380750650669806E-5</v>
      </c>
      <c r="AB278" s="11" cm="1">
        <f t="array" aca="1" ref="AB278" ca="1">MMULT(_xlfn.ANCHORARRAY(Q278),TRANSPOSE($Q$6:$U$6))</f>
        <v>-2.2877746278629318E-2</v>
      </c>
      <c r="AD278" s="2" t="s">
        <v>269</v>
      </c>
      <c r="AE278" s="10" cm="1">
        <f t="array" aca="1" ref="AE278:AI278" ca="1">_xlfn.LET(_xlpm.array,_xlfn.RANDARRAY(1,COLUMNS(_xlfn.ANCHORARRAY(Q277)),-1,1,FALSE),_xlpm.array/SUM(_xlpm.array))</f>
        <v>1.2466572428480518</v>
      </c>
      <c r="AF278" s="10">
        <f ca="1"/>
        <v>-1.0856188643199607</v>
      </c>
      <c r="AG278" s="10">
        <f ca="1"/>
        <v>0.78186324653154615</v>
      </c>
      <c r="AH278" s="10">
        <f ca="1"/>
        <v>-1.1351628606515023</v>
      </c>
      <c r="AI278" s="10">
        <f ca="1"/>
        <v>1.1922612355918649</v>
      </c>
      <c r="AJ278" s="1"/>
      <c r="AK278" s="2" cm="1">
        <f t="array" aca="1" ref="AK278" ca="1">MMULT(MMULT(_xlfn.ANCHORARRAY(AE278),$Q$9:$U$13),TRANSPOSE(_xlfn.ANCHORARRAY(AE278)))</f>
        <v>2.5810025237953268E-3</v>
      </c>
      <c r="AL278" s="2">
        <f t="shared" ca="1" si="13"/>
        <v>5.0803568022288817E-2</v>
      </c>
      <c r="AM278" s="2" cm="1">
        <f t="array" aca="1" ref="AM278" ca="1">MMULT(_xlfn.ANCHORARRAY(AE279),TRANSPOSE($Q$3:$U$3))</f>
        <v>8.9635686085263739E-4</v>
      </c>
    </row>
    <row r="279" spans="1:39" x14ac:dyDescent="0.35">
      <c r="A279" s="3">
        <v>44235</v>
      </c>
      <c r="B279" s="4">
        <v>29.160680770873999</v>
      </c>
      <c r="C279" s="4">
        <v>73.250030517578097</v>
      </c>
      <c r="D279" s="4">
        <v>36.980979919433501</v>
      </c>
      <c r="E279" s="4">
        <v>12.622989654541</v>
      </c>
      <c r="F279" s="4">
        <v>232.12977600097599</v>
      </c>
      <c r="I279" s="5">
        <f>B279/B278-1</f>
        <v>2.2242811598581991E-2</v>
      </c>
      <c r="J279" s="5">
        <f>C279/C278-1</f>
        <v>2.4871173610172992E-2</v>
      </c>
      <c r="K279" s="5">
        <f>D279/D278-1</f>
        <v>4.1449816533001282E-3</v>
      </c>
      <c r="L279" s="5">
        <f>E279/E278-1</f>
        <v>9.841483707008436E-3</v>
      </c>
      <c r="M279" s="5">
        <f>F279/F278-1</f>
        <v>1.1147072523043366E-3</v>
      </c>
      <c r="N279" s="5">
        <f>SUMPRODUCT(I279:M279,$AJ$13:$AN$13)</f>
        <v>-1.1870108698023847E-4</v>
      </c>
      <c r="P279" s="2" t="s">
        <v>270</v>
      </c>
      <c r="Q279" s="10" cm="1">
        <f t="array" aca="1" ref="Q279:U279" ca="1">_xlfn.LET(_xlpm.array,_xlfn.RANDARRAY(1,COLUMNS(_xlfn.ANCHORARRAY(Q278)),0,1,FALSE),_xlpm.array/SUM(_xlpm.array))</f>
        <v>0.24747193033772777</v>
      </c>
      <c r="R279" s="2">
        <f ca="1"/>
        <v>6.1813475765984748E-2</v>
      </c>
      <c r="S279" s="2">
        <f ca="1"/>
        <v>0.33559627785427226</v>
      </c>
      <c r="T279" s="2">
        <f ca="1"/>
        <v>0.13898484985114071</v>
      </c>
      <c r="U279" s="2">
        <f ca="1"/>
        <v>0.21613346619087445</v>
      </c>
      <c r="V279" s="12"/>
      <c r="X279" s="2" cm="1">
        <f t="array" aca="1" ref="X279" ca="1">MMULT(MMULT(_xlfn.ANCHORARRAY(Q279),$Q$9:$U$13),TRANSPOSE(_xlfn.ANCHORARRAY(Q279)))</f>
        <v>3.1141858794128121E-4</v>
      </c>
      <c r="Y279" s="2">
        <f t="shared" ca="1" si="12"/>
        <v>1.7647056070100791E-2</v>
      </c>
      <c r="Z279" s="2" cm="1">
        <f t="array" aca="1" ref="Z279" ca="1">MMULT(_xlfn.ANCHORARRAY(Q279),TRANSPOSE($Q$3:$U$3))</f>
        <v>1.0232237181559409E-3</v>
      </c>
      <c r="AA279" s="11">
        <f ca="1">AVEDEV(Q279*$Q$3,R279*$R$3,S279*$S$3,T279*$T$3,U279*$U$3)</f>
        <v>1.3614554843114558E-4</v>
      </c>
      <c r="AB279" s="11" cm="1">
        <f t="array" aca="1" ref="AB279" ca="1">MMULT(_xlfn.ANCHORARRAY(Q279),TRANSPOSE($Q$6:$U$6))</f>
        <v>-2.3580393202649701E-2</v>
      </c>
      <c r="AD279" s="2" t="s">
        <v>270</v>
      </c>
      <c r="AE279" s="10" cm="1">
        <f t="array" aca="1" ref="AE279:AI279" ca="1">_xlfn.LET(_xlpm.array,_xlfn.RANDARRAY(1,COLUMNS(_xlfn.ANCHORARRAY(Q278)),-1,1,FALSE),_xlpm.array/SUM(_xlpm.array))</f>
        <v>0.52775281470044988</v>
      </c>
      <c r="AF279" s="10">
        <f ca="1"/>
        <v>-0.69442796718657851</v>
      </c>
      <c r="AG279" s="10">
        <f ca="1"/>
        <v>0.12206114168631867</v>
      </c>
      <c r="AH279" s="10">
        <f ca="1"/>
        <v>0.53754755496762596</v>
      </c>
      <c r="AI279" s="10">
        <f ca="1"/>
        <v>0.5070664558321839</v>
      </c>
      <c r="AJ279" s="1"/>
      <c r="AK279" s="2" cm="1">
        <f t="array" aca="1" ref="AK279" ca="1">MMULT(MMULT(_xlfn.ANCHORARRAY(AE279),$Q$9:$U$13),TRANSPOSE(_xlfn.ANCHORARRAY(AE279)))</f>
        <v>3.8652592012435939E-4</v>
      </c>
      <c r="AL279" s="2">
        <f t="shared" ca="1" si="13"/>
        <v>1.966026246326227E-2</v>
      </c>
      <c r="AM279" s="2" cm="1">
        <f t="array" aca="1" ref="AM279" ca="1">MMULT(_xlfn.ANCHORARRAY(AE280),TRANSPOSE($Q$3:$U$3))</f>
        <v>6.8619817184271774E-4</v>
      </c>
    </row>
    <row r="280" spans="1:39" x14ac:dyDescent="0.35">
      <c r="A280" s="3">
        <v>44236</v>
      </c>
      <c r="B280" s="4">
        <v>29.037309646606399</v>
      </c>
      <c r="C280" s="4">
        <v>72.833648681640597</v>
      </c>
      <c r="D280" s="4">
        <v>36.819065093994098</v>
      </c>
      <c r="E280" s="4">
        <v>12.609320640563899</v>
      </c>
      <c r="F280" s="4">
        <v>233.37431335449199</v>
      </c>
      <c r="I280" s="5">
        <f>B280/B279-1</f>
        <v>-4.2307353945874038E-3</v>
      </c>
      <c r="J280" s="5">
        <f>C280/C279-1</f>
        <v>-5.6843912964320564E-3</v>
      </c>
      <c r="K280" s="5">
        <f>D280/D279-1</f>
        <v>-4.3783270695408882E-3</v>
      </c>
      <c r="L280" s="5">
        <f>E280/E279-1</f>
        <v>-1.082866606975541E-3</v>
      </c>
      <c r="M280" s="5">
        <f>F280/F279-1</f>
        <v>5.3613860959860205E-3</v>
      </c>
      <c r="N280" s="5">
        <f>SUMPRODUCT(I280:M280,$AJ$13:$AN$13)</f>
        <v>4.1511340798987902E-4</v>
      </c>
      <c r="P280" s="2" t="s">
        <v>271</v>
      </c>
      <c r="Q280" s="10" cm="1">
        <f t="array" aca="1" ref="Q280:U280" ca="1">_xlfn.LET(_xlpm.array,_xlfn.RANDARRAY(1,COLUMNS(_xlfn.ANCHORARRAY(Q279)),0,1,FALSE),_xlpm.array/SUM(_xlpm.array))</f>
        <v>0.20016379103278756</v>
      </c>
      <c r="R280" s="2">
        <f ca="1"/>
        <v>0.2303355994218392</v>
      </c>
      <c r="S280" s="2">
        <f ca="1"/>
        <v>0.25424620774119699</v>
      </c>
      <c r="T280" s="2">
        <f ca="1"/>
        <v>2.472805376218052E-2</v>
      </c>
      <c r="U280" s="2">
        <f ca="1"/>
        <v>0.29052634804199562</v>
      </c>
      <c r="V280" s="12"/>
      <c r="X280" s="2" cm="1">
        <f t="array" aca="1" ref="X280" ca="1">MMULT(MMULT(_xlfn.ANCHORARRAY(Q280),$Q$9:$U$13),TRANSPOSE(_xlfn.ANCHORARRAY(Q280)))</f>
        <v>2.8158976197111696E-4</v>
      </c>
      <c r="Y280" s="2">
        <f t="shared" ca="1" si="12"/>
        <v>1.6780636518651994E-2</v>
      </c>
      <c r="Z280" s="2" cm="1">
        <f t="array" aca="1" ref="Z280" ca="1">MMULT(_xlfn.ANCHORARRAY(Q280),TRANSPOSE($Q$3:$U$3))</f>
        <v>9.3030137244195339E-4</v>
      </c>
      <c r="AA280" s="11">
        <f ca="1">AVEDEV(Q280*$Q$3,R280*$R$3,S280*$S$3,T280*$T$3,U280*$U$3)</f>
        <v>1.05194270190191E-4</v>
      </c>
      <c r="AB280" s="11" cm="1">
        <f t="array" aca="1" ref="AB280" ca="1">MMULT(_xlfn.ANCHORARRAY(Q280),TRANSPOSE($Q$6:$U$6))</f>
        <v>-2.2443162638323536E-2</v>
      </c>
      <c r="AD280" s="2" t="s">
        <v>271</v>
      </c>
      <c r="AE280" s="10" cm="1">
        <f t="array" aca="1" ref="AE280:AI280" ca="1">_xlfn.LET(_xlpm.array,_xlfn.RANDARRAY(1,COLUMNS(_xlfn.ANCHORARRAY(Q279)),-1,1,FALSE),_xlpm.array/SUM(_xlpm.array))</f>
        <v>1.0113794535818579</v>
      </c>
      <c r="AF280" s="10">
        <f ca="1"/>
        <v>-0.64208224491497501</v>
      </c>
      <c r="AG280" s="10">
        <f ca="1"/>
        <v>0.51636063754516348</v>
      </c>
      <c r="AH280" s="10">
        <f ca="1"/>
        <v>-1.1099063199399712</v>
      </c>
      <c r="AI280" s="10">
        <f ca="1"/>
        <v>1.2242484737279247</v>
      </c>
      <c r="AJ280" s="1"/>
      <c r="AK280" s="2" cm="1">
        <f t="array" aca="1" ref="AK280" ca="1">MMULT(MMULT(_xlfn.ANCHORARRAY(AE280),$Q$9:$U$13),TRANSPOSE(_xlfn.ANCHORARRAY(AE280)))</f>
        <v>1.8657668258844884E-3</v>
      </c>
      <c r="AL280" s="2">
        <f t="shared" ca="1" si="13"/>
        <v>4.3194523100556263E-2</v>
      </c>
      <c r="AM280" s="2" cm="1">
        <f t="array" aca="1" ref="AM280" ca="1">MMULT(_xlfn.ANCHORARRAY(AE281),TRANSPOSE($Q$3:$U$3))</f>
        <v>-8.0814072103757963E-4</v>
      </c>
    </row>
    <row r="281" spans="1:39" x14ac:dyDescent="0.35">
      <c r="A281" s="3">
        <v>44237</v>
      </c>
      <c r="B281" s="4">
        <v>29.063745498657202</v>
      </c>
      <c r="C281" s="4">
        <v>74.082778930664006</v>
      </c>
      <c r="D281" s="4">
        <v>36.814445495605398</v>
      </c>
      <c r="E281" s="4">
        <v>12.335948944091699</v>
      </c>
      <c r="F281" s="4">
        <v>232.46488952636699</v>
      </c>
      <c r="I281" s="5">
        <f>B281/B280-1</f>
        <v>9.1040982696188877E-4</v>
      </c>
      <c r="J281" s="5">
        <f>C281/C280-1</f>
        <v>1.7150455478118554E-2</v>
      </c>
      <c r="K281" s="5">
        <f>D281/D280-1</f>
        <v>-1.2546756352738164E-4</v>
      </c>
      <c r="L281" s="5">
        <f>E281/E280-1</f>
        <v>-2.1680128871714888E-2</v>
      </c>
      <c r="M281" s="5">
        <f>F281/F280-1</f>
        <v>-3.8968462940631721E-3</v>
      </c>
      <c r="N281" s="5">
        <f>SUMPRODUCT(I281:M281,$AJ$13:$AN$13)</f>
        <v>-1.2322414988721178E-2</v>
      </c>
      <c r="P281" s="2" t="s">
        <v>272</v>
      </c>
      <c r="Q281" s="10" cm="1">
        <f t="array" aca="1" ref="Q281:U281" ca="1">_xlfn.LET(_xlpm.array,_xlfn.RANDARRAY(1,COLUMNS(_xlfn.ANCHORARRAY(Q280)),0,1,FALSE),_xlpm.array/SUM(_xlpm.array))</f>
        <v>0.19261195022464539</v>
      </c>
      <c r="R281" s="2">
        <f ca="1"/>
        <v>0.28343923657412534</v>
      </c>
      <c r="S281" s="2">
        <f ca="1"/>
        <v>0.39767274336836439</v>
      </c>
      <c r="T281" s="2">
        <f ca="1"/>
        <v>2.7957715990695759E-2</v>
      </c>
      <c r="U281" s="2">
        <f ca="1"/>
        <v>9.8318353842169096E-2</v>
      </c>
      <c r="V281" s="12"/>
      <c r="X281" s="2" cm="1">
        <f t="array" aca="1" ref="X281" ca="1">MMULT(MMULT(_xlfn.ANCHORARRAY(Q281),$Q$9:$U$13),TRANSPOSE(_xlfn.ANCHORARRAY(Q281)))</f>
        <v>3.5003735433973077E-4</v>
      </c>
      <c r="Y281" s="2">
        <f t="shared" ca="1" si="12"/>
        <v>1.8709285243956562E-2</v>
      </c>
      <c r="Z281" s="2" cm="1">
        <f t="array" aca="1" ref="Z281" ca="1">MMULT(_xlfn.ANCHORARRAY(Q281),TRANSPOSE($Q$3:$U$3))</f>
        <v>1.054454791998114E-3</v>
      </c>
      <c r="AA281" s="11">
        <f ca="1">AVEDEV(Q281*$Q$3,R281*$R$3,S281*$S$3,T281*$T$3,U281*$U$3)</f>
        <v>1.7397195372004511E-4</v>
      </c>
      <c r="AB281" s="11" cm="1">
        <f t="array" aca="1" ref="AB281" ca="1">MMULT(_xlfn.ANCHORARRAY(Q281),TRANSPOSE($Q$6:$U$6))</f>
        <v>-2.3480267654322741E-2</v>
      </c>
      <c r="AD281" s="2" t="s">
        <v>272</v>
      </c>
      <c r="AE281" s="10" cm="1">
        <f t="array" aca="1" ref="AE281:AI281" ca="1">_xlfn.LET(_xlpm.array,_xlfn.RANDARRAY(1,COLUMNS(_xlfn.ANCHORARRAY(Q280)),-1,1,FALSE),_xlpm.array/SUM(_xlpm.array))</f>
        <v>-4.4675400824919596</v>
      </c>
      <c r="AF281" s="10">
        <f ca="1"/>
        <v>3.5871285428818842</v>
      </c>
      <c r="AG281" s="10">
        <f ca="1"/>
        <v>-3.690159305633899</v>
      </c>
      <c r="AH281" s="10">
        <f ca="1"/>
        <v>2.2400303702418936</v>
      </c>
      <c r="AI281" s="10">
        <f ca="1"/>
        <v>3.3305404750020808</v>
      </c>
      <c r="AJ281" s="1"/>
      <c r="AK281" s="2" cm="1">
        <f t="array" aca="1" ref="AK281" ca="1">MMULT(MMULT(_xlfn.ANCHORARRAY(AE281),$Q$9:$U$13),TRANSPOSE(_xlfn.ANCHORARRAY(AE281)))</f>
        <v>1.8651414212139297E-2</v>
      </c>
      <c r="AL281" s="2">
        <f t="shared" ca="1" si="13"/>
        <v>0.13657018053784398</v>
      </c>
      <c r="AM281" s="2" cm="1">
        <f t="array" aca="1" ref="AM281" ca="1">MMULT(_xlfn.ANCHORARRAY(AE282),TRANSPOSE($Q$3:$U$3))</f>
        <v>1.1492526571480659E-3</v>
      </c>
    </row>
    <row r="282" spans="1:39" x14ac:dyDescent="0.35">
      <c r="A282" s="3">
        <v>44238</v>
      </c>
      <c r="B282" s="4">
        <v>28.975622177123999</v>
      </c>
      <c r="C282" s="4">
        <v>73.682418823242102</v>
      </c>
      <c r="D282" s="4">
        <v>36.777431488037102</v>
      </c>
      <c r="E282" s="4">
        <v>12.2878150939941</v>
      </c>
      <c r="F282" s="4">
        <v>234.06362915039</v>
      </c>
      <c r="I282" s="5">
        <f>B282/B281-1</f>
        <v>-3.0320703688130335E-3</v>
      </c>
      <c r="J282" s="5">
        <f>C282/C281-1</f>
        <v>-5.4042263694861203E-3</v>
      </c>
      <c r="K282" s="5">
        <f>D282/D281-1</f>
        <v>-1.0054207545435734E-3</v>
      </c>
      <c r="L282" s="5">
        <f>E282/E281-1</f>
        <v>-3.9019170973995099E-3</v>
      </c>
      <c r="M282" s="5">
        <f>F282/F281-1</f>
        <v>6.877338024165125E-3</v>
      </c>
      <c r="N282" s="5">
        <f>SUMPRODUCT(I282:M282,$AJ$13:$AN$13)</f>
        <v>1.0046227638077828E-3</v>
      </c>
      <c r="P282" s="2" t="s">
        <v>273</v>
      </c>
      <c r="Q282" s="10" cm="1">
        <f t="array" aca="1" ref="Q282:U282" ca="1">_xlfn.LET(_xlpm.array,_xlfn.RANDARRAY(1,COLUMNS(_xlfn.ANCHORARRAY(Q281)),0,1,FALSE),_xlpm.array/SUM(_xlpm.array))</f>
        <v>4.5593998670670211E-3</v>
      </c>
      <c r="R282" s="2">
        <f ca="1"/>
        <v>0.29026349976344284</v>
      </c>
      <c r="S282" s="2">
        <f ca="1"/>
        <v>0.31818136342796927</v>
      </c>
      <c r="T282" s="2">
        <f ca="1"/>
        <v>0.22023703796828165</v>
      </c>
      <c r="U282" s="2">
        <f ca="1"/>
        <v>0.16675869897323914</v>
      </c>
      <c r="V282" s="12"/>
      <c r="X282" s="2" cm="1">
        <f t="array" aca="1" ref="X282" ca="1">MMULT(MMULT(_xlfn.ANCHORARRAY(Q282),$Q$9:$U$13),TRANSPOSE(_xlfn.ANCHORARRAY(Q282)))</f>
        <v>3.202918732000625E-4</v>
      </c>
      <c r="Y282" s="2">
        <f t="shared" ref="Y282:Y345" ca="1" si="14">SQRT(X282)</f>
        <v>1.7896700064538782E-2</v>
      </c>
      <c r="Z282" s="2" cm="1">
        <f t="array" aca="1" ref="Z282" ca="1">MMULT(_xlfn.ANCHORARRAY(Q282),TRANSPOSE($Q$3:$U$3))</f>
        <v>1.0835497777329744E-3</v>
      </c>
      <c r="AA282" s="11">
        <f ca="1">AVEDEV(Q282*$Q$3,R282*$R$3,S282*$S$3,T282*$T$3,U282*$U$3)</f>
        <v>1.2332191963688275E-4</v>
      </c>
      <c r="AB282" s="11" cm="1">
        <f t="array" aca="1" ref="AB282" ca="1">MMULT(_xlfn.ANCHORARRAY(Q282),TRANSPOSE($Q$6:$U$6))</f>
        <v>-2.3615064908888889E-2</v>
      </c>
      <c r="AD282" s="2" t="s">
        <v>273</v>
      </c>
      <c r="AE282" s="10" cm="1">
        <f t="array" aca="1" ref="AE282:AI282" ca="1">_xlfn.LET(_xlpm.array,_xlfn.RANDARRAY(1,COLUMNS(_xlfn.ANCHORARRAY(Q281)),-1,1,FALSE),_xlpm.array/SUM(_xlpm.array))</f>
        <v>-1.041346274569013</v>
      </c>
      <c r="AF282" s="10">
        <f ca="1"/>
        <v>-4.7287191590077812E-2</v>
      </c>
      <c r="AG282" s="10">
        <f ca="1"/>
        <v>-0.27098345379317568</v>
      </c>
      <c r="AH282" s="10">
        <f ca="1"/>
        <v>1.3567330818613443</v>
      </c>
      <c r="AI282" s="10">
        <f ca="1"/>
        <v>1.0028838380909222</v>
      </c>
      <c r="AJ282" s="1"/>
      <c r="AK282" s="2" cm="1">
        <f t="array" aca="1" ref="AK282" ca="1">MMULT(MMULT(_xlfn.ANCHORARRAY(AE282),$Q$9:$U$13),TRANSPOSE(_xlfn.ANCHORARRAY(AE282)))</f>
        <v>1.0989445526162966E-3</v>
      </c>
      <c r="AL282" s="2">
        <f t="shared" ref="AL282:AL345" ca="1" si="15">SQRT(AK282)</f>
        <v>3.315033261697832E-2</v>
      </c>
      <c r="AM282" s="2" cm="1">
        <f t="array" aca="1" ref="AM282" ca="1">MMULT(_xlfn.ANCHORARRAY(AE283),TRANSPOSE($Q$3:$U$3))</f>
        <v>2.5817215426992245E-4</v>
      </c>
    </row>
    <row r="283" spans="1:39" x14ac:dyDescent="0.35">
      <c r="A283" s="3">
        <v>44239</v>
      </c>
      <c r="B283" s="4">
        <v>29.407428741455</v>
      </c>
      <c r="C283" s="4">
        <v>74.106803894042898</v>
      </c>
      <c r="D283" s="4">
        <v>37.031867980957003</v>
      </c>
      <c r="E283" s="4">
        <v>12.356573104858301</v>
      </c>
      <c r="F283" s="4">
        <v>234.54229736328099</v>
      </c>
      <c r="I283" s="5">
        <f>B283/B282-1</f>
        <v>1.4902408710723458E-2</v>
      </c>
      <c r="J283" s="5">
        <f>C283/C282-1</f>
        <v>5.759651726673809E-3</v>
      </c>
      <c r="K283" s="5">
        <f>D283/D282-1</f>
        <v>6.9182779390850602E-3</v>
      </c>
      <c r="L283" s="5">
        <f>E283/E282-1</f>
        <v>5.5956254499474056E-3</v>
      </c>
      <c r="M283" s="5">
        <f>F283/F282-1</f>
        <v>2.0450345687130778E-3</v>
      </c>
      <c r="N283" s="5">
        <f>SUMPRODUCT(I283:M283,$AJ$13:$AN$13)</f>
        <v>2.401214270533972E-3</v>
      </c>
      <c r="P283" s="2" t="s">
        <v>274</v>
      </c>
      <c r="Q283" s="10" cm="1">
        <f t="array" aca="1" ref="Q283:U283" ca="1">_xlfn.LET(_xlpm.array,_xlfn.RANDARRAY(1,COLUMNS(_xlfn.ANCHORARRAY(Q282)),0,1,FALSE),_xlpm.array/SUM(_xlpm.array))</f>
        <v>3.3603356727531265E-2</v>
      </c>
      <c r="R283" s="2">
        <f ca="1"/>
        <v>0.21817323632518182</v>
      </c>
      <c r="S283" s="2">
        <f ca="1"/>
        <v>0.30555164684694697</v>
      </c>
      <c r="T283" s="2">
        <f ca="1"/>
        <v>0.15673360397210179</v>
      </c>
      <c r="U283" s="2">
        <f ca="1"/>
        <v>0.28593815612823814</v>
      </c>
      <c r="V283" s="12"/>
      <c r="X283" s="2" cm="1">
        <f t="array" aca="1" ref="X283" ca="1">MMULT(MMULT(_xlfn.ANCHORARRAY(Q283),$Q$9:$U$13),TRANSPOSE(_xlfn.ANCHORARRAY(Q283)))</f>
        <v>2.953354115306613E-4</v>
      </c>
      <c r="Y283" s="2">
        <f t="shared" ca="1" si="14"/>
        <v>1.7185325470606059E-2</v>
      </c>
      <c r="Z283" s="2" cm="1">
        <f t="array" aca="1" ref="Z283" ca="1">MMULT(_xlfn.ANCHORARRAY(Q283),TRANSPOSE($Q$3:$U$3))</f>
        <v>1.0514361319205539E-3</v>
      </c>
      <c r="AA283" s="11">
        <f ca="1">AVEDEV(Q283*$Q$3,R283*$R$3,S283*$S$3,T283*$T$3,U283*$U$3)</f>
        <v>1.1773701934286256E-4</v>
      </c>
      <c r="AB283" s="11" cm="1">
        <f t="array" aca="1" ref="AB283" ca="1">MMULT(_xlfn.ANCHORARRAY(Q283),TRANSPOSE($Q$6:$U$6))</f>
        <v>-2.3215824973056416E-2</v>
      </c>
      <c r="AD283" s="2" t="s">
        <v>274</v>
      </c>
      <c r="AE283" s="10" cm="1">
        <f t="array" aca="1" ref="AE283:AI283" ca="1">_xlfn.LET(_xlpm.array,_xlfn.RANDARRAY(1,COLUMNS(_xlfn.ANCHORARRAY(Q282)),-1,1,FALSE),_xlpm.array/SUM(_xlpm.array))</f>
        <v>0.83663235689760129</v>
      </c>
      <c r="AF283" s="10">
        <f ca="1"/>
        <v>0.45040580096935245</v>
      </c>
      <c r="AG283" s="10">
        <f ca="1"/>
        <v>-0.52628780779772644</v>
      </c>
      <c r="AH283" s="10">
        <f ca="1"/>
        <v>0.68449730597888203</v>
      </c>
      <c r="AI283" s="10">
        <f ca="1"/>
        <v>-0.44524765604810945</v>
      </c>
      <c r="AJ283" s="1"/>
      <c r="AK283" s="2" cm="1">
        <f t="array" aca="1" ref="AK283" ca="1">MMULT(MMULT(_xlfn.ANCHORARRAY(AE283),$Q$9:$U$13),TRANSPOSE(_xlfn.ANCHORARRAY(AE283)))</f>
        <v>1.1210997881822469E-3</v>
      </c>
      <c r="AL283" s="2">
        <f t="shared" ca="1" si="15"/>
        <v>3.3482828258411007E-2</v>
      </c>
      <c r="AM283" s="2" cm="1">
        <f t="array" aca="1" ref="AM283" ca="1">MMULT(_xlfn.ANCHORARRAY(AE284),TRANSPOSE($Q$3:$U$3))</f>
        <v>5.5872199610247078E-4</v>
      </c>
    </row>
    <row r="284" spans="1:39" x14ac:dyDescent="0.35">
      <c r="A284" s="3">
        <v>44243</v>
      </c>
      <c r="B284" s="4">
        <v>30.200565338134702</v>
      </c>
      <c r="C284" s="4">
        <v>75.625312805175696</v>
      </c>
      <c r="D284" s="4">
        <v>36.749679565429602</v>
      </c>
      <c r="E284" s="4">
        <v>12.6385021209716</v>
      </c>
      <c r="F284" s="4">
        <v>233.30731201171801</v>
      </c>
      <c r="I284" s="5">
        <f>B284/B283-1</f>
        <v>2.6970620371227216E-2</v>
      </c>
      <c r="J284" s="5">
        <f>C284/C283-1</f>
        <v>2.0490816380422272E-2</v>
      </c>
      <c r="K284" s="5">
        <f>D284/D283-1</f>
        <v>-7.6201507218731646E-3</v>
      </c>
      <c r="L284" s="5">
        <f>E284/E283-1</f>
        <v>2.281611687324947E-2</v>
      </c>
      <c r="M284" s="5">
        <f>F284/F283-1</f>
        <v>-5.2655122996860815E-3</v>
      </c>
      <c r="N284" s="5">
        <f>SUMPRODUCT(I284:M284,$AJ$13:$AN$13)</f>
        <v>-3.5371257266117568E-3</v>
      </c>
      <c r="P284" s="2" t="s">
        <v>275</v>
      </c>
      <c r="Q284" s="10" cm="1">
        <f t="array" aca="1" ref="Q284:U284" ca="1">_xlfn.LET(_xlpm.array,_xlfn.RANDARRAY(1,COLUMNS(_xlfn.ANCHORARRAY(Q283)),0,1,FALSE),_xlpm.array/SUM(_xlpm.array))</f>
        <v>0.34509565980896512</v>
      </c>
      <c r="R284" s="2">
        <f ca="1"/>
        <v>0.27636178282583984</v>
      </c>
      <c r="S284" s="2">
        <f ca="1"/>
        <v>2.8072116041284925E-2</v>
      </c>
      <c r="T284" s="2">
        <f ca="1"/>
        <v>0.15995462496688537</v>
      </c>
      <c r="U284" s="2">
        <f ca="1"/>
        <v>0.19051581635702478</v>
      </c>
      <c r="V284" s="12"/>
      <c r="X284" s="2" cm="1">
        <f t="array" aca="1" ref="X284" ca="1">MMULT(MMULT(_xlfn.ANCHORARRAY(Q284),$Q$9:$U$13),TRANSPOSE(_xlfn.ANCHORARRAY(Q284)))</f>
        <v>2.8084301466261825E-4</v>
      </c>
      <c r="Y284" s="2">
        <f t="shared" ca="1" si="14"/>
        <v>1.675837148002807E-2</v>
      </c>
      <c r="Z284" s="2" cm="1">
        <f t="array" aca="1" ref="Z284" ca="1">MMULT(_xlfn.ANCHORARRAY(Q284),TRANSPOSE($Q$3:$U$3))</f>
        <v>7.3192201163408224E-4</v>
      </c>
      <c r="AA284" s="11">
        <f ca="1">AVEDEV(Q284*$Q$3,R284*$R$3,S284*$S$3,T284*$T$3,U284*$U$3)</f>
        <v>4.0585166793753829E-5</v>
      </c>
      <c r="AB284" s="11" cm="1">
        <f t="array" aca="1" ref="AB284" ca="1">MMULT(_xlfn.ANCHORARRAY(Q284),TRANSPOSE($Q$6:$U$6))</f>
        <v>-2.1771786674499246E-2</v>
      </c>
      <c r="AD284" s="2" t="s">
        <v>275</v>
      </c>
      <c r="AE284" s="10" cm="1">
        <f t="array" aca="1" ref="AE284:AI284" ca="1">_xlfn.LET(_xlpm.array,_xlfn.RANDARRAY(1,COLUMNS(_xlfn.ANCHORARRAY(Q283)),-1,1,FALSE),_xlpm.array/SUM(_xlpm.array))</f>
        <v>0.18687643128371292</v>
      </c>
      <c r="AF284" s="10">
        <f ca="1"/>
        <v>0.74151538902739378</v>
      </c>
      <c r="AG284" s="10">
        <f ca="1"/>
        <v>0.1186546470657177</v>
      </c>
      <c r="AH284" s="10">
        <f ca="1"/>
        <v>-0.91310674708959438</v>
      </c>
      <c r="AI284" s="10">
        <f ca="1"/>
        <v>0.86606027971277</v>
      </c>
      <c r="AJ284" s="1"/>
      <c r="AK284" s="2" cm="1">
        <f t="array" aca="1" ref="AK284" ca="1">MMULT(MMULT(_xlfn.ANCHORARRAY(AE284),$Q$9:$U$13),TRANSPOSE(_xlfn.ANCHORARRAY(AE284)))</f>
        <v>6.2737514531573135E-4</v>
      </c>
      <c r="AL284" s="2">
        <f t="shared" ca="1" si="15"/>
        <v>2.5047457861342562E-2</v>
      </c>
      <c r="AM284" s="2" cm="1">
        <f t="array" aca="1" ref="AM284" ca="1">MMULT(_xlfn.ANCHORARRAY(AE285),TRANSPOSE($Q$3:$U$3))</f>
        <v>3.6938782568793392E-3</v>
      </c>
    </row>
    <row r="285" spans="1:39" x14ac:dyDescent="0.35">
      <c r="A285" s="3">
        <v>44244</v>
      </c>
      <c r="B285" s="4">
        <v>30.323938369750898</v>
      </c>
      <c r="C285" s="4">
        <v>77.890914916992102</v>
      </c>
      <c r="D285" s="4">
        <v>36.666412353515597</v>
      </c>
      <c r="E285" s="4">
        <v>12.617870330810501</v>
      </c>
      <c r="F285" s="4">
        <v>234.32443237304599</v>
      </c>
      <c r="I285" s="5">
        <f>B285/B284-1</f>
        <v>4.0851232496768031E-3</v>
      </c>
      <c r="J285" s="5">
        <f>C285/C284-1</f>
        <v>2.9958251116964041E-2</v>
      </c>
      <c r="K285" s="5">
        <f>D285/D284-1</f>
        <v>-2.2657942300083889E-3</v>
      </c>
      <c r="L285" s="5">
        <f>E285/E284-1</f>
        <v>-1.6324553308310064E-3</v>
      </c>
      <c r="M285" s="5">
        <f>F285/F284-1</f>
        <v>4.3595734422454679E-3</v>
      </c>
      <c r="N285" s="5">
        <f>SUMPRODUCT(I285:M285,$AJ$13:$AN$13)</f>
        <v>-2.6491702905385179E-3</v>
      </c>
      <c r="P285" s="2" t="s">
        <v>276</v>
      </c>
      <c r="Q285" s="10" cm="1">
        <f t="array" aca="1" ref="Q285:U285" ca="1">_xlfn.LET(_xlpm.array,_xlfn.RANDARRAY(1,COLUMNS(_xlfn.ANCHORARRAY(Q284)),0,1,FALSE),_xlpm.array/SUM(_xlpm.array))</f>
        <v>0.22522142222974384</v>
      </c>
      <c r="R285" s="2">
        <f ca="1"/>
        <v>0.11486679520870111</v>
      </c>
      <c r="S285" s="2">
        <f ca="1"/>
        <v>0.18831621152257666</v>
      </c>
      <c r="T285" s="2">
        <f ca="1"/>
        <v>0.2114311212165452</v>
      </c>
      <c r="U285" s="2">
        <f ca="1"/>
        <v>0.26016444982243331</v>
      </c>
      <c r="V285" s="12"/>
      <c r="X285" s="2" cm="1">
        <f t="array" aca="1" ref="X285" ca="1">MMULT(MMULT(_xlfn.ANCHORARRAY(Q285),$Q$9:$U$13),TRANSPOSE(_xlfn.ANCHORARRAY(Q285)))</f>
        <v>2.6862641680772424E-4</v>
      </c>
      <c r="Y285" s="2">
        <f t="shared" ca="1" si="14"/>
        <v>1.6389826625310112E-2</v>
      </c>
      <c r="Z285" s="2" cm="1">
        <f t="array" aca="1" ref="Z285" ca="1">MMULT(_xlfn.ANCHORARRAY(Q285),TRANSPOSE($Q$3:$U$3))</f>
        <v>9.1916326240941209E-4</v>
      </c>
      <c r="AA285" s="11">
        <f ca="1">AVEDEV(Q285*$Q$3,R285*$R$3,S285*$S$3,T285*$T$3,U285*$U$3)</f>
        <v>6.7726857199047795E-5</v>
      </c>
      <c r="AB285" s="11" cm="1">
        <f t="array" aca="1" ref="AB285" ca="1">MMULT(_xlfn.ANCHORARRAY(Q285),TRANSPOSE($Q$6:$U$6))</f>
        <v>-2.2902938473962547E-2</v>
      </c>
      <c r="AD285" s="2" t="s">
        <v>276</v>
      </c>
      <c r="AE285" s="10" cm="1">
        <f t="array" aca="1" ref="AE285:AI285" ca="1">_xlfn.LET(_xlpm.array,_xlfn.RANDARRAY(1,COLUMNS(_xlfn.ANCHORARRAY(Q284)),-1,1,FALSE),_xlpm.array/SUM(_xlpm.array))</f>
        <v>-2.0464232158591908</v>
      </c>
      <c r="AF285" s="10">
        <f ca="1"/>
        <v>4.1199931241524581</v>
      </c>
      <c r="AG285" s="10">
        <f ca="1"/>
        <v>3.6688408946398798</v>
      </c>
      <c r="AH285" s="10">
        <f ca="1"/>
        <v>-2.3584527260503521</v>
      </c>
      <c r="AI285" s="10">
        <f ca="1"/>
        <v>-2.383958076882795</v>
      </c>
      <c r="AJ285" s="1"/>
      <c r="AK285" s="2" cm="1">
        <f t="array" aca="1" ref="AK285" ca="1">MMULT(MMULT(_xlfn.ANCHORARRAY(AE285),$Q$9:$U$13),TRANSPOSE(_xlfn.ANCHORARRAY(AE285)))</f>
        <v>1.2682196661784681E-2</v>
      </c>
      <c r="AL285" s="2">
        <f t="shared" ca="1" si="15"/>
        <v>0.11261525945352469</v>
      </c>
      <c r="AM285" s="2" cm="1">
        <f t="array" aca="1" ref="AM285" ca="1">MMULT(_xlfn.ANCHORARRAY(AE286),TRANSPOSE($Q$3:$U$3))</f>
        <v>1.0748353270677315E-3</v>
      </c>
    </row>
    <row r="286" spans="1:39" x14ac:dyDescent="0.35">
      <c r="A286" s="3">
        <v>44245</v>
      </c>
      <c r="B286" s="4">
        <v>30.130062103271399</v>
      </c>
      <c r="C286" s="4">
        <v>77.143814086914006</v>
      </c>
      <c r="D286" s="4">
        <v>36.865329742431598</v>
      </c>
      <c r="E286" s="4">
        <v>12.2603092193603</v>
      </c>
      <c r="F286" s="4">
        <v>233.93104553222599</v>
      </c>
      <c r="I286" s="5">
        <f>B286/B285-1</f>
        <v>-6.3935054911237188E-3</v>
      </c>
      <c r="J286" s="5">
        <f>C286/C285-1</f>
        <v>-9.5916299208229638E-3</v>
      </c>
      <c r="K286" s="5">
        <f>D286/D285-1</f>
        <v>5.4250573248932898E-3</v>
      </c>
      <c r="L286" s="5">
        <f>E286/E285-1</f>
        <v>-2.833767522377395E-2</v>
      </c>
      <c r="M286" s="5">
        <f>F286/F285-1</f>
        <v>-1.678812733423074E-3</v>
      </c>
      <c r="N286" s="5">
        <f>SUMPRODUCT(I286:M286,$AJ$13:$AN$13)</f>
        <v>-8.8137589181123271E-3</v>
      </c>
      <c r="P286" s="2" t="s">
        <v>277</v>
      </c>
      <c r="Q286" s="10" cm="1">
        <f t="array" aca="1" ref="Q286:U286" ca="1">_xlfn.LET(_xlpm.array,_xlfn.RANDARRAY(1,COLUMNS(_xlfn.ANCHORARRAY(Q285)),0,1,FALSE),_xlpm.array/SUM(_xlpm.array))</f>
        <v>8.5385000484588421E-3</v>
      </c>
      <c r="R286" s="2">
        <f ca="1"/>
        <v>0.17012401535054256</v>
      </c>
      <c r="S286" s="2">
        <f ca="1"/>
        <v>0.2927838990726252</v>
      </c>
      <c r="T286" s="2">
        <f ca="1"/>
        <v>0.41499919411731245</v>
      </c>
      <c r="U286" s="2">
        <f ca="1"/>
        <v>0.11355439141106098</v>
      </c>
      <c r="V286" s="12"/>
      <c r="X286" s="2" cm="1">
        <f t="array" aca="1" ref="X286" ca="1">MMULT(MMULT(_xlfn.ANCHORARRAY(Q286),$Q$9:$U$13),TRANSPOSE(_xlfn.ANCHORARRAY(Q286)))</f>
        <v>3.4314090610035775E-4</v>
      </c>
      <c r="Y286" s="2">
        <f t="shared" ca="1" si="14"/>
        <v>1.8524062893986237E-2</v>
      </c>
      <c r="Z286" s="2" cm="1">
        <f t="array" aca="1" ref="Z286" ca="1">MMULT(_xlfn.ANCHORARRAY(Q286),TRANSPOSE($Q$3:$U$3))</f>
        <v>1.114874932472627E-3</v>
      </c>
      <c r="AA286" s="11">
        <f ca="1">AVEDEV(Q286*$Q$3,R286*$R$3,S286*$S$3,T286*$T$3,U286*$U$3)</f>
        <v>1.8140063593734563E-4</v>
      </c>
      <c r="AB286" s="11" cm="1">
        <f t="array" aca="1" ref="AB286" ca="1">MMULT(_xlfn.ANCHORARRAY(Q286),TRANSPOSE($Q$6:$U$6))</f>
        <v>-2.4366639872763416E-2</v>
      </c>
      <c r="AD286" s="2" t="s">
        <v>277</v>
      </c>
      <c r="AE286" s="10" cm="1">
        <f t="array" aca="1" ref="AE286:AI286" ca="1">_xlfn.LET(_xlpm.array,_xlfn.RANDARRAY(1,COLUMNS(_xlfn.ANCHORARRAY(Q285)),-1,1,FALSE),_xlpm.array/SUM(_xlpm.array))</f>
        <v>-0.48273362253281793</v>
      </c>
      <c r="AF286" s="10">
        <f ca="1"/>
        <v>0.49286619859864528</v>
      </c>
      <c r="AG286" s="10">
        <f ca="1"/>
        <v>0.10543159180562536</v>
      </c>
      <c r="AH286" s="10">
        <f ca="1"/>
        <v>0.43848798253739896</v>
      </c>
      <c r="AI286" s="10">
        <f ca="1"/>
        <v>0.4459478495911483</v>
      </c>
      <c r="AJ286" s="1"/>
      <c r="AK286" s="2" cm="1">
        <f t="array" aca="1" ref="AK286" ca="1">MMULT(MMULT(_xlfn.ANCHORARRAY(AE286),$Q$9:$U$13),TRANSPOSE(_xlfn.ANCHORARRAY(AE286)))</f>
        <v>3.9359293196411548E-4</v>
      </c>
      <c r="AL286" s="2">
        <f t="shared" ca="1" si="15"/>
        <v>1.9839176695722924E-2</v>
      </c>
      <c r="AM286" s="2" cm="1">
        <f t="array" aca="1" ref="AM286" ca="1">MMULT(_xlfn.ANCHORARRAY(AE287),TRANSPOSE($Q$3:$U$3))</f>
        <v>6.6560464973320678E-4</v>
      </c>
    </row>
    <row r="287" spans="1:39" x14ac:dyDescent="0.35">
      <c r="A287" s="3">
        <v>44246</v>
      </c>
      <c r="B287" s="4">
        <v>30.4385051727294</v>
      </c>
      <c r="C287" s="4">
        <v>77.79345703125</v>
      </c>
      <c r="D287" s="4">
        <v>37.364944458007798</v>
      </c>
      <c r="E287" s="4">
        <v>12.301567077636699</v>
      </c>
      <c r="F287" s="4">
        <v>231.22506713867099</v>
      </c>
      <c r="I287" s="5">
        <f>B287/B286-1</f>
        <v>1.0237053889925907E-2</v>
      </c>
      <c r="J287" s="5">
        <f>C287/C286-1</f>
        <v>8.4211929631075044E-3</v>
      </c>
      <c r="K287" s="5">
        <f>D287/D286-1</f>
        <v>1.3552427689291768E-2</v>
      </c>
      <c r="L287" s="5">
        <f>E287/E286-1</f>
        <v>3.3651564196479633E-3</v>
      </c>
      <c r="M287" s="5">
        <f>F287/F286-1</f>
        <v>-1.1567418883622338E-2</v>
      </c>
      <c r="N287" s="5">
        <f>SUMPRODUCT(I287:M287,$AJ$13:$AN$13)</f>
        <v>1.5281343721245083E-3</v>
      </c>
      <c r="P287" s="2" t="s">
        <v>278</v>
      </c>
      <c r="Q287" s="10" cm="1">
        <f t="array" aca="1" ref="Q287:U287" ca="1">_xlfn.LET(_xlpm.array,_xlfn.RANDARRAY(1,COLUMNS(_xlfn.ANCHORARRAY(Q286)),0,1,FALSE),_xlpm.array/SUM(_xlpm.array))</f>
        <v>4.3579157524120636E-2</v>
      </c>
      <c r="R287" s="2">
        <f ca="1"/>
        <v>0.28188666924007832</v>
      </c>
      <c r="S287" s="2">
        <f ca="1"/>
        <v>0.16327140381912425</v>
      </c>
      <c r="T287" s="2">
        <f ca="1"/>
        <v>0.23668154019399715</v>
      </c>
      <c r="U287" s="2">
        <f ca="1"/>
        <v>0.27458122922267969</v>
      </c>
      <c r="V287" s="12"/>
      <c r="X287" s="2" cm="1">
        <f t="array" aca="1" ref="X287" ca="1">MMULT(MMULT(_xlfn.ANCHORARRAY(Q287),$Q$9:$U$13),TRANSPOSE(_xlfn.ANCHORARRAY(Q287)))</f>
        <v>2.7260879956183485E-4</v>
      </c>
      <c r="Y287" s="2">
        <f t="shared" ca="1" si="14"/>
        <v>1.6510869134053325E-2</v>
      </c>
      <c r="Z287" s="2" cm="1">
        <f t="array" aca="1" ref="Z287" ca="1">MMULT(_xlfn.ANCHORARRAY(Q287),TRANSPOSE($Q$3:$U$3))</f>
        <v>9.4495889923192891E-4</v>
      </c>
      <c r="AA287" s="11">
        <f ca="1">AVEDEV(Q287*$Q$3,R287*$R$3,S287*$S$3,T287*$T$3,U287*$U$3)</f>
        <v>6.673713463092637E-5</v>
      </c>
      <c r="AB287" s="11" cm="1">
        <f t="array" aca="1" ref="AB287" ca="1">MMULT(_xlfn.ANCHORARRAY(Q287),TRANSPOSE($Q$6:$U$6))</f>
        <v>-2.2663916544615373E-2</v>
      </c>
      <c r="AD287" s="2" t="s">
        <v>278</v>
      </c>
      <c r="AE287" s="10" cm="1">
        <f t="array" aca="1" ref="AE287:AI287" ca="1">_xlfn.LET(_xlpm.array,_xlfn.RANDARRAY(1,COLUMNS(_xlfn.ANCHORARRAY(Q286)),-1,1,FALSE),_xlpm.array/SUM(_xlpm.array))</f>
        <v>0.21857754457176859</v>
      </c>
      <c r="AF287" s="10">
        <f ca="1"/>
        <v>-0.21909281842630923</v>
      </c>
      <c r="AG287" s="10">
        <f ca="1"/>
        <v>-0.16797919468290348</v>
      </c>
      <c r="AH287" s="10">
        <f ca="1"/>
        <v>0.36443856146037051</v>
      </c>
      <c r="AI287" s="10">
        <f ca="1"/>
        <v>0.80405590707707364</v>
      </c>
      <c r="AJ287" s="1"/>
      <c r="AK287" s="2" cm="1">
        <f t="array" aca="1" ref="AK287" ca="1">MMULT(MMULT(_xlfn.ANCHORARRAY(AE287),$Q$9:$U$13),TRANSPOSE(_xlfn.ANCHORARRAY(AE287)))</f>
        <v>3.1225782056129028E-4</v>
      </c>
      <c r="AL287" s="2">
        <f t="shared" ca="1" si="15"/>
        <v>1.7670818333096243E-2</v>
      </c>
      <c r="AM287" s="2" cm="1">
        <f t="array" aca="1" ref="AM287" ca="1">MMULT(_xlfn.ANCHORARRAY(AE288),TRANSPOSE($Q$3:$U$3))</f>
        <v>1.1616964825072493E-3</v>
      </c>
    </row>
    <row r="288" spans="1:39" x14ac:dyDescent="0.35">
      <c r="A288" s="3">
        <v>44249</v>
      </c>
      <c r="B288" s="4">
        <v>30.976070404052699</v>
      </c>
      <c r="C288" s="4">
        <v>79.896644592285099</v>
      </c>
      <c r="D288" s="4">
        <v>37.364944458007798</v>
      </c>
      <c r="E288" s="4">
        <v>12.6453762054443</v>
      </c>
      <c r="F288" s="4">
        <v>225.02632141113199</v>
      </c>
      <c r="I288" s="5">
        <f>B288/B287-1</f>
        <v>1.7660697470942788E-2</v>
      </c>
      <c r="J288" s="5">
        <f>C288/C287-1</f>
        <v>2.7035532823669772E-2</v>
      </c>
      <c r="K288" s="5">
        <f>D288/D287-1</f>
        <v>0</v>
      </c>
      <c r="L288" s="5">
        <f>E288/E287-1</f>
        <v>2.7948400853141653E-2</v>
      </c>
      <c r="M288" s="5">
        <f>F288/F287-1</f>
        <v>-2.6808277338812414E-2</v>
      </c>
      <c r="N288" s="5">
        <f>SUMPRODUCT(I288:M288,$AJ$13:$AN$13)</f>
        <v>-1.8895648600868965E-3</v>
      </c>
      <c r="P288" s="2" t="s">
        <v>279</v>
      </c>
      <c r="Q288" s="10" cm="1">
        <f t="array" aca="1" ref="Q288:U288" ca="1">_xlfn.LET(_xlpm.array,_xlfn.RANDARRAY(1,COLUMNS(_xlfn.ANCHORARRAY(Q287)),0,1,FALSE),_xlpm.array/SUM(_xlpm.array))</f>
        <v>0.11669682843357576</v>
      </c>
      <c r="R288" s="2">
        <f ca="1"/>
        <v>0.27723504052008296</v>
      </c>
      <c r="S288" s="2">
        <f ca="1"/>
        <v>0.37420761415994463</v>
      </c>
      <c r="T288" s="2">
        <f ca="1"/>
        <v>0.17626490285316987</v>
      </c>
      <c r="U288" s="2">
        <f ca="1"/>
        <v>5.5595614033226604E-2</v>
      </c>
      <c r="V288" s="12"/>
      <c r="X288" s="2" cm="1">
        <f t="array" aca="1" ref="X288" ca="1">MMULT(MMULT(_xlfn.ANCHORARRAY(Q288),$Q$9:$U$13),TRANSPOSE(_xlfn.ANCHORARRAY(Q288)))</f>
        <v>3.4944500251353998E-4</v>
      </c>
      <c r="Y288" s="2">
        <f t="shared" ca="1" si="14"/>
        <v>1.8693448117282695E-2</v>
      </c>
      <c r="Z288" s="2" cm="1">
        <f t="array" aca="1" ref="Z288" ca="1">MMULT(_xlfn.ANCHORARRAY(Q288),TRANSPOSE($Q$3:$U$3))</f>
        <v>1.0920697935236235E-3</v>
      </c>
      <c r="AA288" s="11">
        <f ca="1">AVEDEV(Q288*$Q$3,R288*$R$3,S288*$S$3,T288*$T$3,U288*$U$3)</f>
        <v>1.5571979840718058E-4</v>
      </c>
      <c r="AB288" s="11" cm="1">
        <f t="array" aca="1" ref="AB288" ca="1">MMULT(_xlfn.ANCHORARRAY(Q288),TRANSPOSE($Q$6:$U$6))</f>
        <v>-2.394686810385999E-2</v>
      </c>
      <c r="AD288" s="2" t="s">
        <v>279</v>
      </c>
      <c r="AE288" s="10" cm="1">
        <f t="array" aca="1" ref="AE288:AI288" ca="1">_xlfn.LET(_xlpm.array,_xlfn.RANDARRAY(1,COLUMNS(_xlfn.ANCHORARRAY(Q287)),-1,1,FALSE),_xlpm.array/SUM(_xlpm.array))</f>
        <v>-2.3809509959592381E-2</v>
      </c>
      <c r="AF288" s="10">
        <f ca="1"/>
        <v>0.80531666696171211</v>
      </c>
      <c r="AG288" s="10">
        <f ca="1"/>
        <v>0.4030370778275062</v>
      </c>
      <c r="AH288" s="10">
        <f ca="1"/>
        <v>0.28174093966743635</v>
      </c>
      <c r="AI288" s="10">
        <f ca="1"/>
        <v>-0.46628517449706225</v>
      </c>
      <c r="AJ288" s="1"/>
      <c r="AK288" s="2" cm="1">
        <f t="array" aca="1" ref="AK288" ca="1">MMULT(MMULT(_xlfn.ANCHORARRAY(AE288),$Q$9:$U$13),TRANSPOSE(_xlfn.ANCHORARRAY(AE288)))</f>
        <v>6.7496317827865106E-4</v>
      </c>
      <c r="AL288" s="2">
        <f t="shared" ca="1" si="15"/>
        <v>2.5980053469511009E-2</v>
      </c>
      <c r="AM288" s="2" cm="1">
        <f t="array" aca="1" ref="AM288" ca="1">MMULT(_xlfn.ANCHORARRAY(AE289),TRANSPOSE($Q$3:$U$3))</f>
        <v>1.333995985778047E-3</v>
      </c>
    </row>
    <row r="289" spans="1:39" x14ac:dyDescent="0.35">
      <c r="A289" s="3">
        <v>44250</v>
      </c>
      <c r="B289" s="4">
        <v>31.302139282226499</v>
      </c>
      <c r="C289" s="4">
        <v>80.903564453125</v>
      </c>
      <c r="D289" s="4">
        <v>37.267799377441399</v>
      </c>
      <c r="E289" s="4">
        <v>13.0029392242431</v>
      </c>
      <c r="F289" s="4">
        <v>223.83648681640599</v>
      </c>
      <c r="I289" s="5">
        <f>B289/B288-1</f>
        <v>1.0526476532386031E-2</v>
      </c>
      <c r="J289" s="5">
        <f>C289/C288-1</f>
        <v>1.2602780329239671E-2</v>
      </c>
      <c r="K289" s="5">
        <f>D289/D288-1</f>
        <v>-2.5998989688201801E-3</v>
      </c>
      <c r="L289" s="5">
        <f>E289/E288-1</f>
        <v>2.8276186725457508E-2</v>
      </c>
      <c r="M289" s="5">
        <f>F289/F288-1</f>
        <v>-5.2875351970586015E-3</v>
      </c>
      <c r="N289" s="5">
        <f>SUMPRODUCT(I289:M289,$AJ$13:$AN$13)</f>
        <v>6.6349694638525459E-3</v>
      </c>
      <c r="P289" s="2" t="s">
        <v>280</v>
      </c>
      <c r="Q289" s="10" cm="1">
        <f t="array" aca="1" ref="Q289:U289" ca="1">_xlfn.LET(_xlpm.array,_xlfn.RANDARRAY(1,COLUMNS(_xlfn.ANCHORARRAY(Q288)),0,1,FALSE),_xlpm.array/SUM(_xlpm.array))</f>
        <v>0.13024566381506478</v>
      </c>
      <c r="R289" s="2">
        <f ca="1"/>
        <v>0.46090389558791911</v>
      </c>
      <c r="S289" s="2">
        <f ca="1"/>
        <v>0.23909335666416531</v>
      </c>
      <c r="T289" s="2">
        <f ca="1"/>
        <v>0.13127753929206595</v>
      </c>
      <c r="U289" s="2">
        <f ca="1"/>
        <v>3.8479544640784832E-2</v>
      </c>
      <c r="V289" s="12"/>
      <c r="X289" s="2" cm="1">
        <f t="array" aca="1" ref="X289" ca="1">MMULT(MMULT(_xlfn.ANCHORARRAY(Q289),$Q$9:$U$13),TRANSPOSE(_xlfn.ANCHORARRAY(Q289)))</f>
        <v>3.316138164362351E-4</v>
      </c>
      <c r="Y289" s="2">
        <f t="shared" ca="1" si="14"/>
        <v>1.8210266786520046E-2</v>
      </c>
      <c r="Z289" s="2" cm="1">
        <f t="array" aca="1" ref="Z289" ca="1">MMULT(_xlfn.ANCHORARRAY(Q289),TRANSPOSE($Q$3:$U$3))</f>
        <v>9.5460129758882968E-4</v>
      </c>
      <c r="AA289" s="11">
        <f ca="1">AVEDEV(Q289*$Q$3,R289*$R$3,S289*$S$3,T289*$T$3,U289*$U$3)</f>
        <v>1.3720691982049756E-4</v>
      </c>
      <c r="AB289" s="11" cm="1">
        <f t="array" aca="1" ref="AB289" ca="1">MMULT(_xlfn.ANCHORARRAY(Q289),TRANSPOSE($Q$6:$U$6))</f>
        <v>-2.2877962269356875E-2</v>
      </c>
      <c r="AD289" s="2" t="s">
        <v>280</v>
      </c>
      <c r="AE289" s="10" cm="1">
        <f t="array" aca="1" ref="AE289:AI289" ca="1">_xlfn.LET(_xlpm.array,_xlfn.RANDARRAY(1,COLUMNS(_xlfn.ANCHORARRAY(Q288)),-1,1,FALSE),_xlpm.array/SUM(_xlpm.array))</f>
        <v>-0.42342183688730173</v>
      </c>
      <c r="AF289" s="10">
        <f ca="1"/>
        <v>0.40642455554000761</v>
      </c>
      <c r="AG289" s="10">
        <f ca="1"/>
        <v>0.52393969631723525</v>
      </c>
      <c r="AH289" s="10">
        <f ca="1"/>
        <v>9.5091530661463197E-2</v>
      </c>
      <c r="AI289" s="10">
        <f ca="1"/>
        <v>0.39796605436859561</v>
      </c>
      <c r="AJ289" s="1"/>
      <c r="AK289" s="2" cm="1">
        <f t="array" aca="1" ref="AK289" ca="1">MMULT(MMULT(_xlfn.ANCHORARRAY(AE289),$Q$9:$U$13),TRANSPOSE(_xlfn.ANCHORARRAY(AE289)))</f>
        <v>4.5957435136657107E-4</v>
      </c>
      <c r="AL289" s="2">
        <f t="shared" ca="1" si="15"/>
        <v>2.1437685308040397E-2</v>
      </c>
      <c r="AM289" s="2" cm="1">
        <f t="array" aca="1" ref="AM289" ca="1">MMULT(_xlfn.ANCHORARRAY(AE290),TRANSPOSE($Q$3:$U$3))</f>
        <v>1.9533615248497089E-4</v>
      </c>
    </row>
    <row r="290" spans="1:39" x14ac:dyDescent="0.35">
      <c r="A290" s="3">
        <v>44251</v>
      </c>
      <c r="B290" s="4">
        <v>32.060009002685497</v>
      </c>
      <c r="C290" s="4">
        <v>83.891891479492102</v>
      </c>
      <c r="D290" s="4">
        <v>37.7905464172363</v>
      </c>
      <c r="E290" s="4">
        <v>13.498028755187899</v>
      </c>
      <c r="F290" s="4">
        <v>225.06471252441401</v>
      </c>
      <c r="I290" s="5">
        <f>B290/B289-1</f>
        <v>2.4211435315199648E-2</v>
      </c>
      <c r="J290" s="5">
        <f>C290/C289-1</f>
        <v>3.6936901934630173E-2</v>
      </c>
      <c r="K290" s="5">
        <f>D290/D289-1</f>
        <v>1.4026775085392407E-2</v>
      </c>
      <c r="L290" s="5">
        <f>E290/E289-1</f>
        <v>3.8075201491501121E-2</v>
      </c>
      <c r="M290" s="5">
        <f>F290/F289-1</f>
        <v>5.4871559390379243E-3</v>
      </c>
      <c r="N290" s="5">
        <f>SUMPRODUCT(I290:M290,$AJ$13:$AN$13)</f>
        <v>1.871481830907528E-2</v>
      </c>
      <c r="P290" s="2" t="s">
        <v>281</v>
      </c>
      <c r="Q290" s="10" cm="1">
        <f t="array" aca="1" ref="Q290:U290" ca="1">_xlfn.LET(_xlpm.array,_xlfn.RANDARRAY(1,COLUMNS(_xlfn.ANCHORARRAY(Q289)),0,1,FALSE),_xlpm.array/SUM(_xlpm.array))</f>
        <v>0.22125848269829909</v>
      </c>
      <c r="R290" s="2">
        <f ca="1"/>
        <v>0.27370743441507572</v>
      </c>
      <c r="S290" s="2">
        <f ca="1"/>
        <v>0.10817100325722244</v>
      </c>
      <c r="T290" s="2">
        <f ca="1"/>
        <v>0.14042209656130153</v>
      </c>
      <c r="U290" s="2">
        <f ca="1"/>
        <v>0.25644098306810115</v>
      </c>
      <c r="V290" s="12"/>
      <c r="X290" s="2" cm="1">
        <f t="array" aca="1" ref="X290" ca="1">MMULT(MMULT(_xlfn.ANCHORARRAY(Q290),$Q$9:$U$13),TRANSPOSE(_xlfn.ANCHORARRAY(Q290)))</f>
        <v>2.6213296080933692E-4</v>
      </c>
      <c r="Y290" s="2">
        <f t="shared" ca="1" si="14"/>
        <v>1.6190520708406413E-2</v>
      </c>
      <c r="Z290" s="2" cm="1">
        <f t="array" aca="1" ref="Z290" ca="1">MMULT(_xlfn.ANCHORARRAY(Q290),TRANSPOSE($Q$3:$U$3))</f>
        <v>8.275929269136225E-4</v>
      </c>
      <c r="AA290" s="11">
        <f ca="1">AVEDEV(Q290*$Q$3,R290*$R$3,S290*$S$3,T290*$T$3,U290*$U$3)</f>
        <v>3.0050303368787511E-5</v>
      </c>
      <c r="AB290" s="11" cm="1">
        <f t="array" aca="1" ref="AB290" ca="1">MMULT(_xlfn.ANCHORARRAY(Q290),TRANSPOSE($Q$6:$U$6))</f>
        <v>-2.2051449441516144E-2</v>
      </c>
      <c r="AD290" s="2" t="s">
        <v>281</v>
      </c>
      <c r="AE290" s="10" cm="1">
        <f t="array" aca="1" ref="AE290:AI290" ca="1">_xlfn.LET(_xlpm.array,_xlfn.RANDARRAY(1,COLUMNS(_xlfn.ANCHORARRAY(Q289)),-1,1,FALSE),_xlpm.array/SUM(_xlpm.array))</f>
        <v>-0.37219704444424634</v>
      </c>
      <c r="AF290" s="10">
        <f ca="1"/>
        <v>1.2220405583398002</v>
      </c>
      <c r="AG290" s="10">
        <f ca="1"/>
        <v>-0.59732215700594748</v>
      </c>
      <c r="AH290" s="10">
        <f ca="1"/>
        <v>-0.42661111318865924</v>
      </c>
      <c r="AI290" s="10">
        <f ca="1"/>
        <v>1.1740897562990529</v>
      </c>
      <c r="AJ290" s="1"/>
      <c r="AK290" s="2" cm="1">
        <f t="array" aca="1" ref="AK290" ca="1">MMULT(MMULT(_xlfn.ANCHORARRAY(AE290),$Q$9:$U$13),TRANSPOSE(_xlfn.ANCHORARRAY(AE290)))</f>
        <v>7.529495895715083E-4</v>
      </c>
      <c r="AL290" s="2">
        <f t="shared" ca="1" si="15"/>
        <v>2.743992692358178E-2</v>
      </c>
      <c r="AM290" s="2" cm="1">
        <f t="array" aca="1" ref="AM290" ca="1">MMULT(_xlfn.ANCHORARRAY(AE291),TRANSPOSE($Q$3:$U$3))</f>
        <v>7.5983051855463019E-4</v>
      </c>
    </row>
    <row r="291" spans="1:39" x14ac:dyDescent="0.35">
      <c r="A291" s="3">
        <v>44252</v>
      </c>
      <c r="B291" s="4">
        <v>31.663438796996999</v>
      </c>
      <c r="C291" s="4">
        <v>83.112335205078097</v>
      </c>
      <c r="D291" s="4">
        <v>36.860710144042898</v>
      </c>
      <c r="E291" s="4">
        <v>13.669935226440399</v>
      </c>
      <c r="F291" s="4">
        <v>219.72955322265599</v>
      </c>
      <c r="I291" s="5">
        <f>B291/B290-1</f>
        <v>-1.2369622405760339E-2</v>
      </c>
      <c r="J291" s="5">
        <f>C291/C290-1</f>
        <v>-9.2923912033211487E-3</v>
      </c>
      <c r="K291" s="5">
        <f>D291/D290-1</f>
        <v>-2.4604996787484956E-2</v>
      </c>
      <c r="L291" s="5">
        <f>E291/E290-1</f>
        <v>1.2735672324481362E-2</v>
      </c>
      <c r="M291" s="5">
        <f>F291/F290-1</f>
        <v>-2.3705001294591077E-2</v>
      </c>
      <c r="N291" s="5">
        <f>SUMPRODUCT(I291:M291,$AJ$13:$AN$13)</f>
        <v>-1.0896987966064567E-2</v>
      </c>
      <c r="P291" s="2" t="s">
        <v>282</v>
      </c>
      <c r="Q291" s="10" cm="1">
        <f t="array" aca="1" ref="Q291:U291" ca="1">_xlfn.LET(_xlpm.array,_xlfn.RANDARRAY(1,COLUMNS(_xlfn.ANCHORARRAY(Q290)),0,1,FALSE),_xlpm.array/SUM(_xlpm.array))</f>
        <v>0.16783154570638625</v>
      </c>
      <c r="R291" s="2">
        <f ca="1"/>
        <v>0.19882709751954997</v>
      </c>
      <c r="S291" s="2">
        <f ca="1"/>
        <v>0.31301020434280674</v>
      </c>
      <c r="T291" s="2">
        <f ca="1"/>
        <v>5.9775186128599661E-3</v>
      </c>
      <c r="U291" s="2">
        <f ca="1"/>
        <v>0.31435363381839709</v>
      </c>
      <c r="V291" s="12"/>
      <c r="X291" s="2" cm="1">
        <f t="array" aca="1" ref="X291" ca="1">MMULT(MMULT(_xlfn.ANCHORARRAY(Q291),$Q$9:$U$13),TRANSPOSE(_xlfn.ANCHORARRAY(Q291)))</f>
        <v>2.9919826746930357E-4</v>
      </c>
      <c r="Y291" s="2">
        <f t="shared" ca="1" si="14"/>
        <v>1.7297348567607222E-2</v>
      </c>
      <c r="Z291" s="2" cm="1">
        <f t="array" aca="1" ref="Z291" ca="1">MMULT(_xlfn.ANCHORARRAY(Q291),TRANSPOSE($Q$3:$U$3))</f>
        <v>9.8536119018322261E-4</v>
      </c>
      <c r="AA291" s="11">
        <f ca="1">AVEDEV(Q291*$Q$3,R291*$R$3,S291*$S$3,T291*$T$3,U291*$U$3)</f>
        <v>1.4184756591651006E-4</v>
      </c>
      <c r="AB291" s="11" cm="1">
        <f t="array" aca="1" ref="AB291" ca="1">MMULT(_xlfn.ANCHORARRAY(Q291),TRANSPOSE($Q$6:$U$6))</f>
        <v>-2.2698768844221319E-2</v>
      </c>
      <c r="AD291" s="2" t="s">
        <v>282</v>
      </c>
      <c r="AE291" s="10" cm="1">
        <f t="array" aca="1" ref="AE291:AI291" ca="1">_xlfn.LET(_xlpm.array,_xlfn.RANDARRAY(1,COLUMNS(_xlfn.ANCHORARRAY(Q290)),-1,1,FALSE),_xlpm.array/SUM(_xlpm.array))</f>
        <v>2.0008538434756944</v>
      </c>
      <c r="AF291" s="10">
        <f ca="1"/>
        <v>0.10250649179444517</v>
      </c>
      <c r="AG291" s="10">
        <f ca="1"/>
        <v>0.63479311683236284</v>
      </c>
      <c r="AH291" s="10">
        <f ca="1"/>
        <v>-0.13016419855872186</v>
      </c>
      <c r="AI291" s="10">
        <f ca="1"/>
        <v>-1.6079892535437805</v>
      </c>
      <c r="AJ291" s="1"/>
      <c r="AK291" s="2" cm="1">
        <f t="array" aca="1" ref="AK291" ca="1">MMULT(MMULT(_xlfn.ANCHORARRAY(AE291),$Q$9:$U$13),TRANSPOSE(_xlfn.ANCHORARRAY(AE291)))</f>
        <v>2.1616469727632421E-3</v>
      </c>
      <c r="AL291" s="2">
        <f t="shared" ca="1" si="15"/>
        <v>4.6493515384010725E-2</v>
      </c>
      <c r="AM291" s="2" cm="1">
        <f t="array" aca="1" ref="AM291" ca="1">MMULT(_xlfn.ANCHORARRAY(AE292),TRANSPOSE($Q$3:$U$3))</f>
        <v>9.6918771400110774E-4</v>
      </c>
    </row>
    <row r="292" spans="1:39" x14ac:dyDescent="0.35">
      <c r="A292" s="3">
        <v>44253</v>
      </c>
      <c r="B292" s="4">
        <v>30.588308334350501</v>
      </c>
      <c r="C292" s="4">
        <v>81.204040527343693</v>
      </c>
      <c r="D292" s="4">
        <v>37.503726959228501</v>
      </c>
      <c r="E292" s="4">
        <v>13.0373229980468</v>
      </c>
      <c r="F292" s="4">
        <v>222.98243713378901</v>
      </c>
      <c r="I292" s="5">
        <f>B292/B291-1</f>
        <v>-3.3954949414668922E-2</v>
      </c>
      <c r="J292" s="5">
        <f>C292/C291-1</f>
        <v>-2.29604266686253E-2</v>
      </c>
      <c r="K292" s="5">
        <f>D292/D291-1</f>
        <v>1.7444504261389548E-2</v>
      </c>
      <c r="L292" s="5">
        <f>E292/E291-1</f>
        <v>-4.6277631745467285E-2</v>
      </c>
      <c r="M292" s="5">
        <f>F292/F291-1</f>
        <v>1.4804034611751948E-2</v>
      </c>
      <c r="N292" s="5">
        <f>SUMPRODUCT(I292:M292,$AJ$13:$AN$13)</f>
        <v>2.9770272541712987E-3</v>
      </c>
      <c r="P292" s="2" t="s">
        <v>283</v>
      </c>
      <c r="Q292" s="10" cm="1">
        <f t="array" aca="1" ref="Q292:U292" ca="1">_xlfn.LET(_xlpm.array,_xlfn.RANDARRAY(1,COLUMNS(_xlfn.ANCHORARRAY(Q291)),0,1,FALSE),_xlpm.array/SUM(_xlpm.array))</f>
        <v>0.29423404269207415</v>
      </c>
      <c r="R292" s="2">
        <f ca="1"/>
        <v>0.16601393918064272</v>
      </c>
      <c r="S292" s="2">
        <f ca="1"/>
        <v>5.3120263834208509E-2</v>
      </c>
      <c r="T292" s="2">
        <f ca="1"/>
        <v>0.20190535744067042</v>
      </c>
      <c r="U292" s="2">
        <f ca="1"/>
        <v>0.2847263968524042</v>
      </c>
      <c r="V292" s="12"/>
      <c r="X292" s="2" cm="1">
        <f t="array" aca="1" ref="X292" ca="1">MMULT(MMULT(_xlfn.ANCHORARRAY(Q292),$Q$9:$U$13),TRANSPOSE(_xlfn.ANCHORARRAY(Q292)))</f>
        <v>2.5910358654317352E-4</v>
      </c>
      <c r="Y292" s="2">
        <f t="shared" ca="1" si="14"/>
        <v>1.6096694895014117E-2</v>
      </c>
      <c r="Z292" s="2" cm="1">
        <f t="array" aca="1" ref="Z292" ca="1">MMULT(_xlfn.ANCHORARRAY(Q292),TRANSPOSE($Q$3:$U$3))</f>
        <v>7.8108460152138308E-4</v>
      </c>
      <c r="AA292" s="11">
        <f ca="1">AVEDEV(Q292*$Q$3,R292*$R$3,S292*$S$3,T292*$T$3,U292*$U$3)</f>
        <v>4.4644080904831196E-5</v>
      </c>
      <c r="AB292" s="11" cm="1">
        <f t="array" aca="1" ref="AB292" ca="1">MMULT(_xlfn.ANCHORARRAY(Q292),TRANSPOSE($Q$6:$U$6))</f>
        <v>-2.2031795563298068E-2</v>
      </c>
      <c r="AD292" s="2" t="s">
        <v>283</v>
      </c>
      <c r="AE292" s="10" cm="1">
        <f t="array" aca="1" ref="AE292:AI292" ca="1">_xlfn.LET(_xlpm.array,_xlfn.RANDARRAY(1,COLUMNS(_xlfn.ANCHORARRAY(Q291)),-1,1,FALSE),_xlpm.array/SUM(_xlpm.array))</f>
        <v>3.4176659955140548E-2</v>
      </c>
      <c r="AF292" s="10">
        <f ca="1"/>
        <v>0.26119011960986477</v>
      </c>
      <c r="AG292" s="10">
        <f ca="1"/>
        <v>0.16915123884351227</v>
      </c>
      <c r="AH292" s="10">
        <f ca="1"/>
        <v>0.29918273686261687</v>
      </c>
      <c r="AI292" s="10">
        <f ca="1"/>
        <v>0.23629924472886563</v>
      </c>
      <c r="AJ292" s="1"/>
      <c r="AK292" s="2" cm="1">
        <f t="array" aca="1" ref="AK292" ca="1">MMULT(MMULT(_xlfn.ANCHORARRAY(AE292),$Q$9:$U$13),TRANSPOSE(_xlfn.ANCHORARRAY(AE292)))</f>
        <v>2.8481054557853247E-4</v>
      </c>
      <c r="AL292" s="2">
        <f t="shared" ca="1" si="15"/>
        <v>1.6876330927619677E-2</v>
      </c>
      <c r="AM292" s="2" cm="1">
        <f t="array" aca="1" ref="AM292" ca="1">MMULT(_xlfn.ANCHORARRAY(AE293),TRANSPOSE($Q$3:$U$3))</f>
        <v>1.4204273748010033E-3</v>
      </c>
    </row>
    <row r="293" spans="1:39" x14ac:dyDescent="0.35">
      <c r="A293" s="3">
        <v>44256</v>
      </c>
      <c r="B293" s="4">
        <v>31.540071487426701</v>
      </c>
      <c r="C293" s="4">
        <v>82.868713378906193</v>
      </c>
      <c r="D293" s="4">
        <v>38.438198089599602</v>
      </c>
      <c r="E293" s="4">
        <v>13.236732482910099</v>
      </c>
      <c r="F293" s="4">
        <v>227.35804748535099</v>
      </c>
      <c r="I293" s="5">
        <f>B293/B292-1</f>
        <v>3.1115259551878438E-2</v>
      </c>
      <c r="J293" s="5">
        <f>C293/C292-1</f>
        <v>2.049987710897172E-2</v>
      </c>
      <c r="K293" s="5">
        <f>D293/D292-1</f>
        <v>2.4916753777217693E-2</v>
      </c>
      <c r="L293" s="5">
        <f>E293/E292-1</f>
        <v>1.5295278401338486E-2</v>
      </c>
      <c r="M293" s="5">
        <f>F293/F292-1</f>
        <v>1.9623116545885777E-2</v>
      </c>
      <c r="N293" s="5">
        <f>SUMPRODUCT(I293:M293,$AJ$13:$AN$13)</f>
        <v>1.7004752903525804E-2</v>
      </c>
      <c r="P293" s="2" t="s">
        <v>284</v>
      </c>
      <c r="Q293" s="10" cm="1">
        <f t="array" aca="1" ref="Q293:U293" ca="1">_xlfn.LET(_xlpm.array,_xlfn.RANDARRAY(1,COLUMNS(_xlfn.ANCHORARRAY(Q292)),0,1,FALSE),_xlpm.array/SUM(_xlpm.array))</f>
        <v>0.17333462025547505</v>
      </c>
      <c r="R293" s="2">
        <f ca="1"/>
        <v>0.21579124422171336</v>
      </c>
      <c r="S293" s="2">
        <f ca="1"/>
        <v>1.0278082084254484E-2</v>
      </c>
      <c r="T293" s="2">
        <f ca="1"/>
        <v>0.31440189700597615</v>
      </c>
      <c r="U293" s="2">
        <f ca="1"/>
        <v>0.28619415643258095</v>
      </c>
      <c r="V293" s="12"/>
      <c r="X293" s="2" cm="1">
        <f t="array" aca="1" ref="X293" ca="1">MMULT(MMULT(_xlfn.ANCHORARRAY(Q293),$Q$9:$U$13),TRANSPOSE(_xlfn.ANCHORARRAY(Q293)))</f>
        <v>2.7045859301515034E-4</v>
      </c>
      <c r="Y293" s="2">
        <f t="shared" ca="1" si="14"/>
        <v>1.6445625345822223E-2</v>
      </c>
      <c r="Z293" s="2" cm="1">
        <f t="array" aca="1" ref="Z293" ca="1">MMULT(_xlfn.ANCHORARRAY(Q293),TRANSPOSE($Q$3:$U$3))</f>
        <v>8.0246253245345013E-4</v>
      </c>
      <c r="AA293" s="11">
        <f ca="1">AVEDEV(Q293*$Q$3,R293*$R$3,S293*$S$3,T293*$T$3,U293*$U$3)</f>
        <v>8.7644017178598797E-5</v>
      </c>
      <c r="AB293" s="11" cm="1">
        <f t="array" aca="1" ref="AB293" ca="1">MMULT(_xlfn.ANCHORARRAY(Q293),TRANSPOSE($Q$6:$U$6))</f>
        <v>-2.2141808978587838E-2</v>
      </c>
      <c r="AD293" s="2" t="s">
        <v>284</v>
      </c>
      <c r="AE293" s="10" cm="1">
        <f t="array" aca="1" ref="AE293:AI293" ca="1">_xlfn.LET(_xlpm.array,_xlfn.RANDARRAY(1,COLUMNS(_xlfn.ANCHORARRAY(Q292)),-1,1,FALSE),_xlpm.array/SUM(_xlpm.array))</f>
        <v>0.11065444397566615</v>
      </c>
      <c r="AF293" s="10">
        <f ca="1"/>
        <v>-1.1359613726657813</v>
      </c>
      <c r="AG293" s="10">
        <f ca="1"/>
        <v>0.52770813636016067</v>
      </c>
      <c r="AH293" s="10">
        <f ca="1"/>
        <v>0.74492125423243527</v>
      </c>
      <c r="AI293" s="10">
        <f ca="1"/>
        <v>0.75267753809751936</v>
      </c>
      <c r="AJ293" s="1"/>
      <c r="AK293" s="2" cm="1">
        <f t="array" aca="1" ref="AK293" ca="1">MMULT(MMULT(_xlfn.ANCHORARRAY(AE293),$Q$9:$U$13),TRANSPOSE(_xlfn.ANCHORARRAY(AE293)))</f>
        <v>7.5481182695511049E-4</v>
      </c>
      <c r="AL293" s="2">
        <f t="shared" ca="1" si="15"/>
        <v>2.7473838955542972E-2</v>
      </c>
      <c r="AM293" s="2" cm="1">
        <f t="array" aca="1" ref="AM293" ca="1">MMULT(_xlfn.ANCHORARRAY(AE294),TRANSPOSE($Q$3:$U$3))</f>
        <v>1.2247901169896672E-3</v>
      </c>
    </row>
    <row r="294" spans="1:39" x14ac:dyDescent="0.35">
      <c r="A294" s="3">
        <v>44257</v>
      </c>
      <c r="B294" s="4">
        <v>31.310937881469702</v>
      </c>
      <c r="C294" s="4">
        <v>83.185432434082003</v>
      </c>
      <c r="D294" s="4">
        <v>38.262409210205</v>
      </c>
      <c r="E294" s="4">
        <v>13.2436094284057</v>
      </c>
      <c r="F294" s="4">
        <v>224.41220092773401</v>
      </c>
      <c r="I294" s="5">
        <f>B294/B293-1</f>
        <v>-7.2648410466774616E-3</v>
      </c>
      <c r="J294" s="5">
        <f>C294/C293-1</f>
        <v>3.8219376440375985E-3</v>
      </c>
      <c r="K294" s="5">
        <f>D294/D293-1</f>
        <v>-4.5732861614594666E-3</v>
      </c>
      <c r="L294" s="5">
        <f>E294/E293-1</f>
        <v>5.195349762094903E-4</v>
      </c>
      <c r="M294" s="5">
        <f>F294/F293-1</f>
        <v>-1.2956860732219244E-2</v>
      </c>
      <c r="N294" s="5">
        <f>SUMPRODUCT(I294:M294,$AJ$13:$AN$13)</f>
        <v>-4.4907400521970496E-3</v>
      </c>
      <c r="P294" s="2" t="s">
        <v>285</v>
      </c>
      <c r="Q294" s="10" cm="1">
        <f t="array" aca="1" ref="Q294:U294" ca="1">_xlfn.LET(_xlpm.array,_xlfn.RANDARRAY(1,COLUMNS(_xlfn.ANCHORARRAY(Q293)),0,1,FALSE),_xlpm.array/SUM(_xlpm.array))</f>
        <v>0.31206513444812378</v>
      </c>
      <c r="R294" s="2">
        <f ca="1"/>
        <v>0.16710932297172229</v>
      </c>
      <c r="S294" s="2">
        <f ca="1"/>
        <v>0.25387680514584421</v>
      </c>
      <c r="T294" s="2">
        <f ca="1"/>
        <v>0.23829837432248768</v>
      </c>
      <c r="U294" s="2">
        <f ca="1"/>
        <v>2.8650363111821966E-2</v>
      </c>
      <c r="V294" s="12"/>
      <c r="X294" s="2" cm="1">
        <f t="array" aca="1" ref="X294" ca="1">MMULT(MMULT(_xlfn.ANCHORARRAY(Q294),$Q$9:$U$13),TRANSPOSE(_xlfn.ANCHORARRAY(Q294)))</f>
        <v>3.2557408296926473E-4</v>
      </c>
      <c r="Y294" s="2">
        <f t="shared" ca="1" si="14"/>
        <v>1.8043671549029725E-2</v>
      </c>
      <c r="Z294" s="2" cm="1">
        <f t="array" aca="1" ref="Z294" ca="1">MMULT(_xlfn.ANCHORARRAY(Q294),TRANSPOSE($Q$3:$U$3))</f>
        <v>9.5829485458190236E-4</v>
      </c>
      <c r="AA294" s="11">
        <f ca="1">AVEDEV(Q294*$Q$3,R294*$R$3,S294*$S$3,T294*$T$3,U294*$U$3)</f>
        <v>1.0897115461535757E-4</v>
      </c>
      <c r="AB294" s="11" cm="1">
        <f t="array" aca="1" ref="AB294" ca="1">MMULT(_xlfn.ANCHORARRAY(Q294),TRANSPOSE($Q$6:$U$6))</f>
        <v>-2.3651521911670536E-2</v>
      </c>
      <c r="AD294" s="2" t="s">
        <v>285</v>
      </c>
      <c r="AE294" s="10" cm="1">
        <f t="array" aca="1" ref="AE294:AI294" ca="1">_xlfn.LET(_xlpm.array,_xlfn.RANDARRAY(1,COLUMNS(_xlfn.ANCHORARRAY(Q293)),-1,1,FALSE),_xlpm.array/SUM(_xlpm.array))</f>
        <v>-0.23573440158234035</v>
      </c>
      <c r="AF294" s="10">
        <f ca="1"/>
        <v>0.43811466880016708</v>
      </c>
      <c r="AG294" s="10">
        <f ca="1"/>
        <v>0.38066839435596878</v>
      </c>
      <c r="AH294" s="10">
        <f ca="1"/>
        <v>0.34101528462208136</v>
      </c>
      <c r="AI294" s="10">
        <f ca="1"/>
        <v>7.5936053804123119E-2</v>
      </c>
      <c r="AJ294" s="1"/>
      <c r="AK294" s="2" cm="1">
        <f t="array" aca="1" ref="AK294" ca="1">MMULT(MMULT(_xlfn.ANCHORARRAY(AE294),$Q$9:$U$13),TRANSPOSE(_xlfn.ANCHORARRAY(AE294)))</f>
        <v>4.1687634111659211E-4</v>
      </c>
      <c r="AL294" s="2">
        <f t="shared" ca="1" si="15"/>
        <v>2.0417549831372814E-2</v>
      </c>
      <c r="AM294" s="2" cm="1">
        <f t="array" aca="1" ref="AM294" ca="1">MMULT(_xlfn.ANCHORARRAY(AE295),TRANSPOSE($Q$3:$U$3))</f>
        <v>-2.3990689923177417E-3</v>
      </c>
    </row>
    <row r="295" spans="1:39" x14ac:dyDescent="0.35">
      <c r="A295" s="3">
        <v>44258</v>
      </c>
      <c r="B295" s="4">
        <v>32.095256805419901</v>
      </c>
      <c r="C295" s="4">
        <v>84.1192626953125</v>
      </c>
      <c r="D295" s="4">
        <v>38.674129486083899</v>
      </c>
      <c r="E295" s="4">
        <v>13.2848672866821</v>
      </c>
      <c r="F295" s="4">
        <v>218.35737609863199</v>
      </c>
      <c r="I295" s="5">
        <f>B295/B294-1</f>
        <v>2.5049359010557382E-2</v>
      </c>
      <c r="J295" s="5">
        <f>C295/C294-1</f>
        <v>1.1225886960081422E-2</v>
      </c>
      <c r="K295" s="5">
        <f>D295/D294-1</f>
        <v>1.0760437839055115E-2</v>
      </c>
      <c r="L295" s="5">
        <f>E295/E294-1</f>
        <v>3.1153031580581914E-3</v>
      </c>
      <c r="M295" s="5">
        <f>F295/F294-1</f>
        <v>-2.6980818351546865E-2</v>
      </c>
      <c r="N295" s="5">
        <f>SUMPRODUCT(I295:M295,$AJ$13:$AN$13)</f>
        <v>-9.5669103058301404E-3</v>
      </c>
      <c r="P295" s="2" t="s">
        <v>286</v>
      </c>
      <c r="Q295" s="10" cm="1">
        <f t="array" aca="1" ref="Q295:U295" ca="1">_xlfn.LET(_xlpm.array,_xlfn.RANDARRAY(1,COLUMNS(_xlfn.ANCHORARRAY(Q294)),0,1,FALSE),_xlpm.array/SUM(_xlpm.array))</f>
        <v>0.19567336517072381</v>
      </c>
      <c r="R295" s="2">
        <f ca="1"/>
        <v>0.44478050963548832</v>
      </c>
      <c r="S295" s="2">
        <f ca="1"/>
        <v>0.1658793134088774</v>
      </c>
      <c r="T295" s="2">
        <f ca="1"/>
        <v>2.0417733789992641E-2</v>
      </c>
      <c r="U295" s="2">
        <f ca="1"/>
        <v>0.17324907799491779</v>
      </c>
      <c r="V295" s="12"/>
      <c r="X295" s="2" cm="1">
        <f t="array" aca="1" ref="X295" ca="1">MMULT(MMULT(_xlfn.ANCHORARRAY(Q295),$Q$9:$U$13),TRANSPOSE(_xlfn.ANCHORARRAY(Q295)))</f>
        <v>2.8882627219232988E-4</v>
      </c>
      <c r="Y295" s="2">
        <f t="shared" ca="1" si="14"/>
        <v>1.6994889590471893E-2</v>
      </c>
      <c r="Z295" s="2" cm="1">
        <f t="array" aca="1" ref="Z295" ca="1">MMULT(_xlfn.ANCHORARRAY(Q295),TRANSPOSE($Q$3:$U$3))</f>
        <v>8.4700380852267224E-4</v>
      </c>
      <c r="AA295" s="11">
        <f ca="1">AVEDEV(Q295*$Q$3,R295*$R$3,S295*$S$3,T295*$T$3,U295*$U$3)</f>
        <v>1.0215308251826762E-4</v>
      </c>
      <c r="AB295" s="11" cm="1">
        <f t="array" aca="1" ref="AB295" ca="1">MMULT(_xlfn.ANCHORARRAY(Q295),TRANSPOSE($Q$6:$U$6))</f>
        <v>-2.1895030898157794E-2</v>
      </c>
      <c r="AD295" s="2" t="s">
        <v>286</v>
      </c>
      <c r="AE295" s="10" cm="1">
        <f t="array" aca="1" ref="AE295:AI295" ca="1">_xlfn.LET(_xlpm.array,_xlfn.RANDARRAY(1,COLUMNS(_xlfn.ANCHORARRAY(Q294)),-1,1,FALSE),_xlpm.array/SUM(_xlpm.array))</f>
        <v>2.8455663527184258</v>
      </c>
      <c r="AF295" s="10">
        <f ca="1"/>
        <v>-1.9213960382406947</v>
      </c>
      <c r="AG295" s="10">
        <f ca="1"/>
        <v>-2.8578867743303853</v>
      </c>
      <c r="AH295" s="10">
        <f ca="1"/>
        <v>-0.17484156975310725</v>
      </c>
      <c r="AI295" s="10">
        <f ca="1"/>
        <v>3.1085580296057613</v>
      </c>
      <c r="AJ295" s="1"/>
      <c r="AK295" s="2" cm="1">
        <f t="array" aca="1" ref="AK295" ca="1">MMULT(MMULT(_xlfn.ANCHORARRAY(AE295),$Q$9:$U$13),TRANSPOSE(_xlfn.ANCHORARRAY(AE295)))</f>
        <v>8.6633191789254466E-3</v>
      </c>
      <c r="AL295" s="2">
        <f t="shared" ca="1" si="15"/>
        <v>9.3076952995494247E-2</v>
      </c>
      <c r="AM295" s="2" cm="1">
        <f t="array" aca="1" ref="AM295" ca="1">MMULT(_xlfn.ANCHORARRAY(AE296),TRANSPOSE($Q$3:$U$3))</f>
        <v>1.098897356935544E-3</v>
      </c>
    </row>
    <row r="296" spans="1:39" x14ac:dyDescent="0.35">
      <c r="A296" s="3">
        <v>44259</v>
      </c>
      <c r="B296" s="4">
        <v>32.3255195617675</v>
      </c>
      <c r="C296" s="4">
        <v>84.858215332031193</v>
      </c>
      <c r="D296" s="4">
        <v>38.304042816162102</v>
      </c>
      <c r="E296" s="4">
        <v>13.3398742675781</v>
      </c>
      <c r="F296" s="4">
        <v>217.56095886230401</v>
      </c>
      <c r="I296" s="5">
        <f>B296/B295-1</f>
        <v>7.1743546949503134E-3</v>
      </c>
      <c r="J296" s="5">
        <f>C296/C295-1</f>
        <v>8.7845829010086973E-3</v>
      </c>
      <c r="K296" s="5">
        <f>D296/D295-1</f>
        <v>-9.5693600564420445E-3</v>
      </c>
      <c r="L296" s="5">
        <f>E296/E295-1</f>
        <v>4.1405743624660651E-3</v>
      </c>
      <c r="M296" s="5">
        <f>F296/F295-1</f>
        <v>-3.6473108926178277E-3</v>
      </c>
      <c r="N296" s="5">
        <f>SUMPRODUCT(I296:M296,$AJ$13:$AN$13)</f>
        <v>-6.6288799972657637E-3</v>
      </c>
      <c r="P296" s="2" t="s">
        <v>287</v>
      </c>
      <c r="Q296" s="10" cm="1">
        <f t="array" aca="1" ref="Q296:U296" ca="1">_xlfn.LET(_xlpm.array,_xlfn.RANDARRAY(1,COLUMNS(_xlfn.ANCHORARRAY(Q295)),0,1,FALSE),_xlpm.array/SUM(_xlpm.array))</f>
        <v>0.10545231811626031</v>
      </c>
      <c r="R296" s="2">
        <f ca="1"/>
        <v>0.26718064299143762</v>
      </c>
      <c r="S296" s="2">
        <f ca="1"/>
        <v>0.13945431052341994</v>
      </c>
      <c r="T296" s="2">
        <f ca="1"/>
        <v>6.1579206341441962E-2</v>
      </c>
      <c r="U296" s="2">
        <f ca="1"/>
        <v>0.42633352202744018</v>
      </c>
      <c r="V296" s="12"/>
      <c r="X296" s="2" cm="1">
        <f t="array" aca="1" ref="X296" ca="1">MMULT(MMULT(_xlfn.ANCHORARRAY(Q296),$Q$9:$U$13),TRANSPOSE(_xlfn.ANCHORARRAY(Q296)))</f>
        <v>2.5162773177250488E-4</v>
      </c>
      <c r="Y296" s="2">
        <f t="shared" ca="1" si="14"/>
        <v>1.5862778185819309E-2</v>
      </c>
      <c r="Z296" s="2" cm="1">
        <f t="array" aca="1" ref="Z296" ca="1">MMULT(_xlfn.ANCHORARRAY(Q296),TRANSPOSE($Q$3:$U$3))</f>
        <v>8.6416858565668169E-4</v>
      </c>
      <c r="AA296" s="11">
        <f ca="1">AVEDEV(Q296*$Q$3,R296*$R$3,S296*$S$3,T296*$T$3,U296*$U$3)</f>
        <v>9.1664526983265058E-5</v>
      </c>
      <c r="AB296" s="11" cm="1">
        <f t="array" aca="1" ref="AB296" ca="1">MMULT(_xlfn.ANCHORARRAY(Q296),TRANSPOSE($Q$6:$U$6))</f>
        <v>-2.1699843239474666E-2</v>
      </c>
      <c r="AD296" s="2" t="s">
        <v>287</v>
      </c>
      <c r="AE296" s="10" cm="1">
        <f t="array" aca="1" ref="AE296:AI296" ca="1">_xlfn.LET(_xlpm.array,_xlfn.RANDARRAY(1,COLUMNS(_xlfn.ANCHORARRAY(Q295)),-1,1,FALSE),_xlpm.array/SUM(_xlpm.array))</f>
        <v>0.67783126257152226</v>
      </c>
      <c r="AF296" s="10">
        <f ca="1"/>
        <v>-0.41017950037868078</v>
      </c>
      <c r="AG296" s="10">
        <f ca="1"/>
        <v>0.37731249138891743</v>
      </c>
      <c r="AH296" s="10">
        <f ca="1"/>
        <v>0.66058903285106341</v>
      </c>
      <c r="AI296" s="10">
        <f ca="1"/>
        <v>-0.30555328643282237</v>
      </c>
      <c r="AJ296" s="1"/>
      <c r="AK296" s="2" cm="1">
        <f t="array" aca="1" ref="AK296" ca="1">MMULT(MMULT(_xlfn.ANCHORARRAY(AE296),$Q$9:$U$13),TRANSPOSE(_xlfn.ANCHORARRAY(AE296)))</f>
        <v>5.7629552040655996E-4</v>
      </c>
      <c r="AL296" s="2">
        <f t="shared" ca="1" si="15"/>
        <v>2.4006155885658995E-2</v>
      </c>
      <c r="AM296" s="2" cm="1">
        <f t="array" aca="1" ref="AM296" ca="1">MMULT(_xlfn.ANCHORARRAY(AE297),TRANSPOSE($Q$3:$U$3))</f>
        <v>4.0362041487874672E-2</v>
      </c>
    </row>
    <row r="297" spans="1:39" x14ac:dyDescent="0.35">
      <c r="A297" s="3">
        <v>44260</v>
      </c>
      <c r="B297" s="4">
        <v>32.706348419189403</v>
      </c>
      <c r="C297" s="4">
        <v>88.512397766113196</v>
      </c>
      <c r="D297" s="4">
        <v>39.4837036132812</v>
      </c>
      <c r="E297" s="4">
        <v>13.9793653488159</v>
      </c>
      <c r="F297" s="4">
        <v>222.23402404785099</v>
      </c>
      <c r="I297" s="5">
        <f>B297/B296-1</f>
        <v>1.1781059131755534E-2</v>
      </c>
      <c r="J297" s="5">
        <f>C297/C296-1</f>
        <v>4.3062211711429432E-2</v>
      </c>
      <c r="K297" s="5">
        <f>D297/D296-1</f>
        <v>3.0797292149572941E-2</v>
      </c>
      <c r="L297" s="5">
        <f>E297/E296-1</f>
        <v>4.7938313990863568E-2</v>
      </c>
      <c r="M297" s="5">
        <f>F297/F296-1</f>
        <v>2.1479337147546795E-2</v>
      </c>
      <c r="N297" s="5">
        <f>SUMPRODUCT(I297:M297,$AJ$13:$AN$13)</f>
        <v>4.0791848787589929E-2</v>
      </c>
      <c r="P297" s="2" t="s">
        <v>288</v>
      </c>
      <c r="Q297" s="10" cm="1">
        <f t="array" aca="1" ref="Q297:U297" ca="1">_xlfn.LET(_xlpm.array,_xlfn.RANDARRAY(1,COLUMNS(_xlfn.ANCHORARRAY(Q296)),0,1,FALSE),_xlpm.array/SUM(_xlpm.array))</f>
        <v>0.20239186626884909</v>
      </c>
      <c r="R297" s="2">
        <f ca="1"/>
        <v>0.20453620584076548</v>
      </c>
      <c r="S297" s="2">
        <f ca="1"/>
        <v>3.8339685617779111E-2</v>
      </c>
      <c r="T297" s="2">
        <f ca="1"/>
        <v>0.33950026589054783</v>
      </c>
      <c r="U297" s="2">
        <f ca="1"/>
        <v>0.21523197638205849</v>
      </c>
      <c r="V297" s="12"/>
      <c r="X297" s="2" cm="1">
        <f t="array" aca="1" ref="X297" ca="1">MMULT(MMULT(_xlfn.ANCHORARRAY(Q297),$Q$9:$U$13),TRANSPOSE(_xlfn.ANCHORARRAY(Q297)))</f>
        <v>2.8317869647527695E-4</v>
      </c>
      <c r="Y297" s="2">
        <f t="shared" ca="1" si="14"/>
        <v>1.682791420453756E-2</v>
      </c>
      <c r="Z297" s="2" cm="1">
        <f t="array" aca="1" ref="Z297" ca="1">MMULT(_xlfn.ANCHORARRAY(Q297),TRANSPOSE($Q$3:$U$3))</f>
        <v>8.2594919517402557E-4</v>
      </c>
      <c r="AA297" s="11">
        <f ca="1">AVEDEV(Q297*$Q$3,R297*$R$3,S297*$S$3,T297*$T$3,U297*$U$3)</f>
        <v>7.2659778876446937E-5</v>
      </c>
      <c r="AB297" s="11" cm="1">
        <f t="array" aca="1" ref="AB297" ca="1">MMULT(_xlfn.ANCHORARRAY(Q297),TRANSPOSE($Q$6:$U$6))</f>
        <v>-2.2502889916863701E-2</v>
      </c>
      <c r="AD297" s="2" t="s">
        <v>288</v>
      </c>
      <c r="AE297" s="10" cm="1">
        <f t="array" aca="1" ref="AE297:AI297" ca="1">_xlfn.LET(_xlpm.array,_xlfn.RANDARRAY(1,COLUMNS(_xlfn.ANCHORARRAY(Q296)),-1,1,FALSE),_xlpm.array/SUM(_xlpm.array))</f>
        <v>-46.916276179755073</v>
      </c>
      <c r="AF297" s="10">
        <f ca="1"/>
        <v>11.162173981288692</v>
      </c>
      <c r="AG297" s="10">
        <f ca="1"/>
        <v>32.725432974759748</v>
      </c>
      <c r="AH297" s="10">
        <f ca="1"/>
        <v>-0.66779017695548026</v>
      </c>
      <c r="AI297" s="10">
        <f ca="1"/>
        <v>4.6964594006621123</v>
      </c>
      <c r="AJ297" s="1"/>
      <c r="AK297" s="2" cm="1">
        <f t="array" aca="1" ref="AK297" ca="1">MMULT(MMULT(_xlfn.ANCHORARRAY(AE297),$Q$9:$U$13),TRANSPOSE(_xlfn.ANCHORARRAY(AE297)))</f>
        <v>1.1529010161062303</v>
      </c>
      <c r="AL297" s="2">
        <f t="shared" ca="1" si="15"/>
        <v>1.0737322832560408</v>
      </c>
      <c r="AM297" s="2" cm="1">
        <f t="array" aca="1" ref="AM297" ca="1">MMULT(_xlfn.ANCHORARRAY(AE298),TRANSPOSE($Q$3:$U$3))</f>
        <v>-2.0619111499168338E-5</v>
      </c>
    </row>
    <row r="298" spans="1:39" x14ac:dyDescent="0.35">
      <c r="A298" s="3">
        <v>44263</v>
      </c>
      <c r="B298" s="4">
        <v>32.883472442626903</v>
      </c>
      <c r="C298" s="4">
        <v>89.121437072753906</v>
      </c>
      <c r="D298" s="4">
        <v>39.372673034667898</v>
      </c>
      <c r="E298" s="4">
        <v>13.669935226440399</v>
      </c>
      <c r="F298" s="4">
        <v>218.19425964355401</v>
      </c>
      <c r="I298" s="5">
        <f>B298/B297-1</f>
        <v>5.4155854137962756E-3</v>
      </c>
      <c r="J298" s="5">
        <f>C298/C297-1</f>
        <v>6.8808361541627949E-3</v>
      </c>
      <c r="K298" s="5">
        <f>D298/D297-1</f>
        <v>-2.8120608872150843E-3</v>
      </c>
      <c r="L298" s="5">
        <f>E298/E297-1</f>
        <v>-2.2134776125706579E-2</v>
      </c>
      <c r="M298" s="5">
        <f>F298/F297-1</f>
        <v>-1.8177974419556708E-2</v>
      </c>
      <c r="N298" s="5">
        <f>SUMPRODUCT(I298:M298,$AJ$13:$AN$13)</f>
        <v>-1.967074701510152E-2</v>
      </c>
      <c r="P298" s="2" t="s">
        <v>289</v>
      </c>
      <c r="Q298" s="10" cm="1">
        <f t="array" aca="1" ref="Q298:U298" ca="1">_xlfn.LET(_xlpm.array,_xlfn.RANDARRAY(1,COLUMNS(_xlfn.ANCHORARRAY(Q297)),0,1,FALSE),_xlpm.array/SUM(_xlpm.array))</f>
        <v>4.7483751850129513E-2</v>
      </c>
      <c r="R298" s="2">
        <f ca="1"/>
        <v>0.14411112358301861</v>
      </c>
      <c r="S298" s="2">
        <f ca="1"/>
        <v>0.29157168610409101</v>
      </c>
      <c r="T298" s="2">
        <f ca="1"/>
        <v>0.30493936973053659</v>
      </c>
      <c r="U298" s="2">
        <f ca="1"/>
        <v>0.21189406873222427</v>
      </c>
      <c r="V298" s="12"/>
      <c r="X298" s="2" cm="1">
        <f t="array" aca="1" ref="X298" ca="1">MMULT(MMULT(_xlfn.ANCHORARRAY(Q298),$Q$9:$U$13),TRANSPOSE(_xlfn.ANCHORARRAY(Q298)))</f>
        <v>3.0627351548949015E-4</v>
      </c>
      <c r="Y298" s="2">
        <f t="shared" ca="1" si="14"/>
        <v>1.7500671858231332E-2</v>
      </c>
      <c r="Z298" s="2" cm="1">
        <f t="array" aca="1" ref="Z298" ca="1">MMULT(_xlfn.ANCHORARRAY(Q298),TRANSPOSE($Q$3:$U$3))</f>
        <v>1.0764809224705972E-3</v>
      </c>
      <c r="AA298" s="11">
        <f ca="1">AVEDEV(Q298*$Q$3,R298*$R$3,S298*$S$3,T298*$T$3,U298*$U$3)</f>
        <v>1.4178062298690332E-4</v>
      </c>
      <c r="AB298" s="11" cm="1">
        <f t="array" aca="1" ref="AB298" ca="1">MMULT(_xlfn.ANCHORARRAY(Q298),TRANSPOSE($Q$6:$U$6))</f>
        <v>-2.3849486359800436E-2</v>
      </c>
      <c r="AD298" s="2" t="s">
        <v>289</v>
      </c>
      <c r="AE298" s="10" cm="1">
        <f t="array" aca="1" ref="AE298:AI298" ca="1">_xlfn.LET(_xlpm.array,_xlfn.RANDARRAY(1,COLUMNS(_xlfn.ANCHORARRAY(Q297)),-1,1,FALSE),_xlpm.array/SUM(_xlpm.array))</f>
        <v>4.2438693413923358</v>
      </c>
      <c r="AF298" s="10">
        <f ca="1"/>
        <v>-1.2986730293250228</v>
      </c>
      <c r="AG298" s="10">
        <f ca="1"/>
        <v>-0.71853962612863254</v>
      </c>
      <c r="AH298" s="10">
        <f ca="1"/>
        <v>3.4113672296634019</v>
      </c>
      <c r="AI298" s="10">
        <f ca="1"/>
        <v>-4.6380239156020826</v>
      </c>
      <c r="AJ298" s="1"/>
      <c r="AK298" s="2" cm="1">
        <f t="array" aca="1" ref="AK298" ca="1">MMULT(MMULT(_xlfn.ANCHORARRAY(AE298),$Q$9:$U$13),TRANSPOSE(_xlfn.ANCHORARRAY(AE298)))</f>
        <v>1.5625877310383923E-2</v>
      </c>
      <c r="AL298" s="2">
        <f t="shared" ca="1" si="15"/>
        <v>0.12500350919227798</v>
      </c>
      <c r="AM298" s="2" cm="1">
        <f t="array" aca="1" ref="AM298" ca="1">MMULT(_xlfn.ANCHORARRAY(AE299),TRANSPOSE($Q$3:$U$3))</f>
        <v>1.1650804728583228E-3</v>
      </c>
    </row>
    <row r="299" spans="1:39" x14ac:dyDescent="0.35">
      <c r="A299" s="3">
        <v>44264</v>
      </c>
      <c r="B299" s="4">
        <v>32.166110992431598</v>
      </c>
      <c r="C299" s="4">
        <v>88.918426513671804</v>
      </c>
      <c r="D299" s="4">
        <v>40.011070251464801</v>
      </c>
      <c r="E299" s="4">
        <v>13.669935226440399</v>
      </c>
      <c r="F299" s="4">
        <v>224.32583618164</v>
      </c>
      <c r="I299" s="5">
        <f>B299/B298-1</f>
        <v>-2.1815258453830144E-2</v>
      </c>
      <c r="J299" s="5">
        <f>C299/C298-1</f>
        <v>-2.2779093981213361E-3</v>
      </c>
      <c r="K299" s="5">
        <f>D299/D298-1</f>
        <v>1.6214220869250839E-2</v>
      </c>
      <c r="L299" s="5">
        <f>E299/E298-1</f>
        <v>0</v>
      </c>
      <c r="M299" s="5">
        <f>F299/F298-1</f>
        <v>2.8101456693235827E-2</v>
      </c>
      <c r="N299" s="5">
        <f>SUMPRODUCT(I299:M299,$AJ$13:$AN$13)</f>
        <v>2.4213370522953359E-2</v>
      </c>
      <c r="P299" s="2" t="s">
        <v>290</v>
      </c>
      <c r="Q299" s="10" cm="1">
        <f t="array" aca="1" ref="Q299:U299" ca="1">_xlfn.LET(_xlpm.array,_xlfn.RANDARRAY(1,COLUMNS(_xlfn.ANCHORARRAY(Q298)),0,1,FALSE),_xlpm.array/SUM(_xlpm.array))</f>
        <v>0.33145613168616561</v>
      </c>
      <c r="R299" s="2">
        <f ca="1"/>
        <v>0.3132921503339498</v>
      </c>
      <c r="S299" s="2">
        <f ca="1"/>
        <v>0.22099555366357057</v>
      </c>
      <c r="T299" s="2">
        <f ca="1"/>
        <v>9.0235530502044178E-2</v>
      </c>
      <c r="U299" s="2">
        <f ca="1"/>
        <v>4.4020633814269954E-2</v>
      </c>
      <c r="V299" s="12"/>
      <c r="X299" s="2" cm="1">
        <f t="array" aca="1" ref="X299" ca="1">MMULT(MMULT(_xlfn.ANCHORARRAY(Q299),$Q$9:$U$13),TRANSPOSE(_xlfn.ANCHORARRAY(Q299)))</f>
        <v>3.1840772799915623E-4</v>
      </c>
      <c r="Y299" s="2">
        <f t="shared" ca="1" si="14"/>
        <v>1.7843982963429331E-2</v>
      </c>
      <c r="Z299" s="2" cm="1">
        <f t="array" aca="1" ref="Z299" ca="1">MMULT(_xlfn.ANCHORARRAY(Q299),TRANSPOSE($Q$3:$U$3))</f>
        <v>8.8199196031834778E-4</v>
      </c>
      <c r="AA299" s="11">
        <f ca="1">AVEDEV(Q299*$Q$3,R299*$R$3,S299*$S$3,T299*$T$3,U299*$U$3)</f>
        <v>9.3951331153301404E-5</v>
      </c>
      <c r="AB299" s="11" cm="1">
        <f t="array" aca="1" ref="AB299" ca="1">MMULT(_xlfn.ANCHORARRAY(Q299),TRANSPOSE($Q$6:$U$6))</f>
        <v>-2.2772618276898107E-2</v>
      </c>
      <c r="AD299" s="2" t="s">
        <v>290</v>
      </c>
      <c r="AE299" s="10" cm="1">
        <f t="array" aca="1" ref="AE299:AI299" ca="1">_xlfn.LET(_xlpm.array,_xlfn.RANDARRAY(1,COLUMNS(_xlfn.ANCHORARRAY(Q298)),-1,1,FALSE),_xlpm.array/SUM(_xlpm.array))</f>
        <v>0.37738581266175697</v>
      </c>
      <c r="AF299" s="10">
        <f ca="1"/>
        <v>-0.24312338956869242</v>
      </c>
      <c r="AG299" s="10">
        <f ca="1"/>
        <v>0.50820935931323696</v>
      </c>
      <c r="AH299" s="10">
        <f ca="1"/>
        <v>0.20261667512815396</v>
      </c>
      <c r="AI299" s="10">
        <f ca="1"/>
        <v>0.15491154246554451</v>
      </c>
      <c r="AJ299" s="1"/>
      <c r="AK299" s="2" cm="1">
        <f t="array" aca="1" ref="AK299" ca="1">MMULT(MMULT(_xlfn.ANCHORARRAY(AE299),$Q$9:$U$13),TRANSPOSE(_xlfn.ANCHORARRAY(AE299)))</f>
        <v>4.2755740320598343E-4</v>
      </c>
      <c r="AL299" s="2">
        <f t="shared" ca="1" si="15"/>
        <v>2.0677461236960001E-2</v>
      </c>
      <c r="AM299" s="2" cm="1">
        <f t="array" aca="1" ref="AM299" ca="1">MMULT(_xlfn.ANCHORARRAY(AE300),TRANSPOSE($Q$3:$U$3))</f>
        <v>8.4037228699518362E-4</v>
      </c>
    </row>
    <row r="300" spans="1:39" x14ac:dyDescent="0.35">
      <c r="A300" s="3">
        <v>44265</v>
      </c>
      <c r="B300" s="4">
        <v>33.096015930175703</v>
      </c>
      <c r="C300" s="4">
        <v>90.436935424804602</v>
      </c>
      <c r="D300" s="4">
        <v>40.5615844726562</v>
      </c>
      <c r="E300" s="4">
        <v>14.165021896362299</v>
      </c>
      <c r="F300" s="4">
        <v>223.02081298828099</v>
      </c>
      <c r="I300" s="5">
        <f>B300/B299-1</f>
        <v>2.89094612016636E-2</v>
      </c>
      <c r="J300" s="5">
        <f>C300/C299-1</f>
        <v>1.7077550409636544E-2</v>
      </c>
      <c r="K300" s="5">
        <f>D300/D299-1</f>
        <v>1.3759047626856313E-2</v>
      </c>
      <c r="L300" s="5">
        <f>E300/E299-1</f>
        <v>3.6217192087662831E-2</v>
      </c>
      <c r="M300" s="5">
        <f>F300/F299-1</f>
        <v>-5.8175340637193207E-3</v>
      </c>
      <c r="N300" s="5">
        <f>SUMPRODUCT(I300:M300,$AJ$13:$AN$13)</f>
        <v>1.3222861762461235E-2</v>
      </c>
      <c r="P300" s="2" t="s">
        <v>291</v>
      </c>
      <c r="Q300" s="10" cm="1">
        <f t="array" aca="1" ref="Q300:U300" ca="1">_xlfn.LET(_xlpm.array,_xlfn.RANDARRAY(1,COLUMNS(_xlfn.ANCHORARRAY(Q299)),0,1,FALSE),_xlpm.array/SUM(_xlpm.array))</f>
        <v>0.17213055459535057</v>
      </c>
      <c r="R300" s="2">
        <f ca="1"/>
        <v>0.25694083427868819</v>
      </c>
      <c r="S300" s="2">
        <f ca="1"/>
        <v>0.19311861153840618</v>
      </c>
      <c r="T300" s="2">
        <f ca="1"/>
        <v>0.26805343002420506</v>
      </c>
      <c r="U300" s="2">
        <f ca="1"/>
        <v>0.10975656956334991</v>
      </c>
      <c r="V300" s="12"/>
      <c r="X300" s="2" cm="1">
        <f t="array" aca="1" ref="X300" ca="1">MMULT(MMULT(_xlfn.ANCHORARRAY(Q300),$Q$9:$U$13),TRANSPOSE(_xlfn.ANCHORARRAY(Q300)))</f>
        <v>3.0221330174037603E-4</v>
      </c>
      <c r="Y300" s="2">
        <f t="shared" ca="1" si="14"/>
        <v>1.7384283181666595E-2</v>
      </c>
      <c r="Z300" s="2" cm="1">
        <f t="array" aca="1" ref="Z300" ca="1">MMULT(_xlfn.ANCHORARRAY(Q300),TRANSPOSE($Q$3:$U$3))</f>
        <v>9.4653341970549524E-4</v>
      </c>
      <c r="AA300" s="11">
        <f ca="1">AVEDEV(Q300*$Q$3,R300*$R$3,S300*$S$3,T300*$T$3,U300*$U$3)</f>
        <v>8.3543752644444025E-5</v>
      </c>
      <c r="AB300" s="11" cm="1">
        <f t="array" aca="1" ref="AB300" ca="1">MMULT(_xlfn.ANCHORARRAY(Q300),TRANSPOSE($Q$6:$U$6))</f>
        <v>-2.3209865845426548E-2</v>
      </c>
      <c r="AD300" s="2" t="s">
        <v>291</v>
      </c>
      <c r="AE300" s="10" cm="1">
        <f t="array" aca="1" ref="AE300:AI300" ca="1">_xlfn.LET(_xlpm.array,_xlfn.RANDARRAY(1,COLUMNS(_xlfn.ANCHORARRAY(Q299)),-1,1,FALSE),_xlpm.array/SUM(_xlpm.array))</f>
        <v>0.1811653727462397</v>
      </c>
      <c r="AF300" s="10">
        <f ca="1"/>
        <v>0.2639946584680064</v>
      </c>
      <c r="AG300" s="10">
        <f ca="1"/>
        <v>8.2809948437635769E-2</v>
      </c>
      <c r="AH300" s="10">
        <f ca="1"/>
        <v>0.23367464174201596</v>
      </c>
      <c r="AI300" s="10">
        <f ca="1"/>
        <v>0.23835537860610231</v>
      </c>
      <c r="AJ300" s="1"/>
      <c r="AK300" s="2" cm="1">
        <f t="array" aca="1" ref="AK300" ca="1">MMULT(MMULT(_xlfn.ANCHORARRAY(AE300),$Q$9:$U$13),TRANSPOSE(_xlfn.ANCHORARRAY(AE300)))</f>
        <v>2.6858573344561051E-4</v>
      </c>
      <c r="AL300" s="2">
        <f t="shared" ca="1" si="15"/>
        <v>1.6388585462010153E-2</v>
      </c>
      <c r="AM300" s="2" cm="1">
        <f t="array" aca="1" ref="AM300" ca="1">MMULT(_xlfn.ANCHORARRAY(AE301),TRANSPOSE($Q$3:$U$3))</f>
        <v>7.3206512478084045E-4</v>
      </c>
    </row>
    <row r="301" spans="1:39" x14ac:dyDescent="0.35">
      <c r="A301" s="3">
        <v>44266</v>
      </c>
      <c r="B301" s="4">
        <v>32.9808959960937</v>
      </c>
      <c r="C301" s="4">
        <v>90.290786743164006</v>
      </c>
      <c r="D301" s="4">
        <v>40.996429443359297</v>
      </c>
      <c r="E301" s="4">
        <v>14.055005073547299</v>
      </c>
      <c r="F301" s="4">
        <v>227.54035949707</v>
      </c>
      <c r="I301" s="5">
        <f>B301/B300-1</f>
        <v>-3.4783622997063279E-3</v>
      </c>
      <c r="J301" s="5">
        <f>C301/C300-1</f>
        <v>-1.6160286829058901E-3</v>
      </c>
      <c r="K301" s="5">
        <f>D301/D300-1</f>
        <v>1.0720611050000661E-2</v>
      </c>
      <c r="L301" s="5">
        <f>E301/E300-1</f>
        <v>-7.7667951112206923E-3</v>
      </c>
      <c r="M301" s="5">
        <f>F301/F300-1</f>
        <v>2.0265133322002971E-2</v>
      </c>
      <c r="N301" s="5">
        <f>SUMPRODUCT(I301:M301,$AJ$13:$AN$13)</f>
        <v>9.7812616824538186E-3</v>
      </c>
      <c r="P301" s="2" t="s">
        <v>292</v>
      </c>
      <c r="Q301" s="10" cm="1">
        <f t="array" aca="1" ref="Q301:U301" ca="1">_xlfn.LET(_xlpm.array,_xlfn.RANDARRAY(1,COLUMNS(_xlfn.ANCHORARRAY(Q300)),0,1,FALSE),_xlpm.array/SUM(_xlpm.array))</f>
        <v>0.28102034775562207</v>
      </c>
      <c r="R301" s="2">
        <f ca="1"/>
        <v>0.24336302381346461</v>
      </c>
      <c r="S301" s="2">
        <f ca="1"/>
        <v>9.382158306890695E-2</v>
      </c>
      <c r="T301" s="2">
        <f ca="1"/>
        <v>0.22334750499267655</v>
      </c>
      <c r="U301" s="2">
        <f ca="1"/>
        <v>0.15844754036932984</v>
      </c>
      <c r="V301" s="12"/>
      <c r="X301" s="2" cm="1">
        <f t="array" aca="1" ref="X301" ca="1">MMULT(MMULT(_xlfn.ANCHORARRAY(Q301),$Q$9:$U$13),TRANSPOSE(_xlfn.ANCHORARRAY(Q301)))</f>
        <v>2.8308110021847812E-4</v>
      </c>
      <c r="Y301" s="2">
        <f t="shared" ca="1" si="14"/>
        <v>1.6825014122385698E-2</v>
      </c>
      <c r="Z301" s="2" cm="1">
        <f t="array" aca="1" ref="Z301" ca="1">MMULT(_xlfn.ANCHORARRAY(Q301),TRANSPOSE($Q$3:$U$3))</f>
        <v>8.2227188625991383E-4</v>
      </c>
      <c r="AA301" s="11">
        <f ca="1">AVEDEV(Q301*$Q$3,R301*$R$3,S301*$S$3,T301*$T$3,U301*$U$3)</f>
        <v>3.0792025991711027E-5</v>
      </c>
      <c r="AB301" s="11" cm="1">
        <f t="array" aca="1" ref="AB301" ca="1">MMULT(_xlfn.ANCHORARRAY(Q301),TRANSPOSE($Q$6:$U$6))</f>
        <v>-2.2442294025516778E-2</v>
      </c>
      <c r="AD301" s="2" t="s">
        <v>292</v>
      </c>
      <c r="AE301" s="10" cm="1">
        <f t="array" aca="1" ref="AE301:AI301" ca="1">_xlfn.LET(_xlpm.array,_xlfn.RANDARRAY(1,COLUMNS(_xlfn.ANCHORARRAY(Q300)),-1,1,FALSE),_xlpm.array/SUM(_xlpm.array))</f>
        <v>-3.0387976680998442E-2</v>
      </c>
      <c r="AF301" s="10">
        <f ca="1"/>
        <v>0.41530609566863869</v>
      </c>
      <c r="AG301" s="10">
        <f ca="1"/>
        <v>-0.13920702238829408</v>
      </c>
      <c r="AH301" s="10">
        <f ca="1"/>
        <v>0.36371448951700175</v>
      </c>
      <c r="AI301" s="10">
        <f ca="1"/>
        <v>0.39057441388365205</v>
      </c>
      <c r="AJ301" s="1"/>
      <c r="AK301" s="2" cm="1">
        <f t="array" aca="1" ref="AK301" ca="1">MMULT(MMULT(_xlfn.ANCHORARRAY(AE301),$Q$9:$U$13),TRANSPOSE(_xlfn.ANCHORARRAY(AE301)))</f>
        <v>3.196991833993582E-4</v>
      </c>
      <c r="AL301" s="2">
        <f t="shared" ca="1" si="15"/>
        <v>1.7880133763463802E-2</v>
      </c>
      <c r="AM301" s="2" cm="1">
        <f t="array" aca="1" ref="AM301" ca="1">MMULT(_xlfn.ANCHORARRAY(AE302),TRANSPOSE($Q$3:$U$3))</f>
        <v>8.9574282474580251E-4</v>
      </c>
    </row>
    <row r="302" spans="1:39" x14ac:dyDescent="0.35">
      <c r="A302" s="3">
        <v>44267</v>
      </c>
      <c r="B302" s="4">
        <v>33.600830078125</v>
      </c>
      <c r="C302" s="4">
        <v>90.591224670410099</v>
      </c>
      <c r="D302" s="4">
        <v>41.0889472961425</v>
      </c>
      <c r="E302" s="4">
        <v>14.2200355529785</v>
      </c>
      <c r="F302" s="4">
        <v>226.21617126464801</v>
      </c>
      <c r="I302" s="5">
        <f>B302/B301-1</f>
        <v>1.8796762892819174E-2</v>
      </c>
      <c r="J302" s="5">
        <f>C302/C301-1</f>
        <v>3.3274483264909005E-3</v>
      </c>
      <c r="K302" s="5">
        <f>D302/D301-1</f>
        <v>2.2567295259463549E-3</v>
      </c>
      <c r="L302" s="5">
        <f>E302/E301-1</f>
        <v>1.174175879465178E-2</v>
      </c>
      <c r="M302" s="5">
        <f>F302/F301-1</f>
        <v>-5.8195751968961318E-3</v>
      </c>
      <c r="N302" s="5">
        <f>SUMPRODUCT(I302:M302,$AJ$13:$AN$13)</f>
        <v>-8.2786276957531077E-4</v>
      </c>
      <c r="P302" s="2" t="s">
        <v>293</v>
      </c>
      <c r="Q302" s="10" cm="1">
        <f t="array" aca="1" ref="Q302:U302" ca="1">_xlfn.LET(_xlpm.array,_xlfn.RANDARRAY(1,COLUMNS(_xlfn.ANCHORARRAY(Q301)),0,1,FALSE),_xlpm.array/SUM(_xlpm.array))</f>
        <v>0.21033944158415852</v>
      </c>
      <c r="R302" s="2">
        <f ca="1"/>
        <v>0.29449046227438325</v>
      </c>
      <c r="S302" s="2">
        <f ca="1"/>
        <v>6.5426050274464173E-2</v>
      </c>
      <c r="T302" s="2">
        <f ca="1"/>
        <v>0.2337856017587758</v>
      </c>
      <c r="U302" s="2">
        <f ca="1"/>
        <v>0.19595844410821822</v>
      </c>
      <c r="V302" s="12"/>
      <c r="X302" s="2" cm="1">
        <f t="array" aca="1" ref="X302" ca="1">MMULT(MMULT(_xlfn.ANCHORARRAY(Q302),$Q$9:$U$13),TRANSPOSE(_xlfn.ANCHORARRAY(Q302)))</f>
        <v>2.7864107260802283E-4</v>
      </c>
      <c r="Y302" s="2">
        <f t="shared" ca="1" si="14"/>
        <v>1.6692545420277365E-2</v>
      </c>
      <c r="Z302" s="2" cm="1">
        <f t="array" aca="1" ref="Z302" ca="1">MMULT(_xlfn.ANCHORARRAY(Q302),TRANSPOSE($Q$3:$U$3))</f>
        <v>8.1692356215301337E-4</v>
      </c>
      <c r="AA302" s="11">
        <f ca="1">AVEDEV(Q302*$Q$3,R302*$R$3,S302*$S$3,T302*$T$3,U302*$U$3)</f>
        <v>5.0847354040925032E-5</v>
      </c>
      <c r="AB302" s="11" cm="1">
        <f t="array" aca="1" ref="AB302" ca="1">MMULT(_xlfn.ANCHORARRAY(Q302),TRANSPOSE($Q$6:$U$6))</f>
        <v>-2.2214906705552723E-2</v>
      </c>
      <c r="AD302" s="2" t="s">
        <v>293</v>
      </c>
      <c r="AE302" s="10" cm="1">
        <f t="array" aca="1" ref="AE302:AI302" ca="1">_xlfn.LET(_xlpm.array,_xlfn.RANDARRAY(1,COLUMNS(_xlfn.ANCHORARRAY(Q301)),-1,1,FALSE),_xlpm.array/SUM(_xlpm.array))</f>
        <v>0.23331427001034893</v>
      </c>
      <c r="AF302" s="10">
        <f ca="1"/>
        <v>0.23534581557096124</v>
      </c>
      <c r="AG302" s="10">
        <f ca="1"/>
        <v>0.21596177902599833</v>
      </c>
      <c r="AH302" s="10">
        <f ca="1"/>
        <v>5.2043070249815582E-2</v>
      </c>
      <c r="AI302" s="10">
        <f ca="1"/>
        <v>0.26333506514287591</v>
      </c>
      <c r="AJ302" s="1"/>
      <c r="AK302" s="2" cm="1">
        <f t="array" aca="1" ref="AK302" ca="1">MMULT(MMULT(_xlfn.ANCHORARRAY(AE302),$Q$9:$U$13),TRANSPOSE(_xlfn.ANCHORARRAY(AE302)))</f>
        <v>2.7454387638236965E-4</v>
      </c>
      <c r="AL302" s="2">
        <f t="shared" ca="1" si="15"/>
        <v>1.6569365599876467E-2</v>
      </c>
      <c r="AM302" s="2" cm="1">
        <f t="array" aca="1" ref="AM302" ca="1">MMULT(_xlfn.ANCHORARRAY(AE303),TRANSPOSE($Q$3:$U$3))</f>
        <v>2.7193503725408902E-3</v>
      </c>
    </row>
    <row r="303" spans="1:39" x14ac:dyDescent="0.35">
      <c r="A303" s="3">
        <v>44270</v>
      </c>
      <c r="B303" s="4">
        <v>33.4325561523437</v>
      </c>
      <c r="C303" s="4">
        <v>89.5274658203125</v>
      </c>
      <c r="D303" s="4">
        <v>41.310997009277301</v>
      </c>
      <c r="E303" s="4">
        <v>14.240663528442299</v>
      </c>
      <c r="F303" s="4">
        <v>225.314208984375</v>
      </c>
      <c r="I303" s="5">
        <f>B303/B302-1</f>
        <v>-5.0080288311344923E-3</v>
      </c>
      <c r="J303" s="5">
        <f>C303/C302-1</f>
        <v>-1.1742405006310297E-2</v>
      </c>
      <c r="K303" s="5">
        <f>D303/D302-1</f>
        <v>5.4041227080949827E-3</v>
      </c>
      <c r="L303" s="5">
        <f>E303/E302-1</f>
        <v>1.4506275590484563E-3</v>
      </c>
      <c r="M303" s="5">
        <f>F303/F302-1</f>
        <v>-3.9871697731892475E-3</v>
      </c>
      <c r="N303" s="5">
        <f>SUMPRODUCT(I303:M303,$AJ$13:$AN$13)</f>
        <v>3.9927859267748075E-3</v>
      </c>
      <c r="P303" s="2" t="s">
        <v>294</v>
      </c>
      <c r="Q303" s="10" cm="1">
        <f t="array" aca="1" ref="Q303:U303" ca="1">_xlfn.LET(_xlpm.array,_xlfn.RANDARRAY(1,COLUMNS(_xlfn.ANCHORARRAY(Q302)),0,1,FALSE),_xlpm.array/SUM(_xlpm.array))</f>
        <v>5.7909650198881661E-2</v>
      </c>
      <c r="R303" s="2">
        <f ca="1"/>
        <v>0.34507482859383426</v>
      </c>
      <c r="S303" s="2">
        <f ca="1"/>
        <v>0.18597628034953739</v>
      </c>
      <c r="T303" s="2">
        <f ca="1"/>
        <v>0.11381332934145368</v>
      </c>
      <c r="U303" s="2">
        <f ca="1"/>
        <v>0.29722591151629302</v>
      </c>
      <c r="V303" s="12"/>
      <c r="X303" s="2" cm="1">
        <f t="array" aca="1" ref="X303" ca="1">MMULT(MMULT(_xlfn.ANCHORARRAY(Q303),$Q$9:$U$13),TRANSPOSE(_xlfn.ANCHORARRAY(Q303)))</f>
        <v>2.6899563610140582E-4</v>
      </c>
      <c r="Y303" s="2">
        <f t="shared" ca="1" si="14"/>
        <v>1.6401086430520566E-2</v>
      </c>
      <c r="Z303" s="2" cm="1">
        <f t="array" aca="1" ref="Z303" ca="1">MMULT(_xlfn.ANCHORARRAY(Q303),TRANSPOSE($Q$3:$U$3))</f>
        <v>9.2705311995190719E-4</v>
      </c>
      <c r="AA303" s="11">
        <f ca="1">AVEDEV(Q303*$Q$3,R303*$R$3,S303*$S$3,T303*$T$3,U303*$U$3)</f>
        <v>9.0046095624945812E-5</v>
      </c>
      <c r="AB303" s="11" cm="1">
        <f t="array" aca="1" ref="AB303" ca="1">MMULT(_xlfn.ANCHORARRAY(Q303),TRANSPOSE($Q$6:$U$6))</f>
        <v>-2.2255692463415272E-2</v>
      </c>
      <c r="AD303" s="2" t="s">
        <v>294</v>
      </c>
      <c r="AE303" s="10" cm="1">
        <f t="array" aca="1" ref="AE303:AI303" ca="1">_xlfn.LET(_xlpm.array,_xlfn.RANDARRAY(1,COLUMNS(_xlfn.ANCHORARRAY(Q302)),-1,1,FALSE),_xlpm.array/SUM(_xlpm.array))</f>
        <v>-4.1480987640436773</v>
      </c>
      <c r="AF303" s="10">
        <f ca="1"/>
        <v>-1.1546347858969461</v>
      </c>
      <c r="AG303" s="10">
        <f ca="1"/>
        <v>3.9078221956777441</v>
      </c>
      <c r="AH303" s="10">
        <f ca="1"/>
        <v>-9.7650165012018366</v>
      </c>
      <c r="AI303" s="10">
        <f ca="1"/>
        <v>12.159927855464716</v>
      </c>
      <c r="AJ303" s="1"/>
      <c r="AK303" s="2" cm="1">
        <f t="array" aca="1" ref="AK303" ca="1">MMULT(MMULT(_xlfn.ANCHORARRAY(AE303),$Q$9:$U$13),TRANSPOSE(_xlfn.ANCHORARRAY(AE303)))</f>
        <v>0.11149495622790358</v>
      </c>
      <c r="AL303" s="2">
        <f t="shared" ca="1" si="15"/>
        <v>0.3339086046029715</v>
      </c>
      <c r="AM303" s="2" cm="1">
        <f t="array" aca="1" ref="AM303" ca="1">MMULT(_xlfn.ANCHORARRAY(AE304),TRANSPOSE($Q$3:$U$3))</f>
        <v>3.8437114954433548E-3</v>
      </c>
    </row>
    <row r="304" spans="1:39" x14ac:dyDescent="0.35">
      <c r="A304" s="3">
        <v>44271</v>
      </c>
      <c r="B304" s="4">
        <v>33.335140228271399</v>
      </c>
      <c r="C304" s="4">
        <v>87.408027648925696</v>
      </c>
      <c r="D304" s="4">
        <v>41.209228515625</v>
      </c>
      <c r="E304" s="4">
        <v>13.903724670410099</v>
      </c>
      <c r="F304" s="4">
        <v>228.096923828125</v>
      </c>
      <c r="I304" s="5">
        <f>B304/B303-1</f>
        <v>-2.9138042460289393E-3</v>
      </c>
      <c r="J304" s="5">
        <f>C304/C303-1</f>
        <v>-2.3673608450401784E-2</v>
      </c>
      <c r="K304" s="5">
        <f>D304/D303-1</f>
        <v>-2.4634722233755069E-3</v>
      </c>
      <c r="L304" s="5">
        <f>E304/E303-1</f>
        <v>-2.3660334180303111E-2</v>
      </c>
      <c r="M304" s="5">
        <f>F304/F303-1</f>
        <v>1.2350374422870791E-2</v>
      </c>
      <c r="N304" s="5">
        <f>SUMPRODUCT(I304:M304,$AJ$13:$AN$13)</f>
        <v>-6.5942152644142393E-3</v>
      </c>
      <c r="P304" s="2" t="s">
        <v>295</v>
      </c>
      <c r="Q304" s="10" cm="1">
        <f t="array" aca="1" ref="Q304:U304" ca="1">_xlfn.LET(_xlpm.array,_xlfn.RANDARRAY(1,COLUMNS(_xlfn.ANCHORARRAY(Q303)),0,1,FALSE),_xlpm.array/SUM(_xlpm.array))</f>
        <v>0.42866123834946035</v>
      </c>
      <c r="R304" s="2">
        <f ca="1"/>
        <v>0.27746912069593305</v>
      </c>
      <c r="S304" s="2">
        <f ca="1"/>
        <v>0.27399963239336256</v>
      </c>
      <c r="T304" s="2">
        <f ca="1"/>
        <v>6.2752821120827876E-3</v>
      </c>
      <c r="U304" s="2">
        <f ca="1"/>
        <v>1.3594726449161173E-2</v>
      </c>
      <c r="V304" s="12"/>
      <c r="X304" s="2" cm="1">
        <f t="array" aca="1" ref="X304" ca="1">MMULT(MMULT(_xlfn.ANCHORARRAY(Q304),$Q$9:$U$13),TRANSPOSE(_xlfn.ANCHORARRAY(Q304)))</f>
        <v>3.4433101490861251E-4</v>
      </c>
      <c r="Y304" s="2">
        <f t="shared" ca="1" si="14"/>
        <v>1.8556158409234722E-2</v>
      </c>
      <c r="Z304" s="2" cm="1">
        <f t="array" aca="1" ref="Z304" ca="1">MMULT(_xlfn.ANCHORARRAY(Q304),TRANSPOSE($Q$3:$U$3))</f>
        <v>8.8226878157943937E-4</v>
      </c>
      <c r="AA304" s="11">
        <f ca="1">AVEDEV(Q304*$Q$3,R304*$R$3,S304*$S$3,T304*$T$3,U304*$U$3)</f>
        <v>1.3443943940868636E-4</v>
      </c>
      <c r="AB304" s="11" cm="1">
        <f t="array" aca="1" ref="AB304" ca="1">MMULT(_xlfn.ANCHORARRAY(Q304),TRANSPOSE($Q$6:$U$6))</f>
        <v>-2.2849110430909793E-2</v>
      </c>
      <c r="AD304" s="2" t="s">
        <v>295</v>
      </c>
      <c r="AE304" s="10" cm="1">
        <f t="array" aca="1" ref="AE304:AI304" ca="1">_xlfn.LET(_xlpm.array,_xlfn.RANDARRAY(1,COLUMNS(_xlfn.ANCHORARRAY(Q303)),-1,1,FALSE),_xlpm.array/SUM(_xlpm.array))</f>
        <v>-0.12243197105820675</v>
      </c>
      <c r="AF304" s="10">
        <f ca="1"/>
        <v>-3.1832373375793646</v>
      </c>
      <c r="AG304" s="10">
        <f ca="1"/>
        <v>2.2443162249282644</v>
      </c>
      <c r="AH304" s="10">
        <f ca="1"/>
        <v>3.929908192181867</v>
      </c>
      <c r="AI304" s="10">
        <f ca="1"/>
        <v>-1.8685551084725605</v>
      </c>
      <c r="AJ304" s="1"/>
      <c r="AK304" s="2" cm="1">
        <f t="array" aca="1" ref="AK304" ca="1">MMULT(MMULT(_xlfn.ANCHORARRAY(AE304),$Q$9:$U$13),TRANSPOSE(_xlfn.ANCHORARRAY(AE304)))</f>
        <v>8.3672438133577994E-3</v>
      </c>
      <c r="AL304" s="2">
        <f t="shared" ca="1" si="15"/>
        <v>9.1472639698205932E-2</v>
      </c>
      <c r="AM304" s="2" cm="1">
        <f t="array" aca="1" ref="AM304" ca="1">MMULT(_xlfn.ANCHORARRAY(AE305),TRANSPOSE($Q$3:$U$3))</f>
        <v>8.1905020913614003E-4</v>
      </c>
    </row>
    <row r="305" spans="1:39" x14ac:dyDescent="0.35">
      <c r="A305" s="3">
        <v>44272</v>
      </c>
      <c r="B305" s="4">
        <v>33.609691619872997</v>
      </c>
      <c r="C305" s="4">
        <v>87.724723815917898</v>
      </c>
      <c r="D305" s="4">
        <v>42.226970672607401</v>
      </c>
      <c r="E305" s="4">
        <v>14.0343761444091</v>
      </c>
      <c r="F305" s="4">
        <v>227.454010009765</v>
      </c>
      <c r="I305" s="5">
        <f>B305/B304-1</f>
        <v>8.2360952952809097E-3</v>
      </c>
      <c r="J305" s="5">
        <f>C305/C304-1</f>
        <v>3.6231931495378511E-3</v>
      </c>
      <c r="K305" s="5">
        <f>D305/D304-1</f>
        <v>2.4696947592612872E-2</v>
      </c>
      <c r="L305" s="5">
        <f>E305/E304-1</f>
        <v>9.3968686158647508E-3</v>
      </c>
      <c r="M305" s="5">
        <f>F305/F304-1</f>
        <v>-2.8185992496964074E-3</v>
      </c>
      <c r="N305" s="5">
        <f>SUMPRODUCT(I305:M305,$AJ$13:$AN$13)</f>
        <v>1.3807539707129571E-2</v>
      </c>
      <c r="P305" s="2" t="s">
        <v>296</v>
      </c>
      <c r="Q305" s="10" cm="1">
        <f t="array" aca="1" ref="Q305:U305" ca="1">_xlfn.LET(_xlpm.array,_xlfn.RANDARRAY(1,COLUMNS(_xlfn.ANCHORARRAY(Q304)),0,1,FALSE),_xlpm.array/SUM(_xlpm.array))</f>
        <v>0.10542799712464809</v>
      </c>
      <c r="R305" s="2">
        <f ca="1"/>
        <v>0.23125787423903427</v>
      </c>
      <c r="S305" s="2">
        <f ca="1"/>
        <v>1.6486680339051072E-2</v>
      </c>
      <c r="T305" s="2">
        <f ca="1"/>
        <v>0.31078058546008319</v>
      </c>
      <c r="U305" s="2">
        <f ca="1"/>
        <v>0.33604686283718344</v>
      </c>
      <c r="V305" s="12"/>
      <c r="X305" s="2" cm="1">
        <f t="array" aca="1" ref="X305" ca="1">MMULT(MMULT(_xlfn.ANCHORARRAY(Q305),$Q$9:$U$13),TRANSPOSE(_xlfn.ANCHORARRAY(Q305)))</f>
        <v>2.6483913048780644E-4</v>
      </c>
      <c r="Y305" s="2">
        <f t="shared" ca="1" si="14"/>
        <v>1.6273878778207931E-2</v>
      </c>
      <c r="Z305" s="2" cm="1">
        <f t="array" aca="1" ref="Z305" ca="1">MMULT(_xlfn.ANCHORARRAY(Q305),TRANSPOSE($Q$3:$U$3))</f>
        <v>8.2375679057973094E-4</v>
      </c>
      <c r="AA305" s="11">
        <f ca="1">AVEDEV(Q305*$Q$3,R305*$R$3,S305*$S$3,T305*$T$3,U305*$U$3)</f>
        <v>9.965798028907028E-5</v>
      </c>
      <c r="AB305" s="11" cm="1">
        <f t="array" aca="1" ref="AB305" ca="1">MMULT(_xlfn.ANCHORARRAY(Q305),TRANSPOSE($Q$6:$U$6))</f>
        <v>-2.2073983947762405E-2</v>
      </c>
      <c r="AD305" s="2" t="s">
        <v>296</v>
      </c>
      <c r="AE305" s="10" cm="1">
        <f t="array" aca="1" ref="AE305:AI305" ca="1">_xlfn.LET(_xlpm.array,_xlfn.RANDARRAY(1,COLUMNS(_xlfn.ANCHORARRAY(Q304)),-1,1,FALSE),_xlpm.array/SUM(_xlpm.array))</f>
        <v>0.27078454535325214</v>
      </c>
      <c r="AF305" s="10">
        <f ca="1"/>
        <v>0.14223603171714297</v>
      </c>
      <c r="AG305" s="10">
        <f ca="1"/>
        <v>8.018429146145685E-2</v>
      </c>
      <c r="AH305" s="10">
        <f ca="1"/>
        <v>0.23256879373952744</v>
      </c>
      <c r="AI305" s="10">
        <f ca="1"/>
        <v>0.27422633772862048</v>
      </c>
      <c r="AJ305" s="1"/>
      <c r="AK305" s="2" cm="1">
        <f t="array" aca="1" ref="AK305" ca="1">MMULT(MMULT(_xlfn.ANCHORARRAY(AE305),$Q$9:$U$13),TRANSPOSE(_xlfn.ANCHORARRAY(AE305)))</f>
        <v>2.6044055201982462E-4</v>
      </c>
      <c r="AL305" s="2">
        <f t="shared" ca="1" si="15"/>
        <v>1.6138170652828795E-2</v>
      </c>
      <c r="AM305" s="2" cm="1">
        <f t="array" aca="1" ref="AM305" ca="1">MMULT(_xlfn.ANCHORARRAY(AE306),TRANSPOSE($Q$3:$U$3))</f>
        <v>5.3664975219888233E-4</v>
      </c>
    </row>
    <row r="306" spans="1:39" x14ac:dyDescent="0.35">
      <c r="A306" s="3">
        <v>44273</v>
      </c>
      <c r="B306" s="4">
        <v>34.4864692687988</v>
      </c>
      <c r="C306" s="4">
        <v>84.549636840820298</v>
      </c>
      <c r="D306" s="4">
        <v>40.760501861572202</v>
      </c>
      <c r="E306" s="4">
        <v>13.463649749755801</v>
      </c>
      <c r="F306" s="4">
        <v>221.38958740234301</v>
      </c>
      <c r="I306" s="5">
        <f>B306/B305-1</f>
        <v>2.6087048308630623E-2</v>
      </c>
      <c r="J306" s="5">
        <f>C306/C305-1</f>
        <v>-3.6193752878153518E-2</v>
      </c>
      <c r="K306" s="5">
        <f>D306/D305-1</f>
        <v>-3.472825039723948E-2</v>
      </c>
      <c r="L306" s="5">
        <f>E306/E305-1</f>
        <v>-4.0666317389580597E-2</v>
      </c>
      <c r="M306" s="5">
        <f>F306/F305-1</f>
        <v>-2.6662192533609907E-2</v>
      </c>
      <c r="N306" s="5">
        <f>SUMPRODUCT(I306:M306,$AJ$13:$AN$13)</f>
        <v>-5.2348999474665717E-2</v>
      </c>
      <c r="P306" s="2" t="s">
        <v>297</v>
      </c>
      <c r="Q306" s="10" cm="1">
        <f t="array" aca="1" ref="Q306:U306" ca="1">_xlfn.LET(_xlpm.array,_xlfn.RANDARRAY(1,COLUMNS(_xlfn.ANCHORARRAY(Q305)),0,1,FALSE),_xlpm.array/SUM(_xlpm.array))</f>
        <v>0.41245845701598977</v>
      </c>
      <c r="R306" s="2">
        <f ca="1"/>
        <v>0.12996395703705052</v>
      </c>
      <c r="S306" s="2">
        <f ca="1"/>
        <v>0.20441762974846675</v>
      </c>
      <c r="T306" s="2">
        <f ca="1"/>
        <v>9.7952197686824102E-2</v>
      </c>
      <c r="U306" s="2">
        <f ca="1"/>
        <v>0.15520775851166885</v>
      </c>
      <c r="V306" s="12"/>
      <c r="X306" s="2" cm="1">
        <f t="array" aca="1" ref="X306" ca="1">MMULT(MMULT(_xlfn.ANCHORARRAY(Q306),$Q$9:$U$13),TRANSPOSE(_xlfn.ANCHORARRAY(Q306)))</f>
        <v>2.9615024795568898E-4</v>
      </c>
      <c r="Y306" s="2">
        <f t="shared" ca="1" si="14"/>
        <v>1.7209016472642735E-2</v>
      </c>
      <c r="Z306" s="2" cm="1">
        <f t="array" aca="1" ref="Z306" ca="1">MMULT(_xlfn.ANCHORARRAY(Q306),TRANSPOSE($Q$3:$U$3))</f>
        <v>8.5529049754322947E-4</v>
      </c>
      <c r="AA306" s="11">
        <f ca="1">AVEDEV(Q306*$Q$3,R306*$R$3,S306*$S$3,T306*$T$3,U306*$U$3)</f>
        <v>7.9795461064324555E-5</v>
      </c>
      <c r="AB306" s="11" cm="1">
        <f t="array" aca="1" ref="AB306" ca="1">MMULT(_xlfn.ANCHORARRAY(Q306),TRANSPOSE($Q$6:$U$6))</f>
        <v>-2.2728807277635373E-2</v>
      </c>
      <c r="AD306" s="2" t="s">
        <v>297</v>
      </c>
      <c r="AE306" s="10" cm="1">
        <f t="array" aca="1" ref="AE306:AI306" ca="1">_xlfn.LET(_xlpm.array,_xlfn.RANDARRAY(1,COLUMNS(_xlfn.ANCHORARRAY(Q305)),-1,1,FALSE),_xlpm.array/SUM(_xlpm.array))</f>
        <v>-1.6408158661014849</v>
      </c>
      <c r="AF306" s="10">
        <f ca="1"/>
        <v>0.85794500960485431</v>
      </c>
      <c r="AG306" s="10">
        <f ca="1"/>
        <v>-1.426728769308987</v>
      </c>
      <c r="AH306" s="10">
        <f ca="1"/>
        <v>2.3609970189266249</v>
      </c>
      <c r="AI306" s="10">
        <f ca="1"/>
        <v>0.84860260687899269</v>
      </c>
      <c r="AJ306" s="1"/>
      <c r="AK306" s="2" cm="1">
        <f t="array" aca="1" ref="AK306" ca="1">MMULT(MMULT(_xlfn.ANCHORARRAY(AE306),$Q$9:$U$13),TRANSPOSE(_xlfn.ANCHORARRAY(AE306)))</f>
        <v>4.529589262130697E-3</v>
      </c>
      <c r="AL306" s="2">
        <f t="shared" ca="1" si="15"/>
        <v>6.7302223307485892E-2</v>
      </c>
      <c r="AM306" s="2" cm="1">
        <f t="array" aca="1" ref="AM306" ca="1">MMULT(_xlfn.ANCHORARRAY(AE307),TRANSPOSE($Q$3:$U$3))</f>
        <v>2.9011252479603377E-3</v>
      </c>
    </row>
    <row r="307" spans="1:39" x14ac:dyDescent="0.35">
      <c r="A307" s="3">
        <v>44274</v>
      </c>
      <c r="B307" s="4">
        <v>34.123344421386697</v>
      </c>
      <c r="C307" s="4">
        <v>83.948722839355398</v>
      </c>
      <c r="D307" s="4">
        <v>40.538444519042898</v>
      </c>
      <c r="E307" s="4">
        <v>13.4292697906494</v>
      </c>
      <c r="F307" s="4">
        <v>221.03459167480401</v>
      </c>
      <c r="I307" s="5">
        <f>B307/B306-1</f>
        <v>-1.0529487509486346E-2</v>
      </c>
      <c r="J307" s="5">
        <f>C307/C306-1</f>
        <v>-7.1072333828734457E-3</v>
      </c>
      <c r="K307" s="5">
        <f>D307/D306-1</f>
        <v>-5.4478559484728573E-3</v>
      </c>
      <c r="L307" s="5">
        <f>E307/E306-1</f>
        <v>-2.5535393259189521E-3</v>
      </c>
      <c r="M307" s="5">
        <f>F307/F306-1</f>
        <v>-1.6034888167248962E-3</v>
      </c>
      <c r="N307" s="5">
        <f>SUMPRODUCT(I307:M307,$AJ$13:$AN$13)</f>
        <v>-1.2872328081146981E-3</v>
      </c>
      <c r="P307" s="2" t="s">
        <v>298</v>
      </c>
      <c r="Q307" s="10" cm="1">
        <f t="array" aca="1" ref="Q307:U307" ca="1">_xlfn.LET(_xlpm.array,_xlfn.RANDARRAY(1,COLUMNS(_xlfn.ANCHORARRAY(Q306)),0,1,FALSE),_xlpm.array/SUM(_xlpm.array))</f>
        <v>0.20374734595900526</v>
      </c>
      <c r="R307" s="2">
        <f ca="1"/>
        <v>7.5681938495466977E-2</v>
      </c>
      <c r="S307" s="2">
        <f ca="1"/>
        <v>0.15395608823722487</v>
      </c>
      <c r="T307" s="2">
        <f ca="1"/>
        <v>0.24428622524822358</v>
      </c>
      <c r="U307" s="2">
        <f ca="1"/>
        <v>0.32232840206007929</v>
      </c>
      <c r="V307" s="12"/>
      <c r="X307" s="2" cm="1">
        <f t="array" aca="1" ref="X307" ca="1">MMULT(MMULT(_xlfn.ANCHORARRAY(Q307),$Q$9:$U$13),TRANSPOSE(_xlfn.ANCHORARRAY(Q307)))</f>
        <v>2.5937664897029104E-4</v>
      </c>
      <c r="Y307" s="2">
        <f t="shared" ca="1" si="14"/>
        <v>1.6105174602291373E-2</v>
      </c>
      <c r="Z307" s="2" cm="1">
        <f t="array" aca="1" ref="Z307" ca="1">MMULT(_xlfn.ANCHORARRAY(Q307),TRANSPOSE($Q$3:$U$3))</f>
        <v>9.0494563763051381E-4</v>
      </c>
      <c r="AA307" s="11">
        <f ca="1">AVEDEV(Q307*$Q$3,R307*$R$3,S307*$S$3,T307*$T$3,U307*$U$3)</f>
        <v>8.1263409709662529E-5</v>
      </c>
      <c r="AB307" s="11" cm="1">
        <f t="array" aca="1" ref="AB307" ca="1">MMULT(_xlfn.ANCHORARRAY(Q307),TRANSPOSE($Q$6:$U$6))</f>
        <v>-2.277690304891563E-2</v>
      </c>
      <c r="AD307" s="2" t="s">
        <v>298</v>
      </c>
      <c r="AE307" s="10" cm="1">
        <f t="array" aca="1" ref="AE307:AI307" ca="1">_xlfn.LET(_xlpm.array,_xlfn.RANDARRAY(1,COLUMNS(_xlfn.ANCHORARRAY(Q306)),-1,1,FALSE),_xlpm.array/SUM(_xlpm.array))</f>
        <v>-2.1018425550654785</v>
      </c>
      <c r="AF307" s="10">
        <f ca="1"/>
        <v>0.6856770883091996</v>
      </c>
      <c r="AG307" s="10">
        <f ca="1"/>
        <v>1.8524607627029517</v>
      </c>
      <c r="AH307" s="10">
        <f ca="1"/>
        <v>0.11341670245257797</v>
      </c>
      <c r="AI307" s="10">
        <f ca="1"/>
        <v>0.45028800160074905</v>
      </c>
      <c r="AJ307" s="1"/>
      <c r="AK307" s="2" cm="1">
        <f t="array" aca="1" ref="AK307" ca="1">MMULT(MMULT(_xlfn.ANCHORARRAY(AE307),$Q$9:$U$13),TRANSPOSE(_xlfn.ANCHORARRAY(AE307)))</f>
        <v>3.3637834272186077E-3</v>
      </c>
      <c r="AL307" s="2">
        <f t="shared" ca="1" si="15"/>
        <v>5.7998132963213635E-2</v>
      </c>
      <c r="AM307" s="2" cm="1">
        <f t="array" aca="1" ref="AM307" ca="1">MMULT(_xlfn.ANCHORARRAY(AE308),TRANSPOSE($Q$3:$U$3))</f>
        <v>1.7143348293025642E-3</v>
      </c>
    </row>
    <row r="308" spans="1:39" x14ac:dyDescent="0.35">
      <c r="A308" s="3">
        <v>44277</v>
      </c>
      <c r="B308" s="4">
        <v>33.3528633117675</v>
      </c>
      <c r="C308" s="4">
        <v>83.266632080078097</v>
      </c>
      <c r="D308" s="4">
        <v>40.408916473388601</v>
      </c>
      <c r="E308" s="4">
        <v>13.463649749755801</v>
      </c>
      <c r="F308" s="4">
        <v>226.44647216796801</v>
      </c>
      <c r="I308" s="5">
        <f>B308/B307-1</f>
        <v>-2.2579296451853637E-2</v>
      </c>
      <c r="J308" s="5">
        <f>C308/C307-1</f>
        <v>-8.1250879847517554E-3</v>
      </c>
      <c r="K308" s="5">
        <f>D308/D307-1</f>
        <v>-3.1951903234336276E-3</v>
      </c>
      <c r="L308" s="5">
        <f>E308/E307-1</f>
        <v>2.5600765821489624E-3</v>
      </c>
      <c r="M308" s="5">
        <f>F308/F307-1</f>
        <v>2.4484314659337203E-2</v>
      </c>
      <c r="N308" s="5">
        <f>SUMPRODUCT(I308:M308,$AJ$13:$AN$13)</f>
        <v>1.4507875971697493E-2</v>
      </c>
      <c r="P308" s="2" t="s">
        <v>299</v>
      </c>
      <c r="Q308" s="10" cm="1">
        <f t="array" aca="1" ref="Q308:U308" ca="1">_xlfn.LET(_xlpm.array,_xlfn.RANDARRAY(1,COLUMNS(_xlfn.ANCHORARRAY(Q307)),0,1,FALSE),_xlpm.array/SUM(_xlpm.array))</f>
        <v>0.27746611084709943</v>
      </c>
      <c r="R308" s="2">
        <f ca="1"/>
        <v>0.21092507384966963</v>
      </c>
      <c r="S308" s="2">
        <f ca="1"/>
        <v>0.19915825352038682</v>
      </c>
      <c r="T308" s="2">
        <f ca="1"/>
        <v>0.18873690137593066</v>
      </c>
      <c r="U308" s="2">
        <f ca="1"/>
        <v>0.12371366040691348</v>
      </c>
      <c r="V308" s="12"/>
      <c r="X308" s="2" cm="1">
        <f t="array" aca="1" ref="X308" ca="1">MMULT(MMULT(_xlfn.ANCHORARRAY(Q308),$Q$9:$U$13),TRANSPOSE(_xlfn.ANCHORARRAY(Q308)))</f>
        <v>2.9311852885173555E-4</v>
      </c>
      <c r="Y308" s="2">
        <f t="shared" ca="1" si="14"/>
        <v>1.7120704683269775E-2</v>
      </c>
      <c r="Z308" s="2" cm="1">
        <f t="array" aca="1" ref="Z308" ca="1">MMULT(_xlfn.ANCHORARRAY(Q308),TRANSPOSE($Q$3:$U$3))</f>
        <v>9.0591970907727653E-4</v>
      </c>
      <c r="AA308" s="11">
        <f ca="1">AVEDEV(Q308*$Q$3,R308*$R$3,S308*$S$3,T308*$T$3,U308*$U$3)</f>
        <v>6.1552849998523833E-5</v>
      </c>
      <c r="AB308" s="11" cm="1">
        <f t="array" aca="1" ref="AB308" ca="1">MMULT(_xlfn.ANCHORARRAY(Q308),TRANSPOSE($Q$6:$U$6))</f>
        <v>-2.2987209891058246E-2</v>
      </c>
      <c r="AD308" s="2" t="s">
        <v>299</v>
      </c>
      <c r="AE308" s="10" cm="1">
        <f t="array" aca="1" ref="AE308:AI308" ca="1">_xlfn.LET(_xlpm.array,_xlfn.RANDARRAY(1,COLUMNS(_xlfn.ANCHORARRAY(Q307)),-1,1,FALSE),_xlpm.array/SUM(_xlpm.array))</f>
        <v>-1.0842354965124947</v>
      </c>
      <c r="AF308" s="10">
        <f ca="1"/>
        <v>0.16088203246428714</v>
      </c>
      <c r="AG308" s="10">
        <f ca="1"/>
        <v>0.48845954544833076</v>
      </c>
      <c r="AH308" s="10">
        <f ca="1"/>
        <v>1.0015774398570725</v>
      </c>
      <c r="AI308" s="10">
        <f ca="1"/>
        <v>0.43331647874280427</v>
      </c>
      <c r="AJ308" s="1"/>
      <c r="AK308" s="2" cm="1">
        <f t="array" aca="1" ref="AK308" ca="1">MMULT(MMULT(_xlfn.ANCHORARRAY(AE308),$Q$9:$U$13),TRANSPOSE(_xlfn.ANCHORARRAY(AE308)))</f>
        <v>9.395711217444697E-4</v>
      </c>
      <c r="AL308" s="2">
        <f t="shared" ca="1" si="15"/>
        <v>3.0652424402393845E-2</v>
      </c>
      <c r="AM308" s="2" cm="1">
        <f t="array" aca="1" ref="AM308" ca="1">MMULT(_xlfn.ANCHORARRAY(AE309),TRANSPOSE($Q$3:$U$3))</f>
        <v>1.4183050669728386E-3</v>
      </c>
    </row>
    <row r="309" spans="1:39" x14ac:dyDescent="0.35">
      <c r="A309" s="3">
        <v>44278</v>
      </c>
      <c r="B309" s="4">
        <v>32.679782867431598</v>
      </c>
      <c r="C309" s="4">
        <v>82.803749084472599</v>
      </c>
      <c r="D309" s="4">
        <v>39.668743133544901</v>
      </c>
      <c r="E309" s="4">
        <v>12.9479312896728</v>
      </c>
      <c r="F309" s="4">
        <v>227.97216796875</v>
      </c>
      <c r="I309" s="5">
        <f>B309/B308-1</f>
        <v>-2.0180589535724436E-2</v>
      </c>
      <c r="J309" s="5">
        <f>C309/C308-1</f>
        <v>-5.5590454908797104E-3</v>
      </c>
      <c r="K309" s="5">
        <f>D309/D308-1</f>
        <v>-1.8317079606208764E-2</v>
      </c>
      <c r="L309" s="5">
        <f>E309/E308-1</f>
        <v>-3.8304506554201923E-2</v>
      </c>
      <c r="M309" s="5">
        <f>F309/F308-1</f>
        <v>6.7375560598281758E-3</v>
      </c>
      <c r="N309" s="5">
        <f>SUMPRODUCT(I309:M309,$AJ$13:$AN$13)</f>
        <v>-1.9165957817323144E-2</v>
      </c>
      <c r="P309" s="2" t="s">
        <v>300</v>
      </c>
      <c r="Q309" s="10" cm="1">
        <f t="array" aca="1" ref="Q309:U309" ca="1">_xlfn.LET(_xlpm.array,_xlfn.RANDARRAY(1,COLUMNS(_xlfn.ANCHORARRAY(Q308)),0,1,FALSE),_xlpm.array/SUM(_xlpm.array))</f>
        <v>0.22049486929609843</v>
      </c>
      <c r="R309" s="2">
        <f ca="1"/>
        <v>0.26057105690394483</v>
      </c>
      <c r="S309" s="2">
        <f ca="1"/>
        <v>0.12199439103527286</v>
      </c>
      <c r="T309" s="2">
        <f ca="1"/>
        <v>0.23288382816865549</v>
      </c>
      <c r="U309" s="2">
        <f ca="1"/>
        <v>0.16405585459602839</v>
      </c>
      <c r="V309" s="12"/>
      <c r="X309" s="2" cm="1">
        <f t="array" aca="1" ref="X309" ca="1">MMULT(MMULT(_xlfn.ANCHORARRAY(Q309),$Q$9:$U$13),TRANSPOSE(_xlfn.ANCHORARRAY(Q309)))</f>
        <v>2.8258094204510294E-4</v>
      </c>
      <c r="Y309" s="2">
        <f t="shared" ca="1" si="14"/>
        <v>1.681014402214041E-2</v>
      </c>
      <c r="Z309" s="2" cm="1">
        <f t="array" aca="1" ref="Z309" ca="1">MMULT(_xlfn.ANCHORARRAY(Q309),TRANSPOSE($Q$3:$U$3))</f>
        <v>8.6386069024684355E-4</v>
      </c>
      <c r="AA309" s="11">
        <f ca="1">AVEDEV(Q309*$Q$3,R309*$R$3,S309*$S$3,T309*$T$3,U309*$U$3)</f>
        <v>4.3199935802680583E-5</v>
      </c>
      <c r="AB309" s="11" cm="1">
        <f t="array" aca="1" ref="AB309" ca="1">MMULT(_xlfn.ANCHORARRAY(Q309),TRANSPOSE($Q$6:$U$6))</f>
        <v>-2.2606664537126897E-2</v>
      </c>
      <c r="AD309" s="2" t="s">
        <v>300</v>
      </c>
      <c r="AE309" s="10" cm="1">
        <f t="array" aca="1" ref="AE309:AI309" ca="1">_xlfn.LET(_xlpm.array,_xlfn.RANDARRAY(1,COLUMNS(_xlfn.ANCHORARRAY(Q308)),-1,1,FALSE),_xlpm.array/SUM(_xlpm.array))</f>
        <v>-0.25449889967232592</v>
      </c>
      <c r="AF309" s="10">
        <f ca="1"/>
        <v>1.1470665908715112</v>
      </c>
      <c r="AG309" s="10">
        <f ca="1"/>
        <v>0.53846334627313885</v>
      </c>
      <c r="AH309" s="10">
        <f ca="1"/>
        <v>0.64351563915431198</v>
      </c>
      <c r="AI309" s="10">
        <f ca="1"/>
        <v>-1.0745466766266363</v>
      </c>
      <c r="AJ309" s="1"/>
      <c r="AK309" s="2" cm="1">
        <f t="array" aca="1" ref="AK309" ca="1">MMULT(MMULT(_xlfn.ANCHORARRAY(AE309),$Q$9:$U$13),TRANSPOSE(_xlfn.ANCHORARRAY(AE309)))</f>
        <v>1.5111568144302702E-3</v>
      </c>
      <c r="AL309" s="2">
        <f t="shared" ca="1" si="15"/>
        <v>3.8873600481950092E-2</v>
      </c>
      <c r="AM309" s="2" cm="1">
        <f t="array" aca="1" ref="AM309" ca="1">MMULT(_xlfn.ANCHORARRAY(AE310),TRANSPOSE($Q$3:$U$3))</f>
        <v>1.7501121973650716E-3</v>
      </c>
    </row>
    <row r="310" spans="1:39" x14ac:dyDescent="0.35">
      <c r="A310" s="3">
        <v>44279</v>
      </c>
      <c r="B310" s="4">
        <v>32.679782867431598</v>
      </c>
      <c r="C310" s="4">
        <v>85.020614624023395</v>
      </c>
      <c r="D310" s="4">
        <v>39.946296691894503</v>
      </c>
      <c r="E310" s="4">
        <v>13.443018913269</v>
      </c>
      <c r="F310" s="4">
        <v>225.937896728515</v>
      </c>
      <c r="I310" s="5">
        <f>B310/B309-1</f>
        <v>0</v>
      </c>
      <c r="J310" s="5">
        <f>C310/C309-1</f>
        <v>2.6772526172567979E-2</v>
      </c>
      <c r="K310" s="5">
        <f>D310/D309-1</f>
        <v>6.9967822629322107E-3</v>
      </c>
      <c r="L310" s="5">
        <f>E310/E309-1</f>
        <v>3.8236812701584189E-2</v>
      </c>
      <c r="M310" s="5">
        <f>F310/F309-1</f>
        <v>-8.9233315556039861E-3</v>
      </c>
      <c r="N310" s="5">
        <f>SUMPRODUCT(I310:M310,$AJ$13:$AN$13)</f>
        <v>1.7651514671897739E-2</v>
      </c>
      <c r="P310" s="2" t="s">
        <v>301</v>
      </c>
      <c r="Q310" s="10" cm="1">
        <f t="array" aca="1" ref="Q310:U310" ca="1">_xlfn.LET(_xlpm.array,_xlfn.RANDARRAY(1,COLUMNS(_xlfn.ANCHORARRAY(Q309)),0,1,FALSE),_xlpm.array/SUM(_xlpm.array))</f>
        <v>8.445538108479371E-2</v>
      </c>
      <c r="R310" s="2">
        <f ca="1"/>
        <v>7.7588375506213961E-2</v>
      </c>
      <c r="S310" s="2">
        <f ca="1"/>
        <v>0.34820029922460416</v>
      </c>
      <c r="T310" s="2">
        <f ca="1"/>
        <v>0.17225361254604801</v>
      </c>
      <c r="U310" s="2">
        <f ca="1"/>
        <v>0.31750233163834013</v>
      </c>
      <c r="V310" s="12"/>
      <c r="X310" s="2" cm="1">
        <f t="array" aca="1" ref="X310" ca="1">MMULT(MMULT(_xlfn.ANCHORARRAY(Q310),$Q$9:$U$13),TRANSPOSE(_xlfn.ANCHORARRAY(Q310)))</f>
        <v>3.0829591006874323E-4</v>
      </c>
      <c r="Y310" s="2">
        <f t="shared" ca="1" si="14"/>
        <v>1.7558357271360646E-2</v>
      </c>
      <c r="Z310" s="2" cm="1">
        <f t="array" aca="1" ref="Z310" ca="1">MMULT(_xlfn.ANCHORARRAY(Q310),TRANSPOSE($Q$3:$U$3))</f>
        <v>1.0838798585158628E-3</v>
      </c>
      <c r="AA310" s="11">
        <f ca="1">AVEDEV(Q310*$Q$3,R310*$R$3,S310*$S$3,T310*$T$3,U310*$U$3)</f>
        <v>1.4990739292132052E-4</v>
      </c>
      <c r="AB310" s="11" cm="1">
        <f t="array" aca="1" ref="AB310" ca="1">MMULT(_xlfn.ANCHORARRAY(Q310),TRANSPOSE($Q$6:$U$6))</f>
        <v>-2.3602630285486523E-2</v>
      </c>
      <c r="AD310" s="2" t="s">
        <v>301</v>
      </c>
      <c r="AE310" s="10" cm="1">
        <f t="array" aca="1" ref="AE310:AI310" ca="1">_xlfn.LET(_xlpm.array,_xlfn.RANDARRAY(1,COLUMNS(_xlfn.ANCHORARRAY(Q309)),-1,1,FALSE),_xlpm.array/SUM(_xlpm.array))</f>
        <v>-1.4067283435254014</v>
      </c>
      <c r="AF310" s="10">
        <f ca="1"/>
        <v>0.77127153787591374</v>
      </c>
      <c r="AG310" s="10">
        <f ca="1"/>
        <v>1.1197121563505181</v>
      </c>
      <c r="AH310" s="10">
        <f ca="1"/>
        <v>-1.2113049509565992</v>
      </c>
      <c r="AI310" s="10">
        <f ca="1"/>
        <v>1.7270496002555686</v>
      </c>
      <c r="AJ310" s="1"/>
      <c r="AK310" s="2" cm="1">
        <f t="array" aca="1" ref="AK310" ca="1">MMULT(MMULT(_xlfn.ANCHORARRAY(AE310),$Q$9:$U$13),TRANSPOSE(_xlfn.ANCHORARRAY(AE310)))</f>
        <v>2.7642669343992668E-3</v>
      </c>
      <c r="AL310" s="2">
        <f t="shared" ca="1" si="15"/>
        <v>5.2576296316869511E-2</v>
      </c>
      <c r="AM310" s="2" cm="1">
        <f t="array" aca="1" ref="AM310" ca="1">MMULT(_xlfn.ANCHORARRAY(AE311),TRANSPOSE($Q$3:$U$3))</f>
        <v>9.1982762663385116E-4</v>
      </c>
    </row>
    <row r="311" spans="1:39" x14ac:dyDescent="0.35">
      <c r="A311" s="3">
        <v>44280</v>
      </c>
      <c r="B311" s="4">
        <v>33.3528633117675</v>
      </c>
      <c r="C311" s="4">
        <v>85.321083068847599</v>
      </c>
      <c r="D311" s="4">
        <v>39.779769897460902</v>
      </c>
      <c r="E311" s="4">
        <v>13.1610927581787</v>
      </c>
      <c r="F311" s="4">
        <v>222.944076538085</v>
      </c>
      <c r="I311" s="5">
        <f>B311/B310-1</f>
        <v>2.0596233673470632E-2</v>
      </c>
      <c r="J311" s="5">
        <f>C311/C310-1</f>
        <v>3.534065781021889E-3</v>
      </c>
      <c r="K311" s="5">
        <f>D311/D310-1</f>
        <v>-4.1687667750034407E-3</v>
      </c>
      <c r="L311" s="5">
        <f>E311/E310-1</f>
        <v>-2.0971937695633436E-2</v>
      </c>
      <c r="M311" s="5">
        <f>F311/F310-1</f>
        <v>-1.3250633177431692E-2</v>
      </c>
      <c r="N311" s="5">
        <f>SUMPRODUCT(I311:M311,$AJ$13:$AN$13)</f>
        <v>-2.2468644332157034E-2</v>
      </c>
      <c r="P311" s="2" t="s">
        <v>302</v>
      </c>
      <c r="Q311" s="10" cm="1">
        <f t="array" aca="1" ref="Q311:U311" ca="1">_xlfn.LET(_xlpm.array,_xlfn.RANDARRAY(1,COLUMNS(_xlfn.ANCHORARRAY(Q310)),0,1,FALSE),_xlpm.array/SUM(_xlpm.array))</f>
        <v>0.10620729503186145</v>
      </c>
      <c r="R311" s="2">
        <f ca="1"/>
        <v>0.31105120814150206</v>
      </c>
      <c r="S311" s="2">
        <f ca="1"/>
        <v>0.18580119224483399</v>
      </c>
      <c r="T311" s="2">
        <f ca="1"/>
        <v>1.4578357713350842E-2</v>
      </c>
      <c r="U311" s="2">
        <f ca="1"/>
        <v>0.38236194686845154</v>
      </c>
      <c r="V311" s="12"/>
      <c r="X311" s="2" cm="1">
        <f t="array" aca="1" ref="X311" ca="1">MMULT(MMULT(_xlfn.ANCHORARRAY(Q311),$Q$9:$U$13),TRANSPOSE(_xlfn.ANCHORARRAY(Q311)))</f>
        <v>2.6280482707552482E-4</v>
      </c>
      <c r="Y311" s="2">
        <f t="shared" ca="1" si="14"/>
        <v>1.6211256184377718E-2</v>
      </c>
      <c r="Z311" s="2" cm="1">
        <f t="array" aca="1" ref="Z311" ca="1">MMULT(_xlfn.ANCHORARRAY(Q311),TRANSPOSE($Q$3:$U$3))</f>
        <v>8.9020697229713662E-4</v>
      </c>
      <c r="AA311" s="11">
        <f ca="1">AVEDEV(Q311*$Q$3,R311*$R$3,S311*$S$3,T311*$T$3,U311*$U$3)</f>
        <v>1.148839319472938E-4</v>
      </c>
      <c r="AB311" s="11" cm="1">
        <f t="array" aca="1" ref="AB311" ca="1">MMULT(_xlfn.ANCHORARRAY(Q311),TRANSPOSE($Q$6:$U$6))</f>
        <v>-2.1810386708994198E-2</v>
      </c>
      <c r="AD311" s="2" t="s">
        <v>302</v>
      </c>
      <c r="AE311" s="10" cm="1">
        <f t="array" aca="1" ref="AE311:AI311" ca="1">_xlfn.LET(_xlpm.array,_xlfn.RANDARRAY(1,COLUMNS(_xlfn.ANCHORARRAY(Q310)),-1,1,FALSE),_xlpm.array/SUM(_xlpm.array))</f>
        <v>6.6726969306390924E-2</v>
      </c>
      <c r="AF311" s="10">
        <f ca="1"/>
        <v>0.2646644672114794</v>
      </c>
      <c r="AG311" s="10">
        <f ca="1"/>
        <v>0.13068266528321107</v>
      </c>
      <c r="AH311" s="10">
        <f ca="1"/>
        <v>0.26866042429347053</v>
      </c>
      <c r="AI311" s="10">
        <f ca="1"/>
        <v>0.26926547390544797</v>
      </c>
      <c r="AJ311" s="1"/>
      <c r="AK311" s="2" cm="1">
        <f t="array" aca="1" ref="AK311" ca="1">MMULT(MMULT(_xlfn.ANCHORARRAY(AE311),$Q$9:$U$13),TRANSPOSE(_xlfn.ANCHORARRAY(AE311)))</f>
        <v>2.7154598061719193E-4</v>
      </c>
      <c r="AL311" s="2">
        <f t="shared" ca="1" si="15"/>
        <v>1.647865226944218E-2</v>
      </c>
      <c r="AM311" s="2" cm="1">
        <f t="array" aca="1" ref="AM311" ca="1">MMULT(_xlfn.ANCHORARRAY(AE312),TRANSPOSE($Q$3:$U$3))</f>
        <v>5.7816386858529454E-4</v>
      </c>
    </row>
    <row r="312" spans="1:39" x14ac:dyDescent="0.35">
      <c r="A312" s="3">
        <v>44281</v>
      </c>
      <c r="B312" s="4">
        <v>34.256198883056598</v>
      </c>
      <c r="C312" s="4">
        <v>87.278106689453097</v>
      </c>
      <c r="D312" s="4">
        <v>41.1676025390625</v>
      </c>
      <c r="E312" s="4">
        <v>13.5599164962768</v>
      </c>
      <c r="F312" s="4">
        <v>226.91662597656199</v>
      </c>
      <c r="I312" s="5">
        <f>B312/B311-1</f>
        <v>2.7084198524280456E-2</v>
      </c>
      <c r="J312" s="5">
        <f>C312/C311-1</f>
        <v>2.2937163362381607E-2</v>
      </c>
      <c r="K312" s="5">
        <f>D312/D311-1</f>
        <v>3.4887900185923026E-2</v>
      </c>
      <c r="L312" s="5">
        <f>E312/E311-1</f>
        <v>3.0303238904707097E-2</v>
      </c>
      <c r="M312" s="5">
        <f>F312/F311-1</f>
        <v>1.7818591550685881E-2</v>
      </c>
      <c r="N312" s="5">
        <f>SUMPRODUCT(I312:M312,$AJ$13:$AN$13)</f>
        <v>2.9692215183488434E-2</v>
      </c>
      <c r="P312" s="2" t="s">
        <v>303</v>
      </c>
      <c r="Q312" s="10" cm="1">
        <f t="array" aca="1" ref="Q312:U312" ca="1">_xlfn.LET(_xlpm.array,_xlfn.RANDARRAY(1,COLUMNS(_xlfn.ANCHORARRAY(Q311)),0,1,FALSE),_xlpm.array/SUM(_xlpm.array))</f>
        <v>0.13702583184133479</v>
      </c>
      <c r="R312" s="2">
        <f ca="1"/>
        <v>0.23395418257036385</v>
      </c>
      <c r="S312" s="2">
        <f ca="1"/>
        <v>0.24107604349036751</v>
      </c>
      <c r="T312" s="2">
        <f ca="1"/>
        <v>5.0924103760331657E-2</v>
      </c>
      <c r="U312" s="2">
        <f ca="1"/>
        <v>0.33701983833760218</v>
      </c>
      <c r="V312" s="12"/>
      <c r="X312" s="2" cm="1">
        <f t="array" aca="1" ref="X312" ca="1">MMULT(MMULT(_xlfn.ANCHORARRAY(Q312),$Q$9:$U$13),TRANSPOSE(_xlfn.ANCHORARRAY(Q312)))</f>
        <v>2.7345033802933343E-4</v>
      </c>
      <c r="Y312" s="2">
        <f t="shared" ca="1" si="14"/>
        <v>1.653633387511674E-2</v>
      </c>
      <c r="Z312" s="2" cm="1">
        <f t="array" aca="1" ref="Z312" ca="1">MMULT(_xlfn.ANCHORARRAY(Q312),TRANSPOSE($Q$3:$U$3))</f>
        <v>9.417888723133208E-4</v>
      </c>
      <c r="AA312" s="11">
        <f ca="1">AVEDEV(Q312*$Q$3,R312*$R$3,S312*$S$3,T312*$T$3,U312*$U$3)</f>
        <v>1.090252168646033E-4</v>
      </c>
      <c r="AB312" s="11" cm="1">
        <f t="array" aca="1" ref="AB312" ca="1">MMULT(_xlfn.ANCHORARRAY(Q312),TRANSPOSE($Q$6:$U$6))</f>
        <v>-2.2390858602215135E-2</v>
      </c>
      <c r="AD312" s="2" t="s">
        <v>303</v>
      </c>
      <c r="AE312" s="10" cm="1">
        <f t="array" aca="1" ref="AE312:AI312" ca="1">_xlfn.LET(_xlpm.array,_xlfn.RANDARRAY(1,COLUMNS(_xlfn.ANCHORARRAY(Q311)),-1,1,FALSE),_xlpm.array/SUM(_xlpm.array))</f>
        <v>1.3316845003704887</v>
      </c>
      <c r="AF312" s="10">
        <f ca="1"/>
        <v>-0.12648872828090263</v>
      </c>
      <c r="AG312" s="10">
        <f ca="1"/>
        <v>0.28975826791310727</v>
      </c>
      <c r="AH312" s="10">
        <f ca="1"/>
        <v>-0.38281535185631876</v>
      </c>
      <c r="AI312" s="10">
        <f ca="1"/>
        <v>-0.11213868814637457</v>
      </c>
      <c r="AJ312" s="1"/>
      <c r="AK312" s="2" cm="1">
        <f t="array" aca="1" ref="AK312" ca="1">MMULT(MMULT(_xlfn.ANCHORARRAY(AE312),$Q$9:$U$13),TRANSPOSE(_xlfn.ANCHORARRAY(AE312)))</f>
        <v>7.6291274111541646E-4</v>
      </c>
      <c r="AL312" s="2">
        <f t="shared" ca="1" si="15"/>
        <v>2.7620875096843266E-2</v>
      </c>
      <c r="AM312" s="2" cm="1">
        <f t="array" aca="1" ref="AM312" ca="1">MMULT(_xlfn.ANCHORARRAY(AE313),TRANSPOSE($Q$3:$U$3))</f>
        <v>-8.6631723780234956E-5</v>
      </c>
    </row>
    <row r="313" spans="1:39" x14ac:dyDescent="0.35">
      <c r="A313" s="3">
        <v>44284</v>
      </c>
      <c r="B313" s="4">
        <v>33.928512573242102</v>
      </c>
      <c r="C313" s="4">
        <v>86.823356628417898</v>
      </c>
      <c r="D313" s="4">
        <v>40.8067626953125</v>
      </c>
      <c r="E313" s="4">
        <v>13.6011753082275</v>
      </c>
      <c r="F313" s="4">
        <v>225.726806640625</v>
      </c>
      <c r="I313" s="5">
        <f>B313/B312-1</f>
        <v>-9.565752199569677E-3</v>
      </c>
      <c r="J313" s="5">
        <f>C313/C312-1</f>
        <v>-5.2103566207417629E-3</v>
      </c>
      <c r="K313" s="5">
        <f>D313/D312-1</f>
        <v>-8.765141069548843E-3</v>
      </c>
      <c r="L313" s="5">
        <f>E313/E312-1</f>
        <v>3.0427039843519132E-3</v>
      </c>
      <c r="M313" s="5">
        <f>F313/F312-1</f>
        <v>-5.2434207093308149E-3</v>
      </c>
      <c r="N313" s="5">
        <f>SUMPRODUCT(I313:M313,$AJ$13:$AN$13)</f>
        <v>-1.9563459378014866E-3</v>
      </c>
      <c r="P313" s="2" t="s">
        <v>304</v>
      </c>
      <c r="Q313" s="10" cm="1">
        <f t="array" aca="1" ref="Q313:U313" ca="1">_xlfn.LET(_xlpm.array,_xlfn.RANDARRAY(1,COLUMNS(_xlfn.ANCHORARRAY(Q312)),0,1,FALSE),_xlpm.array/SUM(_xlpm.array))</f>
        <v>0.28590372700691086</v>
      </c>
      <c r="R313" s="2">
        <f ca="1"/>
        <v>0.1356957763526821</v>
      </c>
      <c r="S313" s="2">
        <f ca="1"/>
        <v>0.14017237826995624</v>
      </c>
      <c r="T313" s="2">
        <f ca="1"/>
        <v>0.19812690137352987</v>
      </c>
      <c r="U313" s="2">
        <f ca="1"/>
        <v>0.240101216996921</v>
      </c>
      <c r="V313" s="12"/>
      <c r="X313" s="2" cm="1">
        <f t="array" aca="1" ref="X313" ca="1">MMULT(MMULT(_xlfn.ANCHORARRAY(Q313),$Q$9:$U$13),TRANSPOSE(_xlfn.ANCHORARRAY(Q313)))</f>
        <v>2.6679197369014224E-4</v>
      </c>
      <c r="Y313" s="2">
        <f t="shared" ca="1" si="14"/>
        <v>1.6333767896298215E-2</v>
      </c>
      <c r="Z313" s="2" cm="1">
        <f t="array" aca="1" ref="Z313" ca="1">MMULT(_xlfn.ANCHORARRAY(Q313),TRANSPOSE($Q$3:$U$3))</f>
        <v>8.5809206996894185E-4</v>
      </c>
      <c r="AA313" s="11">
        <f ca="1">AVEDEV(Q313*$Q$3,R313*$R$3,S313*$S$3,T313*$T$3,U313*$U$3)</f>
        <v>3.9534790783209E-5</v>
      </c>
      <c r="AB313" s="11" cm="1">
        <f t="array" aca="1" ref="AB313" ca="1">MMULT(_xlfn.ANCHORARRAY(Q313),TRANSPOSE($Q$6:$U$6))</f>
        <v>-2.2597462940686701E-2</v>
      </c>
      <c r="AD313" s="2" t="s">
        <v>304</v>
      </c>
      <c r="AE313" s="10" cm="1">
        <f t="array" aca="1" ref="AE313:AI313" ca="1">_xlfn.LET(_xlpm.array,_xlfn.RANDARRAY(1,COLUMNS(_xlfn.ANCHORARRAY(Q312)),-1,1,FALSE),_xlpm.array/SUM(_xlpm.array))</f>
        <v>0.47572040744694527</v>
      </c>
      <c r="AF313" s="10">
        <f ca="1"/>
        <v>-0.16405411899019753</v>
      </c>
      <c r="AG313" s="10">
        <f ca="1"/>
        <v>-1.2123681166091884</v>
      </c>
      <c r="AH313" s="10">
        <f ca="1"/>
        <v>1.1937515458737622</v>
      </c>
      <c r="AI313" s="10">
        <f ca="1"/>
        <v>0.70695028227867862</v>
      </c>
      <c r="AJ313" s="1"/>
      <c r="AK313" s="2" cm="1">
        <f t="array" aca="1" ref="AK313" ca="1">MMULT(MMULT(_xlfn.ANCHORARRAY(AE313),$Q$9:$U$13),TRANSPOSE(_xlfn.ANCHORARRAY(AE313)))</f>
        <v>1.5718871517603505E-3</v>
      </c>
      <c r="AL313" s="2">
        <f t="shared" ca="1" si="15"/>
        <v>3.9647032067487098E-2</v>
      </c>
      <c r="AM313" s="2" cm="1">
        <f t="array" aca="1" ref="AM313" ca="1">MMULT(_xlfn.ANCHORARRAY(AE314),TRANSPOSE($Q$3:$U$3))</f>
        <v>-5.148315092307087E-5</v>
      </c>
    </row>
    <row r="314" spans="1:39" x14ac:dyDescent="0.35">
      <c r="A314" s="3">
        <v>44285</v>
      </c>
      <c r="B314" s="4">
        <v>34.530742645263601</v>
      </c>
      <c r="C314" s="4">
        <v>86.019447326660099</v>
      </c>
      <c r="D314" s="4">
        <v>40.9825439453125</v>
      </c>
      <c r="E314" s="4">
        <v>13.4705247879028</v>
      </c>
      <c r="F314" s="4">
        <v>222.473876953125</v>
      </c>
      <c r="I314" s="5">
        <f>B314/B313-1</f>
        <v>1.7749969755421979E-2</v>
      </c>
      <c r="J314" s="5">
        <f>C314/C313-1</f>
        <v>-9.2591364003390408E-3</v>
      </c>
      <c r="K314" s="5">
        <f>D314/D313-1</f>
        <v>4.3076499675429591E-3</v>
      </c>
      <c r="L314" s="5">
        <f>E314/E313-1</f>
        <v>-9.6058257734291663E-3</v>
      </c>
      <c r="M314" s="5">
        <f>F314/F313-1</f>
        <v>-1.4410914396529417E-2</v>
      </c>
      <c r="N314" s="5">
        <f>SUMPRODUCT(I314:M314,$AJ$13:$AN$13)</f>
        <v>-1.1889599348957603E-2</v>
      </c>
      <c r="P314" s="2" t="s">
        <v>305</v>
      </c>
      <c r="Q314" s="10" cm="1">
        <f t="array" aca="1" ref="Q314:U314" ca="1">_xlfn.LET(_xlpm.array,_xlfn.RANDARRAY(1,COLUMNS(_xlfn.ANCHORARRAY(Q313)),0,1,FALSE),_xlpm.array/SUM(_xlpm.array))</f>
        <v>1.140087848614039E-3</v>
      </c>
      <c r="R314" s="2">
        <f ca="1"/>
        <v>0.15359817319412566</v>
      </c>
      <c r="S314" s="2">
        <f ca="1"/>
        <v>0.37955072571090276</v>
      </c>
      <c r="T314" s="2">
        <f ca="1"/>
        <v>1.5404617938061577E-2</v>
      </c>
      <c r="U314" s="2">
        <f ca="1"/>
        <v>0.45030639530829603</v>
      </c>
      <c r="V314" s="12"/>
      <c r="X314" s="2" cm="1">
        <f t="array" aca="1" ref="X314" ca="1">MMULT(MMULT(_xlfn.ANCHORARRAY(Q314),$Q$9:$U$13),TRANSPOSE(_xlfn.ANCHORARRAY(Q314)))</f>
        <v>3.3167027429481885E-4</v>
      </c>
      <c r="Y314" s="2">
        <f t="shared" ca="1" si="14"/>
        <v>1.8211816886154409E-2</v>
      </c>
      <c r="Z314" s="2" cm="1">
        <f t="array" aca="1" ref="Z314" ca="1">MMULT(_xlfn.ANCHORARRAY(Q314),TRANSPOSE($Q$3:$U$3))</f>
        <v>1.089289688542617E-3</v>
      </c>
      <c r="AA314" s="11">
        <f ca="1">AVEDEV(Q314*$Q$3,R314*$R$3,S314*$S$3,T314*$T$3,U314*$U$3)</f>
        <v>2.100373449112204E-4</v>
      </c>
      <c r="AB314" s="11" cm="1">
        <f t="array" aca="1" ref="AB314" ca="1">MMULT(_xlfn.ANCHORARRAY(Q314),TRANSPOSE($Q$6:$U$6))</f>
        <v>-2.294562975896728E-2</v>
      </c>
      <c r="AD314" s="2" t="s">
        <v>305</v>
      </c>
      <c r="AE314" s="10" cm="1">
        <f t="array" aca="1" ref="AE314:AI314" ca="1">_xlfn.LET(_xlpm.array,_xlfn.RANDARRAY(1,COLUMNS(_xlfn.ANCHORARRAY(Q313)),-1,1,FALSE),_xlpm.array/SUM(_xlpm.array))</f>
        <v>0.74864812317489227</v>
      </c>
      <c r="AF314" s="10">
        <f ca="1"/>
        <v>0.18112925446100323</v>
      </c>
      <c r="AG314" s="10">
        <f ca="1"/>
        <v>-0.84679504568578634</v>
      </c>
      <c r="AH314" s="10">
        <f ca="1"/>
        <v>0.42670792897579513</v>
      </c>
      <c r="AI314" s="10">
        <f ca="1"/>
        <v>0.4903097390740957</v>
      </c>
      <c r="AJ314" s="1"/>
      <c r="AK314" s="2" cm="1">
        <f t="array" aca="1" ref="AK314" ca="1">MMULT(MMULT(_xlfn.ANCHORARRAY(AE314),$Q$9:$U$13),TRANSPOSE(_xlfn.ANCHORARRAY(AE314)))</f>
        <v>8.49994280051445E-4</v>
      </c>
      <c r="AL314" s="2">
        <f t="shared" ca="1" si="15"/>
        <v>2.9154661377753043E-2</v>
      </c>
      <c r="AM314" s="2" cm="1">
        <f t="array" aca="1" ref="AM314" ca="1">MMULT(_xlfn.ANCHORARRAY(AE315),TRANSPOSE($Q$3:$U$3))</f>
        <v>7.3738041625005509E-4</v>
      </c>
    </row>
    <row r="315" spans="1:39" x14ac:dyDescent="0.35">
      <c r="A315" s="3">
        <v>44286</v>
      </c>
      <c r="B315" s="4">
        <v>34.265052795410099</v>
      </c>
      <c r="C315" s="4">
        <v>85.093696594238196</v>
      </c>
      <c r="D315" s="4">
        <v>40.779003143310497</v>
      </c>
      <c r="E315" s="4">
        <v>13.381135940551699</v>
      </c>
      <c r="F315" s="4">
        <v>226.23533630371</v>
      </c>
      <c r="I315" s="5">
        <f>B315/B314-1</f>
        <v>-7.6942987465676849E-3</v>
      </c>
      <c r="J315" s="5">
        <f>C315/C314-1</f>
        <v>-1.0762109746024651E-2</v>
      </c>
      <c r="K315" s="5">
        <f>D315/D314-1</f>
        <v>-4.9665243395726755E-3</v>
      </c>
      <c r="L315" s="5">
        <f>E315/E314-1</f>
        <v>-6.6358845522763721E-3</v>
      </c>
      <c r="M315" s="5">
        <f>F315/F314-1</f>
        <v>1.6907420332219703E-2</v>
      </c>
      <c r="N315" s="5">
        <f>SUMPRODUCT(I315:M315,$AJ$13:$AN$13)</f>
        <v>2.5391410969825118E-3</v>
      </c>
      <c r="P315" s="2" t="s">
        <v>306</v>
      </c>
      <c r="Q315" s="10" cm="1">
        <f t="array" aca="1" ref="Q315:U315" ca="1">_xlfn.LET(_xlpm.array,_xlfn.RANDARRAY(1,COLUMNS(_xlfn.ANCHORARRAY(Q314)),0,1,FALSE),_xlpm.array/SUM(_xlpm.array))</f>
        <v>0.22210063196332153</v>
      </c>
      <c r="R315" s="2">
        <f ca="1"/>
        <v>0.13515360327379722</v>
      </c>
      <c r="S315" s="2">
        <f ca="1"/>
        <v>0.11009138397337564</v>
      </c>
      <c r="T315" s="2">
        <f ca="1"/>
        <v>0.26740781749089437</v>
      </c>
      <c r="U315" s="2">
        <f ca="1"/>
        <v>0.26524656329861129</v>
      </c>
      <c r="V315" s="12"/>
      <c r="X315" s="2" cm="1">
        <f t="array" aca="1" ref="X315" ca="1">MMULT(MMULT(_xlfn.ANCHORARRAY(Q315),$Q$9:$U$13),TRANSPOSE(_xlfn.ANCHORARRAY(Q315)))</f>
        <v>2.6348170495532836E-4</v>
      </c>
      <c r="Y315" s="2">
        <f t="shared" ca="1" si="14"/>
        <v>1.6232119545990548E-2</v>
      </c>
      <c r="Z315" s="2" cm="1">
        <f t="array" aca="1" ref="Z315" ca="1">MMULT(_xlfn.ANCHORARRAY(Q315),TRANSPOSE($Q$3:$U$3))</f>
        <v>8.6642799699777006E-4</v>
      </c>
      <c r="AA315" s="11">
        <f ca="1">AVEDEV(Q315*$Q$3,R315*$R$3,S315*$S$3,T315*$T$3,U315*$U$3)</f>
        <v>5.3997978936300042E-5</v>
      </c>
      <c r="AB315" s="11" cm="1">
        <f t="array" aca="1" ref="AB315" ca="1">MMULT(_xlfn.ANCHORARRAY(Q315),TRANSPOSE($Q$6:$U$6))</f>
        <v>-2.2640368377989807E-2</v>
      </c>
      <c r="AD315" s="2" t="s">
        <v>306</v>
      </c>
      <c r="AE315" s="10" cm="1">
        <f t="array" aca="1" ref="AE315:AI315" ca="1">_xlfn.LET(_xlpm.array,_xlfn.RANDARRAY(1,COLUMNS(_xlfn.ANCHORARRAY(Q314)),-1,1,FALSE),_xlpm.array/SUM(_xlpm.array))</f>
        <v>0.33825820867808964</v>
      </c>
      <c r="AF315" s="10">
        <f ca="1"/>
        <v>0.21973362927557433</v>
      </c>
      <c r="AG315" s="10">
        <f ca="1"/>
        <v>-1.4932207340568982E-2</v>
      </c>
      <c r="AH315" s="10">
        <f ca="1"/>
        <v>0.31064097537605118</v>
      </c>
      <c r="AI315" s="10">
        <f ca="1"/>
        <v>0.14629939401085379</v>
      </c>
      <c r="AJ315" s="1"/>
      <c r="AK315" s="2" cm="1">
        <f t="array" aca="1" ref="AK315" ca="1">MMULT(MMULT(_xlfn.ANCHORARRAY(AE315),$Q$9:$U$13),TRANSPOSE(_xlfn.ANCHORARRAY(AE315)))</f>
        <v>3.0476685289142116E-4</v>
      </c>
      <c r="AL315" s="2">
        <f t="shared" ca="1" si="15"/>
        <v>1.745757293816701E-2</v>
      </c>
      <c r="AM315" s="2" cm="1">
        <f t="array" aca="1" ref="AM315" ca="1">MMULT(_xlfn.ANCHORARRAY(AE316),TRANSPOSE($Q$3:$U$3))</f>
        <v>7.6826725967930106E-4</v>
      </c>
    </row>
    <row r="316" spans="1:39" x14ac:dyDescent="0.35">
      <c r="A316" s="3">
        <v>44287</v>
      </c>
      <c r="B316" s="4">
        <v>34.973560333251903</v>
      </c>
      <c r="C316" s="4">
        <v>85.873268127441406</v>
      </c>
      <c r="D316" s="4">
        <v>41.209228515625</v>
      </c>
      <c r="E316" s="4">
        <v>13.539289474487299</v>
      </c>
      <c r="F316" s="4">
        <v>232.54925537109301</v>
      </c>
      <c r="I316" s="5">
        <f>B316/B315-1</f>
        <v>2.0677263860416684E-2</v>
      </c>
      <c r="J316" s="5">
        <f>C316/C315-1</f>
        <v>9.1613311491276495E-3</v>
      </c>
      <c r="K316" s="5">
        <f>D316/D315-1</f>
        <v>1.0550168938719517E-2</v>
      </c>
      <c r="L316" s="5">
        <f>E316/E315-1</f>
        <v>1.1819141113148302E-2</v>
      </c>
      <c r="M316" s="5">
        <f>F316/F315-1</f>
        <v>2.7908633419258866E-2</v>
      </c>
      <c r="N316" s="5">
        <f>SUMPRODUCT(I316:M316,$AJ$13:$AN$13)</f>
        <v>1.4058239116281379E-2</v>
      </c>
      <c r="P316" s="2" t="s">
        <v>307</v>
      </c>
      <c r="Q316" s="10" cm="1">
        <f t="array" aca="1" ref="Q316:U316" ca="1">_xlfn.LET(_xlpm.array,_xlfn.RANDARRAY(1,COLUMNS(_xlfn.ANCHORARRAY(Q315)),0,1,FALSE),_xlpm.array/SUM(_xlpm.array))</f>
        <v>0.13424262655502328</v>
      </c>
      <c r="R316" s="2">
        <f ca="1"/>
        <v>0.1687160225501684</v>
      </c>
      <c r="S316" s="2">
        <f ca="1"/>
        <v>3.1195740758960144E-2</v>
      </c>
      <c r="T316" s="2">
        <f ca="1"/>
        <v>0.21936782042050881</v>
      </c>
      <c r="U316" s="2">
        <f ca="1"/>
        <v>0.44647778971533925</v>
      </c>
      <c r="V316" s="12"/>
      <c r="X316" s="2" cm="1">
        <f t="array" aca="1" ref="X316" ca="1">MMULT(MMULT(_xlfn.ANCHORARRAY(Q316),$Q$9:$U$13),TRANSPOSE(_xlfn.ANCHORARRAY(Q316)))</f>
        <v>2.443975825053219E-4</v>
      </c>
      <c r="Y316" s="2">
        <f t="shared" ca="1" si="14"/>
        <v>1.5633220477730168E-2</v>
      </c>
      <c r="Z316" s="2" cm="1">
        <f t="array" aca="1" ref="Z316" ca="1">MMULT(_xlfn.ANCHORARRAY(Q316),TRANSPOSE($Q$3:$U$3))</f>
        <v>8.0769341068823424E-4</v>
      </c>
      <c r="AA316" s="11">
        <f ca="1">AVEDEV(Q316*$Q$3,R316*$R$3,S316*$S$3,T316*$T$3,U316*$U$3)</f>
        <v>9.7009120095094587E-5</v>
      </c>
      <c r="AB316" s="11" cm="1">
        <f t="array" aca="1" ref="AB316" ca="1">MMULT(_xlfn.ANCHORARRAY(Q316),TRANSPOSE($Q$6:$U$6))</f>
        <v>-2.1730355233612622E-2</v>
      </c>
      <c r="AD316" s="2" t="s">
        <v>307</v>
      </c>
      <c r="AE316" s="10" cm="1">
        <f t="array" aca="1" ref="AE316:AI316" ca="1">_xlfn.LET(_xlpm.array,_xlfn.RANDARRAY(1,COLUMNS(_xlfn.ANCHORARRAY(Q315)),-1,1,FALSE),_xlpm.array/SUM(_xlpm.array))</f>
        <v>0.17841243897182957</v>
      </c>
      <c r="AF316" s="10">
        <f ca="1"/>
        <v>0.1958693163230211</v>
      </c>
      <c r="AG316" s="10">
        <f ca="1"/>
        <v>-3.8132208623982596E-2</v>
      </c>
      <c r="AH316" s="10">
        <f ca="1"/>
        <v>0.34559675471965745</v>
      </c>
      <c r="AI316" s="10">
        <f ca="1"/>
        <v>0.31825369860947439</v>
      </c>
      <c r="AJ316" s="1"/>
      <c r="AK316" s="2" cm="1">
        <f t="array" aca="1" ref="AK316" ca="1">MMULT(MMULT(_xlfn.ANCHORARRAY(AE316),$Q$9:$U$13),TRANSPOSE(_xlfn.ANCHORARRAY(AE316)))</f>
        <v>2.7461091462364885E-4</v>
      </c>
      <c r="AL316" s="2">
        <f t="shared" ca="1" si="15"/>
        <v>1.6571388433793011E-2</v>
      </c>
      <c r="AM316" s="2" cm="1">
        <f t="array" aca="1" ref="AM316" ca="1">MMULT(_xlfn.ANCHORARRAY(AE317),TRANSPOSE($Q$3:$U$3))</f>
        <v>8.9286076978731667E-4</v>
      </c>
    </row>
    <row r="317" spans="1:39" x14ac:dyDescent="0.35">
      <c r="A317" s="3">
        <v>44291</v>
      </c>
      <c r="B317" s="4">
        <v>35.248104095458899</v>
      </c>
      <c r="C317" s="4">
        <v>84.866340637207003</v>
      </c>
      <c r="D317" s="4">
        <v>41.338756561279297</v>
      </c>
      <c r="E317" s="4">
        <v>13.3880109786987</v>
      </c>
      <c r="F317" s="4">
        <v>238.99751281738199</v>
      </c>
      <c r="I317" s="5">
        <f>B317/B316-1</f>
        <v>7.85003755954361E-3</v>
      </c>
      <c r="J317" s="5">
        <f>C317/C316-1</f>
        <v>-1.1725738546948694E-2</v>
      </c>
      <c r="K317" s="5">
        <f>D317/D316-1</f>
        <v>3.1431805525110601E-3</v>
      </c>
      <c r="L317" s="5">
        <f>E317/E316-1</f>
        <v>-1.1173296506708175E-2</v>
      </c>
      <c r="M317" s="5">
        <f>F317/F316-1</f>
        <v>2.772856630307885E-2</v>
      </c>
      <c r="N317" s="5">
        <f>SUMPRODUCT(I317:M317,$AJ$13:$AN$13)</f>
        <v>3.7922080799739234E-3</v>
      </c>
      <c r="P317" s="2" t="s">
        <v>308</v>
      </c>
      <c r="Q317" s="10" cm="1">
        <f t="array" aca="1" ref="Q317:U317" ca="1">_xlfn.LET(_xlpm.array,_xlfn.RANDARRAY(1,COLUMNS(_xlfn.ANCHORARRAY(Q316)),0,1,FALSE),_xlpm.array/SUM(_xlpm.array))</f>
        <v>0.19814745718582466</v>
      </c>
      <c r="R317" s="2">
        <f ca="1"/>
        <v>0.23223376834537854</v>
      </c>
      <c r="S317" s="2">
        <f ca="1"/>
        <v>0.15489384216530186</v>
      </c>
      <c r="T317" s="2">
        <f ca="1"/>
        <v>0.33573848570020159</v>
      </c>
      <c r="U317" s="2">
        <f ca="1"/>
        <v>7.8986446603293292E-2</v>
      </c>
      <c r="V317" s="12"/>
      <c r="X317" s="2" cm="1">
        <f t="array" aca="1" ref="X317" ca="1">MMULT(MMULT(_xlfn.ANCHORARRAY(Q317),$Q$9:$U$13),TRANSPOSE(_xlfn.ANCHORARRAY(Q317)))</f>
        <v>3.1353897932471521E-4</v>
      </c>
      <c r="Y317" s="2">
        <f t="shared" ca="1" si="14"/>
        <v>1.7707031917425214E-2</v>
      </c>
      <c r="Z317" s="2" cm="1">
        <f t="array" aca="1" ref="Z317" ca="1">MMULT(_xlfn.ANCHORARRAY(Q317),TRANSPOSE($Q$3:$U$3))</f>
        <v>9.2525085954992328E-4</v>
      </c>
      <c r="AA317" s="11">
        <f ca="1">AVEDEV(Q317*$Q$3,R317*$R$3,S317*$S$3,T317*$T$3,U317*$U$3)</f>
        <v>8.9777425108748067E-5</v>
      </c>
      <c r="AB317" s="11" cm="1">
        <f t="array" aca="1" ref="AB317" ca="1">MMULT(_xlfn.ANCHORARRAY(Q317),TRANSPOSE($Q$6:$U$6))</f>
        <v>-2.3309076748873264E-2</v>
      </c>
      <c r="AD317" s="2" t="s">
        <v>308</v>
      </c>
      <c r="AE317" s="10" cm="1">
        <f t="array" aca="1" ref="AE317:AI317" ca="1">_xlfn.LET(_xlpm.array,_xlfn.RANDARRAY(1,COLUMNS(_xlfn.ANCHORARRAY(Q316)),-1,1,FALSE),_xlpm.array/SUM(_xlpm.array))</f>
        <v>0.5977706849418245</v>
      </c>
      <c r="AF317" s="10">
        <f ca="1"/>
        <v>-0.26011752947708089</v>
      </c>
      <c r="AG317" s="10">
        <f ca="1"/>
        <v>0.43483213759171901</v>
      </c>
      <c r="AH317" s="10">
        <f ca="1"/>
        <v>-0.39409517038513114</v>
      </c>
      <c r="AI317" s="10">
        <f ca="1"/>
        <v>0.62160987732866846</v>
      </c>
      <c r="AJ317" s="1"/>
      <c r="AK317" s="2" cm="1">
        <f t="array" aca="1" ref="AK317" ca="1">MMULT(MMULT(_xlfn.ANCHORARRAY(AE317),$Q$9:$U$13),TRANSPOSE(_xlfn.ANCHORARRAY(AE317)))</f>
        <v>6.2688906526461646E-4</v>
      </c>
      <c r="AL317" s="2">
        <f t="shared" ca="1" si="15"/>
        <v>2.5037752799814454E-2</v>
      </c>
      <c r="AM317" s="2" cm="1">
        <f t="array" aca="1" ref="AM317" ca="1">MMULT(_xlfn.ANCHORARRAY(AE318),TRANSPOSE($Q$3:$U$3))</f>
        <v>1.0045911556361383E-3</v>
      </c>
    </row>
    <row r="318" spans="1:39" x14ac:dyDescent="0.35">
      <c r="A318" s="3">
        <v>44292</v>
      </c>
      <c r="B318" s="4">
        <v>35.150680541992102</v>
      </c>
      <c r="C318" s="4">
        <v>84.111145019531193</v>
      </c>
      <c r="D318" s="4">
        <v>41.394279479980398</v>
      </c>
      <c r="E318" s="4">
        <v>13.587423324584901</v>
      </c>
      <c r="F318" s="4">
        <v>237.83647155761699</v>
      </c>
      <c r="I318" s="5">
        <f>B318/B317-1</f>
        <v>-2.7639374078944901E-3</v>
      </c>
      <c r="J318" s="5">
        <f>C318/C317-1</f>
        <v>-8.8986471197595174E-3</v>
      </c>
      <c r="K318" s="5">
        <f>D318/D317-1</f>
        <v>1.3431201932452286E-3</v>
      </c>
      <c r="L318" s="5">
        <f>E318/E317-1</f>
        <v>1.4894844813279517E-2</v>
      </c>
      <c r="M318" s="5">
        <f>F318/F317-1</f>
        <v>-4.8579637757659722E-3</v>
      </c>
      <c r="N318" s="5">
        <f>SUMPRODUCT(I318:M318,$AJ$13:$AN$13)</f>
        <v>7.1271580027699464E-3</v>
      </c>
      <c r="P318" s="2" t="s">
        <v>309</v>
      </c>
      <c r="Q318" s="10" cm="1">
        <f t="array" aca="1" ref="Q318:U318" ca="1">_xlfn.LET(_xlpm.array,_xlfn.RANDARRAY(1,COLUMNS(_xlfn.ANCHORARRAY(Q317)),0,1,FALSE),_xlpm.array/SUM(_xlpm.array))</f>
        <v>0.23004155898747869</v>
      </c>
      <c r="R318" s="2">
        <f ca="1"/>
        <v>0.37517253829133335</v>
      </c>
      <c r="S318" s="2">
        <f ca="1"/>
        <v>0.27157025658338935</v>
      </c>
      <c r="T318" s="2">
        <f ca="1"/>
        <v>0.12077163531948602</v>
      </c>
      <c r="U318" s="2">
        <f ca="1"/>
        <v>2.4440108183125839E-3</v>
      </c>
      <c r="V318" s="12"/>
      <c r="X318" s="2" cm="1">
        <f t="array" aca="1" ref="X318" ca="1">MMULT(MMULT(_xlfn.ANCHORARRAY(Q318),$Q$9:$U$13),TRANSPOSE(_xlfn.ANCHORARRAY(Q318)))</f>
        <v>3.379988480499046E-4</v>
      </c>
      <c r="Y318" s="2">
        <f t="shared" ca="1" si="14"/>
        <v>1.8384744981911078E-2</v>
      </c>
      <c r="Z318" s="2" cm="1">
        <f t="array" aca="1" ref="Z318" ca="1">MMULT(_xlfn.ANCHORARRAY(Q318),TRANSPOSE($Q$3:$U$3))</f>
        <v>9.5716538547934305E-4</v>
      </c>
      <c r="AA318" s="11">
        <f ca="1">AVEDEV(Q318*$Q$3,R318*$R$3,S318*$S$3,T318*$T$3,U318*$U$3)</f>
        <v>1.3285191605280926E-4</v>
      </c>
      <c r="AB318" s="11" cm="1">
        <f t="array" aca="1" ref="AB318" ca="1">MMULT(_xlfn.ANCHORARRAY(Q318),TRANSPOSE($Q$6:$U$6))</f>
        <v>-2.3160487426512357E-2</v>
      </c>
      <c r="AD318" s="2" t="s">
        <v>309</v>
      </c>
      <c r="AE318" s="10" cm="1">
        <f t="array" aca="1" ref="AE318:AI318" ca="1">_xlfn.LET(_xlpm.array,_xlfn.RANDARRAY(1,COLUMNS(_xlfn.ANCHORARRAY(Q317)),-1,1,FALSE),_xlpm.array/SUM(_xlpm.array))</f>
        <v>3.9643484483057038E-2</v>
      </c>
      <c r="AF318" s="10">
        <f ca="1"/>
        <v>0.27844494901705669</v>
      </c>
      <c r="AG318" s="10">
        <f ca="1"/>
        <v>0.29217104419578538</v>
      </c>
      <c r="AH318" s="10">
        <f ca="1"/>
        <v>3.3223595949592989E-2</v>
      </c>
      <c r="AI318" s="10">
        <f ca="1"/>
        <v>0.35651692635450805</v>
      </c>
      <c r="AJ318" s="1"/>
      <c r="AK318" s="2" cm="1">
        <f t="array" aca="1" ref="AK318" ca="1">MMULT(MMULT(_xlfn.ANCHORARRAY(AE318),$Q$9:$U$13),TRANSPOSE(_xlfn.ANCHORARRAY(AE318)))</f>
        <v>2.9009461567570542E-4</v>
      </c>
      <c r="AL318" s="2">
        <f t="shared" ca="1" si="15"/>
        <v>1.7032164151267022E-2</v>
      </c>
      <c r="AM318" s="2" cm="1">
        <f t="array" aca="1" ref="AM318" ca="1">MMULT(_xlfn.ANCHORARRAY(AE319),TRANSPOSE($Q$3:$U$3))</f>
        <v>5.4575216175722094E-4</v>
      </c>
    </row>
    <row r="319" spans="1:39" x14ac:dyDescent="0.35">
      <c r="A319" s="3">
        <v>44293</v>
      </c>
      <c r="B319" s="4">
        <v>35.469505310058501</v>
      </c>
      <c r="C319" s="4">
        <v>84.606475830078097</v>
      </c>
      <c r="D319" s="4">
        <v>42.3333740234375</v>
      </c>
      <c r="E319" s="4">
        <v>13.6149234771728</v>
      </c>
      <c r="F319" s="4">
        <v>239.7939453125</v>
      </c>
      <c r="I319" s="5">
        <f>B319/B318-1</f>
        <v>9.0702303099230441E-3</v>
      </c>
      <c r="J319" s="5">
        <f>C319/C318-1</f>
        <v>5.8890032995257968E-3</v>
      </c>
      <c r="K319" s="5">
        <f>D319/D318-1</f>
        <v>2.2686577837676358E-2</v>
      </c>
      <c r="L319" s="5">
        <f>E319/E318-1</f>
        <v>2.0239416945331268E-3</v>
      </c>
      <c r="M319" s="5">
        <f>F319/F318-1</f>
        <v>8.2303346583612047E-3</v>
      </c>
      <c r="N319" s="5">
        <f>SUMPRODUCT(I319:M319,$AJ$13:$AN$13)</f>
        <v>1.2691124249430053E-2</v>
      </c>
      <c r="P319" s="2" t="s">
        <v>310</v>
      </c>
      <c r="Q319" s="10" cm="1">
        <f t="array" aca="1" ref="Q319:U319" ca="1">_xlfn.LET(_xlpm.array,_xlfn.RANDARRAY(1,COLUMNS(_xlfn.ANCHORARRAY(Q318)),0,1,FALSE),_xlpm.array/SUM(_xlpm.array))</f>
        <v>0.19048021466296564</v>
      </c>
      <c r="R319" s="2">
        <f ca="1"/>
        <v>0.11173397209433762</v>
      </c>
      <c r="S319" s="2">
        <f ca="1"/>
        <v>0.34222813274034786</v>
      </c>
      <c r="T319" s="2">
        <f ca="1"/>
        <v>0.13019067061269626</v>
      </c>
      <c r="U319" s="2">
        <f ca="1"/>
        <v>0.22536700988965253</v>
      </c>
      <c r="V319" s="12"/>
      <c r="X319" s="2" cm="1">
        <f t="array" aca="1" ref="X319" ca="1">MMULT(MMULT(_xlfn.ANCHORARRAY(Q319),$Q$9:$U$13),TRANSPOSE(_xlfn.ANCHORARRAY(Q319)))</f>
        <v>3.1023320235356759E-4</v>
      </c>
      <c r="Y319" s="2">
        <f t="shared" ca="1" si="14"/>
        <v>1.761343811848123E-2</v>
      </c>
      <c r="Z319" s="2" cm="1">
        <f t="array" aca="1" ref="Z319" ca="1">MMULT(_xlfn.ANCHORARRAY(Q319),TRANSPOSE($Q$3:$U$3))</f>
        <v>1.0395599528036032E-3</v>
      </c>
      <c r="AA319" s="11">
        <f ca="1">AVEDEV(Q319*$Q$3,R319*$R$3,S319*$S$3,T319*$T$3,U319*$U$3)</f>
        <v>1.3914670464435362E-4</v>
      </c>
      <c r="AB319" s="11" cm="1">
        <f t="array" aca="1" ref="AB319" ca="1">MMULT(_xlfn.ANCHORARRAY(Q319),TRANSPOSE($Q$6:$U$6))</f>
        <v>-2.3521822859557111E-2</v>
      </c>
      <c r="AD319" s="2" t="s">
        <v>310</v>
      </c>
      <c r="AE319" s="10" cm="1">
        <f t="array" aca="1" ref="AE319:AI319" ca="1">_xlfn.LET(_xlpm.array,_xlfn.RANDARRAY(1,COLUMNS(_xlfn.ANCHORARRAY(Q318)),-1,1,FALSE),_xlpm.array/SUM(_xlpm.array))</f>
        <v>-1.6714010088484554</v>
      </c>
      <c r="AF319" s="10">
        <f ca="1"/>
        <v>1.931531970995487</v>
      </c>
      <c r="AG319" s="10">
        <f ca="1"/>
        <v>-1.1201917477560948</v>
      </c>
      <c r="AH319" s="10">
        <f ca="1"/>
        <v>1.4849203126613688</v>
      </c>
      <c r="AI319" s="10">
        <f ca="1"/>
        <v>0.37514047294769448</v>
      </c>
      <c r="AJ319" s="1"/>
      <c r="AK319" s="2" cm="1">
        <f t="array" aca="1" ref="AK319" ca="1">MMULT(MMULT(_xlfn.ANCHORARRAY(AE319),$Q$9:$U$13),TRANSPOSE(_xlfn.ANCHORARRAY(AE319)))</f>
        <v>3.7226368173623602E-3</v>
      </c>
      <c r="AL319" s="2">
        <f t="shared" ca="1" si="15"/>
        <v>6.1013415060643512E-2</v>
      </c>
      <c r="AM319" s="2" cm="1">
        <f t="array" aca="1" ref="AM319" ca="1">MMULT(_xlfn.ANCHORARRAY(AE320),TRANSPOSE($Q$3:$U$3))</f>
        <v>1.0745432579778655E-3</v>
      </c>
    </row>
    <row r="320" spans="1:39" x14ac:dyDescent="0.35">
      <c r="A320" s="3">
        <v>44294</v>
      </c>
      <c r="B320" s="4">
        <v>35.159549713134702</v>
      </c>
      <c r="C320" s="4">
        <v>83.656402587890597</v>
      </c>
      <c r="D320" s="4">
        <v>42.828365325927699</v>
      </c>
      <c r="E320" s="4">
        <v>13.2436094284057</v>
      </c>
      <c r="F320" s="4">
        <v>243.00848388671801</v>
      </c>
      <c r="I320" s="5">
        <f>B320/B319-1</f>
        <v>-8.73865012252939E-3</v>
      </c>
      <c r="J320" s="5">
        <f>C320/C319-1</f>
        <v>-1.1229320603018733E-2</v>
      </c>
      <c r="K320" s="5">
        <f>D320/D319-1</f>
        <v>1.1692696694011406E-2</v>
      </c>
      <c r="L320" s="5">
        <f>E320/E319-1</f>
        <v>-2.7272576991685393E-2</v>
      </c>
      <c r="M320" s="5">
        <f>F320/F319-1</f>
        <v>1.3405420099447563E-2</v>
      </c>
      <c r="N320" s="5">
        <f>SUMPRODUCT(I320:M320,$AJ$13:$AN$13)</f>
        <v>7.1803092798378501E-4</v>
      </c>
      <c r="P320" s="2" t="s">
        <v>311</v>
      </c>
      <c r="Q320" s="10" cm="1">
        <f t="array" aca="1" ref="Q320:U320" ca="1">_xlfn.LET(_xlpm.array,_xlfn.RANDARRAY(1,COLUMNS(_xlfn.ANCHORARRAY(Q319)),0,1,FALSE),_xlpm.array/SUM(_xlpm.array))</f>
        <v>0.30209957362710199</v>
      </c>
      <c r="R320" s="2">
        <f ca="1"/>
        <v>0.40767126365554968</v>
      </c>
      <c r="S320" s="2">
        <f ca="1"/>
        <v>2.5427574792342322E-3</v>
      </c>
      <c r="T320" s="2">
        <f ca="1"/>
        <v>0.23687098933692508</v>
      </c>
      <c r="U320" s="2">
        <f ca="1"/>
        <v>5.081541590118914E-2</v>
      </c>
      <c r="V320" s="12"/>
      <c r="X320" s="2" cm="1">
        <f t="array" aca="1" ref="X320" ca="1">MMULT(MMULT(_xlfn.ANCHORARRAY(Q320),$Q$9:$U$13),TRANSPOSE(_xlfn.ANCHORARRAY(Q320)))</f>
        <v>3.351947405695153E-4</v>
      </c>
      <c r="Y320" s="2">
        <f t="shared" ca="1" si="14"/>
        <v>1.8308324351767293E-2</v>
      </c>
      <c r="Z320" s="2" cm="1">
        <f t="array" aca="1" ref="Z320" ca="1">MMULT(_xlfn.ANCHORARRAY(Q320),TRANSPOSE($Q$3:$U$3))</f>
        <v>7.3622571510786709E-4</v>
      </c>
      <c r="AA320" s="11">
        <f ca="1">AVEDEV(Q320*$Q$3,R320*$R$3,S320*$S$3,T320*$T$3,U320*$U$3)</f>
        <v>1.0059779242799296E-4</v>
      </c>
      <c r="AB320" s="11" cm="1">
        <f t="array" aca="1" ref="AB320" ca="1">MMULT(_xlfn.ANCHORARRAY(Q320),TRANSPOSE($Q$6:$U$6))</f>
        <v>-2.1977774757641021E-2</v>
      </c>
      <c r="AD320" s="2" t="s">
        <v>311</v>
      </c>
      <c r="AE320" s="10" cm="1">
        <f t="array" aca="1" ref="AE320:AI320" ca="1">_xlfn.LET(_xlpm.array,_xlfn.RANDARRAY(1,COLUMNS(_xlfn.ANCHORARRAY(Q319)),-1,1,FALSE),_xlpm.array/SUM(_xlpm.array))</f>
        <v>3.1322822868321484E-2</v>
      </c>
      <c r="AF320" s="10">
        <f ca="1"/>
        <v>0.34143492502381484</v>
      </c>
      <c r="AG320" s="10">
        <f ca="1"/>
        <v>0.2903321371133244</v>
      </c>
      <c r="AH320" s="10">
        <f ca="1"/>
        <v>0.31199096628012501</v>
      </c>
      <c r="AI320" s="10">
        <f ca="1"/>
        <v>2.4919148714414155E-2</v>
      </c>
      <c r="AJ320" s="1"/>
      <c r="AK320" s="2" cm="1">
        <f t="array" aca="1" ref="AK320" ca="1">MMULT(MMULT(_xlfn.ANCHORARRAY(AE320),$Q$9:$U$13),TRANSPOSE(_xlfn.ANCHORARRAY(AE320)))</f>
        <v>3.567514276612913E-4</v>
      </c>
      <c r="AL320" s="2">
        <f t="shared" ca="1" si="15"/>
        <v>1.8887864560645583E-2</v>
      </c>
      <c r="AM320" s="2" cm="1">
        <f t="array" aca="1" ref="AM320" ca="1">MMULT(_xlfn.ANCHORARRAY(AE321),TRANSPOSE($Q$3:$U$3))</f>
        <v>8.6744543159018818E-4</v>
      </c>
    </row>
    <row r="321" spans="1:39" x14ac:dyDescent="0.35">
      <c r="A321" s="3">
        <v>44295</v>
      </c>
      <c r="B321" s="4">
        <v>35.416378021240199</v>
      </c>
      <c r="C321" s="4">
        <v>83.575187683105398</v>
      </c>
      <c r="D321" s="4">
        <v>43.429752349853501</v>
      </c>
      <c r="E321" s="4">
        <v>13.0166978836059</v>
      </c>
      <c r="F321" s="4">
        <v>245.50331115722599</v>
      </c>
      <c r="I321" s="5">
        <f>B321/B320-1</f>
        <v>7.3046529378490987E-3</v>
      </c>
      <c r="J321" s="5">
        <f>C321/C320-1</f>
        <v>-9.7081517101904602E-4</v>
      </c>
      <c r="K321" s="5">
        <f>D321/D320-1</f>
        <v>1.4041792614525317E-2</v>
      </c>
      <c r="L321" s="5">
        <f>E321/E320-1</f>
        <v>-1.7133663298247503E-2</v>
      </c>
      <c r="M321" s="5">
        <f>F321/F320-1</f>
        <v>1.0266420458270753E-2</v>
      </c>
      <c r="N321" s="5">
        <f>SUMPRODUCT(I321:M321,$AJ$13:$AN$13)</f>
        <v>6.5402044048707255E-4</v>
      </c>
      <c r="P321" s="2" t="s">
        <v>312</v>
      </c>
      <c r="Q321" s="10" cm="1">
        <f t="array" aca="1" ref="Q321:U321" ca="1">_xlfn.LET(_xlpm.array,_xlfn.RANDARRAY(1,COLUMNS(_xlfn.ANCHORARRAY(Q320)),0,1,FALSE),_xlpm.array/SUM(_xlpm.array))</f>
        <v>0.22090859435444229</v>
      </c>
      <c r="R321" s="2">
        <f ca="1"/>
        <v>0.26579867476502095</v>
      </c>
      <c r="S321" s="2">
        <f ca="1"/>
        <v>0.16679611272669079</v>
      </c>
      <c r="T321" s="2">
        <f ca="1"/>
        <v>6.6844567865830581E-2</v>
      </c>
      <c r="U321" s="2">
        <f ca="1"/>
        <v>0.27965205028801537</v>
      </c>
      <c r="V321" s="12"/>
      <c r="X321" s="2" cm="1">
        <f t="array" aca="1" ref="X321" ca="1">MMULT(MMULT(_xlfn.ANCHORARRAY(Q321),$Q$9:$U$13),TRANSPOSE(_xlfn.ANCHORARRAY(Q321)))</f>
        <v>2.6441193401677114E-4</v>
      </c>
      <c r="Y321" s="2">
        <f t="shared" ca="1" si="14"/>
        <v>1.6260748261281557E-2</v>
      </c>
      <c r="Z321" s="2" cm="1">
        <f t="array" aca="1" ref="Z321" ca="1">MMULT(_xlfn.ANCHORARRAY(Q321),TRANSPOSE($Q$3:$U$3))</f>
        <v>8.5943204536377126E-4</v>
      </c>
      <c r="AA321" s="11">
        <f ca="1">AVEDEV(Q321*$Q$3,R321*$R$3,S321*$S$3,T321*$T$3,U321*$U$3)</f>
        <v>6.5282919484441402E-5</v>
      </c>
      <c r="AB321" s="11" cm="1">
        <f t="array" aca="1" ref="AB321" ca="1">MMULT(_xlfn.ANCHORARRAY(Q321),TRANSPOSE($Q$6:$U$6))</f>
        <v>-2.2088473567239187E-2</v>
      </c>
      <c r="AD321" s="2" t="s">
        <v>312</v>
      </c>
      <c r="AE321" s="10" cm="1">
        <f t="array" aca="1" ref="AE321:AI321" ca="1">_xlfn.LET(_xlpm.array,_xlfn.RANDARRAY(1,COLUMNS(_xlfn.ANCHORARRAY(Q320)),-1,1,FALSE),_xlpm.array/SUM(_xlpm.array))</f>
        <v>0.36013985846600044</v>
      </c>
      <c r="AF321" s="10">
        <f ca="1"/>
        <v>0.18024866103764611</v>
      </c>
      <c r="AG321" s="10">
        <f ca="1"/>
        <v>0.19357789226642577</v>
      </c>
      <c r="AH321" s="10">
        <f ca="1"/>
        <v>0.13605385037218251</v>
      </c>
      <c r="AI321" s="10">
        <f ca="1"/>
        <v>0.12997973785774519</v>
      </c>
      <c r="AJ321" s="1"/>
      <c r="AK321" s="2" cm="1">
        <f t="array" aca="1" ref="AK321" ca="1">MMULT(MMULT(_xlfn.ANCHORARRAY(AE321),$Q$9:$U$13),TRANSPOSE(_xlfn.ANCHORARRAY(AE321)))</f>
        <v>2.9382083038751274E-4</v>
      </c>
      <c r="AL321" s="2">
        <f t="shared" ca="1" si="15"/>
        <v>1.7141202711230992E-2</v>
      </c>
      <c r="AM321" s="2" cm="1">
        <f t="array" aca="1" ref="AM321" ca="1">MMULT(_xlfn.ANCHORARRAY(AE322),TRANSPOSE($Q$3:$U$3))</f>
        <v>1.8669388399296417E-3</v>
      </c>
    </row>
    <row r="322" spans="1:39" x14ac:dyDescent="0.35">
      <c r="A322" s="3">
        <v>44298</v>
      </c>
      <c r="B322" s="4">
        <v>35.478363037109297</v>
      </c>
      <c r="C322" s="4">
        <v>82.649467468261705</v>
      </c>
      <c r="D322" s="4">
        <v>43.230831146240199</v>
      </c>
      <c r="E322" s="4">
        <v>13.0441980361938</v>
      </c>
      <c r="F322" s="4">
        <v>245.56091308593699</v>
      </c>
      <c r="I322" s="5">
        <f>B322/B321-1</f>
        <v>1.7501794178931274E-3</v>
      </c>
      <c r="J322" s="5">
        <f>C322/C321-1</f>
        <v>-1.1076495793868602E-2</v>
      </c>
      <c r="K322" s="5">
        <f>D322/D321-1</f>
        <v>-4.5802979029414548E-3</v>
      </c>
      <c r="L322" s="5">
        <f>E322/E321-1</f>
        <v>2.1126827121442648E-3</v>
      </c>
      <c r="M322" s="5">
        <f>F322/F321-1</f>
        <v>2.3462790965833591E-4</v>
      </c>
      <c r="N322" s="5">
        <f>SUMPRODUCT(I322:M322,$AJ$13:$AN$13)</f>
        <v>-1.4625846911642518E-3</v>
      </c>
      <c r="P322" s="2" t="s">
        <v>313</v>
      </c>
      <c r="Q322" s="10" cm="1">
        <f t="array" aca="1" ref="Q322:U322" ca="1">_xlfn.LET(_xlpm.array,_xlfn.RANDARRAY(1,COLUMNS(_xlfn.ANCHORARRAY(Q321)),0,1,FALSE),_xlpm.array/SUM(_xlpm.array))</f>
        <v>0.37996252372807993</v>
      </c>
      <c r="R322" s="2">
        <f ca="1"/>
        <v>0.3905865845036387</v>
      </c>
      <c r="S322" s="2">
        <f ca="1"/>
        <v>3.526613891663772E-2</v>
      </c>
      <c r="T322" s="2">
        <f ca="1"/>
        <v>0.13238345313555169</v>
      </c>
      <c r="U322" s="2">
        <f ca="1"/>
        <v>6.1801299716091877E-2</v>
      </c>
      <c r="V322" s="12"/>
      <c r="X322" s="2" cm="1">
        <f t="array" aca="1" ref="X322" ca="1">MMULT(MMULT(_xlfn.ANCHORARRAY(Q322),$Q$9:$U$13),TRANSPOSE(_xlfn.ANCHORARRAY(Q322)))</f>
        <v>3.2087355026444198E-4</v>
      </c>
      <c r="Y322" s="2">
        <f t="shared" ca="1" si="14"/>
        <v>1.7912943651573351E-2</v>
      </c>
      <c r="Z322" s="2" cm="1">
        <f t="array" aca="1" ref="Z322" ca="1">MMULT(_xlfn.ANCHORARRAY(Q322),TRANSPOSE($Q$3:$U$3))</f>
        <v>7.1812250283619615E-4</v>
      </c>
      <c r="AA322" s="11">
        <f ca="1">AVEDEV(Q322*$Q$3,R322*$R$3,S322*$S$3,T322*$T$3,U322*$U$3)</f>
        <v>7.6434840700403804E-5</v>
      </c>
      <c r="AB322" s="11" cm="1">
        <f t="array" aca="1" ref="AB322" ca="1">MMULT(_xlfn.ANCHORARRAY(Q322),TRANSPOSE($Q$6:$U$6))</f>
        <v>-2.178871589077944E-2</v>
      </c>
      <c r="AD322" s="2" t="s">
        <v>313</v>
      </c>
      <c r="AE322" s="10" cm="1">
        <f t="array" aca="1" ref="AE322:AI322" ca="1">_xlfn.LET(_xlpm.array,_xlfn.RANDARRAY(1,COLUMNS(_xlfn.ANCHORARRAY(Q321)),-1,1,FALSE),_xlpm.array/SUM(_xlpm.array))</f>
        <v>0.82400660205768816</v>
      </c>
      <c r="AF322" s="10">
        <f ca="1"/>
        <v>-0.57196401578699163</v>
      </c>
      <c r="AG322" s="10">
        <f ca="1"/>
        <v>1.2619609745100873</v>
      </c>
      <c r="AH322" s="10">
        <f ca="1"/>
        <v>0.81601621434718075</v>
      </c>
      <c r="AI322" s="10">
        <f ca="1"/>
        <v>-1.3300197751279645</v>
      </c>
      <c r="AJ322" s="1"/>
      <c r="AK322" s="2" cm="1">
        <f t="array" aca="1" ref="AK322" ca="1">MMULT(MMULT(_xlfn.ANCHORARRAY(AE322),$Q$9:$U$13),TRANSPOSE(_xlfn.ANCHORARRAY(AE322)))</f>
        <v>1.9549803025938153E-3</v>
      </c>
      <c r="AL322" s="2">
        <f t="shared" ca="1" si="15"/>
        <v>4.4215159194486854E-2</v>
      </c>
      <c r="AM322" s="2" cm="1">
        <f t="array" aca="1" ref="AM322" ca="1">MMULT(_xlfn.ANCHORARRAY(AE323),TRANSPOSE($Q$3:$U$3))</f>
        <v>7.2627870863299659E-4</v>
      </c>
    </row>
    <row r="323" spans="1:39" x14ac:dyDescent="0.35">
      <c r="A323" s="3">
        <v>44299</v>
      </c>
      <c r="B323" s="4">
        <v>34.823001861572202</v>
      </c>
      <c r="C323" s="4">
        <v>83.023010253906193</v>
      </c>
      <c r="D323" s="4">
        <v>42.805225372314403</v>
      </c>
      <c r="E323" s="4">
        <v>13.1610927581787</v>
      </c>
      <c r="F323" s="4">
        <v>248.03656005859301</v>
      </c>
      <c r="I323" s="5">
        <f>B323/B322-1</f>
        <v>-1.8472136802129446E-2</v>
      </c>
      <c r="J323" s="5">
        <f>C323/C322-1</f>
        <v>4.5196030547678401E-3</v>
      </c>
      <c r="K323" s="5">
        <f>D323/D322-1</f>
        <v>-9.8449593181788586E-3</v>
      </c>
      <c r="L323" s="5">
        <f>E323/E322-1</f>
        <v>8.9614341687049848E-3</v>
      </c>
      <c r="M323" s="5">
        <f>F323/F322-1</f>
        <v>1.0081600290310133E-2</v>
      </c>
      <c r="N323" s="5">
        <f>SUMPRODUCT(I323:M323,$AJ$13:$AN$13)</f>
        <v>7.6233235849816477E-3</v>
      </c>
      <c r="P323" s="2" t="s">
        <v>314</v>
      </c>
      <c r="Q323" s="10" cm="1">
        <f t="array" aca="1" ref="Q323:U323" ca="1">_xlfn.LET(_xlpm.array,_xlfn.RANDARRAY(1,COLUMNS(_xlfn.ANCHORARRAY(Q322)),0,1,FALSE),_xlpm.array/SUM(_xlpm.array))</f>
        <v>0.22326026093291199</v>
      </c>
      <c r="R323" s="2">
        <f ca="1"/>
        <v>0.22274191635475601</v>
      </c>
      <c r="S323" s="2">
        <f ca="1"/>
        <v>0.10320480096817375</v>
      </c>
      <c r="T323" s="2">
        <f ca="1"/>
        <v>0.2729217156017682</v>
      </c>
      <c r="U323" s="2">
        <f ca="1"/>
        <v>0.17787130614238997</v>
      </c>
      <c r="V323" s="12"/>
      <c r="X323" s="2" cm="1">
        <f t="array" aca="1" ref="X323" ca="1">MMULT(MMULT(_xlfn.ANCHORARRAY(Q323),$Q$9:$U$13),TRANSPOSE(_xlfn.ANCHORARRAY(Q323)))</f>
        <v>2.8120480844871212E-4</v>
      </c>
      <c r="Y323" s="2">
        <f t="shared" ca="1" si="14"/>
        <v>1.6769162425378081E-2</v>
      </c>
      <c r="Z323" s="2" cm="1">
        <f t="array" aca="1" ref="Z323" ca="1">MMULT(_xlfn.ANCHORARRAY(Q323),TRANSPOSE($Q$3:$U$3))</f>
        <v>8.5859775813231052E-4</v>
      </c>
      <c r="AA323" s="11">
        <f ca="1">AVEDEV(Q323*$Q$3,R323*$R$3,S323*$S$3,T323*$T$3,U323*$U$3)</f>
        <v>4.2840778935713107E-5</v>
      </c>
      <c r="AB323" s="11" cm="1">
        <f t="array" aca="1" ref="AB323" ca="1">MMULT(_xlfn.ANCHORARRAY(Q323),TRANSPOSE($Q$6:$U$6))</f>
        <v>-2.2662610302547671E-2</v>
      </c>
      <c r="AD323" s="2" t="s">
        <v>314</v>
      </c>
      <c r="AE323" s="10" cm="1">
        <f t="array" aca="1" ref="AE323:AI323" ca="1">_xlfn.LET(_xlpm.array,_xlfn.RANDARRAY(1,COLUMNS(_xlfn.ANCHORARRAY(Q322)),-1,1,FALSE),_xlpm.array/SUM(_xlpm.array))</f>
        <v>0.98878094331253619</v>
      </c>
      <c r="AF323" s="10">
        <f ca="1"/>
        <v>-0.33129327498170519</v>
      </c>
      <c r="AG323" s="10">
        <f ca="1"/>
        <v>0.98953223140498825</v>
      </c>
      <c r="AH323" s="10">
        <f ca="1"/>
        <v>-2.5177572286827941</v>
      </c>
      <c r="AI323" s="10">
        <f ca="1"/>
        <v>1.8707373289469749</v>
      </c>
      <c r="AJ323" s="1"/>
      <c r="AK323" s="2" cm="1">
        <f t="array" aca="1" ref="AK323" ca="1">MMULT(MMULT(_xlfn.ANCHORARRAY(AE323),$Q$9:$U$13),TRANSPOSE(_xlfn.ANCHORARRAY(AE323)))</f>
        <v>5.1843859671145184E-3</v>
      </c>
      <c r="AL323" s="2">
        <f t="shared" ca="1" si="15"/>
        <v>7.2002680277296061E-2</v>
      </c>
      <c r="AM323" s="2" cm="1">
        <f t="array" aca="1" ref="AM323" ca="1">MMULT(_xlfn.ANCHORARRAY(AE324),TRANSPOSE($Q$3:$U$3))</f>
        <v>1.1815884730448729E-3</v>
      </c>
    </row>
    <row r="324" spans="1:39" x14ac:dyDescent="0.35">
      <c r="A324" s="3">
        <v>44300</v>
      </c>
      <c r="B324" s="4">
        <v>35.318954467773402</v>
      </c>
      <c r="C324" s="4">
        <v>84.671455383300696</v>
      </c>
      <c r="D324" s="4">
        <v>42.883872985839801</v>
      </c>
      <c r="E324" s="4">
        <v>13.594296455383301</v>
      </c>
      <c r="F324" s="4">
        <v>245.25384521484301</v>
      </c>
      <c r="I324" s="5">
        <f>B324/B323-1</f>
        <v>1.4242098029707551E-2</v>
      </c>
      <c r="J324" s="5">
        <f>C324/C323-1</f>
        <v>1.9855280172967893E-2</v>
      </c>
      <c r="K324" s="5">
        <f>D324/D323-1</f>
        <v>1.8373367466548718E-3</v>
      </c>
      <c r="L324" s="5">
        <f>E324/E323-1</f>
        <v>3.2915480892374616E-2</v>
      </c>
      <c r="M324" s="5">
        <f>F324/F323-1</f>
        <v>-1.1218970473919843E-2</v>
      </c>
      <c r="N324" s="5">
        <f>SUMPRODUCT(I324:M324,$AJ$13:$AN$13)</f>
        <v>7.819473252331767E-3</v>
      </c>
      <c r="P324" s="2" t="s">
        <v>315</v>
      </c>
      <c r="Q324" s="10" cm="1">
        <f t="array" aca="1" ref="Q324:U324" ca="1">_xlfn.LET(_xlpm.array,_xlfn.RANDARRAY(1,COLUMNS(_xlfn.ANCHORARRAY(Q323)),0,1,FALSE),_xlpm.array/SUM(_xlpm.array))</f>
        <v>0.10390591899588858</v>
      </c>
      <c r="R324" s="2">
        <f ca="1"/>
        <v>0.26333348342262086</v>
      </c>
      <c r="S324" s="2">
        <f ca="1"/>
        <v>0.27748038134783215</v>
      </c>
      <c r="T324" s="2">
        <f ca="1"/>
        <v>0.22407861890466083</v>
      </c>
      <c r="U324" s="2">
        <f ca="1"/>
        <v>0.13120159732899755</v>
      </c>
      <c r="V324" s="12"/>
      <c r="X324" s="2" cm="1">
        <f t="array" aca="1" ref="X324" ca="1">MMULT(MMULT(_xlfn.ANCHORARRAY(Q324),$Q$9:$U$13),TRANSPOSE(_xlfn.ANCHORARRAY(Q324)))</f>
        <v>3.0974278069423539E-4</v>
      </c>
      <c r="Y324" s="2">
        <f t="shared" ca="1" si="14"/>
        <v>1.7599510808378606E-2</v>
      </c>
      <c r="Z324" s="2" cm="1">
        <f t="array" aca="1" ref="Z324" ca="1">MMULT(_xlfn.ANCHORARRAY(Q324),TRANSPOSE($Q$3:$U$3))</f>
        <v>1.0250071372923553E-3</v>
      </c>
      <c r="AA324" s="11">
        <f ca="1">AVEDEV(Q324*$Q$3,R324*$R$3,S324*$S$3,T324*$T$3,U324*$U$3)</f>
        <v>1.0781922151219131E-4</v>
      </c>
      <c r="AB324" s="11" cm="1">
        <f t="array" aca="1" ref="AB324" ca="1">MMULT(_xlfn.ANCHORARRAY(Q324),TRANSPOSE($Q$6:$U$6))</f>
        <v>-2.3482932330489724E-2</v>
      </c>
      <c r="AD324" s="2" t="s">
        <v>315</v>
      </c>
      <c r="AE324" s="10" cm="1">
        <f t="array" aca="1" ref="AE324:AI324" ca="1">_xlfn.LET(_xlpm.array,_xlfn.RANDARRAY(1,COLUMNS(_xlfn.ANCHORARRAY(Q323)),-1,1,FALSE),_xlpm.array/SUM(_xlpm.array))</f>
        <v>7.1481750289915186E-2</v>
      </c>
      <c r="AF324" s="10">
        <f ca="1"/>
        <v>0.24657303547656467</v>
      </c>
      <c r="AG324" s="10">
        <f ca="1"/>
        <v>0.7137619005224507</v>
      </c>
      <c r="AH324" s="10">
        <f ca="1"/>
        <v>-0.66058457599356157</v>
      </c>
      <c r="AI324" s="10">
        <f ca="1"/>
        <v>0.62876788970463104</v>
      </c>
      <c r="AJ324" s="1"/>
      <c r="AK324" s="2" cm="1">
        <f t="array" aca="1" ref="AK324" ca="1">MMULT(MMULT(_xlfn.ANCHORARRAY(AE324),$Q$9:$U$13),TRANSPOSE(_xlfn.ANCHORARRAY(AE324)))</f>
        <v>8.1748314518000065E-4</v>
      </c>
      <c r="AL324" s="2">
        <f t="shared" ca="1" si="15"/>
        <v>2.8591662161896091E-2</v>
      </c>
      <c r="AM324" s="2" cm="1">
        <f t="array" aca="1" ref="AM324" ca="1">MMULT(_xlfn.ANCHORARRAY(AE325),TRANSPOSE($Q$3:$U$3))</f>
        <v>2.0512702565715409E-3</v>
      </c>
    </row>
    <row r="325" spans="1:39" x14ac:dyDescent="0.35">
      <c r="A325" s="3">
        <v>44301</v>
      </c>
      <c r="B325" s="4">
        <v>34.309337615966797</v>
      </c>
      <c r="C325" s="4">
        <v>83.981201171875</v>
      </c>
      <c r="D325" s="4">
        <v>45.761299133300703</v>
      </c>
      <c r="E325" s="4">
        <v>13.6630592346191</v>
      </c>
      <c r="F325" s="4">
        <v>249.00567626953099</v>
      </c>
      <c r="I325" s="5">
        <f>B325/B324-1</f>
        <v>-2.8585694764204472E-2</v>
      </c>
      <c r="J325" s="5">
        <f>C325/C324-1</f>
        <v>-8.1521477137834752E-3</v>
      </c>
      <c r="K325" s="5">
        <f>D325/D324-1</f>
        <v>6.7098094157937327E-2</v>
      </c>
      <c r="L325" s="5">
        <f>E325/E324-1</f>
        <v>5.058208011093468E-3</v>
      </c>
      <c r="M325" s="5">
        <f>F325/F324-1</f>
        <v>1.5297746102212573E-2</v>
      </c>
      <c r="N325" s="5">
        <f>SUMPRODUCT(I325:M325,$AJ$13:$AN$13)</f>
        <v>5.0944213070980487E-2</v>
      </c>
      <c r="P325" s="2" t="s">
        <v>316</v>
      </c>
      <c r="Q325" s="10" cm="1">
        <f t="array" aca="1" ref="Q325:U325" ca="1">_xlfn.LET(_xlpm.array,_xlfn.RANDARRAY(1,COLUMNS(_xlfn.ANCHORARRAY(Q324)),0,1,FALSE),_xlpm.array/SUM(_xlpm.array))</f>
        <v>0.27020541335866438</v>
      </c>
      <c r="R325" s="2">
        <f ca="1"/>
        <v>0.17596356866161014</v>
      </c>
      <c r="S325" s="2">
        <f ca="1"/>
        <v>0.21906018519825307</v>
      </c>
      <c r="T325" s="2">
        <f ca="1"/>
        <v>0.29069229524591372</v>
      </c>
      <c r="U325" s="2">
        <f ca="1"/>
        <v>4.4078537535558779E-2</v>
      </c>
      <c r="V325" s="12"/>
      <c r="X325" s="2" cm="1">
        <f t="array" aca="1" ref="X325" ca="1">MMULT(MMULT(_xlfn.ANCHORARRAY(Q325),$Q$9:$U$13),TRANSPOSE(_xlfn.ANCHORARRAY(Q325)))</f>
        <v>3.1982351434479636E-4</v>
      </c>
      <c r="Y325" s="2">
        <f t="shared" ca="1" si="14"/>
        <v>1.7883610215635889E-2</v>
      </c>
      <c r="Z325" s="2" cm="1">
        <f t="array" aca="1" ref="Z325" ca="1">MMULT(_xlfn.ANCHORARRAY(Q325),TRANSPOSE($Q$3:$U$3))</f>
        <v>9.5227013174129188E-4</v>
      </c>
      <c r="AA325" s="11">
        <f ca="1">AVEDEV(Q325*$Q$3,R325*$R$3,S325*$S$3,T325*$T$3,U325*$U$3)</f>
        <v>1.0872883396884024E-4</v>
      </c>
      <c r="AB325" s="11" cm="1">
        <f t="array" aca="1" ref="AB325" ca="1">MMULT(_xlfn.ANCHORARRAY(Q325),TRANSPOSE($Q$6:$U$6))</f>
        <v>-2.3613038745017519E-2</v>
      </c>
      <c r="AD325" s="2" t="s">
        <v>316</v>
      </c>
      <c r="AE325" s="10" cm="1">
        <f t="array" aca="1" ref="AE325:AI325" ca="1">_xlfn.LET(_xlpm.array,_xlfn.RANDARRAY(1,COLUMNS(_xlfn.ANCHORARRAY(Q324)),-1,1,FALSE),_xlpm.array/SUM(_xlpm.array))</f>
        <v>-0.2464830521665565</v>
      </c>
      <c r="AF325" s="10">
        <f ca="1"/>
        <v>-0.41906891459016493</v>
      </c>
      <c r="AG325" s="10">
        <f ca="1"/>
        <v>1.0943278181405494</v>
      </c>
      <c r="AH325" s="10">
        <f ca="1"/>
        <v>1.0456035791206488</v>
      </c>
      <c r="AI325" s="10">
        <f ca="1"/>
        <v>-0.47437943050447673</v>
      </c>
      <c r="AJ325" s="1"/>
      <c r="AK325" s="2" cm="1">
        <f t="array" aca="1" ref="AK325" ca="1">MMULT(MMULT(_xlfn.ANCHORARRAY(AE325),$Q$9:$U$13),TRANSPOSE(_xlfn.ANCHORARRAY(AE325)))</f>
        <v>1.3307927086655693E-3</v>
      </c>
      <c r="AL325" s="2">
        <f t="shared" ca="1" si="15"/>
        <v>3.6480031642880592E-2</v>
      </c>
      <c r="AM325" s="2" cm="1">
        <f t="array" aca="1" ref="AM325" ca="1">MMULT(_xlfn.ANCHORARRAY(AE326),TRANSPOSE($Q$3:$U$3))</f>
        <v>3.1060661547244081E-4</v>
      </c>
    </row>
    <row r="326" spans="1:39" x14ac:dyDescent="0.35">
      <c r="A326" s="3">
        <v>44302</v>
      </c>
      <c r="B326" s="4">
        <v>34.672447204589801</v>
      </c>
      <c r="C326" s="4">
        <v>83.607673645019503</v>
      </c>
      <c r="D326" s="4">
        <v>46.917831420898402</v>
      </c>
      <c r="E326" s="4">
        <v>13.621802330016999</v>
      </c>
      <c r="F326" s="4">
        <v>250.19560241699199</v>
      </c>
      <c r="I326" s="5">
        <f>B326/B325-1</f>
        <v>1.0583404223287074E-2</v>
      </c>
      <c r="J326" s="5">
        <f>C326/C325-1</f>
        <v>-4.4477516592200672E-3</v>
      </c>
      <c r="K326" s="5">
        <f>D326/D325-1</f>
        <v>2.5273152412670141E-2</v>
      </c>
      <c r="L326" s="5">
        <f>E326/E325-1</f>
        <v>-3.0195949452934689E-3</v>
      </c>
      <c r="M326" s="5">
        <f>F326/F325-1</f>
        <v>4.7787109325692079E-3</v>
      </c>
      <c r="N326" s="5">
        <f>SUMPRODUCT(I326:M326,$AJ$13:$AN$13)</f>
        <v>1.0429276432951705E-2</v>
      </c>
      <c r="P326" s="2" t="s">
        <v>317</v>
      </c>
      <c r="Q326" s="10" cm="1">
        <f t="array" aca="1" ref="Q326:U326" ca="1">_xlfn.LET(_xlpm.array,_xlfn.RANDARRAY(1,COLUMNS(_xlfn.ANCHORARRAY(Q325)),0,1,FALSE),_xlpm.array/SUM(_xlpm.array))</f>
        <v>0.22207914814495139</v>
      </c>
      <c r="R326" s="2">
        <f ca="1"/>
        <v>0.28759574955275563</v>
      </c>
      <c r="S326" s="2">
        <f ca="1"/>
        <v>0.21846185955151545</v>
      </c>
      <c r="T326" s="2">
        <f ca="1"/>
        <v>0.23731648865248534</v>
      </c>
      <c r="U326" s="2">
        <f ca="1"/>
        <v>3.4546754098292193E-2</v>
      </c>
      <c r="V326" s="12"/>
      <c r="X326" s="2" cm="1">
        <f t="array" aca="1" ref="X326" ca="1">MMULT(MMULT(_xlfn.ANCHORARRAY(Q326),$Q$9:$U$13),TRANSPOSE(_xlfn.ANCHORARRAY(Q326)))</f>
        <v>3.2224767185691489E-4</v>
      </c>
      <c r="Y326" s="2">
        <f t="shared" ca="1" si="14"/>
        <v>1.7951258224896519E-2</v>
      </c>
      <c r="Z326" s="2" cm="1">
        <f t="array" aca="1" ref="Z326" ca="1">MMULT(_xlfn.ANCHORARRAY(Q326),TRANSPOSE($Q$3:$U$3))</f>
        <v>9.4653657524628885E-4</v>
      </c>
      <c r="AA326" s="11">
        <f ca="1">AVEDEV(Q326*$Q$3,R326*$R$3,S326*$S$3,T326*$T$3,U326*$U$3)</f>
        <v>9.5728207878900497E-5</v>
      </c>
      <c r="AB326" s="11" cm="1">
        <f t="array" aca="1" ref="AB326" ca="1">MMULT(_xlfn.ANCHORARRAY(Q326),TRANSPOSE($Q$6:$U$6))</f>
        <v>-2.3321367373539972E-2</v>
      </c>
      <c r="AD326" s="2" t="s">
        <v>317</v>
      </c>
      <c r="AE326" s="10" cm="1">
        <f t="array" aca="1" ref="AE326:AI326" ca="1">_xlfn.LET(_xlpm.array,_xlfn.RANDARRAY(1,COLUMNS(_xlfn.ANCHORARRAY(Q325)),-1,1,FALSE),_xlpm.array/SUM(_xlpm.array))</f>
        <v>1.1415147261504344</v>
      </c>
      <c r="AF326" s="10">
        <f ca="1"/>
        <v>0.70639943894359958</v>
      </c>
      <c r="AG326" s="10">
        <f ca="1"/>
        <v>-7.3409255373753729E-2</v>
      </c>
      <c r="AH326" s="10">
        <f ca="1"/>
        <v>-0.28744251091236522</v>
      </c>
      <c r="AI326" s="10">
        <f ca="1"/>
        <v>-0.48706239880791491</v>
      </c>
      <c r="AJ326" s="1"/>
      <c r="AK326" s="2" cm="1">
        <f t="array" aca="1" ref="AK326" ca="1">MMULT(MMULT(_xlfn.ANCHORARRAY(AE326),$Q$9:$U$13),TRANSPOSE(_xlfn.ANCHORARRAY(AE326)))</f>
        <v>8.332049558816652E-4</v>
      </c>
      <c r="AL326" s="2">
        <f t="shared" ca="1" si="15"/>
        <v>2.8865289811149743E-2</v>
      </c>
      <c r="AM326" s="2" cm="1">
        <f t="array" aca="1" ref="AM326" ca="1">MMULT(_xlfn.ANCHORARRAY(AE327),TRANSPOSE($Q$3:$U$3))</f>
        <v>9.1414323740912976E-3</v>
      </c>
    </row>
    <row r="327" spans="1:39" x14ac:dyDescent="0.35">
      <c r="A327" s="3">
        <v>44305</v>
      </c>
      <c r="B327" s="4">
        <v>34.690155029296797</v>
      </c>
      <c r="C327" s="4">
        <v>83.851318359375</v>
      </c>
      <c r="D327" s="4">
        <v>47.843051910400298</v>
      </c>
      <c r="E327" s="4">
        <v>13.6493072509765</v>
      </c>
      <c r="F327" s="4">
        <v>248.27642822265599</v>
      </c>
      <c r="I327" s="5">
        <f>B327/B326-1</f>
        <v>5.107174755363264E-4</v>
      </c>
      <c r="J327" s="5">
        <f>C327/C326-1</f>
        <v>2.9141429695791476E-3</v>
      </c>
      <c r="K327" s="5">
        <f>D327/D326-1</f>
        <v>1.9720018199514966E-2</v>
      </c>
      <c r="L327" s="5">
        <f>E327/E326-1</f>
        <v>2.0191836801868313E-3</v>
      </c>
      <c r="M327" s="5">
        <f>F327/F326-1</f>
        <v>-7.6706951512975907E-3</v>
      </c>
      <c r="N327" s="5">
        <f>SUMPRODUCT(I327:M327,$AJ$13:$AN$13)</f>
        <v>8.405606732312363E-3</v>
      </c>
      <c r="P327" s="2" t="s">
        <v>318</v>
      </c>
      <c r="Q327" s="10" cm="1">
        <f t="array" aca="1" ref="Q327:U327" ca="1">_xlfn.LET(_xlpm.array,_xlfn.RANDARRAY(1,COLUMNS(_xlfn.ANCHORARRAY(Q326)),0,1,FALSE),_xlpm.array/SUM(_xlpm.array))</f>
        <v>0.36996780216136821</v>
      </c>
      <c r="R327" s="2">
        <f ca="1"/>
        <v>0.25081233199640063</v>
      </c>
      <c r="S327" s="2">
        <f ca="1"/>
        <v>0.35868171143205008</v>
      </c>
      <c r="T327" s="2">
        <f ca="1"/>
        <v>4.6341336778252572E-3</v>
      </c>
      <c r="U327" s="2">
        <f ca="1"/>
        <v>1.5904020732356004E-2</v>
      </c>
      <c r="V327" s="12"/>
      <c r="X327" s="2" cm="1">
        <f t="array" aca="1" ref="X327" ca="1">MMULT(MMULT(_xlfn.ANCHORARRAY(Q327),$Q$9:$U$13),TRANSPOSE(_xlfn.ANCHORARRAY(Q327)))</f>
        <v>3.6088311670274403E-4</v>
      </c>
      <c r="Y327" s="2">
        <f t="shared" ca="1" si="14"/>
        <v>1.8996923874742038E-2</v>
      </c>
      <c r="Z327" s="2" cm="1">
        <f t="array" aca="1" ref="Z327" ca="1">MMULT(_xlfn.ANCHORARRAY(Q327),TRANSPOSE($Q$3:$U$3))</f>
        <v>9.7058564389775699E-4</v>
      </c>
      <c r="AA327" s="11">
        <f ca="1">AVEDEV(Q327*$Q$3,R327*$R$3,S327*$S$3,T327*$T$3,U327*$U$3)</f>
        <v>1.55352899163531E-4</v>
      </c>
      <c r="AB327" s="11" cm="1">
        <f t="array" aca="1" ref="AB327" ca="1">MMULT(_xlfn.ANCHORARRAY(Q327),TRANSPOSE($Q$6:$U$6))</f>
        <v>-2.3336114344651739E-2</v>
      </c>
      <c r="AD327" s="2" t="s">
        <v>318</v>
      </c>
      <c r="AE327" s="10" cm="1">
        <f t="array" aca="1" ref="AE327:AI327" ca="1">_xlfn.LET(_xlpm.array,_xlfn.RANDARRAY(1,COLUMNS(_xlfn.ANCHORARRAY(Q326)),-1,1,FALSE),_xlpm.array/SUM(_xlpm.array))</f>
        <v>-7.4930055273476448</v>
      </c>
      <c r="AF327" s="10">
        <f ca="1"/>
        <v>2.2377063276260438</v>
      </c>
      <c r="AG327" s="10">
        <f ca="1"/>
        <v>5.5195720304549409</v>
      </c>
      <c r="AH327" s="10">
        <f ca="1"/>
        <v>6.9680936900430765</v>
      </c>
      <c r="AI327" s="10">
        <f ca="1"/>
        <v>-6.2323665207764165</v>
      </c>
      <c r="AJ327" s="1"/>
      <c r="AK327" s="2" cm="1">
        <f t="array" aca="1" ref="AK327" ca="1">MMULT(MMULT(_xlfn.ANCHORARRAY(AE327),$Q$9:$U$13),TRANSPOSE(_xlfn.ANCHORARRAY(AE327)))</f>
        <v>6.0918189378815976E-2</v>
      </c>
      <c r="AL327" s="2">
        <f t="shared" ca="1" si="15"/>
        <v>0.24681610437492926</v>
      </c>
      <c r="AM327" s="2" cm="1">
        <f t="array" aca="1" ref="AM327" ca="1">MMULT(_xlfn.ANCHORARRAY(AE328),TRANSPOSE($Q$3:$U$3))</f>
        <v>1.1899250475720827E-3</v>
      </c>
    </row>
    <row r="328" spans="1:39" x14ac:dyDescent="0.35">
      <c r="A328" s="3">
        <v>44306</v>
      </c>
      <c r="B328" s="4">
        <v>33.724826812744098</v>
      </c>
      <c r="C328" s="4">
        <v>82.284042358398395</v>
      </c>
      <c r="D328" s="4">
        <v>46.945579528808501</v>
      </c>
      <c r="E328" s="4">
        <v>13.3054962158203</v>
      </c>
      <c r="F328" s="4">
        <v>247.81588745117099</v>
      </c>
      <c r="I328" s="5">
        <f>B328/B327-1</f>
        <v>-2.7827151989878729E-2</v>
      </c>
      <c r="J328" s="5">
        <f>C328/C327-1</f>
        <v>-1.8691131298132713E-2</v>
      </c>
      <c r="K328" s="5">
        <f>D328/D327-1</f>
        <v>-1.8758677503946997E-2</v>
      </c>
      <c r="L328" s="5">
        <f>E328/E327-1</f>
        <v>-2.518889998110363E-2</v>
      </c>
      <c r="M328" s="5">
        <f>F328/F327-1</f>
        <v>-1.85495165522509E-3</v>
      </c>
      <c r="N328" s="5">
        <f>SUMPRODUCT(I328:M328,$AJ$13:$AN$13)</f>
        <v>-1.3496108566307882E-2</v>
      </c>
      <c r="P328" s="2" t="s">
        <v>319</v>
      </c>
      <c r="Q328" s="10" cm="1">
        <f t="array" aca="1" ref="Q328:U328" ca="1">_xlfn.LET(_xlpm.array,_xlfn.RANDARRAY(1,COLUMNS(_xlfn.ANCHORARRAY(Q327)),0,1,FALSE),_xlpm.array/SUM(_xlpm.array))</f>
        <v>0.22000494688365962</v>
      </c>
      <c r="R328" s="2">
        <f ca="1"/>
        <v>0.2315297133065293</v>
      </c>
      <c r="S328" s="2">
        <f ca="1"/>
        <v>8.8012597083955216E-2</v>
      </c>
      <c r="T328" s="2">
        <f ca="1"/>
        <v>0.22587490028090992</v>
      </c>
      <c r="U328" s="2">
        <f ca="1"/>
        <v>0.23457784244494584</v>
      </c>
      <c r="V328" s="12"/>
      <c r="X328" s="2" cm="1">
        <f t="array" aca="1" ref="X328" ca="1">MMULT(MMULT(_xlfn.ANCHORARRAY(Q328),$Q$9:$U$13),TRANSPOSE(_xlfn.ANCHORARRAY(Q328)))</f>
        <v>2.671869856083317E-4</v>
      </c>
      <c r="Y328" s="2">
        <f t="shared" ca="1" si="14"/>
        <v>1.6345855303664343E-2</v>
      </c>
      <c r="Z328" s="2" cm="1">
        <f t="array" aca="1" ref="Z328" ca="1">MMULT(_xlfn.ANCHORARRAY(Q328),TRANSPOSE($Q$3:$U$3))</f>
        <v>8.3399667711310077E-4</v>
      </c>
      <c r="AA328" s="11">
        <f ca="1">AVEDEV(Q328*$Q$3,R328*$R$3,S328*$S$3,T328*$T$3,U328*$U$3)</f>
        <v>3.1539782602558208E-5</v>
      </c>
      <c r="AB328" s="11" cm="1">
        <f t="array" aca="1" ref="AB328" ca="1">MMULT(_xlfn.ANCHORARRAY(Q328),TRANSPOSE($Q$6:$U$6))</f>
        <v>-2.2318414692786934E-2</v>
      </c>
      <c r="AD328" s="2" t="s">
        <v>319</v>
      </c>
      <c r="AE328" s="10" cm="1">
        <f t="array" aca="1" ref="AE328:AI328" ca="1">_xlfn.LET(_xlpm.array,_xlfn.RANDARRAY(1,COLUMNS(_xlfn.ANCHORARRAY(Q327)),-1,1,FALSE),_xlpm.array/SUM(_xlpm.array))</f>
        <v>-0.77862974025912912</v>
      </c>
      <c r="AF328" s="10">
        <f ca="1"/>
        <v>0.62562759920159361</v>
      </c>
      <c r="AG328" s="10">
        <f ca="1"/>
        <v>0.18804111818013383</v>
      </c>
      <c r="AH328" s="10">
        <f ca="1"/>
        <v>0.33248498142694888</v>
      </c>
      <c r="AI328" s="10">
        <f ca="1"/>
        <v>0.63247604145045278</v>
      </c>
      <c r="AJ328" s="1"/>
      <c r="AK328" s="2" cm="1">
        <f t="array" aca="1" ref="AK328" ca="1">MMULT(MMULT(_xlfn.ANCHORARRAY(AE328),$Q$9:$U$13),TRANSPOSE(_xlfn.ANCHORARRAY(AE328)))</f>
        <v>4.8849021245334404E-4</v>
      </c>
      <c r="AL328" s="2">
        <f t="shared" ca="1" si="15"/>
        <v>2.210181468688361E-2</v>
      </c>
      <c r="AM328" s="2" cm="1">
        <f t="array" aca="1" ref="AM328" ca="1">MMULT(_xlfn.ANCHORARRAY(AE329),TRANSPOSE($Q$3:$U$3))</f>
        <v>7.3884023262168455E-4</v>
      </c>
    </row>
    <row r="329" spans="1:39" x14ac:dyDescent="0.35">
      <c r="A329" s="3">
        <v>44307</v>
      </c>
      <c r="B329" s="4">
        <v>34.291610717773402</v>
      </c>
      <c r="C329" s="4">
        <v>83.420906066894503</v>
      </c>
      <c r="D329" s="4">
        <v>46.913204193115199</v>
      </c>
      <c r="E329" s="4">
        <v>13.415513038635201</v>
      </c>
      <c r="F329" s="4">
        <v>250.04197692871</v>
      </c>
      <c r="I329" s="5">
        <f>B329/B328-1</f>
        <v>1.6806132413262009E-2</v>
      </c>
      <c r="J329" s="5">
        <f>C329/C328-1</f>
        <v>1.3816332740974824E-2</v>
      </c>
      <c r="K329" s="5">
        <f>D329/D328-1</f>
        <v>-6.8963544636690965E-4</v>
      </c>
      <c r="L329" s="5">
        <f>E329/E328-1</f>
        <v>8.2685246029448045E-3</v>
      </c>
      <c r="M329" s="5">
        <f>F329/F328-1</f>
        <v>8.9828360095662863E-3</v>
      </c>
      <c r="N329" s="5">
        <f>SUMPRODUCT(I329:M329,$AJ$13:$AN$13)</f>
        <v>1.1919231212163452E-3</v>
      </c>
      <c r="P329" s="2" t="s">
        <v>320</v>
      </c>
      <c r="Q329" s="10" cm="1">
        <f t="array" aca="1" ref="Q329:U329" ca="1">_xlfn.LET(_xlpm.array,_xlfn.RANDARRAY(1,COLUMNS(_xlfn.ANCHORARRAY(Q328)),0,1,FALSE),_xlpm.array/SUM(_xlpm.array))</f>
        <v>7.0641597844937676E-2</v>
      </c>
      <c r="R329" s="2">
        <f ca="1"/>
        <v>1.7510682612299489E-2</v>
      </c>
      <c r="S329" s="2">
        <f ca="1"/>
        <v>0.3578321823420903</v>
      </c>
      <c r="T329" s="2">
        <f ca="1"/>
        <v>0.20931281118140699</v>
      </c>
      <c r="U329" s="2">
        <f ca="1"/>
        <v>0.34470272601926555</v>
      </c>
      <c r="V329" s="12"/>
      <c r="X329" s="2" cm="1">
        <f t="array" aca="1" ref="X329" ca="1">MMULT(MMULT(_xlfn.ANCHORARRAY(Q329),$Q$9:$U$13),TRANSPOSE(_xlfn.ANCHORARRAY(Q329)))</f>
        <v>3.1466391315128703E-4</v>
      </c>
      <c r="Y329" s="2">
        <f t="shared" ca="1" si="14"/>
        <v>1.7738768648113291E-2</v>
      </c>
      <c r="Z329" s="2" cm="1">
        <f t="array" aca="1" ref="Z329" ca="1">MMULT(_xlfn.ANCHORARRAY(Q329),TRANSPOSE($Q$3:$U$3))</f>
        <v>1.1072948008414782E-3</v>
      </c>
      <c r="AA329" s="11">
        <f ca="1">AVEDEV(Q329*$Q$3,R329*$R$3,S329*$S$3,T329*$T$3,U329*$U$3)</f>
        <v>1.6073960659758674E-4</v>
      </c>
      <c r="AB329" s="11" cm="1">
        <f t="array" aca="1" ref="AB329" ca="1">MMULT(_xlfn.ANCHORARRAY(Q329),TRANSPOSE($Q$6:$U$6))</f>
        <v>-2.3808174718311557E-2</v>
      </c>
      <c r="AD329" s="2" t="s">
        <v>320</v>
      </c>
      <c r="AE329" s="10" cm="1">
        <f t="array" aca="1" ref="AE329:AI329" ca="1">_xlfn.LET(_xlpm.array,_xlfn.RANDARRAY(1,COLUMNS(_xlfn.ANCHORARRAY(Q328)),-1,1,FALSE),_xlpm.array/SUM(_xlpm.array))</f>
        <v>1.8929977494929001E-2</v>
      </c>
      <c r="AF329" s="10">
        <f ca="1"/>
        <v>0.47976274989676759</v>
      </c>
      <c r="AG329" s="10">
        <f ca="1"/>
        <v>3.8930189088224008E-2</v>
      </c>
      <c r="AH329" s="10">
        <f ca="1"/>
        <v>-0.14798020292412303</v>
      </c>
      <c r="AI329" s="10">
        <f ca="1"/>
        <v>0.6103572864442024</v>
      </c>
      <c r="AJ329" s="1"/>
      <c r="AK329" s="2" cm="1">
        <f t="array" aca="1" ref="AK329" ca="1">MMULT(MMULT(_xlfn.ANCHORARRAY(AE329),$Q$9:$U$13),TRANSPOSE(_xlfn.ANCHORARRAY(AE329)))</f>
        <v>2.7403561895968272E-4</v>
      </c>
      <c r="AL329" s="2">
        <f t="shared" ca="1" si="15"/>
        <v>1.6554021232307356E-2</v>
      </c>
      <c r="AM329" s="2" cm="1">
        <f t="array" aca="1" ref="AM329" ca="1">MMULT(_xlfn.ANCHORARRAY(AE330),TRANSPOSE($Q$3:$U$3))</f>
        <v>5.1914822844187835E-4</v>
      </c>
    </row>
    <row r="330" spans="1:39" x14ac:dyDescent="0.35">
      <c r="A330" s="3">
        <v>44308</v>
      </c>
      <c r="B330" s="4">
        <v>33.972793579101499</v>
      </c>
      <c r="C330" s="4">
        <v>81.975486755371094</v>
      </c>
      <c r="D330" s="4">
        <v>46.487602233886697</v>
      </c>
      <c r="E330" s="4">
        <v>13.443018913269</v>
      </c>
      <c r="F330" s="4">
        <v>246.76994323730401</v>
      </c>
      <c r="I330" s="5">
        <f>B330/B329-1</f>
        <v>-9.2972342797144059E-3</v>
      </c>
      <c r="J330" s="5">
        <f>C330/C329-1</f>
        <v>-1.7326823450758755E-2</v>
      </c>
      <c r="K330" s="5">
        <f>D330/D329-1</f>
        <v>-9.0721144835159695E-3</v>
      </c>
      <c r="L330" s="5">
        <f>E330/E329-1</f>
        <v>2.050303596633718E-3</v>
      </c>
      <c r="M330" s="5">
        <f>F330/F329-1</f>
        <v>-1.3085937535755821E-2</v>
      </c>
      <c r="N330" s="5">
        <f>SUMPRODUCT(I330:M330,$AJ$13:$AN$13)</f>
        <v>-4.8803478420416536E-3</v>
      </c>
      <c r="P330" s="2" t="s">
        <v>321</v>
      </c>
      <c r="Q330" s="10" cm="1">
        <f t="array" aca="1" ref="Q330:U330" ca="1">_xlfn.LET(_xlpm.array,_xlfn.RANDARRAY(1,COLUMNS(_xlfn.ANCHORARRAY(Q329)),0,1,FALSE),_xlpm.array/SUM(_xlpm.array))</f>
        <v>9.7872804646129616E-2</v>
      </c>
      <c r="R330" s="2">
        <f ca="1"/>
        <v>0.34581923651832597</v>
      </c>
      <c r="S330" s="2">
        <f ca="1"/>
        <v>0.14816665356751291</v>
      </c>
      <c r="T330" s="2">
        <f ca="1"/>
        <v>8.4536128671532318E-2</v>
      </c>
      <c r="U330" s="2">
        <f ca="1"/>
        <v>0.32360517659649923</v>
      </c>
      <c r="V330" s="12"/>
      <c r="X330" s="2" cm="1">
        <f t="array" aca="1" ref="X330" ca="1">MMULT(MMULT(_xlfn.ANCHORARRAY(Q330),$Q$9:$U$13),TRANSPOSE(_xlfn.ANCHORARRAY(Q330)))</f>
        <v>2.6016804109608782E-4</v>
      </c>
      <c r="Y330" s="2">
        <f t="shared" ca="1" si="14"/>
        <v>1.6129725388117674E-2</v>
      </c>
      <c r="Z330" s="2" cm="1">
        <f t="array" aca="1" ref="Z330" ca="1">MMULT(_xlfn.ANCHORARRAY(Q330),TRANSPOSE($Q$3:$U$3))</f>
        <v>8.7677116781269054E-4</v>
      </c>
      <c r="AA330" s="11">
        <f ca="1">AVEDEV(Q330*$Q$3,R330*$R$3,S330*$S$3,T330*$T$3,U330*$U$3)</f>
        <v>8.5840569825565535E-5</v>
      </c>
      <c r="AB330" s="11" cm="1">
        <f t="array" aca="1" ref="AB330" ca="1">MMULT(_xlfn.ANCHORARRAY(Q330),TRANSPOSE($Q$6:$U$6))</f>
        <v>-2.1902292889160666E-2</v>
      </c>
      <c r="AD330" s="2" t="s">
        <v>321</v>
      </c>
      <c r="AE330" s="10" cm="1">
        <f t="array" aca="1" ref="AE330:AI330" ca="1">_xlfn.LET(_xlpm.array,_xlfn.RANDARRAY(1,COLUMNS(_xlfn.ANCHORARRAY(Q329)),-1,1,FALSE),_xlpm.array/SUM(_xlpm.array))</f>
        <v>-0.69565651967485331</v>
      </c>
      <c r="AF330" s="10">
        <f ca="1"/>
        <v>0.93938449437182303</v>
      </c>
      <c r="AG330" s="10">
        <f ca="1"/>
        <v>-0.56851750177420901</v>
      </c>
      <c r="AH330" s="10">
        <f ca="1"/>
        <v>0.37676854606592347</v>
      </c>
      <c r="AI330" s="10">
        <f ca="1"/>
        <v>0.94802098101131593</v>
      </c>
      <c r="AJ330" s="1"/>
      <c r="AK330" s="2" cm="1">
        <f t="array" aca="1" ref="AK330" ca="1">MMULT(MMULT(_xlfn.ANCHORARRAY(AE330),$Q$9:$U$13),TRANSPOSE(_xlfn.ANCHORARRAY(AE330)))</f>
        <v>7.7167888908863641E-4</v>
      </c>
      <c r="AL330" s="2">
        <f t="shared" ca="1" si="15"/>
        <v>2.7779108860592278E-2</v>
      </c>
      <c r="AM330" s="2" cm="1">
        <f t="array" aca="1" ref="AM330" ca="1">MMULT(_xlfn.ANCHORARRAY(AE331),TRANSPOSE($Q$3:$U$3))</f>
        <v>1.6789412793795269E-4</v>
      </c>
    </row>
    <row r="331" spans="1:39" x14ac:dyDescent="0.35">
      <c r="A331" s="3">
        <v>44309</v>
      </c>
      <c r="B331" s="4">
        <v>34.699012756347599</v>
      </c>
      <c r="C331" s="4">
        <v>82.462707519531193</v>
      </c>
      <c r="D331" s="4">
        <v>46.913204193115199</v>
      </c>
      <c r="E331" s="4">
        <v>13.656185150146401</v>
      </c>
      <c r="F331" s="4">
        <v>250.58901977539</v>
      </c>
      <c r="I331" s="5">
        <f>B331/B330-1</f>
        <v>2.1376492797249291E-2</v>
      </c>
      <c r="J331" s="5">
        <f>C331/C330-1</f>
        <v>5.9434933959470193E-3</v>
      </c>
      <c r="K331" s="5">
        <f>D331/D330-1</f>
        <v>9.1551712451682921E-3</v>
      </c>
      <c r="L331" s="5">
        <f>E331/E330-1</f>
        <v>1.58570212727287E-2</v>
      </c>
      <c r="M331" s="5">
        <f>F331/F330-1</f>
        <v>1.5476262983994848E-2</v>
      </c>
      <c r="N331" s="5">
        <f>SUMPRODUCT(I331:M331,$AJ$13:$AN$13)</f>
        <v>1.0968840180550877E-2</v>
      </c>
      <c r="P331" s="2" t="s">
        <v>322</v>
      </c>
      <c r="Q331" s="10" cm="1">
        <f t="array" aca="1" ref="Q331:U331" ca="1">_xlfn.LET(_xlpm.array,_xlfn.RANDARRAY(1,COLUMNS(_xlfn.ANCHORARRAY(Q330)),0,1,FALSE),_xlpm.array/SUM(_xlpm.array))</f>
        <v>0.14188959061295725</v>
      </c>
      <c r="R331" s="2">
        <f ca="1"/>
        <v>0.23706255151341393</v>
      </c>
      <c r="S331" s="2">
        <f ca="1"/>
        <v>0.30872501179306683</v>
      </c>
      <c r="T331" s="2">
        <f ca="1"/>
        <v>0.19115020436024055</v>
      </c>
      <c r="U331" s="2">
        <f ca="1"/>
        <v>0.12117264172032152</v>
      </c>
      <c r="V331" s="12"/>
      <c r="X331" s="2" cm="1">
        <f t="array" aca="1" ref="X331" ca="1">MMULT(MMULT(_xlfn.ANCHORARRAY(Q331),$Q$9:$U$13),TRANSPOSE(_xlfn.ANCHORARRAY(Q331)))</f>
        <v>3.1522692939202736E-4</v>
      </c>
      <c r="Y331" s="2">
        <f t="shared" ca="1" si="14"/>
        <v>1.7754631209688006E-2</v>
      </c>
      <c r="Z331" s="2" cm="1">
        <f t="array" aca="1" ref="Z331" ca="1">MMULT(_xlfn.ANCHORARRAY(Q331),TRANSPOSE($Q$3:$U$3))</f>
        <v>1.0345585222606116E-3</v>
      </c>
      <c r="AA331" s="11">
        <f ca="1">AVEDEV(Q331*$Q$3,R331*$R$3,S331*$S$3,T331*$T$3,U331*$U$3)</f>
        <v>1.1778318135896647E-4</v>
      </c>
      <c r="AB331" s="11" cm="1">
        <f t="array" aca="1" ref="AB331" ca="1">MMULT(_xlfn.ANCHORARRAY(Q331),TRANSPOSE($Q$6:$U$6))</f>
        <v>-2.358041207096008E-2</v>
      </c>
      <c r="AD331" s="2" t="s">
        <v>322</v>
      </c>
      <c r="AE331" s="10" cm="1">
        <f t="array" aca="1" ref="AE331:AI331" ca="1">_xlfn.LET(_xlpm.array,_xlfn.RANDARRAY(1,COLUMNS(_xlfn.ANCHORARRAY(Q330)),-1,1,FALSE),_xlpm.array/SUM(_xlpm.array))</f>
        <v>-0.28708948368186082</v>
      </c>
      <c r="AF331" s="10">
        <f ca="1"/>
        <v>0.57164067685208841</v>
      </c>
      <c r="AG331" s="10">
        <f ca="1"/>
        <v>-0.98398335420603678</v>
      </c>
      <c r="AH331" s="10">
        <f ca="1"/>
        <v>0.75768024797248912</v>
      </c>
      <c r="AI331" s="10">
        <f ca="1"/>
        <v>0.94175191306332018</v>
      </c>
      <c r="AJ331" s="1"/>
      <c r="AK331" s="2" cm="1">
        <f t="array" aca="1" ref="AK331" ca="1">MMULT(MMULT(_xlfn.ANCHORARRAY(AE331),$Q$9:$U$13),TRANSPOSE(_xlfn.ANCHORARRAY(AE331)))</f>
        <v>1.1484486038782977E-3</v>
      </c>
      <c r="AL331" s="2">
        <f t="shared" ca="1" si="15"/>
        <v>3.3888768108007374E-2</v>
      </c>
      <c r="AM331" s="2" cm="1">
        <f t="array" aca="1" ref="AM331" ca="1">MMULT(_xlfn.ANCHORARRAY(AE332),TRANSPOSE($Q$3:$U$3))</f>
        <v>5.169543985312833E-4</v>
      </c>
    </row>
    <row r="332" spans="1:39" x14ac:dyDescent="0.35">
      <c r="A332" s="3">
        <v>44312</v>
      </c>
      <c r="B332" s="4">
        <v>34.902702331542898</v>
      </c>
      <c r="C332" s="4">
        <v>82.438346862792898</v>
      </c>
      <c r="D332" s="4">
        <v>46.436702728271399</v>
      </c>
      <c r="E332" s="4">
        <v>13.7937059402465</v>
      </c>
      <c r="F332" s="4">
        <v>250.97282409667901</v>
      </c>
      <c r="I332" s="5">
        <f>B332/B331-1</f>
        <v>5.8701835878036679E-3</v>
      </c>
      <c r="J332" s="5">
        <f>C332/C331-1</f>
        <v>-2.9541422384815608E-4</v>
      </c>
      <c r="K332" s="5">
        <f>D332/D331-1</f>
        <v>-1.0157086326534226E-2</v>
      </c>
      <c r="L332" s="5">
        <f>E332/E331-1</f>
        <v>1.0070220093539417E-2</v>
      </c>
      <c r="M332" s="5">
        <f>F332/F331-1</f>
        <v>1.5316086939205498E-3</v>
      </c>
      <c r="N332" s="5">
        <f>SUMPRODUCT(I332:M332,$AJ$13:$AN$13)</f>
        <v>-1.7595704710211544E-3</v>
      </c>
      <c r="P332" s="2" t="s">
        <v>323</v>
      </c>
      <c r="Q332" s="10" cm="1">
        <f t="array" aca="1" ref="Q332:U332" ca="1">_xlfn.LET(_xlpm.array,_xlfn.RANDARRAY(1,COLUMNS(_xlfn.ANCHORARRAY(Q331)),0,1,FALSE),_xlpm.array/SUM(_xlpm.array))</f>
        <v>0.24658919894094178</v>
      </c>
      <c r="R332" s="2">
        <f ca="1"/>
        <v>0.1659585287256955</v>
      </c>
      <c r="S332" s="2">
        <f ca="1"/>
        <v>0.22423236277913533</v>
      </c>
      <c r="T332" s="2">
        <f ca="1"/>
        <v>7.8357404834577524E-2</v>
      </c>
      <c r="U332" s="2">
        <f ca="1"/>
        <v>0.28486250471964986</v>
      </c>
      <c r="V332" s="12"/>
      <c r="X332" s="2" cm="1">
        <f t="array" aca="1" ref="X332" ca="1">MMULT(MMULT(_xlfn.ANCHORARRAY(Q332),$Q$9:$U$13),TRANSPOSE(_xlfn.ANCHORARRAY(Q332)))</f>
        <v>2.7385116234469138E-4</v>
      </c>
      <c r="Y332" s="2">
        <f t="shared" ca="1" si="14"/>
        <v>1.6548448940752466E-2</v>
      </c>
      <c r="Z332" s="2" cm="1">
        <f t="array" aca="1" ref="Z332" ca="1">MMULT(_xlfn.ANCHORARRAY(Q332),TRANSPOSE($Q$3:$U$3))</f>
        <v>9.0860040483702682E-4</v>
      </c>
      <c r="AA332" s="11">
        <f ca="1">AVEDEV(Q332*$Q$3,R332*$R$3,S332*$S$3,T332*$T$3,U332*$U$3)</f>
        <v>8.7436617161611158E-5</v>
      </c>
      <c r="AB332" s="11" cm="1">
        <f t="array" aca="1" ref="AB332" ca="1">MMULT(_xlfn.ANCHORARRAY(Q332),TRANSPOSE($Q$6:$U$6))</f>
        <v>-2.2540834970702861E-2</v>
      </c>
      <c r="AD332" s="2" t="s">
        <v>323</v>
      </c>
      <c r="AE332" s="10" cm="1">
        <f t="array" aca="1" ref="AE332:AI332" ca="1">_xlfn.LET(_xlpm.array,_xlfn.RANDARRAY(1,COLUMNS(_xlfn.ANCHORARRAY(Q331)),-1,1,FALSE),_xlpm.array/SUM(_xlpm.array))</f>
        <v>0.77414270083586167</v>
      </c>
      <c r="AF332" s="10">
        <f ca="1"/>
        <v>4.9843251186037635E-2</v>
      </c>
      <c r="AG332" s="10">
        <f ca="1"/>
        <v>-0.13054638474702104</v>
      </c>
      <c r="AH332" s="10">
        <f ca="1"/>
        <v>0.25173106032362452</v>
      </c>
      <c r="AI332" s="10">
        <f ca="1"/>
        <v>5.4829372401497233E-2</v>
      </c>
      <c r="AJ332" s="1"/>
      <c r="AK332" s="2" cm="1">
        <f t="array" aca="1" ref="AK332" ca="1">MMULT(MMULT(_xlfn.ANCHORARRAY(AE332),$Q$9:$U$13),TRANSPOSE(_xlfn.ANCHORARRAY(AE332)))</f>
        <v>4.0379682561547068E-4</v>
      </c>
      <c r="AL332" s="2">
        <f t="shared" ca="1" si="15"/>
        <v>2.0094696454922394E-2</v>
      </c>
      <c r="AM332" s="2" cm="1">
        <f t="array" aca="1" ref="AM332" ca="1">MMULT(_xlfn.ANCHORARRAY(AE333),TRANSPOSE($Q$3:$U$3))</f>
        <v>1.1725628776161567E-3</v>
      </c>
    </row>
    <row r="333" spans="1:39" x14ac:dyDescent="0.35">
      <c r="A333" s="3">
        <v>44313</v>
      </c>
      <c r="B333" s="4">
        <v>35.318954467773402</v>
      </c>
      <c r="C333" s="4">
        <v>83.396537780761705</v>
      </c>
      <c r="D333" s="4">
        <v>46.5893745422363</v>
      </c>
      <c r="E333" s="4">
        <v>13.9793653488159</v>
      </c>
      <c r="F333" s="4">
        <v>251.37585449218699</v>
      </c>
      <c r="I333" s="5">
        <f>B333/B332-1</f>
        <v>1.1926071863333165E-2</v>
      </c>
      <c r="J333" s="5">
        <f>C333/C332-1</f>
        <v>1.162312145297606E-2</v>
      </c>
      <c r="K333" s="5">
        <f>D333/D332-1</f>
        <v>3.2877401924567007E-3</v>
      </c>
      <c r="L333" s="5">
        <f>E333/E332-1</f>
        <v>1.3459719191757813E-2</v>
      </c>
      <c r="M333" s="5">
        <f>F333/F332-1</f>
        <v>1.6058726555698843E-3</v>
      </c>
      <c r="N333" s="5">
        <f>SUMPRODUCT(I333:M333,$AJ$13:$AN$13)</f>
        <v>4.7074401589263497E-3</v>
      </c>
      <c r="P333" s="2" t="s">
        <v>324</v>
      </c>
      <c r="Q333" s="10" cm="1">
        <f t="array" aca="1" ref="Q333:U333" ca="1">_xlfn.LET(_xlpm.array,_xlfn.RANDARRAY(1,COLUMNS(_xlfn.ANCHORARRAY(Q332)),0,1,FALSE),_xlpm.array/SUM(_xlpm.array))</f>
        <v>0.12104551952674804</v>
      </c>
      <c r="R333" s="2">
        <f ca="1"/>
        <v>0.23308605817334538</v>
      </c>
      <c r="S333" s="2">
        <f ca="1"/>
        <v>0.48497512742496185</v>
      </c>
      <c r="T333" s="2">
        <f ca="1"/>
        <v>8.747534563211673E-3</v>
      </c>
      <c r="U333" s="2">
        <f ca="1"/>
        <v>0.15214576031173307</v>
      </c>
      <c r="V333" s="12"/>
      <c r="X333" s="2" cm="1">
        <f t="array" aca="1" ref="X333" ca="1">MMULT(MMULT(_xlfn.ANCHORARRAY(Q333),$Q$9:$U$13),TRANSPOSE(_xlfn.ANCHORARRAY(Q333)))</f>
        <v>3.8404519878486066E-4</v>
      </c>
      <c r="Y333" s="2">
        <f t="shared" ca="1" si="14"/>
        <v>1.9597071178746601E-2</v>
      </c>
      <c r="Z333" s="2" cm="1">
        <f t="array" aca="1" ref="Z333" ca="1">MMULT(_xlfn.ANCHORARRAY(Q333),TRANSPOSE($Q$3:$U$3))</f>
        <v>1.1446353512436938E-3</v>
      </c>
      <c r="AA333" s="11">
        <f ca="1">AVEDEV(Q333*$Q$3,R333*$R$3,S333*$S$3,T333*$T$3,U333*$U$3)</f>
        <v>2.2346916466347506E-4</v>
      </c>
      <c r="AB333" s="11" cm="1">
        <f t="array" aca="1" ref="AB333" ca="1">MMULT(_xlfn.ANCHORARRAY(Q333),TRANSPOSE($Q$6:$U$6))</f>
        <v>-2.3867059747092169E-2</v>
      </c>
      <c r="AD333" s="2" t="s">
        <v>324</v>
      </c>
      <c r="AE333" s="10" cm="1">
        <f t="array" aca="1" ref="AE333:AI333" ca="1">_xlfn.LET(_xlpm.array,_xlfn.RANDARRAY(1,COLUMNS(_xlfn.ANCHORARRAY(Q332)),-1,1,FALSE),_xlpm.array/SUM(_xlpm.array))</f>
        <v>0.21001574354969441</v>
      </c>
      <c r="AF333" s="10">
        <f ca="1"/>
        <v>0.58729427962103831</v>
      </c>
      <c r="AG333" s="10">
        <f ca="1"/>
        <v>0.80304912335455414</v>
      </c>
      <c r="AH333" s="10">
        <f ca="1"/>
        <v>-0.81011366058504886</v>
      </c>
      <c r="AI333" s="10">
        <f ca="1"/>
        <v>0.20975451405976195</v>
      </c>
      <c r="AJ333" s="1"/>
      <c r="AK333" s="2" cm="1">
        <f t="array" aca="1" ref="AK333" ca="1">MMULT(MMULT(_xlfn.ANCHORARRAY(AE333),$Q$9:$U$13),TRANSPOSE(_xlfn.ANCHORARRAY(AE333)))</f>
        <v>8.8104369247788913E-4</v>
      </c>
      <c r="AL333" s="2">
        <f t="shared" ca="1" si="15"/>
        <v>2.9682380168677327E-2</v>
      </c>
      <c r="AM333" s="2" cm="1">
        <f t="array" aca="1" ref="AM333" ca="1">MMULT(_xlfn.ANCHORARRAY(AE334),TRANSPOSE($Q$3:$U$3))</f>
        <v>8.7543187183436195E-4</v>
      </c>
    </row>
    <row r="334" spans="1:39" x14ac:dyDescent="0.35">
      <c r="A334" s="3">
        <v>44314</v>
      </c>
      <c r="B334" s="4">
        <v>35.451805114746001</v>
      </c>
      <c r="C334" s="4">
        <v>85.442893981933594</v>
      </c>
      <c r="D334" s="4">
        <v>45.992610931396399</v>
      </c>
      <c r="E334" s="4">
        <v>14.446947097778301</v>
      </c>
      <c r="F334" s="4">
        <v>244.26548767089801</v>
      </c>
      <c r="I334" s="5">
        <f>B334/B333-1</f>
        <v>3.7614546912427826E-3</v>
      </c>
      <c r="J334" s="5">
        <f>C334/C333-1</f>
        <v>2.4537663740328064E-2</v>
      </c>
      <c r="K334" s="5">
        <f>D334/D333-1</f>
        <v>-1.2809006703854653E-2</v>
      </c>
      <c r="L334" s="5">
        <f>E334/E333-1</f>
        <v>3.3447995477277281E-2</v>
      </c>
      <c r="M334" s="5">
        <f>F334/F333-1</f>
        <v>-2.8285798712262444E-2</v>
      </c>
      <c r="N334" s="5">
        <f>SUMPRODUCT(I334:M334,$AJ$13:$AN$13)</f>
        <v>-2.3810218641440537E-3</v>
      </c>
      <c r="P334" s="2" t="s">
        <v>325</v>
      </c>
      <c r="Q334" s="10" cm="1">
        <f t="array" aca="1" ref="Q334:U334" ca="1">_xlfn.LET(_xlpm.array,_xlfn.RANDARRAY(1,COLUMNS(_xlfn.ANCHORARRAY(Q333)),0,1,FALSE),_xlpm.array/SUM(_xlpm.array))</f>
        <v>0.32221886339135364</v>
      </c>
      <c r="R334" s="2">
        <f ca="1"/>
        <v>0.31656294108883126</v>
      </c>
      <c r="S334" s="2">
        <f ca="1"/>
        <v>0.14391897752771812</v>
      </c>
      <c r="T334" s="2">
        <f ca="1"/>
        <v>0.16711112205968048</v>
      </c>
      <c r="U334" s="2">
        <f ca="1"/>
        <v>5.0188095932416563E-2</v>
      </c>
      <c r="V334" s="12"/>
      <c r="X334" s="2" cm="1">
        <f t="array" aca="1" ref="X334" ca="1">MMULT(MMULT(_xlfn.ANCHORARRAY(Q334),$Q$9:$U$13),TRANSPOSE(_xlfn.ANCHORARRAY(Q334)))</f>
        <v>3.1194020367497031E-4</v>
      </c>
      <c r="Y334" s="2">
        <f t="shared" ca="1" si="14"/>
        <v>1.7661829001407819E-2</v>
      </c>
      <c r="Z334" s="2" cm="1">
        <f t="array" aca="1" ref="Z334" ca="1">MMULT(_xlfn.ANCHORARRAY(Q334),TRANSPOSE($Q$3:$U$3))</f>
        <v>8.3776782119075592E-4</v>
      </c>
      <c r="AA334" s="11">
        <f ca="1">AVEDEV(Q334*$Q$3,R334*$R$3,S334*$S$3,T334*$T$3,U334*$U$3)</f>
        <v>5.3181617433308472E-5</v>
      </c>
      <c r="AB334" s="11" cm="1">
        <f t="array" aca="1" ref="AB334" ca="1">MMULT(_xlfn.ANCHORARRAY(Q334),TRANSPOSE($Q$6:$U$6))</f>
        <v>-2.2606278019873447E-2</v>
      </c>
      <c r="AD334" s="2" t="s">
        <v>325</v>
      </c>
      <c r="AE334" s="10" cm="1">
        <f t="array" aca="1" ref="AE334:AI334" ca="1">_xlfn.LET(_xlpm.array,_xlfn.RANDARRAY(1,COLUMNS(_xlfn.ANCHORARRAY(Q333)),-1,1,FALSE),_xlpm.array/SUM(_xlpm.array))</f>
        <v>-6.0311758460560923E-2</v>
      </c>
      <c r="AF334" s="10">
        <f ca="1"/>
        <v>0.20047917609381885</v>
      </c>
      <c r="AG334" s="10">
        <f ca="1"/>
        <v>2.7941643151553494E-2</v>
      </c>
      <c r="AH334" s="10">
        <f ca="1"/>
        <v>0.30391866761785802</v>
      </c>
      <c r="AI334" s="10">
        <f ca="1"/>
        <v>0.52797227159733051</v>
      </c>
      <c r="AJ334" s="1"/>
      <c r="AK334" s="2" cm="1">
        <f t="array" aca="1" ref="AK334" ca="1">MMULT(MMULT(_xlfn.ANCHORARRAY(AE334),$Q$9:$U$13),TRANSPOSE(_xlfn.ANCHORARRAY(AE334)))</f>
        <v>2.6058844673829346E-4</v>
      </c>
      <c r="AL334" s="2">
        <f t="shared" ca="1" si="15"/>
        <v>1.6142752142627149E-2</v>
      </c>
      <c r="AM334" s="2" cm="1">
        <f t="array" aca="1" ref="AM334" ca="1">MMULT(_xlfn.ANCHORARRAY(AE335),TRANSPOSE($Q$3:$U$3))</f>
        <v>1.6573071250257003E-3</v>
      </c>
    </row>
    <row r="335" spans="1:39" x14ac:dyDescent="0.35">
      <c r="A335" s="3">
        <v>44315</v>
      </c>
      <c r="B335" s="4">
        <v>36.4082832336425</v>
      </c>
      <c r="C335" s="4">
        <v>86.807113647460895</v>
      </c>
      <c r="D335" s="4">
        <v>46.260929107666001</v>
      </c>
      <c r="E335" s="4">
        <v>14.570721626281699</v>
      </c>
      <c r="F335" s="4">
        <v>242.29838562011699</v>
      </c>
      <c r="I335" s="5">
        <f>B335/B334-1</f>
        <v>2.6979673271944504E-2</v>
      </c>
      <c r="J335" s="5">
        <f>C335/C334-1</f>
        <v>1.5966449659532422E-2</v>
      </c>
      <c r="K335" s="5">
        <f>D335/D334-1</f>
        <v>5.8339409491197092E-3</v>
      </c>
      <c r="L335" s="5">
        <f>E335/E334-1</f>
        <v>8.5675214054348192E-3</v>
      </c>
      <c r="M335" s="5">
        <f>F335/F334-1</f>
        <v>-8.0531313266462012E-3</v>
      </c>
      <c r="N335" s="5">
        <f>SUMPRODUCT(I335:M335,$AJ$13:$AN$13)</f>
        <v>-3.9752822889557414E-3</v>
      </c>
      <c r="P335" s="2" t="s">
        <v>326</v>
      </c>
      <c r="Q335" s="10" cm="1">
        <f t="array" aca="1" ref="Q335:U335" ca="1">_xlfn.LET(_xlpm.array,_xlfn.RANDARRAY(1,COLUMNS(_xlfn.ANCHORARRAY(Q334)),0,1,FALSE),_xlpm.array/SUM(_xlpm.array))</f>
        <v>0.10574376450261368</v>
      </c>
      <c r="R335" s="2">
        <f ca="1"/>
        <v>0.17641102920470228</v>
      </c>
      <c r="S335" s="2">
        <f ca="1"/>
        <v>0.22799146547828164</v>
      </c>
      <c r="T335" s="2">
        <f ca="1"/>
        <v>0.25377715692626562</v>
      </c>
      <c r="U335" s="2">
        <f ca="1"/>
        <v>0.23607658388813679</v>
      </c>
      <c r="V335" s="12"/>
      <c r="X335" s="2" cm="1">
        <f t="array" aca="1" ref="X335" ca="1">MMULT(MMULT(_xlfn.ANCHORARRAY(Q335),$Q$9:$U$13),TRANSPOSE(_xlfn.ANCHORARRAY(Q335)))</f>
        <v>2.8194599711064494E-4</v>
      </c>
      <c r="Y335" s="2">
        <f t="shared" ca="1" si="14"/>
        <v>1.6791247634129064E-2</v>
      </c>
      <c r="Z335" s="2" cm="1">
        <f t="array" aca="1" ref="Z335" ca="1">MMULT(_xlfn.ANCHORARRAY(Q335),TRANSPOSE($Q$3:$U$3))</f>
        <v>9.9265157637368879E-4</v>
      </c>
      <c r="AA335" s="11">
        <f ca="1">AVEDEV(Q335*$Q$3,R335*$R$3,S335*$S$3,T335*$T$3,U335*$U$3)</f>
        <v>9.2984310239817332E-5</v>
      </c>
      <c r="AB335" s="11" cm="1">
        <f t="array" aca="1" ref="AB335" ca="1">MMULT(_xlfn.ANCHORARRAY(Q335),TRANSPOSE($Q$6:$U$6))</f>
        <v>-2.3246849005737816E-2</v>
      </c>
      <c r="AD335" s="2" t="s">
        <v>326</v>
      </c>
      <c r="AE335" s="10" cm="1">
        <f t="array" aca="1" ref="AE335:AI335" ca="1">_xlfn.LET(_xlpm.array,_xlfn.RANDARRAY(1,COLUMNS(_xlfn.ANCHORARRAY(Q334)),-1,1,FALSE),_xlpm.array/SUM(_xlpm.array))</f>
        <v>-1.0422868990958216</v>
      </c>
      <c r="AF335" s="10">
        <f ca="1"/>
        <v>2.2850818053858317</v>
      </c>
      <c r="AG335" s="10">
        <f ca="1"/>
        <v>0.34614137723960259</v>
      </c>
      <c r="AH335" s="10">
        <f ca="1"/>
        <v>1.583971897377271</v>
      </c>
      <c r="AI335" s="10">
        <f ca="1"/>
        <v>-2.1729081809068833</v>
      </c>
      <c r="AJ335" s="1"/>
      <c r="AK335" s="2" cm="1">
        <f t="array" aca="1" ref="AK335" ca="1">MMULT(MMULT(_xlfn.ANCHORARRAY(AE335),$Q$9:$U$13),TRANSPOSE(_xlfn.ANCHORARRAY(AE335)))</f>
        <v>5.4180093635162775E-3</v>
      </c>
      <c r="AL335" s="2">
        <f t="shared" ca="1" si="15"/>
        <v>7.3607128483023143E-2</v>
      </c>
      <c r="AM335" s="2" cm="1">
        <f t="array" aca="1" ref="AM335" ca="1">MMULT(_xlfn.ANCHORARRAY(AE336),TRANSPOSE($Q$3:$U$3))</f>
        <v>2.4724116350486568E-3</v>
      </c>
    </row>
    <row r="336" spans="1:39" x14ac:dyDescent="0.35">
      <c r="A336" s="3">
        <v>44316</v>
      </c>
      <c r="B336" s="4">
        <v>35.8946113586425</v>
      </c>
      <c r="C336" s="4">
        <v>83.696998596191406</v>
      </c>
      <c r="D336" s="4">
        <v>45.4883613586425</v>
      </c>
      <c r="E336" s="4">
        <v>13.938106536865201</v>
      </c>
      <c r="F336" s="4">
        <v>241.98176574707</v>
      </c>
      <c r="I336" s="5">
        <f>B336/B335-1</f>
        <v>-1.4108654113230701E-2</v>
      </c>
      <c r="J336" s="5">
        <f>C336/C335-1</f>
        <v>-3.5827882308127612E-2</v>
      </c>
      <c r="K336" s="5">
        <f>D336/D335-1</f>
        <v>-1.6700221200172116E-2</v>
      </c>
      <c r="L336" s="5">
        <f>E336/E335-1</f>
        <v>-4.3416867444329599E-2</v>
      </c>
      <c r="M336" s="5">
        <f>F336/F335-1</f>
        <v>-1.3067353801663462E-3</v>
      </c>
      <c r="N336" s="5">
        <f>SUMPRODUCT(I336:M336,$AJ$13:$AN$13)</f>
        <v>-2.4164476331763229E-2</v>
      </c>
      <c r="P336" s="2" t="s">
        <v>327</v>
      </c>
      <c r="Q336" s="10" cm="1">
        <f t="array" aca="1" ref="Q336:U336" ca="1">_xlfn.LET(_xlpm.array,_xlfn.RANDARRAY(1,COLUMNS(_xlfn.ANCHORARRAY(Q335)),0,1,FALSE),_xlpm.array/SUM(_xlpm.array))</f>
        <v>0.25264402548869536</v>
      </c>
      <c r="R336" s="2">
        <f ca="1"/>
        <v>0.24106074729338936</v>
      </c>
      <c r="S336" s="2">
        <f ca="1"/>
        <v>0.26250896618130404</v>
      </c>
      <c r="T336" s="2">
        <f ca="1"/>
        <v>9.6904097867413136E-2</v>
      </c>
      <c r="U336" s="2">
        <f ca="1"/>
        <v>0.14688216316919803</v>
      </c>
      <c r="V336" s="12"/>
      <c r="X336" s="2" cm="1">
        <f t="array" aca="1" ref="X336" ca="1">MMULT(MMULT(_xlfn.ANCHORARRAY(Q336),$Q$9:$U$13),TRANSPOSE(_xlfn.ANCHORARRAY(Q336)))</f>
        <v>2.9872436774731008E-4</v>
      </c>
      <c r="Y336" s="2">
        <f t="shared" ca="1" si="14"/>
        <v>1.7283644515764321E-2</v>
      </c>
      <c r="Z336" s="2" cm="1">
        <f t="array" aca="1" ref="Z336" ca="1">MMULT(_xlfn.ANCHORARRAY(Q336),TRANSPOSE($Q$3:$U$3))</f>
        <v>9.420943821276264E-4</v>
      </c>
      <c r="AA336" s="11">
        <f ca="1">AVEDEV(Q336*$Q$3,R336*$R$3,S336*$S$3,T336*$T$3,U336*$U$3)</f>
        <v>9.5158355047019467E-5</v>
      </c>
      <c r="AB336" s="11" cm="1">
        <f t="array" aca="1" ref="AB336" ca="1">MMULT(_xlfn.ANCHORARRAY(Q336),TRANSPOSE($Q$6:$U$6))</f>
        <v>-2.2947180624121297E-2</v>
      </c>
      <c r="AD336" s="2" t="s">
        <v>327</v>
      </c>
      <c r="AE336" s="10" cm="1">
        <f t="array" aca="1" ref="AE336:AI336" ca="1">_xlfn.LET(_xlpm.array,_xlfn.RANDARRAY(1,COLUMNS(_xlfn.ANCHORARRAY(Q335)),-1,1,FALSE),_xlpm.array/SUM(_xlpm.array))</f>
        <v>0.9688986387971561</v>
      </c>
      <c r="AF336" s="10">
        <f ca="1"/>
        <v>-0.27203201409903172</v>
      </c>
      <c r="AG336" s="10">
        <f ca="1"/>
        <v>2.9015644618808363</v>
      </c>
      <c r="AH336" s="10">
        <f ca="1"/>
        <v>-2.1268695173023335</v>
      </c>
      <c r="AI336" s="10">
        <f ca="1"/>
        <v>-0.47156156927662735</v>
      </c>
      <c r="AJ336" s="1"/>
      <c r="AK336" s="2" cm="1">
        <f t="array" aca="1" ref="AK336" ca="1">MMULT(MMULT(_xlfn.ANCHORARRAY(AE336),$Q$9:$U$13),TRANSPOSE(_xlfn.ANCHORARRAY(AE336)))</f>
        <v>7.7487802237201494E-3</v>
      </c>
      <c r="AL336" s="2">
        <f t="shared" ca="1" si="15"/>
        <v>8.8027156171945883E-2</v>
      </c>
      <c r="AM336" s="2" cm="1">
        <f t="array" aca="1" ref="AM336" ca="1">MMULT(_xlfn.ANCHORARRAY(AE337),TRANSPOSE($Q$3:$U$3))</f>
        <v>1.1064419136047115E-3</v>
      </c>
    </row>
    <row r="337" spans="1:39" x14ac:dyDescent="0.35">
      <c r="A337" s="3">
        <v>44319</v>
      </c>
      <c r="B337" s="4">
        <v>35.921188354492102</v>
      </c>
      <c r="C337" s="4">
        <v>85.694618225097599</v>
      </c>
      <c r="D337" s="4">
        <v>45.233928680419901</v>
      </c>
      <c r="E337" s="4">
        <v>14.144392013549799</v>
      </c>
      <c r="F337" s="4">
        <v>241.67465209960901</v>
      </c>
      <c r="I337" s="5">
        <f>B337/B336-1</f>
        <v>7.4041742879060735E-4</v>
      </c>
      <c r="J337" s="5">
        <f>C337/C336-1</f>
        <v>2.3867279142756326E-2</v>
      </c>
      <c r="K337" s="5">
        <f>D337/D336-1</f>
        <v>-5.5933577430188341E-3</v>
      </c>
      <c r="L337" s="5">
        <f>E337/E336-1</f>
        <v>1.4800107614258096E-2</v>
      </c>
      <c r="M337" s="5">
        <f>F337/F336-1</f>
        <v>-1.269160287812765E-3</v>
      </c>
      <c r="N337" s="5">
        <f>SUMPRODUCT(I337:M337,$AJ$13:$AN$13)</f>
        <v>2.5831085096935215E-3</v>
      </c>
      <c r="P337" s="2" t="s">
        <v>328</v>
      </c>
      <c r="Q337" s="10" cm="1">
        <f t="array" aca="1" ref="Q337:U337" ca="1">_xlfn.LET(_xlpm.array,_xlfn.RANDARRAY(1,COLUMNS(_xlfn.ANCHORARRAY(Q336)),0,1,FALSE),_xlpm.array/SUM(_xlpm.array))</f>
        <v>5.5700377377591904E-2</v>
      </c>
      <c r="R337" s="2">
        <f ca="1"/>
        <v>0.38968571554053605</v>
      </c>
      <c r="S337" s="2">
        <f ca="1"/>
        <v>9.5957076097595045E-2</v>
      </c>
      <c r="T337" s="2">
        <f ca="1"/>
        <v>0.1247949153971122</v>
      </c>
      <c r="U337" s="2">
        <f ca="1"/>
        <v>0.33386191558716494</v>
      </c>
      <c r="V337" s="12"/>
      <c r="X337" s="2" cm="1">
        <f t="array" aca="1" ref="X337" ca="1">MMULT(MMULT(_xlfn.ANCHORARRAY(Q337),$Q$9:$U$13),TRANSPOSE(_xlfn.ANCHORARRAY(Q337)))</f>
        <v>2.6010791952436906E-4</v>
      </c>
      <c r="Y337" s="2">
        <f t="shared" ca="1" si="14"/>
        <v>1.6127861591803454E-2</v>
      </c>
      <c r="Z337" s="2" cm="1">
        <f t="array" aca="1" ref="Z337" ca="1">MMULT(_xlfn.ANCHORARRAY(Q337),TRANSPOSE($Q$3:$U$3))</f>
        <v>8.515557836773249E-4</v>
      </c>
      <c r="AA337" s="11">
        <f ca="1">AVEDEV(Q337*$Q$3,R337*$R$3,S337*$S$3,T337*$T$3,U337*$U$3)</f>
        <v>7.9718789495814235E-5</v>
      </c>
      <c r="AB337" s="11" cm="1">
        <f t="array" aca="1" ref="AB337" ca="1">MMULT(_xlfn.ANCHORARRAY(Q337),TRANSPOSE($Q$6:$U$6))</f>
        <v>-2.1696571651556071E-2</v>
      </c>
      <c r="AD337" s="2" t="s">
        <v>328</v>
      </c>
      <c r="AE337" s="10" cm="1">
        <f t="array" aca="1" ref="AE337:AI337" ca="1">_xlfn.LET(_xlpm.array,_xlfn.RANDARRAY(1,COLUMNS(_xlfn.ANCHORARRAY(Q336)),-1,1,FALSE),_xlpm.array/SUM(_xlpm.array))</f>
        <v>-6.6482282404447979E-2</v>
      </c>
      <c r="AF337" s="10">
        <f ca="1"/>
        <v>-0.10571634602534519</v>
      </c>
      <c r="AG337" s="10">
        <f ca="1"/>
        <v>0.33501865332995256</v>
      </c>
      <c r="AH337" s="10">
        <f ca="1"/>
        <v>0.12867350873441388</v>
      </c>
      <c r="AI337" s="10">
        <f ca="1"/>
        <v>0.7085064663654268</v>
      </c>
      <c r="AJ337" s="1"/>
      <c r="AK337" s="2" cm="1">
        <f t="array" aca="1" ref="AK337" ca="1">MMULT(MMULT(_xlfn.ANCHORARRAY(AE337),$Q$9:$U$13),TRANSPOSE(_xlfn.ANCHORARRAY(AE337)))</f>
        <v>3.6566502742013804E-4</v>
      </c>
      <c r="AL337" s="2">
        <f t="shared" ca="1" si="15"/>
        <v>1.912236981705296E-2</v>
      </c>
      <c r="AM337" s="2" cm="1">
        <f t="array" aca="1" ref="AM337" ca="1">MMULT(_xlfn.ANCHORARRAY(AE338),TRANSPOSE($Q$3:$U$3))</f>
        <v>-1.4161495535424864E-3</v>
      </c>
    </row>
    <row r="338" spans="1:39" x14ac:dyDescent="0.35">
      <c r="A338" s="3">
        <v>44320</v>
      </c>
      <c r="B338" s="4">
        <v>36.310863494872997</v>
      </c>
      <c r="C338" s="4">
        <v>86.165603637695298</v>
      </c>
      <c r="D338" s="4">
        <v>44.651039123535099</v>
      </c>
      <c r="E338" s="4">
        <v>14.0343761444091</v>
      </c>
      <c r="F338" s="4">
        <v>237.76925659179599</v>
      </c>
      <c r="I338" s="5">
        <f>B338/B337-1</f>
        <v>1.0848058158191787E-2</v>
      </c>
      <c r="J338" s="5">
        <f>C338/C337-1</f>
        <v>5.4960909139070147E-3</v>
      </c>
      <c r="K338" s="5">
        <f>D338/D337-1</f>
        <v>-1.2886113894792217E-2</v>
      </c>
      <c r="L338" s="5">
        <f>E338/E337-1</f>
        <v>-7.7780557153187546E-3</v>
      </c>
      <c r="M338" s="5">
        <f>F338/F337-1</f>
        <v>-1.6159723305211871E-2</v>
      </c>
      <c r="N338" s="5">
        <f>SUMPRODUCT(I338:M338,$AJ$13:$AN$13)</f>
        <v>-1.9059348164044164E-2</v>
      </c>
      <c r="P338" s="2" t="s">
        <v>329</v>
      </c>
      <c r="Q338" s="10" cm="1">
        <f t="array" aca="1" ref="Q338:U338" ca="1">_xlfn.LET(_xlpm.array,_xlfn.RANDARRAY(1,COLUMNS(_xlfn.ANCHORARRAY(Q337)),0,1,FALSE),_xlpm.array/SUM(_xlpm.array))</f>
        <v>1.8287323533341539E-2</v>
      </c>
      <c r="R338" s="2">
        <f ca="1"/>
        <v>7.9029694582723367E-2</v>
      </c>
      <c r="S338" s="2">
        <f ca="1"/>
        <v>0.34538613239926996</v>
      </c>
      <c r="T338" s="2">
        <f ca="1"/>
        <v>0.34429840964474229</v>
      </c>
      <c r="U338" s="2">
        <f ca="1"/>
        <v>0.21299843983992292</v>
      </c>
      <c r="V338" s="12"/>
      <c r="X338" s="2" cm="1">
        <f t="array" aca="1" ref="X338" ca="1">MMULT(MMULT(_xlfn.ANCHORARRAY(Q338),$Q$9:$U$13),TRANSPOSE(_xlfn.ANCHORARRAY(Q338)))</f>
        <v>3.2812949108425651E-4</v>
      </c>
      <c r="Y338" s="2">
        <f t="shared" ca="1" si="14"/>
        <v>1.8114344898015399E-2</v>
      </c>
      <c r="Z338" s="2" cm="1">
        <f t="array" aca="1" ref="Z338" ca="1">MMULT(_xlfn.ANCHORARRAY(Q338),TRANSPOSE($Q$3:$U$3))</f>
        <v>1.1425662006345023E-3</v>
      </c>
      <c r="AA338" s="11">
        <f ca="1">AVEDEV(Q338*$Q$3,R338*$R$3,S338*$S$3,T338*$T$3,U338*$U$3)</f>
        <v>1.8224880714727115E-4</v>
      </c>
      <c r="AB338" s="11" cm="1">
        <f t="array" aca="1" ref="AB338" ca="1">MMULT(_xlfn.ANCHORARRAY(Q338),TRANSPOSE($Q$6:$U$6))</f>
        <v>-2.43517364289818E-2</v>
      </c>
      <c r="AD338" s="2" t="s">
        <v>329</v>
      </c>
      <c r="AE338" s="10" cm="1">
        <f t="array" aca="1" ref="AE338:AI338" ca="1">_xlfn.LET(_xlpm.array,_xlfn.RANDARRAY(1,COLUMNS(_xlfn.ANCHORARRAY(Q337)),-1,1,FALSE),_xlpm.array/SUM(_xlpm.array))</f>
        <v>1.4551161226735487</v>
      </c>
      <c r="AF338" s="10">
        <f ca="1"/>
        <v>-2.1326262761629291</v>
      </c>
      <c r="AG338" s="10">
        <f ca="1"/>
        <v>-2.9218424746614242</v>
      </c>
      <c r="AH338" s="10">
        <f ca="1"/>
        <v>2.4491900533604718</v>
      </c>
      <c r="AI338" s="10">
        <f ca="1"/>
        <v>2.150162574790333</v>
      </c>
      <c r="AJ338" s="1"/>
      <c r="AK338" s="2" cm="1">
        <f t="array" aca="1" ref="AK338" ca="1">MMULT(MMULT(_xlfn.ANCHORARRAY(AE338),$Q$9:$U$13),TRANSPOSE(_xlfn.ANCHORARRAY(AE338)))</f>
        <v>7.5565908649141535E-3</v>
      </c>
      <c r="AL338" s="2">
        <f t="shared" ca="1" si="15"/>
        <v>8.6928653877269682E-2</v>
      </c>
      <c r="AM338" s="2" cm="1">
        <f t="array" aca="1" ref="AM338" ca="1">MMULT(_xlfn.ANCHORARRAY(AE339),TRANSPOSE($Q$3:$U$3))</f>
        <v>5.8707963686431674E-3</v>
      </c>
    </row>
    <row r="339" spans="1:39" x14ac:dyDescent="0.35">
      <c r="A339" s="3">
        <v>44321</v>
      </c>
      <c r="B339" s="4">
        <v>36.656253814697202</v>
      </c>
      <c r="C339" s="4">
        <v>88.479911804199205</v>
      </c>
      <c r="D339" s="4">
        <v>45.520744323730398</v>
      </c>
      <c r="E339" s="4">
        <v>14.4263191223144</v>
      </c>
      <c r="F339" s="4">
        <v>236.50265502929599</v>
      </c>
      <c r="I339" s="5">
        <f>B339/B338-1</f>
        <v>9.5120381775821716E-3</v>
      </c>
      <c r="J339" s="5">
        <f>C339/C338-1</f>
        <v>2.6858840056816602E-2</v>
      </c>
      <c r="K339" s="5">
        <f>D339/D338-1</f>
        <v>1.9477826659063835E-2</v>
      </c>
      <c r="L339" s="5">
        <f>E339/E338-1</f>
        <v>2.7927353084478801E-2</v>
      </c>
      <c r="M339" s="5">
        <f>F339/F338-1</f>
        <v>-5.3270199043206068E-3</v>
      </c>
      <c r="N339" s="5">
        <f>SUMPRODUCT(I339:M339,$AJ$13:$AN$13)</f>
        <v>1.7780388172879642E-2</v>
      </c>
      <c r="P339" s="2" t="s">
        <v>330</v>
      </c>
      <c r="Q339" s="10" cm="1">
        <f t="array" aca="1" ref="Q339:U339" ca="1">_xlfn.LET(_xlpm.array,_xlfn.RANDARRAY(1,COLUMNS(_xlfn.ANCHORARRAY(Q338)),0,1,FALSE),_xlpm.array/SUM(_xlpm.array))</f>
        <v>0.30379476180557224</v>
      </c>
      <c r="R339" s="2">
        <f ca="1"/>
        <v>0.24868327714512992</v>
      </c>
      <c r="S339" s="2">
        <f ca="1"/>
        <v>0.14119518385684227</v>
      </c>
      <c r="T339" s="2">
        <f ca="1"/>
        <v>0.1051963230426316</v>
      </c>
      <c r="U339" s="2">
        <f ca="1"/>
        <v>0.20113045414982389</v>
      </c>
      <c r="V339" s="12"/>
      <c r="X339" s="2" cm="1">
        <f t="array" aca="1" ref="X339" ca="1">MMULT(MMULT(_xlfn.ANCHORARRAY(Q339),$Q$9:$U$13),TRANSPOSE(_xlfn.ANCHORARRAY(Q339)))</f>
        <v>2.7413135287623696E-4</v>
      </c>
      <c r="Y339" s="2">
        <f t="shared" ca="1" si="14"/>
        <v>1.6556912540574616E-2</v>
      </c>
      <c r="Z339" s="2" cm="1">
        <f t="array" aca="1" ref="Z339" ca="1">MMULT(_xlfn.ANCHORARRAY(Q339),TRANSPOSE($Q$3:$U$3))</f>
        <v>8.2660763629513001E-4</v>
      </c>
      <c r="AA339" s="11">
        <f ca="1">AVEDEV(Q339*$Q$3,R339*$R$3,S339*$S$3,T339*$T$3,U339*$U$3)</f>
        <v>3.2102509238918705E-5</v>
      </c>
      <c r="AB339" s="11" cm="1">
        <f t="array" aca="1" ref="AB339" ca="1">MMULT(_xlfn.ANCHORARRAY(Q339),TRANSPOSE($Q$6:$U$6))</f>
        <v>-2.2216350004835683E-2</v>
      </c>
      <c r="AD339" s="2" t="s">
        <v>330</v>
      </c>
      <c r="AE339" s="10" cm="1">
        <f t="array" aca="1" ref="AE339:AI339" ca="1">_xlfn.LET(_xlpm.array,_xlfn.RANDARRAY(1,COLUMNS(_xlfn.ANCHORARRAY(Q338)),-1,1,FALSE),_xlpm.array/SUM(_xlpm.array))</f>
        <v>-3.7978551179384343</v>
      </c>
      <c r="AF339" s="10">
        <f ca="1"/>
        <v>3.784239943819836</v>
      </c>
      <c r="AG339" s="10">
        <f ca="1"/>
        <v>5.7739372673325207</v>
      </c>
      <c r="AH339" s="10">
        <f ca="1"/>
        <v>-2.7195702548825742</v>
      </c>
      <c r="AI339" s="10">
        <f ca="1"/>
        <v>-2.0407518383313481</v>
      </c>
      <c r="AJ339" s="1"/>
      <c r="AK339" s="2" cm="1">
        <f t="array" aca="1" ref="AK339" ca="1">MMULT(MMULT(_xlfn.ANCHORARRAY(AE339),$Q$9:$U$13),TRANSPOSE(_xlfn.ANCHORARRAY(AE339)))</f>
        <v>2.6009187085719136E-2</v>
      </c>
      <c r="AL339" s="2">
        <f t="shared" ca="1" si="15"/>
        <v>0.16127364039333625</v>
      </c>
      <c r="AM339" s="2" cm="1">
        <f t="array" aca="1" ref="AM339" ca="1">MMULT(_xlfn.ANCHORARRAY(AE340),TRANSPOSE($Q$3:$U$3))</f>
        <v>1.8028460671611012E-3</v>
      </c>
    </row>
    <row r="340" spans="1:39" x14ac:dyDescent="0.35">
      <c r="A340" s="3">
        <v>44322</v>
      </c>
      <c r="B340" s="4">
        <v>37.205348968505803</v>
      </c>
      <c r="C340" s="4">
        <v>88.528648376464801</v>
      </c>
      <c r="D340" s="4">
        <v>46.154514312744098</v>
      </c>
      <c r="E340" s="4">
        <v>14.5088348388671</v>
      </c>
      <c r="F340" s="4">
        <v>239.63082885742099</v>
      </c>
      <c r="I340" s="5">
        <f>B340/B339-1</f>
        <v>1.4979576379636539E-2</v>
      </c>
      <c r="J340" s="5">
        <f>C340/C339-1</f>
        <v>5.5082076000978475E-4</v>
      </c>
      <c r="K340" s="5">
        <f>D340/D339-1</f>
        <v>1.3922663138074221E-2</v>
      </c>
      <c r="L340" s="5">
        <f>E340/E339-1</f>
        <v>5.7198039120780475E-3</v>
      </c>
      <c r="M340" s="5">
        <f>F340/F339-1</f>
        <v>1.3226802158891271E-2</v>
      </c>
      <c r="N340" s="5">
        <f>SUMPRODUCT(I340:M340,$AJ$13:$AN$13)</f>
        <v>9.9897855736231257E-3</v>
      </c>
      <c r="P340" s="2" t="s">
        <v>331</v>
      </c>
      <c r="Q340" s="10" cm="1">
        <f t="array" aca="1" ref="Q340:U340" ca="1">_xlfn.LET(_xlpm.array,_xlfn.RANDARRAY(1,COLUMNS(_xlfn.ANCHORARRAY(Q339)),0,1,FALSE),_xlpm.array/SUM(_xlpm.array))</f>
        <v>4.6875017740591655E-2</v>
      </c>
      <c r="R340" s="2">
        <f ca="1"/>
        <v>0.13302723079818959</v>
      </c>
      <c r="S340" s="2">
        <f ca="1"/>
        <v>0.32196094413560589</v>
      </c>
      <c r="T340" s="2">
        <f ca="1"/>
        <v>0.12464574061174365</v>
      </c>
      <c r="U340" s="2">
        <f ca="1"/>
        <v>0.37349106671386911</v>
      </c>
      <c r="V340" s="12"/>
      <c r="X340" s="2" cm="1">
        <f t="array" aca="1" ref="X340" ca="1">MMULT(MMULT(_xlfn.ANCHORARRAY(Q340),$Q$9:$U$13),TRANSPOSE(_xlfn.ANCHORARRAY(Q340)))</f>
        <v>2.9766362167833998E-4</v>
      </c>
      <c r="Y340" s="2">
        <f t="shared" ca="1" si="14"/>
        <v>1.7252930814164298E-2</v>
      </c>
      <c r="Z340" s="2" cm="1">
        <f t="array" aca="1" ref="Z340" ca="1">MMULT(_xlfn.ANCHORARRAY(Q340),TRANSPOSE($Q$3:$U$3))</f>
        <v>1.0568368443424027E-3</v>
      </c>
      <c r="AA340" s="11">
        <f ca="1">AVEDEV(Q340*$Q$3,R340*$R$3,S340*$S$3,T340*$T$3,U340*$U$3)</f>
        <v>1.5431846112131639E-4</v>
      </c>
      <c r="AB340" s="11" cm="1">
        <f t="array" aca="1" ref="AB340" ca="1">MMULT(_xlfn.ANCHORARRAY(Q340),TRANSPOSE($Q$6:$U$6))</f>
        <v>-2.3149169496853521E-2</v>
      </c>
      <c r="AD340" s="2" t="s">
        <v>331</v>
      </c>
      <c r="AE340" s="10" cm="1">
        <f t="array" aca="1" ref="AE340:AI340" ca="1">_xlfn.LET(_xlpm.array,_xlfn.RANDARRAY(1,COLUMNS(_xlfn.ANCHORARRAY(Q339)),-1,1,FALSE),_xlpm.array/SUM(_xlpm.array))</f>
        <v>-0.743937427931461</v>
      </c>
      <c r="AF340" s="10">
        <f ca="1"/>
        <v>0.82702316679054644</v>
      </c>
      <c r="AG340" s="10">
        <f ca="1"/>
        <v>0.81516094677139461</v>
      </c>
      <c r="AH340" s="10">
        <f ca="1"/>
        <v>0.68302766447292385</v>
      </c>
      <c r="AI340" s="10">
        <f ca="1"/>
        <v>-0.58127435010340378</v>
      </c>
      <c r="AJ340" s="1"/>
      <c r="AK340" s="2" cm="1">
        <f t="array" aca="1" ref="AK340" ca="1">MMULT(MMULT(_xlfn.ANCHORARRAY(AE340),$Q$9:$U$13),TRANSPOSE(_xlfn.ANCHORARRAY(AE340)))</f>
        <v>1.2826643116778025E-3</v>
      </c>
      <c r="AL340" s="2">
        <f t="shared" ca="1" si="15"/>
        <v>3.5814303171746935E-2</v>
      </c>
      <c r="AM340" s="2" cm="1">
        <f t="array" aca="1" ref="AM340" ca="1">MMULT(_xlfn.ANCHORARRAY(AE341),TRANSPOSE($Q$3:$U$3))</f>
        <v>3.8704710993267376E-4</v>
      </c>
    </row>
    <row r="341" spans="1:39" x14ac:dyDescent="0.35">
      <c r="A341" s="3">
        <v>44323</v>
      </c>
      <c r="B341" s="4">
        <v>37.355907440185497</v>
      </c>
      <c r="C341" s="4">
        <v>89.340682983398395</v>
      </c>
      <c r="D341" s="4">
        <v>46.751285552978501</v>
      </c>
      <c r="E341" s="4">
        <v>15.003924369811999</v>
      </c>
      <c r="F341" s="4">
        <v>242.25042724609301</v>
      </c>
      <c r="I341" s="5">
        <f>B341/B340-1</f>
        <v>4.0466888728054595E-3</v>
      </c>
      <c r="J341" s="5">
        <f>C341/C340-1</f>
        <v>9.1725630270604874E-3</v>
      </c>
      <c r="K341" s="5">
        <f>D341/D340-1</f>
        <v>1.2929856355776259E-2</v>
      </c>
      <c r="L341" s="5">
        <f>E341/E340-1</f>
        <v>3.4123314273219574E-2</v>
      </c>
      <c r="M341" s="5">
        <f>F341/F340-1</f>
        <v>1.0931808737475457E-2</v>
      </c>
      <c r="N341" s="5">
        <f>SUMPRODUCT(I341:M341,$AJ$13:$AN$13)</f>
        <v>2.4857423017652591E-2</v>
      </c>
      <c r="P341" s="2" t="s">
        <v>332</v>
      </c>
      <c r="Q341" s="10" cm="1">
        <f t="array" aca="1" ref="Q341:U341" ca="1">_xlfn.LET(_xlpm.array,_xlfn.RANDARRAY(1,COLUMNS(_xlfn.ANCHORARRAY(Q340)),0,1,FALSE),_xlpm.array/SUM(_xlpm.array))</f>
        <v>6.5440983754101956E-2</v>
      </c>
      <c r="R341" s="2">
        <f ca="1"/>
        <v>0.33862646506714461</v>
      </c>
      <c r="S341" s="2">
        <f ca="1"/>
        <v>0.23333564442568117</v>
      </c>
      <c r="T341" s="2">
        <f ca="1"/>
        <v>0.32630199187758635</v>
      </c>
      <c r="U341" s="2">
        <f ca="1"/>
        <v>3.6294914875486015E-2</v>
      </c>
      <c r="V341" s="12"/>
      <c r="X341" s="2" cm="1">
        <f t="array" aca="1" ref="X341" ca="1">MMULT(MMULT(_xlfn.ANCHORARRAY(Q341),$Q$9:$U$13),TRANSPOSE(_xlfn.ANCHORARRAY(Q341)))</f>
        <v>3.4382563501943604E-4</v>
      </c>
      <c r="Y341" s="2">
        <f t="shared" ca="1" si="14"/>
        <v>1.854253583033982E-2</v>
      </c>
      <c r="Z341" s="2" cm="1">
        <f t="array" aca="1" ref="Z341" ca="1">MMULT(_xlfn.ANCHORARRAY(Q341),TRANSPOSE($Q$3:$U$3))</f>
        <v>1.0205916769231019E-3</v>
      </c>
      <c r="AA341" s="11">
        <f ca="1">AVEDEV(Q341*$Q$3,R341*$R$3,S341*$S$3,T341*$T$3,U341*$U$3)</f>
        <v>1.3888649285912955E-4</v>
      </c>
      <c r="AB341" s="11" cm="1">
        <f t="array" aca="1" ref="AB341" ca="1">MMULT(_xlfn.ANCHORARRAY(Q341),TRANSPOSE($Q$6:$U$6))</f>
        <v>-2.3666007210155351E-2</v>
      </c>
      <c r="AD341" s="2" t="s">
        <v>332</v>
      </c>
      <c r="AE341" s="10" cm="1">
        <f t="array" aca="1" ref="AE341:AI341" ca="1">_xlfn.LET(_xlpm.array,_xlfn.RANDARRAY(1,COLUMNS(_xlfn.ANCHORARRAY(Q340)),-1,1,FALSE),_xlpm.array/SUM(_xlpm.array))</f>
        <v>0.20378859280362197</v>
      </c>
      <c r="AF341" s="10">
        <f ca="1"/>
        <v>0.45543372282192124</v>
      </c>
      <c r="AG341" s="10">
        <f ca="1"/>
        <v>-0.38449399390880623</v>
      </c>
      <c r="AH341" s="10">
        <f ca="1"/>
        <v>8.018499596527251E-2</v>
      </c>
      <c r="AI341" s="10">
        <f ca="1"/>
        <v>0.64508668231799049</v>
      </c>
      <c r="AJ341" s="1"/>
      <c r="AK341" s="2" cm="1">
        <f t="array" aca="1" ref="AK341" ca="1">MMULT(MMULT(_xlfn.ANCHORARRAY(AE341),$Q$9:$U$13),TRANSPOSE(_xlfn.ANCHORARRAY(AE341)))</f>
        <v>3.6249123022365475E-4</v>
      </c>
      <c r="AL341" s="2">
        <f t="shared" ca="1" si="15"/>
        <v>1.9039202457657063E-2</v>
      </c>
      <c r="AM341" s="2" cm="1">
        <f t="array" aca="1" ref="AM341" ca="1">MMULT(_xlfn.ANCHORARRAY(AE342),TRANSPOSE($Q$3:$U$3))</f>
        <v>1.4974462657834392E-4</v>
      </c>
    </row>
    <row r="342" spans="1:39" x14ac:dyDescent="0.35">
      <c r="A342" s="3">
        <v>44326</v>
      </c>
      <c r="B342" s="4">
        <v>37.240772247314403</v>
      </c>
      <c r="C342" s="4">
        <v>88.975280761718693</v>
      </c>
      <c r="D342" s="4">
        <v>46.112888336181598</v>
      </c>
      <c r="E342" s="4">
        <v>14.838889122009199</v>
      </c>
      <c r="F342" s="4">
        <v>237.18392944335901</v>
      </c>
      <c r="I342" s="5">
        <f>B342/B341-1</f>
        <v>-3.0821147379553882E-3</v>
      </c>
      <c r="J342" s="5">
        <f>C342/C341-1</f>
        <v>-4.0899868847835696E-3</v>
      </c>
      <c r="K342" s="5">
        <f>D342/D341-1</f>
        <v>-1.3655179943094287E-2</v>
      </c>
      <c r="L342" s="5">
        <f>E342/E341-1</f>
        <v>-1.0999472120430842E-2</v>
      </c>
      <c r="M342" s="5">
        <f>F342/F341-1</f>
        <v>-2.0914298729335701E-2</v>
      </c>
      <c r="N342" s="5">
        <f>SUMPRODUCT(I342:M342,$AJ$13:$AN$13)</f>
        <v>-1.8210406091913822E-2</v>
      </c>
      <c r="P342" s="2" t="s">
        <v>333</v>
      </c>
      <c r="Q342" s="10" cm="1">
        <f t="array" aca="1" ref="Q342:U342" ca="1">_xlfn.LET(_xlpm.array,_xlfn.RANDARRAY(1,COLUMNS(_xlfn.ANCHORARRAY(Q341)),0,1,FALSE),_xlpm.array/SUM(_xlpm.array))</f>
        <v>0.1043331444081692</v>
      </c>
      <c r="R342" s="2">
        <f ca="1"/>
        <v>0.13692905196370489</v>
      </c>
      <c r="S342" s="2">
        <f ca="1"/>
        <v>0.2114255984892599</v>
      </c>
      <c r="T342" s="2">
        <f ca="1"/>
        <v>0.14151046688385321</v>
      </c>
      <c r="U342" s="2">
        <f ca="1"/>
        <v>0.40580173825501281</v>
      </c>
      <c r="V342" s="12"/>
      <c r="X342" s="2" cm="1">
        <f t="array" aca="1" ref="X342" ca="1">MMULT(MMULT(_xlfn.ANCHORARRAY(Q342),$Q$9:$U$13),TRANSPOSE(_xlfn.ANCHORARRAY(Q342)))</f>
        <v>2.6310716750930168E-4</v>
      </c>
      <c r="Y342" s="2">
        <f t="shared" ca="1" si="14"/>
        <v>1.6220578519562788E-2</v>
      </c>
      <c r="Z342" s="2" cm="1">
        <f t="array" aca="1" ref="Z342" ca="1">MMULT(_xlfn.ANCHORARRAY(Q342),TRANSPOSE($Q$3:$U$3))</f>
        <v>9.5132173066764703E-4</v>
      </c>
      <c r="AA342" s="11">
        <f ca="1">AVEDEV(Q342*$Q$3,R342*$R$3,S342*$S$3,T342*$T$3,U342*$U$3)</f>
        <v>1.0928226078730831E-4</v>
      </c>
      <c r="AB342" s="11" cm="1">
        <f t="array" aca="1" ref="AB342" ca="1">MMULT(_xlfn.ANCHORARRAY(Q342),TRANSPOSE($Q$6:$U$6))</f>
        <v>-2.2544757920148893E-2</v>
      </c>
      <c r="AD342" s="2" t="s">
        <v>333</v>
      </c>
      <c r="AE342" s="10" cm="1">
        <f t="array" aca="1" ref="AE342:AI342" ca="1">_xlfn.LET(_xlpm.array,_xlfn.RANDARRAY(1,COLUMNS(_xlfn.ANCHORARRAY(Q341)),-1,1,FALSE),_xlpm.array/SUM(_xlpm.array))</f>
        <v>0.55293744226968122</v>
      </c>
      <c r="AF342" s="10">
        <f ca="1"/>
        <v>0.27720961204464056</v>
      </c>
      <c r="AG342" s="10">
        <f ca="1"/>
        <v>-0.72266824646133976</v>
      </c>
      <c r="AH342" s="10">
        <f ca="1"/>
        <v>0.61244152555317155</v>
      </c>
      <c r="AI342" s="10">
        <f ca="1"/>
        <v>0.28007966659384637</v>
      </c>
      <c r="AJ342" s="1"/>
      <c r="AK342" s="2" cm="1">
        <f t="array" aca="1" ref="AK342" ca="1">MMULT(MMULT(_xlfn.ANCHORARRAY(AE342),$Q$9:$U$13),TRANSPOSE(_xlfn.ANCHORARRAY(AE342)))</f>
        <v>8.0339089212537473E-4</v>
      </c>
      <c r="AL342" s="2">
        <f t="shared" ca="1" si="15"/>
        <v>2.8344150933223854E-2</v>
      </c>
      <c r="AM342" s="2" cm="1">
        <f t="array" aca="1" ref="AM342" ca="1">MMULT(_xlfn.ANCHORARRAY(AE343),TRANSPOSE($Q$3:$U$3))</f>
        <v>-9.117605391788118E-4</v>
      </c>
    </row>
    <row r="343" spans="1:39" x14ac:dyDescent="0.35">
      <c r="A343" s="3">
        <v>44327</v>
      </c>
      <c r="B343" s="4">
        <v>36.815666198730398</v>
      </c>
      <c r="C343" s="4">
        <v>86.644714355468693</v>
      </c>
      <c r="D343" s="4">
        <v>45.25244140625</v>
      </c>
      <c r="E343" s="4">
        <v>14.7013692855834</v>
      </c>
      <c r="F343" s="4">
        <v>236.27233886718699</v>
      </c>
      <c r="I343" s="5">
        <f>B343/B342-1</f>
        <v>-1.1415070712306741E-2</v>
      </c>
      <c r="J343" s="5">
        <f>C343/C342-1</f>
        <v>-2.6193414466332499E-2</v>
      </c>
      <c r="K343" s="5">
        <f>D343/D342-1</f>
        <v>-1.8659575684320417E-2</v>
      </c>
      <c r="L343" s="5">
        <f>E343/E342-1</f>
        <v>-9.2675290781590869E-3</v>
      </c>
      <c r="M343" s="5">
        <f>F343/F342-1</f>
        <v>-3.8433909848419878E-3</v>
      </c>
      <c r="N343" s="5">
        <f>SUMPRODUCT(I343:M343,$AJ$13:$AN$13)</f>
        <v>-1.1170180397601578E-2</v>
      </c>
      <c r="P343" s="2" t="s">
        <v>334</v>
      </c>
      <c r="Q343" s="10" cm="1">
        <f t="array" aca="1" ref="Q343:U343" ca="1">_xlfn.LET(_xlpm.array,_xlfn.RANDARRAY(1,COLUMNS(_xlfn.ANCHORARRAY(Q342)),0,1,FALSE),_xlpm.array/SUM(_xlpm.array))</f>
        <v>5.6270168448581577E-2</v>
      </c>
      <c r="R343" s="2">
        <f ca="1"/>
        <v>0.11649669744697039</v>
      </c>
      <c r="S343" s="2">
        <f ca="1"/>
        <v>0.16398577442550133</v>
      </c>
      <c r="T343" s="2">
        <f ca="1"/>
        <v>0.28786132463264846</v>
      </c>
      <c r="U343" s="2">
        <f ca="1"/>
        <v>0.37538603504629825</v>
      </c>
      <c r="V343" s="12"/>
      <c r="X343" s="2" cm="1">
        <f t="array" aca="1" ref="X343" ca="1">MMULT(MMULT(_xlfn.ANCHORARRAY(Q343),$Q$9:$U$13),TRANSPOSE(_xlfn.ANCHORARRAY(Q343)))</f>
        <v>2.6256996989147875E-4</v>
      </c>
      <c r="Y343" s="2">
        <f t="shared" ca="1" si="14"/>
        <v>1.6204010919876558E-2</v>
      </c>
      <c r="Z343" s="2" cm="1">
        <f t="array" aca="1" ref="Z343" ca="1">MMULT(_xlfn.ANCHORARRAY(Q343),TRANSPOSE($Q$3:$U$3))</f>
        <v>9.6118206550194576E-4</v>
      </c>
      <c r="AA343" s="11">
        <f ca="1">AVEDEV(Q343*$Q$3,R343*$R$3,S343*$S$3,T343*$T$3,U343*$U$3)</f>
        <v>1.0832131466914085E-4</v>
      </c>
      <c r="AB343" s="11" cm="1">
        <f t="array" aca="1" ref="AB343" ca="1">MMULT(_xlfn.ANCHORARRAY(Q343),TRANSPOSE($Q$6:$U$6))</f>
        <v>-2.2867689558274971E-2</v>
      </c>
      <c r="AD343" s="2" t="s">
        <v>334</v>
      </c>
      <c r="AE343" s="10" cm="1">
        <f t="array" aca="1" ref="AE343:AI343" ca="1">_xlfn.LET(_xlpm.array,_xlfn.RANDARRAY(1,COLUMNS(_xlfn.ANCHORARRAY(Q342)),-1,1,FALSE),_xlpm.array/SUM(_xlpm.array))</f>
        <v>1.3997404401488145</v>
      </c>
      <c r="AF343" s="10">
        <f ca="1"/>
        <v>2.0127916265677199</v>
      </c>
      <c r="AG343" s="10">
        <f ca="1"/>
        <v>-2.1186221761318165</v>
      </c>
      <c r="AH343" s="10">
        <f ca="1"/>
        <v>2.2294842186901023</v>
      </c>
      <c r="AI343" s="10">
        <f ca="1"/>
        <v>-2.52339410927482</v>
      </c>
      <c r="AJ343" s="1"/>
      <c r="AK343" s="2" cm="1">
        <f t="array" aca="1" ref="AK343" ca="1">MMULT(MMULT(_xlfn.ANCHORARRAY(AE343),$Q$9:$U$13),TRANSPOSE(_xlfn.ANCHORARRAY(AE343)))</f>
        <v>1.1854359279225138E-2</v>
      </c>
      <c r="AL343" s="2">
        <f t="shared" ca="1" si="15"/>
        <v>0.10887772627688887</v>
      </c>
      <c r="AM343" s="2" cm="1">
        <f t="array" aca="1" ref="AM343" ca="1">MMULT(_xlfn.ANCHORARRAY(AE344),TRANSPOSE($Q$3:$U$3))</f>
        <v>2.2008884561642069E-3</v>
      </c>
    </row>
    <row r="344" spans="1:39" x14ac:dyDescent="0.35">
      <c r="A344" s="3">
        <v>44328</v>
      </c>
      <c r="B344" s="4">
        <v>36.4702758789062</v>
      </c>
      <c r="C344" s="4">
        <v>87.188789367675696</v>
      </c>
      <c r="D344" s="4">
        <v>43.526901245117102</v>
      </c>
      <c r="E344" s="4">
        <v>14.591346740722599</v>
      </c>
      <c r="F344" s="4">
        <v>229.33474731445301</v>
      </c>
      <c r="I344" s="5">
        <f>B344/B343-1</f>
        <v>-9.3816126526078403E-3</v>
      </c>
      <c r="J344" s="5">
        <f>C344/C343-1</f>
        <v>6.2793791433701784E-3</v>
      </c>
      <c r="K344" s="5">
        <f>D344/D343-1</f>
        <v>-3.8131426891247822E-2</v>
      </c>
      <c r="L344" s="5">
        <f>E344/E343-1</f>
        <v>-7.4838297524225661E-3</v>
      </c>
      <c r="M344" s="5">
        <f>F344/F343-1</f>
        <v>-2.9362690469804553E-2</v>
      </c>
      <c r="N344" s="5">
        <f>SUMPRODUCT(I344:M344,$AJ$13:$AN$13)</f>
        <v>-3.065178140527855E-2</v>
      </c>
      <c r="P344" s="2" t="s">
        <v>335</v>
      </c>
      <c r="Q344" s="10" cm="1">
        <f t="array" aca="1" ref="Q344:U344" ca="1">_xlfn.LET(_xlpm.array,_xlfn.RANDARRAY(1,COLUMNS(_xlfn.ANCHORARRAY(Q343)),0,1,FALSE),_xlpm.array/SUM(_xlpm.array))</f>
        <v>9.6798628629867725E-2</v>
      </c>
      <c r="R344" s="2">
        <f ca="1"/>
        <v>0.24991618001580224</v>
      </c>
      <c r="S344" s="2">
        <f ca="1"/>
        <v>5.4875819909595974E-2</v>
      </c>
      <c r="T344" s="2">
        <f ca="1"/>
        <v>0.29145214774543771</v>
      </c>
      <c r="U344" s="2">
        <f ca="1"/>
        <v>0.30695722369929623</v>
      </c>
      <c r="V344" s="12"/>
      <c r="X344" s="2" cm="1">
        <f t="array" aca="1" ref="X344" ca="1">MMULT(MMULT(_xlfn.ANCHORARRAY(Q344),$Q$9:$U$13),TRANSPOSE(_xlfn.ANCHORARRAY(Q344)))</f>
        <v>2.6559378620185921E-4</v>
      </c>
      <c r="Y344" s="2">
        <f t="shared" ca="1" si="14"/>
        <v>1.6297048389259303E-2</v>
      </c>
      <c r="Z344" s="2" cm="1">
        <f t="array" aca="1" ref="Z344" ca="1">MMULT(_xlfn.ANCHORARRAY(Q344),TRANSPOSE($Q$3:$U$3))</f>
        <v>8.5334437767894597E-4</v>
      </c>
      <c r="AA344" s="11">
        <f ca="1">AVEDEV(Q344*$Q$3,R344*$R$3,S344*$S$3,T344*$T$3,U344*$U$3)</f>
        <v>8.1208734948726456E-5</v>
      </c>
      <c r="AB344" s="11" cm="1">
        <f t="array" aca="1" ref="AB344" ca="1">MMULT(_xlfn.ANCHORARRAY(Q344),TRANSPOSE($Q$6:$U$6))</f>
        <v>-2.2242233912147552E-2</v>
      </c>
      <c r="AD344" s="2" t="s">
        <v>335</v>
      </c>
      <c r="AE344" s="10" cm="1">
        <f t="array" aca="1" ref="AE344:AI344" ca="1">_xlfn.LET(_xlpm.array,_xlfn.RANDARRAY(1,COLUMNS(_xlfn.ANCHORARRAY(Q343)),-1,1,FALSE),_xlpm.array/SUM(_xlpm.array))</f>
        <v>-0.81075512689966189</v>
      </c>
      <c r="AF344" s="10">
        <f ca="1"/>
        <v>-0.36954812151511696</v>
      </c>
      <c r="AG344" s="10">
        <f ca="1"/>
        <v>1.4275226258243361</v>
      </c>
      <c r="AH344" s="10">
        <f ca="1"/>
        <v>-4.3833387282817153E-2</v>
      </c>
      <c r="AI344" s="10">
        <f ca="1"/>
        <v>0.79661400987325981</v>
      </c>
      <c r="AJ344" s="1"/>
      <c r="AK344" s="2" cm="1">
        <f t="array" aca="1" ref="AK344" ca="1">MMULT(MMULT(_xlfn.ANCHORARRAY(AE344),$Q$9:$U$13),TRANSPOSE(_xlfn.ANCHORARRAY(AE344)))</f>
        <v>1.9773612600555842E-3</v>
      </c>
      <c r="AL344" s="2">
        <f t="shared" ca="1" si="15"/>
        <v>4.4467530402031372E-2</v>
      </c>
      <c r="AM344" s="2" cm="1">
        <f t="array" aca="1" ref="AM344" ca="1">MMULT(_xlfn.ANCHORARRAY(AE345),TRANSPOSE($Q$3:$U$3))</f>
        <v>1.4076769790408749E-3</v>
      </c>
    </row>
    <row r="345" spans="1:39" x14ac:dyDescent="0.35">
      <c r="A345" s="3">
        <v>44329</v>
      </c>
      <c r="B345" s="4">
        <v>37.054786682128899</v>
      </c>
      <c r="C345" s="4">
        <v>86.628463745117102</v>
      </c>
      <c r="D345" s="4">
        <v>44.595523834228501</v>
      </c>
      <c r="E345" s="4">
        <v>14.4599599838256</v>
      </c>
      <c r="F345" s="4">
        <v>233.20176696777301</v>
      </c>
      <c r="I345" s="5">
        <f>B345/B344-1</f>
        <v>1.602704638603436E-2</v>
      </c>
      <c r="J345" s="5">
        <f>C345/C344-1</f>
        <v>-6.4265787680076736E-3</v>
      </c>
      <c r="K345" s="5">
        <f>D345/D344-1</f>
        <v>2.4550853806329265E-2</v>
      </c>
      <c r="L345" s="5">
        <f>E345/E344-1</f>
        <v>-9.0044297645477389E-3</v>
      </c>
      <c r="M345" s="5">
        <f>F345/F344-1</f>
        <v>1.6861900338275948E-2</v>
      </c>
      <c r="N345" s="5">
        <f>SUMPRODUCT(I345:M345,$AJ$13:$AN$13)</f>
        <v>9.7835389218422913E-3</v>
      </c>
      <c r="P345" s="2" t="s">
        <v>336</v>
      </c>
      <c r="Q345" s="10" cm="1">
        <f t="array" aca="1" ref="Q345:U345" ca="1">_xlfn.LET(_xlpm.array,_xlfn.RANDARRAY(1,COLUMNS(_xlfn.ANCHORARRAY(Q344)),0,1,FALSE),_xlpm.array/SUM(_xlpm.array))</f>
        <v>0.16668397915282054</v>
      </c>
      <c r="R345" s="2">
        <f ca="1"/>
        <v>0.16068428429138518</v>
      </c>
      <c r="S345" s="2">
        <f ca="1"/>
        <v>0.2907137131023223</v>
      </c>
      <c r="T345" s="2">
        <f ca="1"/>
        <v>0.19983679641608237</v>
      </c>
      <c r="U345" s="2">
        <f ca="1"/>
        <v>0.18208122703738946</v>
      </c>
      <c r="V345" s="12"/>
      <c r="X345" s="2" cm="1">
        <f t="array" aca="1" ref="X345" ca="1">MMULT(MMULT(_xlfn.ANCHORARRAY(Q345),$Q$9:$U$13),TRANSPOSE(_xlfn.ANCHORARRAY(Q345)))</f>
        <v>2.9913622328288066E-4</v>
      </c>
      <c r="Y345" s="2">
        <f t="shared" ca="1" si="14"/>
        <v>1.7295555015173138E-2</v>
      </c>
      <c r="Z345" s="2" cm="1">
        <f t="array" aca="1" ref="Z345" ca="1">MMULT(_xlfn.ANCHORARRAY(Q345),TRANSPOSE($Q$3:$U$3))</f>
        <v>1.0175959561924063E-3</v>
      </c>
      <c r="AA345" s="11">
        <f ca="1">AVEDEV(Q345*$Q$3,R345*$R$3,S345*$S$3,T345*$T$3,U345*$U$3)</f>
        <v>1.0769504247177335E-4</v>
      </c>
      <c r="AB345" s="11" cm="1">
        <f t="array" aca="1" ref="AB345" ca="1">MMULT(_xlfn.ANCHORARRAY(Q345),TRANSPOSE($Q$6:$U$6))</f>
        <v>-2.3498488062214867E-2</v>
      </c>
      <c r="AD345" s="2" t="s">
        <v>336</v>
      </c>
      <c r="AE345" s="10" cm="1">
        <f t="array" aca="1" ref="AE345:AI345" ca="1">_xlfn.LET(_xlpm.array,_xlfn.RANDARRAY(1,COLUMNS(_xlfn.ANCHORARRAY(Q344)),-1,1,FALSE),_xlpm.array/SUM(_xlpm.array))</f>
        <v>-0.28172187121095449</v>
      </c>
      <c r="AF345" s="10">
        <f ca="1"/>
        <v>8.7954614892825952E-2</v>
      </c>
      <c r="AG345" s="10">
        <f ca="1"/>
        <v>0.58516860383913316</v>
      </c>
      <c r="AH345" s="10">
        <f ca="1"/>
        <v>0.27585678331544106</v>
      </c>
      <c r="AI345" s="10">
        <f ca="1"/>
        <v>0.33274186916355436</v>
      </c>
      <c r="AJ345" s="1"/>
      <c r="AK345" s="2" cm="1">
        <f t="array" aca="1" ref="AK345" ca="1">MMULT(MMULT(_xlfn.ANCHORARRAY(AE345),$Q$9:$U$13),TRANSPOSE(_xlfn.ANCHORARRAY(AE345)))</f>
        <v>4.7581151083770279E-4</v>
      </c>
      <c r="AL345" s="2">
        <f t="shared" ca="1" si="15"/>
        <v>2.1813104108258017E-2</v>
      </c>
      <c r="AM345" s="2" cm="1">
        <f t="array" aca="1" ref="AM345" ca="1">MMULT(_xlfn.ANCHORARRAY(AE346),TRANSPOSE($Q$3:$U$3))</f>
        <v>1.0764227570413754E-3</v>
      </c>
    </row>
    <row r="346" spans="1:39" x14ac:dyDescent="0.35">
      <c r="A346" s="3">
        <v>44330</v>
      </c>
      <c r="B346" s="4">
        <v>37.5153198242187</v>
      </c>
      <c r="C346" s="4">
        <v>88.894073486328097</v>
      </c>
      <c r="D346" s="4">
        <v>45.534622192382798</v>
      </c>
      <c r="E346" s="4">
        <v>15.027015686035099</v>
      </c>
      <c r="F346" s="4">
        <v>238.11473083496</v>
      </c>
      <c r="I346" s="5">
        <f>B346/B345-1</f>
        <v>1.2428438626308713E-2</v>
      </c>
      <c r="J346" s="5">
        <f>C346/C345-1</f>
        <v>2.615317925845928E-2</v>
      </c>
      <c r="K346" s="5">
        <f>D346/D345-1</f>
        <v>2.1058130444775891E-2</v>
      </c>
      <c r="L346" s="5">
        <f>E346/E345-1</f>
        <v>3.9215578939622686E-2</v>
      </c>
      <c r="M346" s="5">
        <f>F346/F345-1</f>
        <v>2.1067438429254848E-2</v>
      </c>
      <c r="N346" s="5">
        <f>SUMPRODUCT(I346:M346,$AJ$13:$AN$13)</f>
        <v>3.1874324587743717E-2</v>
      </c>
      <c r="P346" s="2" t="s">
        <v>337</v>
      </c>
      <c r="Q346" s="10" cm="1">
        <f t="array" aca="1" ref="Q346:U346" ca="1">_xlfn.LET(_xlpm.array,_xlfn.RANDARRAY(1,COLUMNS(_xlfn.ANCHORARRAY(Q345)),0,1,FALSE),_xlpm.array/SUM(_xlpm.array))</f>
        <v>0.13077010143615597</v>
      </c>
      <c r="R346" s="2">
        <f ca="1"/>
        <v>0.17627101525796843</v>
      </c>
      <c r="S346" s="2">
        <f ca="1"/>
        <v>0.35173371117823476</v>
      </c>
      <c r="T346" s="2">
        <f ca="1"/>
        <v>0.16390612187575998</v>
      </c>
      <c r="U346" s="2">
        <f ca="1"/>
        <v>0.17731905025188088</v>
      </c>
      <c r="V346" s="12"/>
      <c r="X346" s="2" cm="1">
        <f t="array" aca="1" ref="X346" ca="1">MMULT(MMULT(_xlfn.ANCHORARRAY(Q346),$Q$9:$U$13),TRANSPOSE(_xlfn.ANCHORARRAY(Q346)))</f>
        <v>3.1805505448258454E-4</v>
      </c>
      <c r="Y346" s="2">
        <f t="shared" ref="Y346:Y409" ca="1" si="16">SQRT(X346)</f>
        <v>1.7834098084360324E-2</v>
      </c>
      <c r="Z346" s="2" cm="1">
        <f t="array" aca="1" ref="Z346" ca="1">MMULT(_xlfn.ANCHORARRAY(Q346),TRANSPOSE($Q$3:$U$3))</f>
        <v>1.0694716646874715E-3</v>
      </c>
      <c r="AA346" s="11">
        <f ca="1">AVEDEV(Q346*$Q$3,R346*$R$3,S346*$S$3,T346*$T$3,U346*$U$3)</f>
        <v>1.4292859438667517E-4</v>
      </c>
      <c r="AB346" s="11" cm="1">
        <f t="array" aca="1" ref="AB346" ca="1">MMULT(_xlfn.ANCHORARRAY(Q346),TRANSPOSE($Q$6:$U$6))</f>
        <v>-2.3700264670234419E-2</v>
      </c>
      <c r="AD346" s="2" t="s">
        <v>337</v>
      </c>
      <c r="AE346" s="10" cm="1">
        <f t="array" aca="1" ref="AE346:AI346" ca="1">_xlfn.LET(_xlpm.array,_xlfn.RANDARRAY(1,COLUMNS(_xlfn.ANCHORARRAY(Q345)),-1,1,FALSE),_xlpm.array/SUM(_xlpm.array))</f>
        <v>0.35825775815258359</v>
      </c>
      <c r="AF346" s="10">
        <f ca="1"/>
        <v>-7.8495941981406483E-2</v>
      </c>
      <c r="AG346" s="10">
        <f ca="1"/>
        <v>0.5661555255665367</v>
      </c>
      <c r="AH346" s="10">
        <f ca="1"/>
        <v>-0.33348737821712299</v>
      </c>
      <c r="AI346" s="10">
        <f ca="1"/>
        <v>0.48757003647940922</v>
      </c>
      <c r="AJ346" s="1"/>
      <c r="AK346" s="2" cm="1">
        <f t="array" aca="1" ref="AK346" ca="1">MMULT(MMULT(_xlfn.ANCHORARRAY(AE346),$Q$9:$U$13),TRANSPOSE(_xlfn.ANCHORARRAY(AE346)))</f>
        <v>5.7828024818445218E-4</v>
      </c>
      <c r="AL346" s="2">
        <f t="shared" ref="AL346:AL409" ca="1" si="17">SQRT(AK346)</f>
        <v>2.4047458247899136E-2</v>
      </c>
      <c r="AM346" s="2" cm="1">
        <f t="array" aca="1" ref="AM346" ca="1">MMULT(_xlfn.ANCHORARRAY(AE347),TRANSPOSE($Q$3:$U$3))</f>
        <v>-5.1334197045585874E-4</v>
      </c>
    </row>
    <row r="347" spans="1:39" x14ac:dyDescent="0.35">
      <c r="A347" s="3">
        <v>44333</v>
      </c>
      <c r="B347" s="4">
        <v>37.851856231689403</v>
      </c>
      <c r="C347" s="4">
        <v>89.982177734375</v>
      </c>
      <c r="D347" s="4">
        <v>45.516124725341797</v>
      </c>
      <c r="E347" s="4">
        <v>15.1998977661132</v>
      </c>
      <c r="F347" s="4">
        <v>235.26481628417901</v>
      </c>
      <c r="I347" s="5">
        <f>B347/B346-1</f>
        <v>8.9706394360375974E-3</v>
      </c>
      <c r="J347" s="5">
        <f>C347/C346-1</f>
        <v>1.2240458844697377E-2</v>
      </c>
      <c r="K347" s="5">
        <f>D347/D346-1</f>
        <v>-4.0622862671069182E-4</v>
      </c>
      <c r="L347" s="5">
        <f>E347/E346-1</f>
        <v>1.1504751421718584E-2</v>
      </c>
      <c r="M347" s="5">
        <f>F347/F346-1</f>
        <v>-1.1968661244886603E-2</v>
      </c>
      <c r="N347" s="5">
        <f>SUMPRODUCT(I347:M347,$AJ$13:$AN$13)</f>
        <v>-1.8293723235083335E-3</v>
      </c>
      <c r="P347" s="2" t="s">
        <v>338</v>
      </c>
      <c r="Q347" s="10" cm="1">
        <f t="array" aca="1" ref="Q347:U347" ca="1">_xlfn.LET(_xlpm.array,_xlfn.RANDARRAY(1,COLUMNS(_xlfn.ANCHORARRAY(Q346)),0,1,FALSE),_xlpm.array/SUM(_xlpm.array))</f>
        <v>0.10335833527391178</v>
      </c>
      <c r="R347" s="2">
        <f ca="1"/>
        <v>0.22628958607583485</v>
      </c>
      <c r="S347" s="2">
        <f ca="1"/>
        <v>0.14158898270115655</v>
      </c>
      <c r="T347" s="2">
        <f ca="1"/>
        <v>0.28457428544590929</v>
      </c>
      <c r="U347" s="2">
        <f ca="1"/>
        <v>0.24418881050318741</v>
      </c>
      <c r="V347" s="12"/>
      <c r="X347" s="2" cm="1">
        <f t="array" aca="1" ref="X347" ca="1">MMULT(MMULT(_xlfn.ANCHORARRAY(Q347),$Q$9:$U$13),TRANSPOSE(_xlfn.ANCHORARRAY(Q347)))</f>
        <v>2.741334346768701E-4</v>
      </c>
      <c r="Y347" s="2">
        <f t="shared" ca="1" si="16"/>
        <v>1.655697540847573E-2</v>
      </c>
      <c r="Z347" s="2" cm="1">
        <f t="array" aca="1" ref="Z347" ca="1">MMULT(_xlfn.ANCHORARRAY(Q347),TRANSPOSE($Q$3:$U$3))</f>
        <v>9.2521230348678607E-4</v>
      </c>
      <c r="AA347" s="11">
        <f ca="1">AVEDEV(Q347*$Q$3,R347*$R$3,S347*$S$3,T347*$T$3,U347*$U$3)</f>
        <v>6.092317727341553E-5</v>
      </c>
      <c r="AB347" s="11" cm="1">
        <f t="array" aca="1" ref="AB347" ca="1">MMULT(_xlfn.ANCHORARRAY(Q347),TRANSPOSE($Q$6:$U$6))</f>
        <v>-2.2815087048790213E-2</v>
      </c>
      <c r="AD347" s="2" t="s">
        <v>338</v>
      </c>
      <c r="AE347" s="10" cm="1">
        <f t="array" aca="1" ref="AE347:AI347" ca="1">_xlfn.LET(_xlpm.array,_xlfn.RANDARRAY(1,COLUMNS(_xlfn.ANCHORARRAY(Q346)),-1,1,FALSE),_xlpm.array/SUM(_xlpm.array))</f>
        <v>1.0070727447570806</v>
      </c>
      <c r="AF347" s="10">
        <f ca="1"/>
        <v>0.37780112001693333</v>
      </c>
      <c r="AG347" s="10">
        <f ca="1"/>
        <v>-0.90676104745632535</v>
      </c>
      <c r="AH347" s="10">
        <f ca="1"/>
        <v>-0.88663293551132383</v>
      </c>
      <c r="AI347" s="10">
        <f ca="1"/>
        <v>1.4085201181936353</v>
      </c>
      <c r="AJ347" s="1"/>
      <c r="AK347" s="2" cm="1">
        <f t="array" aca="1" ref="AK347" ca="1">MMULT(MMULT(_xlfn.ANCHORARRAY(AE347),$Q$9:$U$13),TRANSPOSE(_xlfn.ANCHORARRAY(AE347)))</f>
        <v>1.416302170885311E-3</v>
      </c>
      <c r="AL347" s="2">
        <f t="shared" ca="1" si="17"/>
        <v>3.763379028061499E-2</v>
      </c>
      <c r="AM347" s="2" cm="1">
        <f t="array" aca="1" ref="AM347" ca="1">MMULT(_xlfn.ANCHORARRAY(AE348),TRANSPOSE($Q$3:$U$3))</f>
        <v>1.2276532728229166E-3</v>
      </c>
    </row>
    <row r="348" spans="1:39" x14ac:dyDescent="0.35">
      <c r="A348" s="3">
        <v>44334</v>
      </c>
      <c r="B348" s="4">
        <v>37.338199615478501</v>
      </c>
      <c r="C348" s="4">
        <v>87.277870178222599</v>
      </c>
      <c r="D348" s="4">
        <v>45.405097961425703</v>
      </c>
      <c r="E348" s="4">
        <v>15.151492118835399</v>
      </c>
      <c r="F348" s="4">
        <v>233.249755859375</v>
      </c>
      <c r="I348" s="5">
        <f>B348/B347-1</f>
        <v>-1.3570183006794578E-2</v>
      </c>
      <c r="J348" s="5">
        <f>C348/C347-1</f>
        <v>-3.0053813146592723E-2</v>
      </c>
      <c r="K348" s="5">
        <f>D348/D347-1</f>
        <v>-2.4392842006225601E-3</v>
      </c>
      <c r="L348" s="5">
        <f>E348/E347-1</f>
        <v>-3.1846034771179088E-3</v>
      </c>
      <c r="M348" s="5">
        <f>F348/F347-1</f>
        <v>-8.5650734207957102E-3</v>
      </c>
      <c r="N348" s="5">
        <f>SUMPRODUCT(I348:M348,$AJ$13:$AN$13)</f>
        <v>-7.099308776033369E-4</v>
      </c>
      <c r="P348" s="2" t="s">
        <v>339</v>
      </c>
      <c r="Q348" s="10" cm="1">
        <f t="array" aca="1" ref="Q348:U348" ca="1">_xlfn.LET(_xlpm.array,_xlfn.RANDARRAY(1,COLUMNS(_xlfn.ANCHORARRAY(Q347)),0,1,FALSE),_xlpm.array/SUM(_xlpm.array))</f>
        <v>0.16212359145867217</v>
      </c>
      <c r="R348" s="2">
        <f ca="1"/>
        <v>7.2646489900034458E-2</v>
      </c>
      <c r="S348" s="2">
        <f ca="1"/>
        <v>0.18510320467701361</v>
      </c>
      <c r="T348" s="2">
        <f ca="1"/>
        <v>0.31213763430430841</v>
      </c>
      <c r="U348" s="2">
        <f ca="1"/>
        <v>0.26798907965997132</v>
      </c>
      <c r="V348" s="12"/>
      <c r="X348" s="2" cm="1">
        <f t="array" aca="1" ref="X348" ca="1">MMULT(MMULT(_xlfn.ANCHORARRAY(Q348),$Q$9:$U$13),TRANSPOSE(_xlfn.ANCHORARRAY(Q348)))</f>
        <v>2.7359283588076068E-4</v>
      </c>
      <c r="Y348" s="2">
        <f t="shared" ca="1" si="16"/>
        <v>1.6540641942825576E-2</v>
      </c>
      <c r="Z348" s="2" cm="1">
        <f t="array" aca="1" ref="Z348" ca="1">MMULT(_xlfn.ANCHORARRAY(Q348),TRANSPOSE($Q$3:$U$3))</f>
        <v>9.599133820705029E-4</v>
      </c>
      <c r="AA348" s="11">
        <f ca="1">AVEDEV(Q348*$Q$3,R348*$R$3,S348*$S$3,T348*$T$3,U348*$U$3)</f>
        <v>9.9406936866758803E-5</v>
      </c>
      <c r="AB348" s="11" cm="1">
        <f t="array" aca="1" ref="AB348" ca="1">MMULT(_xlfn.ANCHORARRAY(Q348),TRANSPOSE($Q$6:$U$6))</f>
        <v>-2.3274170553533431E-2</v>
      </c>
      <c r="AD348" s="2" t="s">
        <v>339</v>
      </c>
      <c r="AE348" s="10" cm="1">
        <f t="array" aca="1" ref="AE348:AI348" ca="1">_xlfn.LET(_xlpm.array,_xlfn.RANDARRAY(1,COLUMNS(_xlfn.ANCHORARRAY(Q347)),-1,1,FALSE),_xlpm.array/SUM(_xlpm.array))</f>
        <v>-5.7718409304729636E-2</v>
      </c>
      <c r="AF348" s="10">
        <f ca="1"/>
        <v>0.21192057253528407</v>
      </c>
      <c r="AG348" s="10">
        <f ca="1"/>
        <v>0.57107511870919581</v>
      </c>
      <c r="AH348" s="10">
        <f ca="1"/>
        <v>-0.13753286593162511</v>
      </c>
      <c r="AI348" s="10">
        <f ca="1"/>
        <v>0.4122555839918749</v>
      </c>
      <c r="AJ348" s="1"/>
      <c r="AK348" s="2" cm="1">
        <f t="array" aca="1" ref="AK348" ca="1">MMULT(MMULT(_xlfn.ANCHORARRAY(AE348),$Q$9:$U$13),TRANSPOSE(_xlfn.ANCHORARRAY(AE348)))</f>
        <v>4.6332917508229562E-4</v>
      </c>
      <c r="AL348" s="2">
        <f t="shared" ca="1" si="17"/>
        <v>2.1525082464006858E-2</v>
      </c>
      <c r="AM348" s="2" cm="1">
        <f t="array" aca="1" ref="AM348" ca="1">MMULT(_xlfn.ANCHORARRAY(AE349),TRANSPOSE($Q$3:$U$3))</f>
        <v>8.9836304735089806E-4</v>
      </c>
    </row>
    <row r="349" spans="1:39" x14ac:dyDescent="0.35">
      <c r="A349" s="3">
        <v>44335</v>
      </c>
      <c r="B349" s="4">
        <v>37.169921875</v>
      </c>
      <c r="C349" s="4">
        <v>84.828376770019503</v>
      </c>
      <c r="D349" s="4">
        <v>44.780570983886697</v>
      </c>
      <c r="E349" s="4">
        <v>14.7780637741088</v>
      </c>
      <c r="F349" s="4">
        <v>233.82682800292901</v>
      </c>
      <c r="I349" s="5">
        <f>B349/B348-1</f>
        <v>-4.5068520231688058E-3</v>
      </c>
      <c r="J349" s="5">
        <f>C349/C348-1</f>
        <v>-2.8065458096092399E-2</v>
      </c>
      <c r="K349" s="5">
        <f>D349/D348-1</f>
        <v>-1.3754556329106049E-2</v>
      </c>
      <c r="L349" s="5">
        <f>E349/E348-1</f>
        <v>-2.4646308218210233E-2</v>
      </c>
      <c r="M349" s="5">
        <f>F349/F348-1</f>
        <v>2.4740525083417619E-3</v>
      </c>
      <c r="N349" s="5">
        <f>SUMPRODUCT(I349:M349,$AJ$13:$AN$13)</f>
        <v>-1.5628406491906093E-2</v>
      </c>
      <c r="P349" s="2" t="s">
        <v>340</v>
      </c>
      <c r="Q349" s="10" cm="1">
        <f t="array" aca="1" ref="Q349:U349" ca="1">_xlfn.LET(_xlpm.array,_xlfn.RANDARRAY(1,COLUMNS(_xlfn.ANCHORARRAY(Q348)),0,1,FALSE),_xlpm.array/SUM(_xlpm.array))</f>
        <v>0.36999762266052533</v>
      </c>
      <c r="R349" s="2">
        <f ca="1"/>
        <v>0.23438690483221397</v>
      </c>
      <c r="S349" s="2">
        <f ca="1"/>
        <v>7.6769162124465398E-2</v>
      </c>
      <c r="T349" s="2">
        <f ca="1"/>
        <v>0.10746711586046466</v>
      </c>
      <c r="U349" s="2">
        <f ca="1"/>
        <v>0.21137919452233064</v>
      </c>
      <c r="V349" s="12"/>
      <c r="X349" s="2" cm="1">
        <f t="array" aca="1" ref="X349" ca="1">MMULT(MMULT(_xlfn.ANCHORARRAY(Q349),$Q$9:$U$13),TRANSPOSE(_xlfn.ANCHORARRAY(Q349)))</f>
        <v>2.7419629368016828E-4</v>
      </c>
      <c r="Y349" s="2">
        <f t="shared" ca="1" si="16"/>
        <v>1.6558873563143367E-2</v>
      </c>
      <c r="Z349" s="2" cm="1">
        <f t="array" aca="1" ref="Z349" ca="1">MMULT(_xlfn.ANCHORARRAY(Q349),TRANSPOSE($Q$3:$U$3))</f>
        <v>7.5534598248651352E-4</v>
      </c>
      <c r="AA349" s="11">
        <f ca="1">AVEDEV(Q349*$Q$3,R349*$R$3,S349*$S$3,T349*$T$3,U349*$U$3)</f>
        <v>2.7069987282200059E-5</v>
      </c>
      <c r="AB349" s="11" cm="1">
        <f t="array" aca="1" ref="AB349" ca="1">MMULT(_xlfn.ANCHORARRAY(Q349),TRANSPOSE($Q$6:$U$6))</f>
        <v>-2.1866625811708257E-2</v>
      </c>
      <c r="AD349" s="2" t="s">
        <v>340</v>
      </c>
      <c r="AE349" s="10" cm="1">
        <f t="array" aca="1" ref="AE349:AI349" ca="1">_xlfn.LET(_xlpm.array,_xlfn.RANDARRAY(1,COLUMNS(_xlfn.ANCHORARRAY(Q348)),-1,1,FALSE),_xlpm.array/SUM(_xlpm.array))</f>
        <v>-0.17310418591000343</v>
      </c>
      <c r="AF349" s="10">
        <f ca="1"/>
        <v>-0.11776641968903721</v>
      </c>
      <c r="AG349" s="10">
        <f ca="1"/>
        <v>-0.14396822456882344</v>
      </c>
      <c r="AH349" s="10">
        <f ca="1"/>
        <v>0.81282169965941464</v>
      </c>
      <c r="AI349" s="10">
        <f ca="1"/>
        <v>0.62201713050844942</v>
      </c>
      <c r="AJ349" s="1"/>
      <c r="AK349" s="2" cm="1">
        <f t="array" aca="1" ref="AK349" ca="1">MMULT(MMULT(_xlfn.ANCHORARRAY(AE349),$Q$9:$U$13),TRANSPOSE(_xlfn.ANCHORARRAY(AE349)))</f>
        <v>4.1612477081312733E-4</v>
      </c>
      <c r="AL349" s="2">
        <f t="shared" ca="1" si="17"/>
        <v>2.0399136521263034E-2</v>
      </c>
      <c r="AM349" s="2" cm="1">
        <f t="array" aca="1" ref="AM349" ca="1">MMULT(_xlfn.ANCHORARRAY(AE350),TRANSPOSE($Q$3:$U$3))</f>
        <v>2.4985517051122823E-3</v>
      </c>
    </row>
    <row r="350" spans="1:39" x14ac:dyDescent="0.35">
      <c r="A350" s="3">
        <v>44336</v>
      </c>
      <c r="B350" s="4">
        <v>37.081356048583899</v>
      </c>
      <c r="C350" s="4">
        <v>85.124290466308594</v>
      </c>
      <c r="D350" s="4">
        <v>45.617897033691399</v>
      </c>
      <c r="E350" s="4">
        <v>14.7365713119506</v>
      </c>
      <c r="F350" s="4">
        <v>237.05838012695301</v>
      </c>
      <c r="I350" s="5">
        <f>B350/B349-1</f>
        <v>-2.3827283445454484E-3</v>
      </c>
      <c r="J350" s="5">
        <f>C350/C349-1</f>
        <v>3.488380982360928E-3</v>
      </c>
      <c r="K350" s="5">
        <f>D350/D349-1</f>
        <v>1.8698422807203574E-2</v>
      </c>
      <c r="L350" s="5">
        <f>E350/E349-1</f>
        <v>-2.8077062592526403E-3</v>
      </c>
      <c r="M350" s="5">
        <f>F350/F349-1</f>
        <v>1.3820279527477997E-2</v>
      </c>
      <c r="N350" s="5">
        <f>SUMPRODUCT(I350:M350,$AJ$13:$AN$13)</f>
        <v>1.3615277656861279E-2</v>
      </c>
      <c r="P350" s="2" t="s">
        <v>341</v>
      </c>
      <c r="Q350" s="10" cm="1">
        <f t="array" aca="1" ref="Q350:U350" ca="1">_xlfn.LET(_xlpm.array,_xlfn.RANDARRAY(1,COLUMNS(_xlfn.ANCHORARRAY(Q349)),0,1,FALSE),_xlpm.array/SUM(_xlpm.array))</f>
        <v>0.2019549769412198</v>
      </c>
      <c r="R350" s="2">
        <f ca="1"/>
        <v>0.13114867247200024</v>
      </c>
      <c r="S350" s="2">
        <f ca="1"/>
        <v>0.23195135513878817</v>
      </c>
      <c r="T350" s="2">
        <f ca="1"/>
        <v>0.31771460925754841</v>
      </c>
      <c r="U350" s="2">
        <f ca="1"/>
        <v>0.11723038619044328</v>
      </c>
      <c r="V350" s="12"/>
      <c r="X350" s="2" cm="1">
        <f t="array" aca="1" ref="X350" ca="1">MMULT(MMULT(_xlfn.ANCHORARRAY(Q350),$Q$9:$U$13),TRANSPOSE(_xlfn.ANCHORARRAY(Q350)))</f>
        <v>3.0579690539645128E-4</v>
      </c>
      <c r="Y350" s="2">
        <f t="shared" ca="1" si="16"/>
        <v>1.7487049648138228E-2</v>
      </c>
      <c r="Z350" s="2" cm="1">
        <f t="array" aca="1" ref="Z350" ca="1">MMULT(_xlfn.ANCHORARRAY(Q350),TRANSPOSE($Q$3:$U$3))</f>
        <v>9.8934871585998297E-4</v>
      </c>
      <c r="AA350" s="11">
        <f ca="1">AVEDEV(Q350*$Q$3,R350*$R$3,S350*$S$3,T350*$T$3,U350*$U$3)</f>
        <v>1.2221295201132162E-4</v>
      </c>
      <c r="AB350" s="11" cm="1">
        <f t="array" aca="1" ref="AB350" ca="1">MMULT(_xlfn.ANCHORARRAY(Q350),TRANSPOSE($Q$6:$U$6))</f>
        <v>-2.3717583313733474E-2</v>
      </c>
      <c r="AD350" s="2" t="s">
        <v>341</v>
      </c>
      <c r="AE350" s="10" cm="1">
        <f t="array" aca="1" ref="AE350:AI350" ca="1">_xlfn.LET(_xlpm.array,_xlfn.RANDARRAY(1,COLUMNS(_xlfn.ANCHORARRAY(Q349)),-1,1,FALSE),_xlpm.array/SUM(_xlpm.array))</f>
        <v>-2.3556571314921348</v>
      </c>
      <c r="AF350" s="10">
        <f ca="1"/>
        <v>5.58433931866512</v>
      </c>
      <c r="AG350" s="10">
        <f ca="1"/>
        <v>1.5425823676065606</v>
      </c>
      <c r="AH350" s="10">
        <f ca="1"/>
        <v>-1.0850060027695719E-2</v>
      </c>
      <c r="AI350" s="10">
        <f ca="1"/>
        <v>-3.7604144947518501</v>
      </c>
      <c r="AJ350" s="1"/>
      <c r="AK350" s="2" cm="1">
        <f t="array" aca="1" ref="AK350" ca="1">MMULT(MMULT(_xlfn.ANCHORARRAY(AE350),$Q$9:$U$13),TRANSPOSE(_xlfn.ANCHORARRAY(AE350)))</f>
        <v>1.3289489774652774E-2</v>
      </c>
      <c r="AL350" s="2">
        <f t="shared" ca="1" si="17"/>
        <v>0.11528004933488177</v>
      </c>
      <c r="AM350" s="2" cm="1">
        <f t="array" aca="1" ref="AM350" ca="1">MMULT(_xlfn.ANCHORARRAY(AE351),TRANSPOSE($Q$3:$U$3))</f>
        <v>1.5595704220077815E-3</v>
      </c>
    </row>
    <row r="351" spans="1:39" x14ac:dyDescent="0.35">
      <c r="A351" s="3">
        <v>44337</v>
      </c>
      <c r="B351" s="4">
        <v>37.550743103027301</v>
      </c>
      <c r="C351" s="4">
        <v>85.5845947265625</v>
      </c>
      <c r="D351" s="4">
        <v>45.553131103515597</v>
      </c>
      <c r="E351" s="4">
        <v>14.6259231567382</v>
      </c>
      <c r="F351" s="4">
        <v>235.79840087890599</v>
      </c>
      <c r="I351" s="5">
        <f>B351/B350-1</f>
        <v>1.2658303375648217E-2</v>
      </c>
      <c r="J351" s="5">
        <f>C351/C350-1</f>
        <v>5.407437262999526E-3</v>
      </c>
      <c r="K351" s="5">
        <f>D351/D350-1</f>
        <v>-1.4197482652031912E-3</v>
      </c>
      <c r="L351" s="5">
        <f>E351/E350-1</f>
        <v>-7.5084056440367641E-3</v>
      </c>
      <c r="M351" s="5">
        <f>F351/F350-1</f>
        <v>-5.3150588786283759E-3</v>
      </c>
      <c r="N351" s="5">
        <f>SUMPRODUCT(I351:M351,$AJ$13:$AN$13)</f>
        <v>-9.8611561791807148E-3</v>
      </c>
      <c r="P351" s="2" t="s">
        <v>342</v>
      </c>
      <c r="Q351" s="10" cm="1">
        <f t="array" aca="1" ref="Q351:U351" ca="1">_xlfn.LET(_xlpm.array,_xlfn.RANDARRAY(1,COLUMNS(_xlfn.ANCHORARRAY(Q350)),0,1,FALSE),_xlpm.array/SUM(_xlpm.array))</f>
        <v>0.11871631844438593</v>
      </c>
      <c r="R351" s="2">
        <f ca="1"/>
        <v>0.51586362822313503</v>
      </c>
      <c r="S351" s="2">
        <f ca="1"/>
        <v>5.1571351217165447E-2</v>
      </c>
      <c r="T351" s="2">
        <f ca="1"/>
        <v>3.540387555296421E-2</v>
      </c>
      <c r="U351" s="2">
        <f ca="1"/>
        <v>0.27844482656234942</v>
      </c>
      <c r="V351" s="12"/>
      <c r="X351" s="2" cm="1">
        <f t="array" aca="1" ref="X351" ca="1">MMULT(MMULT(_xlfn.ANCHORARRAY(Q351),$Q$9:$U$13),TRANSPOSE(_xlfn.ANCHORARRAY(Q351)))</f>
        <v>2.7464349145936618E-4</v>
      </c>
      <c r="Y351" s="2">
        <f t="shared" ca="1" si="16"/>
        <v>1.6572371328791972E-2</v>
      </c>
      <c r="Z351" s="2" cm="1">
        <f t="array" aca="1" ref="Z351" ca="1">MMULT(_xlfn.ANCHORARRAY(Q351),TRANSPOSE($Q$3:$U$3))</f>
        <v>7.6993159729281955E-4</v>
      </c>
      <c r="AA351" s="11">
        <f ca="1">AVEDEV(Q351*$Q$3,R351*$R$3,S351*$S$3,T351*$T$3,U351*$U$3)</f>
        <v>1.1268028606684606E-4</v>
      </c>
      <c r="AB351" s="11" cm="1">
        <f t="array" aca="1" ref="AB351" ca="1">MMULT(_xlfn.ANCHORARRAY(Q351),TRANSPOSE($Q$6:$U$6))</f>
        <v>-2.1087380530122359E-2</v>
      </c>
      <c r="AD351" s="2" t="s">
        <v>342</v>
      </c>
      <c r="AE351" s="10" cm="1">
        <f t="array" aca="1" ref="AE351:AI351" ca="1">_xlfn.LET(_xlpm.array,_xlfn.RANDARRAY(1,COLUMNS(_xlfn.ANCHORARRAY(Q350)),-1,1,FALSE),_xlpm.array/SUM(_xlpm.array))</f>
        <v>-0.38681970227517487</v>
      </c>
      <c r="AF351" s="10">
        <f ca="1"/>
        <v>-0.42158213054461763</v>
      </c>
      <c r="AG351" s="10">
        <f ca="1"/>
        <v>0.6269311966452038</v>
      </c>
      <c r="AH351" s="10">
        <f ca="1"/>
        <v>0.55396054783930182</v>
      </c>
      <c r="AI351" s="10">
        <f ca="1"/>
        <v>0.62751008833528688</v>
      </c>
      <c r="AJ351" s="1"/>
      <c r="AK351" s="2" cm="1">
        <f t="array" aca="1" ref="AK351" ca="1">MMULT(MMULT(_xlfn.ANCHORARRAY(AE351),$Q$9:$U$13),TRANSPOSE(_xlfn.ANCHORARRAY(AE351)))</f>
        <v>6.4339704725899997E-4</v>
      </c>
      <c r="AL351" s="2">
        <f t="shared" ca="1" si="17"/>
        <v>2.5365272465696087E-2</v>
      </c>
      <c r="AM351" s="2" cm="1">
        <f t="array" aca="1" ref="AM351" ca="1">MMULT(_xlfn.ANCHORARRAY(AE352),TRANSPOSE($Q$3:$U$3))</f>
        <v>-5.4484768896572149E-4</v>
      </c>
    </row>
    <row r="352" spans="1:39" x14ac:dyDescent="0.35">
      <c r="A352" s="3">
        <v>44340</v>
      </c>
      <c r="B352" s="4">
        <v>37.754440307617102</v>
      </c>
      <c r="C352" s="4">
        <v>86.801132202148395</v>
      </c>
      <c r="D352" s="4">
        <v>46.32568359375</v>
      </c>
      <c r="E352" s="4">
        <v>14.8472175598144</v>
      </c>
      <c r="F352" s="4">
        <v>241.19400024414</v>
      </c>
      <c r="I352" s="5">
        <f>B352/B351-1</f>
        <v>5.4245851814682666E-3</v>
      </c>
      <c r="J352" s="5">
        <f>C352/C351-1</f>
        <v>1.4214444544285776E-2</v>
      </c>
      <c r="K352" s="5">
        <f>D352/D351-1</f>
        <v>1.6959371870154172E-2</v>
      </c>
      <c r="L352" s="5">
        <f>E352/E351-1</f>
        <v>1.5130286184653619E-2</v>
      </c>
      <c r="M352" s="5">
        <f>F352/F351-1</f>
        <v>2.2882255965785303E-2</v>
      </c>
      <c r="N352" s="5">
        <f>SUMPRODUCT(I352:M352,$AJ$13:$AN$13)</f>
        <v>2.1509177836848182E-2</v>
      </c>
      <c r="P352" s="2" t="s">
        <v>343</v>
      </c>
      <c r="Q352" s="10" cm="1">
        <f t="array" aca="1" ref="Q352:U352" ca="1">_xlfn.LET(_xlpm.array,_xlfn.RANDARRAY(1,COLUMNS(_xlfn.ANCHORARRAY(Q351)),0,1,FALSE),_xlpm.array/SUM(_xlpm.array))</f>
        <v>0.30340536386876299</v>
      </c>
      <c r="R352" s="2">
        <f ca="1"/>
        <v>0.44679872242073487</v>
      </c>
      <c r="S352" s="2">
        <f ca="1"/>
        <v>4.7979226830757338E-2</v>
      </c>
      <c r="T352" s="2">
        <f ca="1"/>
        <v>7.358172863218447E-2</v>
      </c>
      <c r="U352" s="2">
        <f ca="1"/>
        <v>0.12823495824756037</v>
      </c>
      <c r="V352" s="12"/>
      <c r="X352" s="2" cm="1">
        <f t="array" aca="1" ref="X352" ca="1">MMULT(MMULT(_xlfn.ANCHORARRAY(Q352),$Q$9:$U$13),TRANSPOSE(_xlfn.ANCHORARRAY(Q352)))</f>
        <v>3.0094888655097108E-4</v>
      </c>
      <c r="Y352" s="2">
        <f t="shared" ca="1" si="16"/>
        <v>1.734787844524428E-2</v>
      </c>
      <c r="Z352" s="2" cm="1">
        <f t="array" aca="1" ref="Z352" ca="1">MMULT(_xlfn.ANCHORARRAY(Q352),TRANSPOSE($Q$3:$U$3))</f>
        <v>7.3164616491023713E-4</v>
      </c>
      <c r="AA352" s="11">
        <f ca="1">AVEDEV(Q352*$Q$3,R352*$R$3,S352*$S$3,T352*$T$3,U352*$U$3)</f>
        <v>7.5126418348997668E-5</v>
      </c>
      <c r="AB352" s="11" cm="1">
        <f t="array" aca="1" ref="AB352" ca="1">MMULT(_xlfn.ANCHORARRAY(Q352),TRANSPOSE($Q$6:$U$6))</f>
        <v>-2.1495120464921302E-2</v>
      </c>
      <c r="AD352" s="2" t="s">
        <v>343</v>
      </c>
      <c r="AE352" s="10" cm="1">
        <f t="array" aca="1" ref="AE352:AI352" ca="1">_xlfn.LET(_xlpm.array,_xlfn.RANDARRAY(1,COLUMNS(_xlfn.ANCHORARRAY(Q351)),-1,1,FALSE),_xlpm.array/SUM(_xlpm.array))</f>
        <v>1.3991196722350128</v>
      </c>
      <c r="AF352" s="10">
        <f ca="1"/>
        <v>-1.9618116539498835</v>
      </c>
      <c r="AG352" s="10">
        <f ca="1"/>
        <v>-1.5619250347278577</v>
      </c>
      <c r="AH352" s="10">
        <f ca="1"/>
        <v>1.2592869125529649</v>
      </c>
      <c r="AI352" s="10">
        <f ca="1"/>
        <v>1.8653301038897636</v>
      </c>
      <c r="AJ352" s="1"/>
      <c r="AK352" s="2" cm="1">
        <f t="array" aca="1" ref="AK352" ca="1">MMULT(MMULT(_xlfn.ANCHORARRAY(AE352),$Q$9:$U$13),TRANSPOSE(_xlfn.ANCHORARRAY(AE352)))</f>
        <v>2.9904653545915561E-3</v>
      </c>
      <c r="AL352" s="2">
        <f t="shared" ca="1" si="17"/>
        <v>5.4685147477094326E-2</v>
      </c>
      <c r="AM352" s="2" cm="1">
        <f t="array" aca="1" ref="AM352" ca="1">MMULT(_xlfn.ANCHORARRAY(AE353),TRANSPOSE($Q$3:$U$3))</f>
        <v>-4.1009145317426072E-3</v>
      </c>
    </row>
    <row r="353" spans="1:39" x14ac:dyDescent="0.35">
      <c r="A353" s="3">
        <v>44341</v>
      </c>
      <c r="B353" s="4">
        <v>37.205348968505803</v>
      </c>
      <c r="C353" s="4">
        <v>85.379112243652301</v>
      </c>
      <c r="D353" s="4">
        <v>46.034236907958899</v>
      </c>
      <c r="E353" s="4">
        <v>14.6190128326416</v>
      </c>
      <c r="F353" s="4">
        <v>242.09806823730401</v>
      </c>
      <c r="I353" s="5">
        <f>B353/B352-1</f>
        <v>-1.4543755241433587E-2</v>
      </c>
      <c r="J353" s="5">
        <f>C353/C352-1</f>
        <v>-1.6382504725680258E-2</v>
      </c>
      <c r="K353" s="5">
        <f>D353/D352-1</f>
        <v>-6.2912549407132534E-3</v>
      </c>
      <c r="L353" s="5">
        <f>E353/E352-1</f>
        <v>-1.53702016053473E-2</v>
      </c>
      <c r="M353" s="5">
        <f>F353/F352-1</f>
        <v>3.7483021644355574E-3</v>
      </c>
      <c r="N353" s="5">
        <f>SUMPRODUCT(I353:M353,$AJ$13:$AN$13)</f>
        <v>-4.4624383729491308E-3</v>
      </c>
      <c r="P353" s="2" t="s">
        <v>344</v>
      </c>
      <c r="Q353" s="10" cm="1">
        <f t="array" aca="1" ref="Q353:U353" ca="1">_xlfn.LET(_xlpm.array,_xlfn.RANDARRAY(1,COLUMNS(_xlfn.ANCHORARRAY(Q352)),0,1,FALSE),_xlpm.array/SUM(_xlpm.array))</f>
        <v>0.15523679369497154</v>
      </c>
      <c r="R353" s="2">
        <f ca="1"/>
        <v>4.1867745195831217E-2</v>
      </c>
      <c r="S353" s="2">
        <f ca="1"/>
        <v>0.12969449736835942</v>
      </c>
      <c r="T353" s="2">
        <f ca="1"/>
        <v>0.41839143675863155</v>
      </c>
      <c r="U353" s="2">
        <f ca="1"/>
        <v>0.25480952698220627</v>
      </c>
      <c r="V353" s="12"/>
      <c r="X353" s="2" cm="1">
        <f t="array" aca="1" ref="X353" ca="1">MMULT(MMULT(_xlfn.ANCHORARRAY(Q353),$Q$9:$U$13),TRANSPOSE(_xlfn.ANCHORARRAY(Q353)))</f>
        <v>2.8300766509613355E-4</v>
      </c>
      <c r="Y353" s="2">
        <f t="shared" ca="1" si="16"/>
        <v>1.6822831661053188E-2</v>
      </c>
      <c r="Z353" s="2" cm="1">
        <f t="array" aca="1" ref="Z353" ca="1">MMULT(_xlfn.ANCHORARRAY(Q353),TRANSPOSE($Q$3:$U$3))</f>
        <v>9.4242384137561139E-4</v>
      </c>
      <c r="AA353" s="11">
        <f ca="1">AVEDEV(Q353*$Q$3,R353*$R$3,S353*$S$3,T353*$T$3,U353*$U$3)</f>
        <v>1.0699902251091317E-4</v>
      </c>
      <c r="AB353" s="11" cm="1">
        <f t="array" aca="1" ref="AB353" ca="1">MMULT(_xlfn.ANCHORARRAY(Q353),TRANSPOSE($Q$6:$U$6))</f>
        <v>-2.3395352736102E-2</v>
      </c>
      <c r="AD353" s="2" t="s">
        <v>344</v>
      </c>
      <c r="AE353" s="10" cm="1">
        <f t="array" aca="1" ref="AE353:AI353" ca="1">_xlfn.LET(_xlpm.array,_xlfn.RANDARRAY(1,COLUMNS(_xlfn.ANCHORARRAY(Q352)),-1,1,FALSE),_xlpm.array/SUM(_xlpm.array))</f>
        <v>-20.392434264688063</v>
      </c>
      <c r="AF353" s="10">
        <f ca="1"/>
        <v>19.214418264046749</v>
      </c>
      <c r="AG353" s="10">
        <f ca="1"/>
        <v>-15.078598842357223</v>
      </c>
      <c r="AH353" s="10">
        <f ca="1"/>
        <v>13.713850220611349</v>
      </c>
      <c r="AI353" s="10">
        <f ca="1"/>
        <v>3.5427646223871885</v>
      </c>
      <c r="AJ353" s="1"/>
      <c r="AK353" s="2" cm="1">
        <f t="array" aca="1" ref="AK353" ca="1">MMULT(MMULT(_xlfn.ANCHORARRAY(AE353),$Q$9:$U$13),TRANSPOSE(_xlfn.ANCHORARRAY(AE353)))</f>
        <v>0.43148758044279695</v>
      </c>
      <c r="AL353" s="2">
        <f t="shared" ca="1" si="17"/>
        <v>0.65687714257903429</v>
      </c>
      <c r="AM353" s="2" cm="1">
        <f t="array" aca="1" ref="AM353" ca="1">MMULT(_xlfn.ANCHORARRAY(AE354),TRANSPOSE($Q$3:$U$3))</f>
        <v>8.9225896440591097E-4</v>
      </c>
    </row>
    <row r="354" spans="1:39" x14ac:dyDescent="0.35">
      <c r="A354" s="3">
        <v>44342</v>
      </c>
      <c r="B354" s="4">
        <v>37.231910705566399</v>
      </c>
      <c r="C354" s="4">
        <v>85.5845947265625</v>
      </c>
      <c r="D354" s="4">
        <v>46.103633880615199</v>
      </c>
      <c r="E354" s="4">
        <v>14.8333883285522</v>
      </c>
      <c r="F354" s="4">
        <v>241.87689208984301</v>
      </c>
      <c r="I354" s="5">
        <f>B354/B353-1</f>
        <v>7.1392253525370819E-4</v>
      </c>
      <c r="J354" s="5">
        <f>C354/C353-1</f>
        <v>2.4067067167881095E-3</v>
      </c>
      <c r="K354" s="5">
        <f>D354/D353-1</f>
        <v>1.5075078315092139E-3</v>
      </c>
      <c r="L354" s="5">
        <f>E354/E353-1</f>
        <v>1.4664156763850578E-2</v>
      </c>
      <c r="M354" s="5">
        <f>F354/F353-1</f>
        <v>-9.1358080248782336E-4</v>
      </c>
      <c r="N354" s="5">
        <f>SUMPRODUCT(I354:M354,$AJ$13:$AN$13)</f>
        <v>7.0463385795795424E-3</v>
      </c>
      <c r="P354" s="2" t="s">
        <v>345</v>
      </c>
      <c r="Q354" s="10" cm="1">
        <f t="array" aca="1" ref="Q354:U354" ca="1">_xlfn.LET(_xlpm.array,_xlfn.RANDARRAY(1,COLUMNS(_xlfn.ANCHORARRAY(Q353)),0,1,FALSE),_xlpm.array/SUM(_xlpm.array))</f>
        <v>0.21302101320779787</v>
      </c>
      <c r="R354" s="2">
        <f ca="1"/>
        <v>0.28932689471585071</v>
      </c>
      <c r="S354" s="2">
        <f ca="1"/>
        <v>0.11031679043740679</v>
      </c>
      <c r="T354" s="2">
        <f ca="1"/>
        <v>0.22920403440428763</v>
      </c>
      <c r="U354" s="2">
        <f ca="1"/>
        <v>0.15813126723465712</v>
      </c>
      <c r="V354" s="12"/>
      <c r="X354" s="2" cm="1">
        <f t="array" aca="1" ref="X354" ca="1">MMULT(MMULT(_xlfn.ANCHORARRAY(Q354),$Q$9:$U$13),TRANSPOSE(_xlfn.ANCHORARRAY(Q354)))</f>
        <v>2.8495656662422524E-4</v>
      </c>
      <c r="Y354" s="2">
        <f t="shared" ca="1" si="16"/>
        <v>1.6880656581549938E-2</v>
      </c>
      <c r="Z354" s="2" cm="1">
        <f t="array" aca="1" ref="Z354" ca="1">MMULT(_xlfn.ANCHORARRAY(Q354),TRANSPOSE($Q$3:$U$3))</f>
        <v>8.5380555060558241E-4</v>
      </c>
      <c r="AA354" s="11">
        <f ca="1">AVEDEV(Q354*$Q$3,R354*$R$3,S354*$S$3,T354*$T$3,U354*$U$3)</f>
        <v>4.4923114488927795E-5</v>
      </c>
      <c r="AB354" s="11" cm="1">
        <f t="array" aca="1" ref="AB354" ca="1">MMULT(_xlfn.ANCHORARRAY(Q354),TRANSPOSE($Q$6:$U$6))</f>
        <v>-2.2508590706568549E-2</v>
      </c>
      <c r="AD354" s="2" t="s">
        <v>345</v>
      </c>
      <c r="AE354" s="10" cm="1">
        <f t="array" aca="1" ref="AE354:AI354" ca="1">_xlfn.LET(_xlpm.array,_xlfn.RANDARRAY(1,COLUMNS(_xlfn.ANCHORARRAY(Q353)),-1,1,FALSE),_xlpm.array/SUM(_xlpm.array))</f>
        <v>3.3419868860236068E-2</v>
      </c>
      <c r="AF354" s="10">
        <f ca="1"/>
        <v>0.28430987776215799</v>
      </c>
      <c r="AG354" s="10">
        <f ca="1"/>
        <v>7.2142157033471779E-2</v>
      </c>
      <c r="AH354" s="10">
        <f ca="1"/>
        <v>0.32653241722606197</v>
      </c>
      <c r="AI354" s="10">
        <f ca="1"/>
        <v>0.2835956791180721</v>
      </c>
      <c r="AJ354" s="1"/>
      <c r="AK354" s="2" cm="1">
        <f t="array" aca="1" ref="AK354" ca="1">MMULT(MMULT(_xlfn.ANCHORARRAY(AE354),$Q$9:$U$13),TRANSPOSE(_xlfn.ANCHORARRAY(AE354)))</f>
        <v>2.7883996303398477E-4</v>
      </c>
      <c r="AL354" s="2">
        <f t="shared" ca="1" si="17"/>
        <v>1.6698501820043163E-2</v>
      </c>
      <c r="AM354" s="2" cm="1">
        <f t="array" aca="1" ref="AM354" ca="1">MMULT(_xlfn.ANCHORARRAY(AE355),TRANSPOSE($Q$3:$U$3))</f>
        <v>-5.0856489007980823E-4</v>
      </c>
    </row>
    <row r="355" spans="1:39" x14ac:dyDescent="0.35">
      <c r="A355" s="3">
        <v>44343</v>
      </c>
      <c r="B355" s="4">
        <v>37.683582305908203</v>
      </c>
      <c r="C355" s="4">
        <v>84.672210693359304</v>
      </c>
      <c r="D355" s="4">
        <v>46.122146606445298</v>
      </c>
      <c r="E355" s="4">
        <v>14.9302005767822</v>
      </c>
      <c r="F355" s="4">
        <v>239.780181884765</v>
      </c>
      <c r="I355" s="5">
        <f>B355/B354-1</f>
        <v>1.2131303276742056E-2</v>
      </c>
      <c r="J355" s="5">
        <f>C355/C354-1</f>
        <v>-1.0660610547005622E-2</v>
      </c>
      <c r="K355" s="5">
        <f>D355/D354-1</f>
        <v>4.0154591453767097E-4</v>
      </c>
      <c r="L355" s="5">
        <f>E355/E354-1</f>
        <v>6.5266442221869614E-3</v>
      </c>
      <c r="M355" s="5">
        <f>F355/F354-1</f>
        <v>-8.6685015131549026E-3</v>
      </c>
      <c r="N355" s="5">
        <f>SUMPRODUCT(I355:M355,$AJ$13:$AN$13)</f>
        <v>-2.7962618551038076E-3</v>
      </c>
      <c r="P355" s="2" t="s">
        <v>346</v>
      </c>
      <c r="Q355" s="10" cm="1">
        <f t="array" aca="1" ref="Q355:U355" ca="1">_xlfn.LET(_xlpm.array,_xlfn.RANDARRAY(1,COLUMNS(_xlfn.ANCHORARRAY(Q354)),0,1,FALSE),_xlpm.array/SUM(_xlpm.array))</f>
        <v>0.18280593332850584</v>
      </c>
      <c r="R355" s="2">
        <f ca="1"/>
        <v>0.12829285384361719</v>
      </c>
      <c r="S355" s="2">
        <f ca="1"/>
        <v>0.29666003405034713</v>
      </c>
      <c r="T355" s="2">
        <f ca="1"/>
        <v>0.2611185833060366</v>
      </c>
      <c r="U355" s="2">
        <f ca="1"/>
        <v>0.13112259547149338</v>
      </c>
      <c r="V355" s="12"/>
      <c r="X355" s="2" cm="1">
        <f t="array" aca="1" ref="X355" ca="1">MMULT(MMULT(_xlfn.ANCHORARRAY(Q355),$Q$9:$U$13),TRANSPOSE(_xlfn.ANCHORARRAY(Q355)))</f>
        <v>3.1170944144506873E-4</v>
      </c>
      <c r="Y355" s="2">
        <f t="shared" ca="1" si="16"/>
        <v>1.7655294997395786E-2</v>
      </c>
      <c r="Z355" s="2" cm="1">
        <f t="array" aca="1" ref="Z355" ca="1">MMULT(_xlfn.ANCHORARRAY(Q355),TRANSPOSE($Q$3:$U$3))</f>
        <v>1.035423840489608E-3</v>
      </c>
      <c r="AA355" s="11">
        <f ca="1">AVEDEV(Q355*$Q$3,R355*$R$3,S355*$S$3,T355*$T$3,U355*$U$3)</f>
        <v>1.3374792213295878E-4</v>
      </c>
      <c r="AB355" s="11" cm="1">
        <f t="array" aca="1" ref="AB355" ca="1">MMULT(_xlfn.ANCHORARRAY(Q355),TRANSPOSE($Q$6:$U$6))</f>
        <v>-2.3857371930831636E-2</v>
      </c>
      <c r="AD355" s="2" t="s">
        <v>346</v>
      </c>
      <c r="AE355" s="10" cm="1">
        <f t="array" aca="1" ref="AE355:AI355" ca="1">_xlfn.LET(_xlpm.array,_xlfn.RANDARRAY(1,COLUMNS(_xlfn.ANCHORARRAY(Q354)),-1,1,FALSE),_xlpm.array/SUM(_xlpm.array))</f>
        <v>-0.84147325364821268</v>
      </c>
      <c r="AF355" s="10">
        <f ca="1"/>
        <v>2.5410781417949373</v>
      </c>
      <c r="AG355" s="10">
        <f ca="1"/>
        <v>-1.350930036462981</v>
      </c>
      <c r="AH355" s="10">
        <f ca="1"/>
        <v>-0.9375983534509944</v>
      </c>
      <c r="AI355" s="10">
        <f ca="1"/>
        <v>1.5889235017672509</v>
      </c>
      <c r="AJ355" s="1"/>
      <c r="AK355" s="2" cm="1">
        <f t="array" aca="1" ref="AK355" ca="1">MMULT(MMULT(_xlfn.ANCHORARRAY(AE355),$Q$9:$U$13),TRANSPOSE(_xlfn.ANCHORARRAY(AE355)))</f>
        <v>2.4969758301091917E-3</v>
      </c>
      <c r="AL355" s="2">
        <f t="shared" ca="1" si="17"/>
        <v>4.9969749149952634E-2</v>
      </c>
      <c r="AM355" s="2" cm="1">
        <f t="array" aca="1" ref="AM355" ca="1">MMULT(_xlfn.ANCHORARRAY(AE356),TRANSPOSE($Q$3:$U$3))</f>
        <v>6.6835285436612287E-4</v>
      </c>
    </row>
    <row r="356" spans="1:39" x14ac:dyDescent="0.35">
      <c r="A356" s="3">
        <v>44344</v>
      </c>
      <c r="B356" s="4">
        <v>37.541881561279297</v>
      </c>
      <c r="C356" s="4">
        <v>85.313346862792898</v>
      </c>
      <c r="D356" s="4">
        <v>45.631767272949197</v>
      </c>
      <c r="E356" s="4">
        <v>15.151492118835399</v>
      </c>
      <c r="F356" s="4">
        <v>240.13607788085901</v>
      </c>
      <c r="I356" s="5">
        <f>B356/B355-1</f>
        <v>-3.7602779767221817E-3</v>
      </c>
      <c r="J356" s="5">
        <f>C356/C355-1</f>
        <v>7.5719786241967846E-3</v>
      </c>
      <c r="K356" s="5">
        <f>D356/D355-1</f>
        <v>-1.0632187995941456E-2</v>
      </c>
      <c r="L356" s="5">
        <f>E356/E355-1</f>
        <v>1.4821739394266897E-2</v>
      </c>
      <c r="M356" s="5">
        <f>F356/F355-1</f>
        <v>1.4842594300183976E-3</v>
      </c>
      <c r="N356" s="5">
        <f>SUMPRODUCT(I356:M356,$AJ$13:$AN$13)</f>
        <v>2.7249270392413214E-3</v>
      </c>
      <c r="P356" s="2" t="s">
        <v>347</v>
      </c>
      <c r="Q356" s="10" cm="1">
        <f t="array" aca="1" ref="Q356:U356" ca="1">_xlfn.LET(_xlpm.array,_xlfn.RANDARRAY(1,COLUMNS(_xlfn.ANCHORARRAY(Q355)),0,1,FALSE),_xlpm.array/SUM(_xlpm.array))</f>
        <v>0.29334593150188415</v>
      </c>
      <c r="R356" s="2">
        <f ca="1"/>
        <v>0.27987799244336892</v>
      </c>
      <c r="S356" s="2">
        <f ca="1"/>
        <v>0.26564061414106183</v>
      </c>
      <c r="T356" s="2">
        <f ca="1"/>
        <v>5.3068951348384498E-2</v>
      </c>
      <c r="U356" s="2">
        <f ca="1"/>
        <v>0.10806651056530053</v>
      </c>
      <c r="V356" s="12"/>
      <c r="X356" s="2" cm="1">
        <f t="array" aca="1" ref="X356" ca="1">MMULT(MMULT(_xlfn.ANCHORARRAY(Q356),$Q$9:$U$13),TRANSPOSE(_xlfn.ANCHORARRAY(Q356)))</f>
        <v>3.0992709620253844E-4</v>
      </c>
      <c r="Y356" s="2">
        <f t="shared" ca="1" si="16"/>
        <v>1.7604746411196567E-2</v>
      </c>
      <c r="Z356" s="2" cm="1">
        <f t="array" aca="1" ref="Z356" ca="1">MMULT(_xlfn.ANCHORARRAY(Q356),TRANSPOSE($Q$3:$U$3))</f>
        <v>9.2174160348064155E-4</v>
      </c>
      <c r="AA356" s="11">
        <f ca="1">AVEDEV(Q356*$Q$3,R356*$R$3,S356*$S$3,T356*$T$3,U356*$U$3)</f>
        <v>1.0683270418520919E-4</v>
      </c>
      <c r="AB356" s="11" cm="1">
        <f t="array" aca="1" ref="AB356" ca="1">MMULT(_xlfn.ANCHORARRAY(Q356),TRANSPOSE($Q$6:$U$6))</f>
        <v>-2.2826939086406175E-2</v>
      </c>
      <c r="AD356" s="2" t="s">
        <v>347</v>
      </c>
      <c r="AE356" s="10" cm="1">
        <f t="array" aca="1" ref="AE356:AI356" ca="1">_xlfn.LET(_xlpm.array,_xlfn.RANDARRAY(1,COLUMNS(_xlfn.ANCHORARRAY(Q355)),-1,1,FALSE),_xlpm.array/SUM(_xlpm.array))</f>
        <v>-0.84439044431253951</v>
      </c>
      <c r="AF356" s="10">
        <f ca="1"/>
        <v>0.91627002054170803</v>
      </c>
      <c r="AG356" s="10">
        <f ca="1"/>
        <v>-0.10996582023186029</v>
      </c>
      <c r="AH356" s="10">
        <f ca="1"/>
        <v>-0.72823749802030058</v>
      </c>
      <c r="AI356" s="10">
        <f ca="1"/>
        <v>1.7663237420229922</v>
      </c>
      <c r="AJ356" s="1"/>
      <c r="AK356" s="2" cm="1">
        <f t="array" aca="1" ref="AK356" ca="1">MMULT(MMULT(_xlfn.ANCHORARRAY(AE356),$Q$9:$U$13),TRANSPOSE(_xlfn.ANCHORARRAY(AE356)))</f>
        <v>1.0772543490819636E-3</v>
      </c>
      <c r="AL356" s="2">
        <f t="shared" ca="1" si="17"/>
        <v>3.2821553118065019E-2</v>
      </c>
      <c r="AM356" s="2" cm="1">
        <f t="array" aca="1" ref="AM356" ca="1">MMULT(_xlfn.ANCHORARRAY(AE357),TRANSPOSE($Q$3:$U$3))</f>
        <v>2.4428977509003305E-3</v>
      </c>
    </row>
    <row r="357" spans="1:39" x14ac:dyDescent="0.35">
      <c r="A357" s="3">
        <v>44348</v>
      </c>
      <c r="B357" s="4">
        <v>38.011268615722599</v>
      </c>
      <c r="C357" s="4">
        <v>87.664222717285099</v>
      </c>
      <c r="D357" s="4">
        <v>47.579368591308501</v>
      </c>
      <c r="E357" s="4">
        <v>15.7807846069335</v>
      </c>
      <c r="F357" s="4">
        <v>237.94320678710901</v>
      </c>
      <c r="I357" s="5">
        <f>B357/B356-1</f>
        <v>1.2503024220486214E-2</v>
      </c>
      <c r="J357" s="5">
        <f>C357/C356-1</f>
        <v>2.7555780436946842E-2</v>
      </c>
      <c r="K357" s="5">
        <f>D357/D356-1</f>
        <v>4.2680821601968733E-2</v>
      </c>
      <c r="L357" s="5">
        <f>E357/E356-1</f>
        <v>4.1533367351707984E-2</v>
      </c>
      <c r="M357" s="5">
        <f>F357/F356-1</f>
        <v>-9.1317852490202522E-3</v>
      </c>
      <c r="N357" s="5">
        <f>SUMPRODUCT(I357:M357,$AJ$13:$AN$13)</f>
        <v>3.4060218022774376E-2</v>
      </c>
      <c r="P357" s="2" t="s">
        <v>348</v>
      </c>
      <c r="Q357" s="10" cm="1">
        <f t="array" aca="1" ref="Q357:U357" ca="1">_xlfn.LET(_xlpm.array,_xlfn.RANDARRAY(1,COLUMNS(_xlfn.ANCHORARRAY(Q356)),0,1,FALSE),_xlpm.array/SUM(_xlpm.array))</f>
        <v>0.27836320815224197</v>
      </c>
      <c r="R357" s="2">
        <f ca="1"/>
        <v>0.22756352092263221</v>
      </c>
      <c r="S357" s="2">
        <f ca="1"/>
        <v>0.16558004639163862</v>
      </c>
      <c r="T357" s="2">
        <f ca="1"/>
        <v>1.1304199027037359E-2</v>
      </c>
      <c r="U357" s="2">
        <f ca="1"/>
        <v>0.31718902550644984</v>
      </c>
      <c r="V357" s="12"/>
      <c r="X357" s="2" cm="1">
        <f t="array" aca="1" ref="X357" ca="1">MMULT(MMULT(_xlfn.ANCHORARRAY(Q357),$Q$9:$U$13),TRANSPOSE(_xlfn.ANCHORARRAY(Q357)))</f>
        <v>2.6609946540506041E-4</v>
      </c>
      <c r="Y357" s="2">
        <f t="shared" ca="1" si="16"/>
        <v>1.6312555452934419E-2</v>
      </c>
      <c r="Z357" s="2" cm="1">
        <f t="array" aca="1" ref="Z357" ca="1">MMULT(_xlfn.ANCHORARRAY(Q357),TRANSPOSE($Q$3:$U$3))</f>
        <v>8.3070674892275775E-4</v>
      </c>
      <c r="AA357" s="11">
        <f ca="1">AVEDEV(Q357*$Q$3,R357*$R$3,S357*$S$3,T357*$T$3,U357*$U$3)</f>
        <v>7.1702832130723105E-5</v>
      </c>
      <c r="AB357" s="11" cm="1">
        <f t="array" aca="1" ref="AB357" ca="1">MMULT(_xlfn.ANCHORARRAY(Q357),TRANSPOSE($Q$6:$U$6))</f>
        <v>-2.1867384181766029E-2</v>
      </c>
      <c r="AD357" s="2" t="s">
        <v>348</v>
      </c>
      <c r="AE357" s="10" cm="1">
        <f t="array" aca="1" ref="AE357:AI357" ca="1">_xlfn.LET(_xlpm.array,_xlfn.RANDARRAY(1,COLUMNS(_xlfn.ANCHORARRAY(Q356)),-1,1,FALSE),_xlpm.array/SUM(_xlpm.array))</f>
        <v>-1.0885300319098428</v>
      </c>
      <c r="AF357" s="10">
        <f ca="1"/>
        <v>2.5524161508279035</v>
      </c>
      <c r="AG357" s="10">
        <f ca="1"/>
        <v>2.3370709647935977</v>
      </c>
      <c r="AH357" s="10">
        <f ca="1"/>
        <v>-2.0283942637391061</v>
      </c>
      <c r="AI357" s="10">
        <f ca="1"/>
        <v>-0.77256281997255238</v>
      </c>
      <c r="AJ357" s="1"/>
      <c r="AK357" s="2" cm="1">
        <f t="array" aca="1" ref="AK357" ca="1">MMULT(MMULT(_xlfn.ANCHORARRAY(AE357),$Q$9:$U$13),TRANSPOSE(_xlfn.ANCHORARRAY(AE357)))</f>
        <v>5.2694089934538831E-3</v>
      </c>
      <c r="AL357" s="2">
        <f t="shared" ca="1" si="17"/>
        <v>7.259069495089493E-2</v>
      </c>
      <c r="AM357" s="2" cm="1">
        <f t="array" aca="1" ref="AM357" ca="1">MMULT(_xlfn.ANCHORARRAY(AE358),TRANSPOSE($Q$3:$U$3))</f>
        <v>1.09593658186466E-3</v>
      </c>
    </row>
    <row r="358" spans="1:39" x14ac:dyDescent="0.35">
      <c r="A358" s="3">
        <v>44349</v>
      </c>
      <c r="B358" s="4">
        <v>38.0289916992187</v>
      </c>
      <c r="C358" s="4">
        <v>88.839653015136705</v>
      </c>
      <c r="D358" s="4">
        <v>46.626380920410099</v>
      </c>
      <c r="E358" s="4">
        <v>15.8914327621459</v>
      </c>
      <c r="F358" s="4">
        <v>237.84701538085901</v>
      </c>
      <c r="I358" s="5">
        <f>B358/B357-1</f>
        <v>4.662586685877379E-4</v>
      </c>
      <c r="J358" s="5">
        <f>C358/C357-1</f>
        <v>1.340832395950553E-2</v>
      </c>
      <c r="K358" s="5">
        <f>D358/D357-1</f>
        <v>-2.0029430804016313E-2</v>
      </c>
      <c r="L358" s="5">
        <f>E358/E357-1</f>
        <v>7.0115750242092378E-3</v>
      </c>
      <c r="M358" s="5">
        <f>F358/F357-1</f>
        <v>-4.0426204029464508E-4</v>
      </c>
      <c r="N358" s="5">
        <f>SUMPRODUCT(I358:M358,$AJ$13:$AN$13)</f>
        <v>-7.8617422342018208E-3</v>
      </c>
      <c r="P358" s="2" t="s">
        <v>349</v>
      </c>
      <c r="Q358" s="10" cm="1">
        <f t="array" aca="1" ref="Q358:U358" ca="1">_xlfn.LET(_xlpm.array,_xlfn.RANDARRAY(1,COLUMNS(_xlfn.ANCHORARRAY(Q357)),0,1,FALSE),_xlpm.array/SUM(_xlpm.array))</f>
        <v>0.17950916792134416</v>
      </c>
      <c r="R358" s="2">
        <f ca="1"/>
        <v>0.27683451823787536</v>
      </c>
      <c r="S358" s="2">
        <f ca="1"/>
        <v>0.18527644843853214</v>
      </c>
      <c r="T358" s="2">
        <f ca="1"/>
        <v>0.10618089936615985</v>
      </c>
      <c r="U358" s="2">
        <f ca="1"/>
        <v>0.25219896603608849</v>
      </c>
      <c r="V358" s="12"/>
      <c r="X358" s="2" cm="1">
        <f t="array" aca="1" ref="X358" ca="1">MMULT(MMULT(_xlfn.ANCHORARRAY(Q358),$Q$9:$U$13),TRANSPOSE(_xlfn.ANCHORARRAY(Q358)))</f>
        <v>2.6895239977032777E-4</v>
      </c>
      <c r="Y358" s="2">
        <f t="shared" ca="1" si="16"/>
        <v>1.6399768284043766E-2</v>
      </c>
      <c r="Z358" s="2" cm="1">
        <f t="array" aca="1" ref="Z358" ca="1">MMULT(_xlfn.ANCHORARRAY(Q358),TRANSPOSE($Q$3:$U$3))</f>
        <v>8.9565089923848565E-4</v>
      </c>
      <c r="AA358" s="11">
        <f ca="1">AVEDEV(Q358*$Q$3,R358*$R$3,S358*$S$3,T358*$T$3,U358*$U$3)</f>
        <v>6.3419709364936444E-5</v>
      </c>
      <c r="AB358" s="11" cm="1">
        <f t="array" aca="1" ref="AB358" ca="1">MMULT(_xlfn.ANCHORARRAY(Q358),TRANSPOSE($Q$6:$U$6))</f>
        <v>-2.2360194321527228E-2</v>
      </c>
      <c r="AD358" s="2" t="s">
        <v>349</v>
      </c>
      <c r="AE358" s="10" cm="1">
        <f t="array" aca="1" ref="AE358:AI358" ca="1">_xlfn.LET(_xlpm.array,_xlfn.RANDARRAY(1,COLUMNS(_xlfn.ANCHORARRAY(Q357)),-1,1,FALSE),_xlpm.array/SUM(_xlpm.array))</f>
        <v>0.30530810097822358</v>
      </c>
      <c r="AF358" s="10">
        <f ca="1"/>
        <v>0.12814796792288083</v>
      </c>
      <c r="AG358" s="10">
        <f ca="1"/>
        <v>0.59939339496503297</v>
      </c>
      <c r="AH358" s="10">
        <f ca="1"/>
        <v>-0.39376367425890246</v>
      </c>
      <c r="AI358" s="10">
        <f ca="1"/>
        <v>0.36091421039276506</v>
      </c>
      <c r="AJ358" s="1"/>
      <c r="AK358" s="2" cm="1">
        <f t="array" aca="1" ref="AK358" ca="1">MMULT(MMULT(_xlfn.ANCHORARRAY(AE358),$Q$9:$U$13),TRANSPOSE(_xlfn.ANCHORARRAY(AE358)))</f>
        <v>5.6794664367345476E-4</v>
      </c>
      <c r="AL358" s="2">
        <f t="shared" ca="1" si="17"/>
        <v>2.3831631158472026E-2</v>
      </c>
      <c r="AM358" s="2" cm="1">
        <f t="array" aca="1" ref="AM358" ca="1">MMULT(_xlfn.ANCHORARRAY(AE359),TRANSPOSE($Q$3:$U$3))</f>
        <v>1.0854632689841982E-3</v>
      </c>
    </row>
    <row r="359" spans="1:39" x14ac:dyDescent="0.35">
      <c r="A359" s="3">
        <v>44350</v>
      </c>
      <c r="B359" s="4">
        <v>38.464767456054602</v>
      </c>
      <c r="C359" s="4">
        <v>88.436851501464801</v>
      </c>
      <c r="D359" s="4">
        <v>47.028850555419901</v>
      </c>
      <c r="E359" s="4">
        <v>15.8291864395141</v>
      </c>
      <c r="F359" s="4">
        <v>236.31781005859301</v>
      </c>
      <c r="I359" s="5">
        <f>B359/B358-1</f>
        <v>1.1459040520521047E-2</v>
      </c>
      <c r="J359" s="5">
        <f>C359/C358-1</f>
        <v>-4.5340284433942335E-3</v>
      </c>
      <c r="K359" s="5">
        <f>D359/D358-1</f>
        <v>8.6318008617654041E-3</v>
      </c>
      <c r="L359" s="5">
        <f>E359/E358-1</f>
        <v>-3.9169736022842683E-3</v>
      </c>
      <c r="M359" s="5">
        <f>F359/F358-1</f>
        <v>-6.4293651943343466E-3</v>
      </c>
      <c r="N359" s="5">
        <f>SUMPRODUCT(I359:M359,$AJ$13:$AN$13)</f>
        <v>-2.6491571716711895E-3</v>
      </c>
      <c r="P359" s="2" t="s">
        <v>350</v>
      </c>
      <c r="Q359" s="10" cm="1">
        <f t="array" aca="1" ref="Q359:U359" ca="1">_xlfn.LET(_xlpm.array,_xlfn.RANDARRAY(1,COLUMNS(_xlfn.ANCHORARRAY(Q358)),0,1,FALSE),_xlpm.array/SUM(_xlpm.array))</f>
        <v>0.20849638099963702</v>
      </c>
      <c r="R359" s="2">
        <f ca="1"/>
        <v>0.22957423001117563</v>
      </c>
      <c r="S359" s="2">
        <f ca="1"/>
        <v>0.14721051914737149</v>
      </c>
      <c r="T359" s="2">
        <f ca="1"/>
        <v>0.25855376437553956</v>
      </c>
      <c r="U359" s="2">
        <f ca="1"/>
        <v>0.15616510546627638</v>
      </c>
      <c r="V359" s="12"/>
      <c r="X359" s="2" cm="1">
        <f t="array" aca="1" ref="X359" ca="1">MMULT(MMULT(_xlfn.ANCHORARRAY(Q359),$Q$9:$U$13),TRANSPOSE(_xlfn.ANCHORARRAY(Q359)))</f>
        <v>2.8586555868212742E-4</v>
      </c>
      <c r="Y359" s="2">
        <f t="shared" ca="1" si="16"/>
        <v>1.690755921717051E-2</v>
      </c>
      <c r="Z359" s="2" cm="1">
        <f t="array" aca="1" ref="Z359" ca="1">MMULT(_xlfn.ANCHORARRAY(Q359),TRANSPOSE($Q$3:$U$3))</f>
        <v>8.9626799862632255E-4</v>
      </c>
      <c r="AA359" s="11">
        <f ca="1">AVEDEV(Q359*$Q$3,R359*$R$3,S359*$S$3,T359*$T$3,U359*$U$3)</f>
        <v>5.788230055129468E-5</v>
      </c>
      <c r="AB359" s="11" cm="1">
        <f t="array" aca="1" ref="AB359" ca="1">MMULT(_xlfn.ANCHORARRAY(Q359),TRANSPOSE($Q$6:$U$6))</f>
        <v>-2.2880641538532337E-2</v>
      </c>
      <c r="AD359" s="2" t="s">
        <v>350</v>
      </c>
      <c r="AE359" s="10" cm="1">
        <f t="array" aca="1" ref="AE359:AI359" ca="1">_xlfn.LET(_xlpm.array,_xlfn.RANDARRAY(1,COLUMNS(_xlfn.ANCHORARRAY(Q358)),-1,1,FALSE),_xlpm.array/SUM(_xlpm.array))</f>
        <v>0.4063847628194695</v>
      </c>
      <c r="AF359" s="10">
        <f ca="1"/>
        <v>-0.13320247846445593</v>
      </c>
      <c r="AG359" s="10">
        <f ca="1"/>
        <v>0.49250090790479928</v>
      </c>
      <c r="AH359" s="10">
        <f ca="1"/>
        <v>-1.110193920688753E-2</v>
      </c>
      <c r="AI359" s="10">
        <f ca="1"/>
        <v>0.24541874694707469</v>
      </c>
      <c r="AJ359" s="1"/>
      <c r="AK359" s="2" cm="1">
        <f t="array" aca="1" ref="AK359" ca="1">MMULT(MMULT(_xlfn.ANCHORARRAY(AE359),$Q$9:$U$13),TRANSPOSE(_xlfn.ANCHORARRAY(AE359)))</f>
        <v>4.2770466662447664E-4</v>
      </c>
      <c r="AL359" s="2">
        <f t="shared" ca="1" si="17"/>
        <v>2.0681021895072704E-2</v>
      </c>
      <c r="AM359" s="2" cm="1">
        <f t="array" aca="1" ref="AM359" ca="1">MMULT(_xlfn.ANCHORARRAY(AE360),TRANSPOSE($Q$3:$U$3))</f>
        <v>3.2852662060502553E-4</v>
      </c>
    </row>
    <row r="360" spans="1:39" x14ac:dyDescent="0.35">
      <c r="A360" s="3">
        <v>44351</v>
      </c>
      <c r="B360" s="4">
        <v>38.482547760009702</v>
      </c>
      <c r="C360" s="4">
        <v>89.143775939941406</v>
      </c>
      <c r="D360" s="4">
        <v>47.893932342529297</v>
      </c>
      <c r="E360" s="4">
        <v>15.9882488250732</v>
      </c>
      <c r="F360" s="4">
        <v>241.20364379882801</v>
      </c>
      <c r="I360" s="5">
        <f>B360/B359-1</f>
        <v>4.6224909523795432E-4</v>
      </c>
      <c r="J360" s="5">
        <f>C360/C359-1</f>
        <v>7.9935504993062789E-3</v>
      </c>
      <c r="K360" s="5">
        <f>D360/D359-1</f>
        <v>1.8394704035769704E-2</v>
      </c>
      <c r="L360" s="5">
        <f>E360/E359-1</f>
        <v>1.0048677243578163E-2</v>
      </c>
      <c r="M360" s="5">
        <f>F360/F359-1</f>
        <v>2.0674843504277618E-2</v>
      </c>
      <c r="N360" s="5">
        <f>SUMPRODUCT(I360:M360,$AJ$13:$AN$13)</f>
        <v>2.0783704995323653E-2</v>
      </c>
      <c r="P360" s="2" t="s">
        <v>351</v>
      </c>
      <c r="Q360" s="10" cm="1">
        <f t="array" aca="1" ref="Q360:U360" ca="1">_xlfn.LET(_xlpm.array,_xlfn.RANDARRAY(1,COLUMNS(_xlfn.ANCHORARRAY(Q359)),0,1,FALSE),_xlpm.array/SUM(_xlpm.array))</f>
        <v>0.35159685362974419</v>
      </c>
      <c r="R360" s="2">
        <f ca="1"/>
        <v>1.133385981096928E-2</v>
      </c>
      <c r="S360" s="2">
        <f ca="1"/>
        <v>0.40271232008879709</v>
      </c>
      <c r="T360" s="2">
        <f ca="1"/>
        <v>3.4992403850693458E-2</v>
      </c>
      <c r="U360" s="2">
        <f ca="1"/>
        <v>0.19936456261979599</v>
      </c>
      <c r="V360" s="12"/>
      <c r="X360" s="2" cm="1">
        <f t="array" aca="1" ref="X360" ca="1">MMULT(MMULT(_xlfn.ANCHORARRAY(Q360),$Q$9:$U$13),TRANSPOSE(_xlfn.ANCHORARRAY(Q360)))</f>
        <v>3.5544548502639125E-4</v>
      </c>
      <c r="Y360" s="2">
        <f t="shared" ca="1" si="16"/>
        <v>1.885326192006018E-2</v>
      </c>
      <c r="Z360" s="2" cm="1">
        <f t="array" aca="1" ref="Z360" ca="1">MMULT(_xlfn.ANCHORARRAY(Q360),TRANSPOSE($Q$3:$U$3))</f>
        <v>1.0292129135600864E-3</v>
      </c>
      <c r="AA360" s="11">
        <f ca="1">AVEDEV(Q360*$Q$3,R360*$R$3,S360*$S$3,T360*$T$3,U360*$U$3)</f>
        <v>1.7926501459126462E-4</v>
      </c>
      <c r="AB360" s="11" cm="1">
        <f t="array" aca="1" ref="AB360" ca="1">MMULT(_xlfn.ANCHORARRAY(Q360),TRANSPOSE($Q$6:$U$6))</f>
        <v>-2.36584870758576E-2</v>
      </c>
      <c r="AD360" s="2" t="s">
        <v>351</v>
      </c>
      <c r="AE360" s="10" cm="1">
        <f t="array" aca="1" ref="AE360:AI360" ca="1">_xlfn.LET(_xlpm.array,_xlfn.RANDARRAY(1,COLUMNS(_xlfn.ANCHORARRAY(Q359)),-1,1,FALSE),_xlpm.array/SUM(_xlpm.array))</f>
        <v>0.8452417522510467</v>
      </c>
      <c r="AF360" s="10">
        <f ca="1"/>
        <v>0.23543857854432229</v>
      </c>
      <c r="AG360" s="10">
        <f ca="1"/>
        <v>-0.11940395843037252</v>
      </c>
      <c r="AH360" s="10">
        <f ca="1"/>
        <v>-0.4233337145430856</v>
      </c>
      <c r="AI360" s="10">
        <f ca="1"/>
        <v>0.46205734217808919</v>
      </c>
      <c r="AJ360" s="1"/>
      <c r="AK360" s="2" cm="1">
        <f t="array" aca="1" ref="AK360" ca="1">MMULT(MMULT(_xlfn.ANCHORARRAY(AE360),$Q$9:$U$13),TRANSPOSE(_xlfn.ANCHORARRAY(AE360)))</f>
        <v>4.6475365833368101E-4</v>
      </c>
      <c r="AL360" s="2">
        <f t="shared" ca="1" si="17"/>
        <v>2.1558145985535977E-2</v>
      </c>
      <c r="AM360" s="2" cm="1">
        <f t="array" aca="1" ref="AM360" ca="1">MMULT(_xlfn.ANCHORARRAY(AE361),TRANSPOSE($Q$3:$U$3))</f>
        <v>1.311776126124156E-3</v>
      </c>
    </row>
    <row r="361" spans="1:39" x14ac:dyDescent="0.35">
      <c r="A361" s="3">
        <v>44354</v>
      </c>
      <c r="B361" s="4">
        <v>38.349155426025298</v>
      </c>
      <c r="C361" s="4">
        <v>88.568389892578097</v>
      </c>
      <c r="D361" s="4">
        <v>47.5747261047363</v>
      </c>
      <c r="E361" s="4">
        <v>16.029741287231399</v>
      </c>
      <c r="F361" s="4">
        <v>244.10820007324199</v>
      </c>
      <c r="I361" s="5">
        <f>B361/B360-1</f>
        <v>-3.4663072418251728E-3</v>
      </c>
      <c r="J361" s="5">
        <f>C361/C360-1</f>
        <v>-6.4545846448209598E-3</v>
      </c>
      <c r="K361" s="5">
        <f>D361/D360-1</f>
        <v>-6.664857575487626E-3</v>
      </c>
      <c r="L361" s="5">
        <f>E361/E360-1</f>
        <v>2.5951849143810435E-3</v>
      </c>
      <c r="M361" s="5">
        <f>F361/F360-1</f>
        <v>1.2041925356801375E-2</v>
      </c>
      <c r="N361" s="5">
        <f>SUMPRODUCT(I361:M361,$AJ$13:$AN$13)</f>
        <v>2.9789301695353201E-3</v>
      </c>
      <c r="P361" s="2" t="s">
        <v>352</v>
      </c>
      <c r="Q361" s="10" cm="1">
        <f t="array" aca="1" ref="Q361:U361" ca="1">_xlfn.LET(_xlpm.array,_xlfn.RANDARRAY(1,COLUMNS(_xlfn.ANCHORARRAY(Q360)),0,1,FALSE),_xlpm.array/SUM(_xlpm.array))</f>
        <v>8.3933323158821793E-2</v>
      </c>
      <c r="R361" s="2">
        <f ca="1"/>
        <v>0.48655469967924009</v>
      </c>
      <c r="S361" s="2">
        <f ca="1"/>
        <v>0.24012125165711534</v>
      </c>
      <c r="T361" s="2">
        <f ca="1"/>
        <v>1.7325258024909862E-2</v>
      </c>
      <c r="U361" s="2">
        <f ca="1"/>
        <v>0.17206546747991289</v>
      </c>
      <c r="V361" s="12"/>
      <c r="X361" s="2" cm="1">
        <f t="array" aca="1" ref="X361" ca="1">MMULT(MMULT(_xlfn.ANCHORARRAY(Q361),$Q$9:$U$13),TRANSPOSE(_xlfn.ANCHORARRAY(Q361)))</f>
        <v>3.0376586446086092E-4</v>
      </c>
      <c r="Y361" s="2">
        <f t="shared" ca="1" si="16"/>
        <v>1.7428880183788655E-2</v>
      </c>
      <c r="Z361" s="2" cm="1">
        <f t="array" aca="1" ref="Z361" ca="1">MMULT(_xlfn.ANCHORARRAY(Q361),TRANSPOSE($Q$3:$U$3))</f>
        <v>9.3722184621446668E-4</v>
      </c>
      <c r="AA361" s="11">
        <f ca="1">AVEDEV(Q361*$Q$3,R361*$R$3,S361*$S$3,T361*$T$3,U361*$U$3)</f>
        <v>1.4814784046243807E-4</v>
      </c>
      <c r="AB361" s="11" cm="1">
        <f t="array" aca="1" ref="AB361" ca="1">MMULT(_xlfn.ANCHORARRAY(Q361),TRANSPOSE($Q$6:$U$6))</f>
        <v>-2.2255082270837903E-2</v>
      </c>
      <c r="AD361" s="2" t="s">
        <v>352</v>
      </c>
      <c r="AE361" s="10" cm="1">
        <f t="array" aca="1" ref="AE361:AI361" ca="1">_xlfn.LET(_xlpm.array,_xlfn.RANDARRAY(1,COLUMNS(_xlfn.ANCHORARRAY(Q360)),-1,1,FALSE),_xlpm.array/SUM(_xlpm.array))</f>
        <v>0.88109412532907705</v>
      </c>
      <c r="AF361" s="10">
        <f ca="1"/>
        <v>-0.48827980733746756</v>
      </c>
      <c r="AG361" s="10">
        <f ca="1"/>
        <v>0.66744365563010266</v>
      </c>
      <c r="AH361" s="10">
        <f ca="1"/>
        <v>0.71148738051443794</v>
      </c>
      <c r="AI361" s="10">
        <f ca="1"/>
        <v>-0.77174535413615009</v>
      </c>
      <c r="AJ361" s="1"/>
      <c r="AK361" s="2" cm="1">
        <f t="array" aca="1" ref="AK361" ca="1">MMULT(MMULT(_xlfn.ANCHORARRAY(AE361),$Q$9:$U$13),TRANSPOSE(_xlfn.ANCHORARRAY(AE361)))</f>
        <v>9.9529578039209902E-4</v>
      </c>
      <c r="AL361" s="2">
        <f t="shared" ca="1" si="17"/>
        <v>3.154830867720327E-2</v>
      </c>
      <c r="AM361" s="2" cm="1">
        <f t="array" aca="1" ref="AM361" ca="1">MMULT(_xlfn.ANCHORARRAY(AE362),TRANSPOSE($Q$3:$U$3))</f>
        <v>2.1081427551353248E-3</v>
      </c>
    </row>
    <row r="362" spans="1:39" x14ac:dyDescent="0.35">
      <c r="A362" s="3">
        <v>44355</v>
      </c>
      <c r="B362" s="4">
        <v>38.135707855224602</v>
      </c>
      <c r="C362" s="4">
        <v>89.373931884765597</v>
      </c>
      <c r="D362" s="4">
        <v>48.0697212219238</v>
      </c>
      <c r="E362" s="4">
        <v>15.995160102844199</v>
      </c>
      <c r="F362" s="4">
        <v>242.915603637695</v>
      </c>
      <c r="I362" s="5">
        <f>B362/B361-1</f>
        <v>-5.5659001724935875E-3</v>
      </c>
      <c r="J362" s="5">
        <f>C362/C361-1</f>
        <v>9.0951409770971825E-3</v>
      </c>
      <c r="K362" s="5">
        <f>D362/D361-1</f>
        <v>1.0404581543943303E-2</v>
      </c>
      <c r="L362" s="5">
        <f>E362/E361-1</f>
        <v>-2.1573139433476163E-3</v>
      </c>
      <c r="M362" s="5">
        <f>F362/F361-1</f>
        <v>-4.8855238586379413E-3</v>
      </c>
      <c r="N362" s="5">
        <f>SUMPRODUCT(I362:M362,$AJ$13:$AN$13)</f>
        <v>4.0891323543291985E-3</v>
      </c>
      <c r="P362" s="2" t="s">
        <v>353</v>
      </c>
      <c r="Q362" s="10" cm="1">
        <f t="array" aca="1" ref="Q362:U362" ca="1">_xlfn.LET(_xlpm.array,_xlfn.RANDARRAY(1,COLUMNS(_xlfn.ANCHORARRAY(Q361)),0,1,FALSE),_xlpm.array/SUM(_xlpm.array))</f>
        <v>3.0376868069439483E-2</v>
      </c>
      <c r="R362" s="2">
        <f ca="1"/>
        <v>0.29258940638340947</v>
      </c>
      <c r="S362" s="2">
        <f ca="1"/>
        <v>9.5436719207923376E-2</v>
      </c>
      <c r="T362" s="2">
        <f ca="1"/>
        <v>0.34272073994168056</v>
      </c>
      <c r="U362" s="2">
        <f ca="1"/>
        <v>0.23887626639754708</v>
      </c>
      <c r="V362" s="12"/>
      <c r="X362" s="2" cm="1">
        <f t="array" aca="1" ref="X362" ca="1">MMULT(MMULT(_xlfn.ANCHORARRAY(Q362),$Q$9:$U$13),TRANSPOSE(_xlfn.ANCHORARRAY(Q362)))</f>
        <v>2.8946784424381267E-4</v>
      </c>
      <c r="Y362" s="2">
        <f t="shared" ca="1" si="16"/>
        <v>1.7013754560467029E-2</v>
      </c>
      <c r="Z362" s="2" cm="1">
        <f t="array" aca="1" ref="Z362" ca="1">MMULT(_xlfn.ANCHORARRAY(Q362),TRANSPOSE($Q$3:$U$3))</f>
        <v>9.1692324695235032E-4</v>
      </c>
      <c r="AA362" s="11">
        <f ca="1">AVEDEV(Q362*$Q$3,R362*$R$3,S362*$S$3,T362*$T$3,U362*$U$3)</f>
        <v>7.8808115530678254E-5</v>
      </c>
      <c r="AB362" s="11" cm="1">
        <f t="array" aca="1" ref="AB362" ca="1">MMULT(_xlfn.ANCHORARRAY(Q362),TRANSPOSE($Q$6:$U$6))</f>
        <v>-2.2706902262139832E-2</v>
      </c>
      <c r="AD362" s="2" t="s">
        <v>353</v>
      </c>
      <c r="AE362" s="10" cm="1">
        <f t="array" aca="1" ref="AE362:AI362" ca="1">_xlfn.LET(_xlpm.array,_xlfn.RANDARRAY(1,COLUMNS(_xlfn.ANCHORARRAY(Q361)),-1,1,FALSE),_xlpm.array/SUM(_xlpm.array))</f>
        <v>-6.9285820758921632E-2</v>
      </c>
      <c r="AF362" s="10">
        <f ca="1"/>
        <v>2.099302369866908</v>
      </c>
      <c r="AG362" s="10">
        <f ca="1"/>
        <v>1.7431474304326504</v>
      </c>
      <c r="AH362" s="10">
        <f ca="1"/>
        <v>-0.38729548556149346</v>
      </c>
      <c r="AI362" s="10">
        <f ca="1"/>
        <v>-2.3858684939791432</v>
      </c>
      <c r="AJ362" s="1"/>
      <c r="AK362" s="2" cm="1">
        <f t="array" aca="1" ref="AK362" ca="1">MMULT(MMULT(_xlfn.ANCHORARRAY(AE362),$Q$9:$U$13),TRANSPOSE(_xlfn.ANCHORARRAY(AE362)))</f>
        <v>4.315359279744746E-3</v>
      </c>
      <c r="AL362" s="2">
        <f t="shared" ca="1" si="17"/>
        <v>6.5691394259406205E-2</v>
      </c>
      <c r="AM362" s="2" cm="1">
        <f t="array" aca="1" ref="AM362" ca="1">MMULT(_xlfn.ANCHORARRAY(AE363),TRANSPOSE($Q$3:$U$3))</f>
        <v>1.1663519807802564E-3</v>
      </c>
    </row>
    <row r="363" spans="1:39" x14ac:dyDescent="0.35">
      <c r="A363" s="3">
        <v>44356</v>
      </c>
      <c r="B363" s="4">
        <v>37.637672424316399</v>
      </c>
      <c r="C363" s="4">
        <v>88.593063354492102</v>
      </c>
      <c r="D363" s="4">
        <v>48.0928535461425</v>
      </c>
      <c r="E363" s="4">
        <v>15.8430223464965</v>
      </c>
      <c r="F363" s="4">
        <v>243.89660644531199</v>
      </c>
      <c r="I363" s="5">
        <f>B363/B362-1</f>
        <v>-1.305955648703061E-2</v>
      </c>
      <c r="J363" s="5">
        <f>C363/C362-1</f>
        <v>-8.7370949650096286E-3</v>
      </c>
      <c r="K363" s="5">
        <f>D363/D362-1</f>
        <v>4.8122443048725927E-4</v>
      </c>
      <c r="L363" s="5">
        <f>E363/E362-1</f>
        <v>-9.5114869353916109E-3</v>
      </c>
      <c r="M363" s="5">
        <f>F363/F362-1</f>
        <v>4.0384511860347416E-3</v>
      </c>
      <c r="N363" s="5">
        <f>SUMPRODUCT(I363:M363,$AJ$13:$AN$13)</f>
        <v>1.2185248418214525E-3</v>
      </c>
      <c r="P363" s="2" t="s">
        <v>354</v>
      </c>
      <c r="Q363" s="10" cm="1">
        <f t="array" aca="1" ref="Q363:U363" ca="1">_xlfn.LET(_xlpm.array,_xlfn.RANDARRAY(1,COLUMNS(_xlfn.ANCHORARRAY(Q362)),0,1,FALSE),_xlpm.array/SUM(_xlpm.array))</f>
        <v>0.4191279858340361</v>
      </c>
      <c r="R363" s="2">
        <f ca="1"/>
        <v>3.6131902883798646E-2</v>
      </c>
      <c r="S363" s="2">
        <f ca="1"/>
        <v>0.13689637778930824</v>
      </c>
      <c r="T363" s="2">
        <f ca="1"/>
        <v>0.37149693420462715</v>
      </c>
      <c r="U363" s="2">
        <f ca="1"/>
        <v>3.6346799288229849E-2</v>
      </c>
      <c r="V363" s="12"/>
      <c r="X363" s="2" cm="1">
        <f t="array" aca="1" ref="X363" ca="1">MMULT(MMULT(_xlfn.ANCHORARRAY(Q363),$Q$9:$U$13),TRANSPOSE(_xlfn.ANCHORARRAY(Q363)))</f>
        <v>3.2857356022497429E-4</v>
      </c>
      <c r="Y363" s="2">
        <f t="shared" ca="1" si="16"/>
        <v>1.8126598142645913E-2</v>
      </c>
      <c r="Z363" s="2" cm="1">
        <f t="array" aca="1" ref="Z363" ca="1">MMULT(_xlfn.ANCHORARRAY(Q363),TRANSPOSE($Q$3:$U$3))</f>
        <v>8.6905259447677839E-4</v>
      </c>
      <c r="AA363" s="11">
        <f ca="1">AVEDEV(Q363*$Q$3,R363*$R$3,S363*$S$3,T363*$T$3,U363*$U$3)</f>
        <v>1.1737444927086777E-4</v>
      </c>
      <c r="AB363" s="11" cm="1">
        <f t="array" aca="1" ref="AB363" ca="1">MMULT(_xlfn.ANCHORARRAY(Q363),TRANSPOSE($Q$6:$U$6))</f>
        <v>-2.3597526864500201E-2</v>
      </c>
      <c r="AD363" s="2" t="s">
        <v>354</v>
      </c>
      <c r="AE363" s="10" cm="1">
        <f t="array" aca="1" ref="AE363:AI363" ca="1">_xlfn.LET(_xlpm.array,_xlfn.RANDARRAY(1,COLUMNS(_xlfn.ANCHORARRAY(Q362)),-1,1,FALSE),_xlpm.array/SUM(_xlpm.array))</f>
        <v>1.9429114394174832E-2</v>
      </c>
      <c r="AF363" s="10">
        <f ca="1"/>
        <v>0.33151702867766825</v>
      </c>
      <c r="AG363" s="10">
        <f ca="1"/>
        <v>0.37270455792932422</v>
      </c>
      <c r="AH363" s="10">
        <f ca="1"/>
        <v>0.38070556185042026</v>
      </c>
      <c r="AI363" s="10">
        <f ca="1"/>
        <v>-0.10435626285158781</v>
      </c>
      <c r="AJ363" s="1"/>
      <c r="AK363" s="2" cm="1">
        <f t="array" aca="1" ref="AK363" ca="1">MMULT(MMULT(_xlfn.ANCHORARRAY(AE363),$Q$9:$U$13),TRANSPOSE(_xlfn.ANCHORARRAY(AE363)))</f>
        <v>4.2843839043780834E-4</v>
      </c>
      <c r="AL363" s="2">
        <f t="shared" ca="1" si="17"/>
        <v>2.0698753354678353E-2</v>
      </c>
      <c r="AM363" s="2" cm="1">
        <f t="array" aca="1" ref="AM363" ca="1">MMULT(_xlfn.ANCHORARRAY(AE364),TRANSPOSE($Q$3:$U$3))</f>
        <v>6.0262557201232224E-4</v>
      </c>
    </row>
    <row r="364" spans="1:39" x14ac:dyDescent="0.35">
      <c r="A364" s="3">
        <v>44357</v>
      </c>
      <c r="B364" s="4">
        <v>37.077365875244098</v>
      </c>
      <c r="C364" s="4">
        <v>89.110900878906193</v>
      </c>
      <c r="D364" s="4">
        <v>48.014213562011697</v>
      </c>
      <c r="E364" s="4">
        <v>15.8706874847412</v>
      </c>
      <c r="F364" s="4">
        <v>247.40705871582</v>
      </c>
      <c r="I364" s="5">
        <f>B364/B363-1</f>
        <v>-1.4886854393001858E-2</v>
      </c>
      <c r="J364" s="5">
        <f>C364/C363-1</f>
        <v>5.8451249432704966E-3</v>
      </c>
      <c r="K364" s="5">
        <f>D364/D363-1</f>
        <v>-1.6351698502429235E-3</v>
      </c>
      <c r="L364" s="5">
        <f>E364/E363-1</f>
        <v>1.7462033215409622E-3</v>
      </c>
      <c r="M364" s="5">
        <f>F364/F363-1</f>
        <v>1.4393198501903459E-2</v>
      </c>
      <c r="N364" s="5">
        <f>SUMPRODUCT(I364:M364,$AJ$13:$AN$13)</f>
        <v>8.8865068522932418E-3</v>
      </c>
      <c r="P364" s="2" t="s">
        <v>355</v>
      </c>
      <c r="Q364" s="10" cm="1">
        <f t="array" aca="1" ref="Q364:U364" ca="1">_xlfn.LET(_xlpm.array,_xlfn.RANDARRAY(1,COLUMNS(_xlfn.ANCHORARRAY(Q363)),0,1,FALSE),_xlpm.array/SUM(_xlpm.array))</f>
        <v>7.249178614351362E-2</v>
      </c>
      <c r="R364" s="2">
        <f ca="1"/>
        <v>0.39396267189022771</v>
      </c>
      <c r="S364" s="2">
        <f ca="1"/>
        <v>0.42911153573906546</v>
      </c>
      <c r="T364" s="2">
        <f ca="1"/>
        <v>2.0258667273654257E-2</v>
      </c>
      <c r="U364" s="2">
        <f ca="1"/>
        <v>8.4175338953538945E-2</v>
      </c>
      <c r="V364" s="12"/>
      <c r="X364" s="2" cm="1">
        <f t="array" aca="1" ref="X364" ca="1">MMULT(MMULT(_xlfn.ANCHORARRAY(Q364),$Q$9:$U$13),TRANSPOSE(_xlfn.ANCHORARRAY(Q364)))</f>
        <v>3.7059629435321861E-4</v>
      </c>
      <c r="Y364" s="2">
        <f t="shared" ca="1" si="16"/>
        <v>1.9250877755396471E-2</v>
      </c>
      <c r="Z364" s="2" cm="1">
        <f t="array" aca="1" ref="Z364" ca="1">MMULT(_xlfn.ANCHORARRAY(Q364),TRANSPOSE($Q$3:$U$3))</f>
        <v>1.1064865018638682E-3</v>
      </c>
      <c r="AA364" s="11">
        <f ca="1">AVEDEV(Q364*$Q$3,R364*$R$3,S364*$S$3,T364*$T$3,U364*$U$3)</f>
        <v>2.1678791681114615E-4</v>
      </c>
      <c r="AB364" s="11" cm="1">
        <f t="array" aca="1" ref="AB364" ca="1">MMULT(_xlfn.ANCHORARRAY(Q364),TRANSPOSE($Q$6:$U$6))</f>
        <v>-2.3536465605762624E-2</v>
      </c>
      <c r="AD364" s="2" t="s">
        <v>355</v>
      </c>
      <c r="AE364" s="10" cm="1">
        <f t="array" aca="1" ref="AE364:AI364" ca="1">_xlfn.LET(_xlpm.array,_xlfn.RANDARRAY(1,COLUMNS(_xlfn.ANCHORARRAY(Q363)),-1,1,FALSE),_xlpm.array/SUM(_xlpm.array))</f>
        <v>0.39729520709787436</v>
      </c>
      <c r="AF364" s="10">
        <f ca="1"/>
        <v>0.51824406515145827</v>
      </c>
      <c r="AG364" s="10">
        <f ca="1"/>
        <v>0.1089566730219494</v>
      </c>
      <c r="AH364" s="10">
        <f ca="1"/>
        <v>-0.52947667617008387</v>
      </c>
      <c r="AI364" s="10">
        <f ca="1"/>
        <v>0.5049807308988018</v>
      </c>
      <c r="AJ364" s="1"/>
      <c r="AK364" s="2" cm="1">
        <f t="array" aca="1" ref="AK364" ca="1">MMULT(MMULT(_xlfn.ANCHORARRAY(AE364),$Q$9:$U$13),TRANSPOSE(_xlfn.ANCHORARRAY(AE364)))</f>
        <v>3.9388684632247399E-4</v>
      </c>
      <c r="AL364" s="2">
        <f t="shared" ca="1" si="17"/>
        <v>1.9846582736644462E-2</v>
      </c>
      <c r="AM364" s="2" cm="1">
        <f t="array" aca="1" ref="AM364" ca="1">MMULT(_xlfn.ANCHORARRAY(AE365),TRANSPOSE($Q$3:$U$3))</f>
        <v>1.2902301894900084E-3</v>
      </c>
    </row>
    <row r="365" spans="1:39" x14ac:dyDescent="0.35">
      <c r="A365" s="3">
        <v>44358</v>
      </c>
      <c r="B365" s="4">
        <v>37.228557586669901</v>
      </c>
      <c r="C365" s="4">
        <v>88.699905395507798</v>
      </c>
      <c r="D365" s="4">
        <v>48.102108001708899</v>
      </c>
      <c r="E365" s="4">
        <v>15.815364837646401</v>
      </c>
      <c r="F365" s="4">
        <v>248.03225708007801</v>
      </c>
      <c r="I365" s="5">
        <f>B365/B364-1</f>
        <v>4.0777360488477576E-3</v>
      </c>
      <c r="J365" s="5">
        <f>C365/C364-1</f>
        <v>-4.6121796474362098E-3</v>
      </c>
      <c r="K365" s="5">
        <f>D365/D364-1</f>
        <v>1.8305920929786446E-3</v>
      </c>
      <c r="L365" s="5">
        <f>E365/E364-1</f>
        <v>-3.4858380991994453E-3</v>
      </c>
      <c r="M365" s="5">
        <f>F365/F364-1</f>
        <v>2.5270029380048964E-3</v>
      </c>
      <c r="N365" s="5">
        <f>SUMPRODUCT(I365:M365,$AJ$13:$AN$13)</f>
        <v>-8.5973886768707017E-4</v>
      </c>
      <c r="P365" s="2" t="s">
        <v>356</v>
      </c>
      <c r="Q365" s="10" cm="1">
        <f t="array" aca="1" ref="Q365:U365" ca="1">_xlfn.LET(_xlpm.array,_xlfn.RANDARRAY(1,COLUMNS(_xlfn.ANCHORARRAY(Q364)),0,1,FALSE),_xlpm.array/SUM(_xlpm.array))</f>
        <v>0.35337419303248091</v>
      </c>
      <c r="R365" s="2">
        <f ca="1"/>
        <v>0.1214888618443891</v>
      </c>
      <c r="S365" s="2">
        <f ca="1"/>
        <v>0.31660006757148751</v>
      </c>
      <c r="T365" s="2">
        <f ca="1"/>
        <v>7.7393431380024446E-3</v>
      </c>
      <c r="U365" s="2">
        <f ca="1"/>
        <v>0.20079753441364001</v>
      </c>
      <c r="V365" s="12"/>
      <c r="X365" s="2" cm="1">
        <f t="array" aca="1" ref="X365" ca="1">MMULT(MMULT(_xlfn.ANCHORARRAY(Q365),$Q$9:$U$13),TRANSPOSE(_xlfn.ANCHORARRAY(Q365)))</f>
        <v>3.1884578601013079E-4</v>
      </c>
      <c r="Y365" s="2">
        <f t="shared" ca="1" si="16"/>
        <v>1.7856253414704072E-2</v>
      </c>
      <c r="Z365" s="2" cm="1">
        <f t="array" aca="1" ref="Z365" ca="1">MMULT(_xlfn.ANCHORARRAY(Q365),TRANSPOSE($Q$3:$U$3))</f>
        <v>9.439631792900235E-4</v>
      </c>
      <c r="AA365" s="11">
        <f ca="1">AVEDEV(Q365*$Q$3,R365*$R$3,S365*$S$3,T365*$T$3,U365*$U$3)</f>
        <v>1.301464474657853E-4</v>
      </c>
      <c r="AB365" s="11" cm="1">
        <f t="array" aca="1" ref="AB365" ca="1">MMULT(_xlfn.ANCHORARRAY(Q365),TRANSPOSE($Q$6:$U$6))</f>
        <v>-2.2970998679017245E-2</v>
      </c>
      <c r="AD365" s="2" t="s">
        <v>356</v>
      </c>
      <c r="AE365" s="10" cm="1">
        <f t="array" aca="1" ref="AE365:AI365" ca="1">_xlfn.LET(_xlpm.array,_xlfn.RANDARRAY(1,COLUMNS(_xlfn.ANCHORARRAY(Q364)),-1,1,FALSE),_xlpm.array/SUM(_xlpm.array))</f>
        <v>-0.62550912053749708</v>
      </c>
      <c r="AF365" s="10">
        <f ca="1"/>
        <v>0.49256581070163957</v>
      </c>
      <c r="AG365" s="10">
        <f ca="1"/>
        <v>0.44925744577666288</v>
      </c>
      <c r="AH365" s="10">
        <f ca="1"/>
        <v>-1.582048218691556E-2</v>
      </c>
      <c r="AI365" s="10">
        <f ca="1"/>
        <v>0.69950634624611019</v>
      </c>
      <c r="AJ365" s="1"/>
      <c r="AK365" s="2" cm="1">
        <f t="array" aca="1" ref="AK365" ca="1">MMULT(MMULT(_xlfn.ANCHORARRAY(AE365),$Q$9:$U$13),TRANSPOSE(_xlfn.ANCHORARRAY(AE365)))</f>
        <v>5.0484028406938238E-4</v>
      </c>
      <c r="AL365" s="2">
        <f t="shared" ca="1" si="17"/>
        <v>2.2468651140408549E-2</v>
      </c>
      <c r="AM365" s="2" cm="1">
        <f t="array" aca="1" ref="AM365" ca="1">MMULT(_xlfn.ANCHORARRAY(AE366),TRANSPOSE($Q$3:$U$3))</f>
        <v>1.3005105988453756E-3</v>
      </c>
    </row>
    <row r="366" spans="1:39" x14ac:dyDescent="0.35">
      <c r="A366" s="3">
        <v>44361</v>
      </c>
      <c r="B366" s="4">
        <v>36.783878326416001</v>
      </c>
      <c r="C366" s="4">
        <v>88.749221801757798</v>
      </c>
      <c r="D366" s="4">
        <v>47.528476715087798</v>
      </c>
      <c r="E366" s="4">
        <v>15.822283744811999</v>
      </c>
      <c r="F366" s="4">
        <v>249.95578002929599</v>
      </c>
      <c r="I366" s="5">
        <f>B366/B365-1</f>
        <v>-1.194457397976445E-2</v>
      </c>
      <c r="J366" s="5">
        <f>C366/C365-1</f>
        <v>5.5599164429875891E-4</v>
      </c>
      <c r="K366" s="5">
        <f>D366/D365-1</f>
        <v>-1.1925283744336546E-2</v>
      </c>
      <c r="L366" s="5">
        <f>E366/E365-1</f>
        <v>4.3748008576627306E-4</v>
      </c>
      <c r="M366" s="5">
        <f>F366/F365-1</f>
        <v>7.755132222971195E-3</v>
      </c>
      <c r="N366" s="5">
        <f>SUMPRODUCT(I366:M366,$AJ$13:$AN$13)</f>
        <v>2.2132120188195128E-5</v>
      </c>
      <c r="P366" s="2" t="s">
        <v>357</v>
      </c>
      <c r="Q366" s="10" cm="1">
        <f t="array" aca="1" ref="Q366:U366" ca="1">_xlfn.LET(_xlpm.array,_xlfn.RANDARRAY(1,COLUMNS(_xlfn.ANCHORARRAY(Q365)),0,1,FALSE),_xlpm.array/SUM(_xlpm.array))</f>
        <v>0.33247409785506576</v>
      </c>
      <c r="R366" s="2">
        <f ca="1"/>
        <v>0.27008535126760536</v>
      </c>
      <c r="S366" s="2">
        <f ca="1"/>
        <v>0.16696471539089711</v>
      </c>
      <c r="T366" s="2">
        <f ca="1"/>
        <v>6.0510497466099059E-2</v>
      </c>
      <c r="U366" s="2">
        <f ca="1"/>
        <v>0.1699653380203327</v>
      </c>
      <c r="V366" s="12"/>
      <c r="X366" s="2" cm="1">
        <f t="array" aca="1" ref="X366" ca="1">MMULT(MMULT(_xlfn.ANCHORARRAY(Q366),$Q$9:$U$13),TRANSPOSE(_xlfn.ANCHORARRAY(Q366)))</f>
        <v>2.8472859694660715E-4</v>
      </c>
      <c r="Y366" s="2">
        <f t="shared" ca="1" si="16"/>
        <v>1.6873902836824894E-2</v>
      </c>
      <c r="Z366" s="2" cm="1">
        <f t="array" aca="1" ref="Z366" ca="1">MMULT(_xlfn.ANCHORARRAY(Q366),TRANSPOSE($Q$3:$U$3))</f>
        <v>8.2917360781313706E-4</v>
      </c>
      <c r="AA366" s="11">
        <f ca="1">AVEDEV(Q366*$Q$3,R366*$R$3,S366*$S$3,T366*$T$3,U366*$U$3)</f>
        <v>5.5940897943160856E-5</v>
      </c>
      <c r="AB366" s="11" cm="1">
        <f t="array" aca="1" ref="AB366" ca="1">MMULT(_xlfn.ANCHORARRAY(Q366),TRANSPOSE($Q$6:$U$6))</f>
        <v>-2.2224819175791943E-2</v>
      </c>
      <c r="AD366" s="2" t="s">
        <v>357</v>
      </c>
      <c r="AE366" s="10" cm="1">
        <f t="array" aca="1" ref="AE366:AI366" ca="1">_xlfn.LET(_xlpm.array,_xlfn.RANDARRAY(1,COLUMNS(_xlfn.ANCHORARRAY(Q365)),-1,1,FALSE),_xlpm.array/SUM(_xlpm.array))</f>
        <v>-0.16893096609508496</v>
      </c>
      <c r="AF366" s="10">
        <f ca="1"/>
        <v>0.4015420122199555</v>
      </c>
      <c r="AG366" s="10">
        <f ca="1"/>
        <v>0.46231446164282963</v>
      </c>
      <c r="AH366" s="10">
        <f ca="1"/>
        <v>0.42455847101869038</v>
      </c>
      <c r="AI366" s="10">
        <f ca="1"/>
        <v>-0.11948397878639035</v>
      </c>
      <c r="AJ366" s="1"/>
      <c r="AK366" s="2" cm="1">
        <f t="array" aca="1" ref="AK366" ca="1">MMULT(MMULT(_xlfn.ANCHORARRAY(AE366),$Q$9:$U$13),TRANSPOSE(_xlfn.ANCHORARRAY(AE366)))</f>
        <v>5.0490304186271069E-4</v>
      </c>
      <c r="AL366" s="2">
        <f t="shared" ca="1" si="17"/>
        <v>2.247004766044591E-2</v>
      </c>
      <c r="AM366" s="2" cm="1">
        <f t="array" aca="1" ref="AM366" ca="1">MMULT(_xlfn.ANCHORARRAY(AE367),TRANSPOSE($Q$3:$U$3))</f>
        <v>1.1046867254968179E-3</v>
      </c>
    </row>
    <row r="367" spans="1:39" x14ac:dyDescent="0.35">
      <c r="A367" s="3">
        <v>44362</v>
      </c>
      <c r="B367" s="4">
        <v>36.8105659484863</v>
      </c>
      <c r="C367" s="4">
        <v>90.664443969726506</v>
      </c>
      <c r="D367" s="4">
        <v>47.583984375</v>
      </c>
      <c r="E367" s="4">
        <v>15.663226127624499</v>
      </c>
      <c r="F367" s="4">
        <v>248.48422241210901</v>
      </c>
      <c r="I367" s="5">
        <f>B367/B366-1</f>
        <v>7.2552496595035265E-4</v>
      </c>
      <c r="J367" s="5">
        <f>C367/C366-1</f>
        <v>2.1580157313906501E-2</v>
      </c>
      <c r="K367" s="5">
        <f>D367/D366-1</f>
        <v>1.1678821571527997E-3</v>
      </c>
      <c r="L367" s="5">
        <f>E367/E366-1</f>
        <v>-1.0052759750289075E-2</v>
      </c>
      <c r="M367" s="5">
        <f>F367/F366-1</f>
        <v>-5.8872718086955267E-3</v>
      </c>
      <c r="N367" s="5">
        <f>SUMPRODUCT(I367:M367,$AJ$13:$AN$13)</f>
        <v>-6.9725867079677446E-3</v>
      </c>
      <c r="P367" s="2" t="s">
        <v>358</v>
      </c>
      <c r="Q367" s="10" cm="1">
        <f t="array" aca="1" ref="Q367:U367" ca="1">_xlfn.LET(_xlpm.array,_xlfn.RANDARRAY(1,COLUMNS(_xlfn.ANCHORARRAY(Q366)),0,1,FALSE),_xlpm.array/SUM(_xlpm.array))</f>
        <v>0.10212307879449792</v>
      </c>
      <c r="R367" s="2">
        <f ca="1"/>
        <v>0.38894030308625371</v>
      </c>
      <c r="S367" s="2">
        <f ca="1"/>
        <v>0.24941516393524621</v>
      </c>
      <c r="T367" s="2">
        <f ca="1"/>
        <v>0.22882833342685802</v>
      </c>
      <c r="U367" s="2">
        <f ca="1"/>
        <v>3.0693120757144313E-2</v>
      </c>
      <c r="V367" s="12"/>
      <c r="X367" s="2" cm="1">
        <f t="array" aca="1" ref="X367" ca="1">MMULT(MMULT(_xlfn.ANCHORARRAY(Q367),$Q$9:$U$13),TRANSPOSE(_xlfn.ANCHORARRAY(Q367)))</f>
        <v>3.3720924766945633E-4</v>
      </c>
      <c r="Y367" s="2">
        <f t="shared" ca="1" si="16"/>
        <v>1.8363258089714264E-2</v>
      </c>
      <c r="Z367" s="2" cm="1">
        <f t="array" aca="1" ref="Z367" ca="1">MMULT(_xlfn.ANCHORARRAY(Q367),TRANSPOSE($Q$3:$U$3))</f>
        <v>9.9822418290733753E-4</v>
      </c>
      <c r="AA367" s="11">
        <f ca="1">AVEDEV(Q367*$Q$3,R367*$R$3,S367*$S$3,T367*$T$3,U367*$U$3)</f>
        <v>1.2956410040611637E-4</v>
      </c>
      <c r="AB367" s="11" cm="1">
        <f t="array" aca="1" ref="AB367" ca="1">MMULT(_xlfn.ANCHORARRAY(Q367),TRANSPOSE($Q$6:$U$6))</f>
        <v>-2.3366117134102242E-2</v>
      </c>
      <c r="AD367" s="2" t="s">
        <v>358</v>
      </c>
      <c r="AE367" s="10" cm="1">
        <f t="array" aca="1" ref="AE367:AI367" ca="1">_xlfn.LET(_xlpm.array,_xlfn.RANDARRAY(1,COLUMNS(_xlfn.ANCHORARRAY(Q366)),-1,1,FALSE),_xlpm.array/SUM(_xlpm.array))</f>
        <v>-0.42931671289121798</v>
      </c>
      <c r="AF367" s="10">
        <f ca="1"/>
        <v>0.51962997323049875</v>
      </c>
      <c r="AG367" s="10">
        <f ca="1"/>
        <v>0.23307897334765537</v>
      </c>
      <c r="AH367" s="10">
        <f ca="1"/>
        <v>0.18462439221882071</v>
      </c>
      <c r="AI367" s="10">
        <f ca="1"/>
        <v>0.4919833740942432</v>
      </c>
      <c r="AJ367" s="1"/>
      <c r="AK367" s="2" cm="1">
        <f t="array" aca="1" ref="AK367" ca="1">MMULT(MMULT(_xlfn.ANCHORARRAY(AE367),$Q$9:$U$13),TRANSPOSE(_xlfn.ANCHORARRAY(AE367)))</f>
        <v>3.5176974357325737E-4</v>
      </c>
      <c r="AL367" s="2">
        <f t="shared" ca="1" si="17"/>
        <v>1.8755525681069495E-2</v>
      </c>
      <c r="AM367" s="2" cm="1">
        <f t="array" aca="1" ref="AM367" ca="1">MMULT(_xlfn.ANCHORARRAY(AE368),TRANSPOSE($Q$3:$U$3))</f>
        <v>5.8684887573916625E-4</v>
      </c>
    </row>
    <row r="368" spans="1:39" x14ac:dyDescent="0.35">
      <c r="A368" s="3">
        <v>44363</v>
      </c>
      <c r="B368" s="4">
        <v>37.015110015869098</v>
      </c>
      <c r="C368" s="4">
        <v>90.146583557128906</v>
      </c>
      <c r="D368" s="4">
        <v>47.533096313476499</v>
      </c>
      <c r="E368" s="4">
        <v>15.075421333312899</v>
      </c>
      <c r="F368" s="4">
        <v>247.54176330566401</v>
      </c>
      <c r="I368" s="5">
        <f>B368/B367-1</f>
        <v>5.5566672805043016E-3</v>
      </c>
      <c r="J368" s="5">
        <f>C368/C367-1</f>
        <v>-5.7118357530601127E-3</v>
      </c>
      <c r="K368" s="5">
        <f>D368/D367-1</f>
        <v>-1.0694367483492506E-3</v>
      </c>
      <c r="L368" s="5">
        <f>E368/E367-1</f>
        <v>-3.7527696371242203E-2</v>
      </c>
      <c r="M368" s="5">
        <f>F368/F367-1</f>
        <v>-3.7928327895279113E-3</v>
      </c>
      <c r="N368" s="5">
        <f>SUMPRODUCT(I368:M368,$AJ$13:$AN$13)</f>
        <v>-2.0778798900924648E-2</v>
      </c>
      <c r="P368" s="2" t="s">
        <v>359</v>
      </c>
      <c r="Q368" s="10" cm="1">
        <f t="array" aca="1" ref="Q368:U368" ca="1">_xlfn.LET(_xlpm.array,_xlfn.RANDARRAY(1,COLUMNS(_xlfn.ANCHORARRAY(Q367)),0,1,FALSE),_xlpm.array/SUM(_xlpm.array))</f>
        <v>0.2940908004703191</v>
      </c>
      <c r="R368" s="2">
        <f ca="1"/>
        <v>0.33061771240529342</v>
      </c>
      <c r="S368" s="2">
        <f ca="1"/>
        <v>0.16883833512424504</v>
      </c>
      <c r="T368" s="2">
        <f ca="1"/>
        <v>0.10475333490171798</v>
      </c>
      <c r="U368" s="2">
        <f ca="1"/>
        <v>0.10169981709842447</v>
      </c>
      <c r="V368" s="12"/>
      <c r="X368" s="2" cm="1">
        <f t="array" aca="1" ref="X368" ca="1">MMULT(MMULT(_xlfn.ANCHORARRAY(Q368),$Q$9:$U$13),TRANSPOSE(_xlfn.ANCHORARRAY(Q368)))</f>
        <v>2.9830601320877796E-4</v>
      </c>
      <c r="Y368" s="2">
        <f t="shared" ca="1" si="16"/>
        <v>1.727153766196797E-2</v>
      </c>
      <c r="Z368" s="2" cm="1">
        <f t="array" aca="1" ref="Z368" ca="1">MMULT(_xlfn.ANCHORARRAY(Q368),TRANSPOSE($Q$3:$U$3))</f>
        <v>8.4989739086043501E-4</v>
      </c>
      <c r="AA368" s="11">
        <f ca="1">AVEDEV(Q368*$Q$3,R368*$R$3,S368*$S$3,T368*$T$3,U368*$U$3)</f>
        <v>7.0265837762607989E-5</v>
      </c>
      <c r="AB368" s="11" cm="1">
        <f t="array" aca="1" ref="AB368" ca="1">MMULT(_xlfn.ANCHORARRAY(Q368),TRANSPOSE($Q$6:$U$6))</f>
        <v>-2.2432334637266269E-2</v>
      </c>
      <c r="AD368" s="2" t="s">
        <v>359</v>
      </c>
      <c r="AE368" s="10" cm="1">
        <f t="array" aca="1" ref="AE368:AI368" ca="1">_xlfn.LET(_xlpm.array,_xlfn.RANDARRAY(1,COLUMNS(_xlfn.ANCHORARRAY(Q367)),-1,1,FALSE),_xlpm.array/SUM(_xlpm.array))</f>
        <v>-0.55354841404752564</v>
      </c>
      <c r="AF368" s="10">
        <f ca="1"/>
        <v>0.66266979756226396</v>
      </c>
      <c r="AG368" s="10">
        <f ca="1"/>
        <v>-0.55804287607035374</v>
      </c>
      <c r="AH368" s="10">
        <f ca="1"/>
        <v>0.71010669079299293</v>
      </c>
      <c r="AI368" s="10">
        <f ca="1"/>
        <v>0.73881480176262238</v>
      </c>
      <c r="AJ368" s="1"/>
      <c r="AK368" s="2" cm="1">
        <f t="array" aca="1" ref="AK368" ca="1">MMULT(MMULT(_xlfn.ANCHORARRAY(AE368),$Q$9:$U$13),TRANSPOSE(_xlfn.ANCHORARRAY(AE368)))</f>
        <v>7.8242128922158911E-4</v>
      </c>
      <c r="AL368" s="2">
        <f t="shared" ca="1" si="17"/>
        <v>2.797179452987579E-2</v>
      </c>
      <c r="AM368" s="2" cm="1">
        <f t="array" aca="1" ref="AM368" ca="1">MMULT(_xlfn.ANCHORARRAY(AE369),TRANSPOSE($Q$3:$U$3))</f>
        <v>6.5704179976400798E-4</v>
      </c>
    </row>
    <row r="369" spans="1:39" x14ac:dyDescent="0.35">
      <c r="A369" s="3">
        <v>44364</v>
      </c>
      <c r="B369" s="4">
        <v>35.396484375</v>
      </c>
      <c r="C369" s="4">
        <v>88.009437561035099</v>
      </c>
      <c r="D369" s="4">
        <v>46.099006652832003</v>
      </c>
      <c r="E369" s="4">
        <v>14.536027908325099</v>
      </c>
      <c r="F369" s="4">
        <v>250.92710876464801</v>
      </c>
      <c r="I369" s="5">
        <f>B369/B368-1</f>
        <v>-4.3728781034965469E-2</v>
      </c>
      <c r="J369" s="5">
        <f>C369/C368-1</f>
        <v>-2.3707454145940221E-2</v>
      </c>
      <c r="K369" s="5">
        <f>D369/D368-1</f>
        <v>-3.0170339655275158E-2</v>
      </c>
      <c r="L369" s="5">
        <f>E369/E368-1</f>
        <v>-3.5779658363237599E-2</v>
      </c>
      <c r="M369" s="5">
        <f>F369/F368-1</f>
        <v>1.3675855798133796E-2</v>
      </c>
      <c r="N369" s="5">
        <f>SUMPRODUCT(I369:M369,$AJ$13:$AN$13)</f>
        <v>-1.4435139099597535E-2</v>
      </c>
      <c r="P369" s="2" t="s">
        <v>360</v>
      </c>
      <c r="Q369" s="10" cm="1">
        <f t="array" aca="1" ref="Q369:U369" ca="1">_xlfn.LET(_xlpm.array,_xlfn.RANDARRAY(1,COLUMNS(_xlfn.ANCHORARRAY(Q368)),0,1,FALSE),_xlpm.array/SUM(_xlpm.array))</f>
        <v>0.16960971782757484</v>
      </c>
      <c r="R369" s="2">
        <f ca="1"/>
        <v>0.24914424531571441</v>
      </c>
      <c r="S369" s="2">
        <f ca="1"/>
        <v>9.0960735832512088E-2</v>
      </c>
      <c r="T369" s="2">
        <f ca="1"/>
        <v>0.28078100135568934</v>
      </c>
      <c r="U369" s="2">
        <f ca="1"/>
        <v>0.20950429966850931</v>
      </c>
      <c r="V369" s="12"/>
      <c r="X369" s="2" cm="1">
        <f t="array" aca="1" ref="X369" ca="1">MMULT(MMULT(_xlfn.ANCHORARRAY(Q369),$Q$9:$U$13),TRANSPOSE(_xlfn.ANCHORARRAY(Q369)))</f>
        <v>2.7749326804518074E-4</v>
      </c>
      <c r="Y369" s="2">
        <f t="shared" ca="1" si="16"/>
        <v>1.6658129188032514E-2</v>
      </c>
      <c r="Z369" s="2" cm="1">
        <f t="array" aca="1" ref="Z369" ca="1">MMULT(_xlfn.ANCHORARRAY(Q369),TRANSPOSE($Q$3:$U$3))</f>
        <v>8.6294950809021162E-4</v>
      </c>
      <c r="AA369" s="11">
        <f ca="1">AVEDEV(Q369*$Q$3,R369*$R$3,S369*$S$3,T369*$T$3,U369*$U$3)</f>
        <v>4.9442293393378154E-5</v>
      </c>
      <c r="AB369" s="11" cm="1">
        <f t="array" aca="1" ref="AB369" ca="1">MMULT(_xlfn.ANCHORARRAY(Q369),TRANSPOSE($Q$6:$U$6))</f>
        <v>-2.2549233979929681E-2</v>
      </c>
      <c r="AD369" s="2" t="s">
        <v>360</v>
      </c>
      <c r="AE369" s="10" cm="1">
        <f t="array" aca="1" ref="AE369:AI369" ca="1">_xlfn.LET(_xlpm.array,_xlfn.RANDARRAY(1,COLUMNS(_xlfn.ANCHORARRAY(Q368)),-1,1,FALSE),_xlpm.array/SUM(_xlpm.array))</f>
        <v>0.60930716650281702</v>
      </c>
      <c r="AF369" s="10">
        <f ca="1"/>
        <v>0.66980085930611066</v>
      </c>
      <c r="AG369" s="10">
        <f ca="1"/>
        <v>-0.53978780921423175</v>
      </c>
      <c r="AH369" s="10">
        <f ca="1"/>
        <v>2.0855116344558375</v>
      </c>
      <c r="AI369" s="10">
        <f ca="1"/>
        <v>-1.8248318510505335</v>
      </c>
      <c r="AJ369" s="1"/>
      <c r="AK369" s="2" cm="1">
        <f t="array" aca="1" ref="AK369" ca="1">MMULT(MMULT(_xlfn.ANCHORARRAY(AE369),$Q$9:$U$13),TRANSPOSE(_xlfn.ANCHORARRAY(AE369)))</f>
        <v>4.3962165404913137E-3</v>
      </c>
      <c r="AL369" s="2">
        <f t="shared" ca="1" si="17"/>
        <v>6.6303970774692772E-2</v>
      </c>
      <c r="AM369" s="2" cm="1">
        <f t="array" aca="1" ref="AM369" ca="1">MMULT(_xlfn.ANCHORARRAY(AE370),TRANSPOSE($Q$3:$U$3))</f>
        <v>9.7383665474452255E-4</v>
      </c>
    </row>
    <row r="370" spans="1:39" x14ac:dyDescent="0.35">
      <c r="A370" s="3">
        <v>44365</v>
      </c>
      <c r="B370" s="4">
        <v>34.4893379211425</v>
      </c>
      <c r="C370" s="4">
        <v>84.688644409179602</v>
      </c>
      <c r="D370" s="4">
        <v>45.599388122558501</v>
      </c>
      <c r="E370" s="4">
        <v>13.7753391265869</v>
      </c>
      <c r="F370" s="4">
        <v>249.51339721679599</v>
      </c>
      <c r="I370" s="5">
        <f>B370/B369-1</f>
        <v>-2.5628151209790895E-2</v>
      </c>
      <c r="J370" s="5">
        <f>C370/C369-1</f>
        <v>-3.7732239222100561E-2</v>
      </c>
      <c r="K370" s="5">
        <f>D370/D369-1</f>
        <v>-1.0837945685816863E-2</v>
      </c>
      <c r="L370" s="5">
        <f>E370/E369-1</f>
        <v>-5.2331268661264474E-2</v>
      </c>
      <c r="M370" s="5">
        <f>F370/F369-1</f>
        <v>-5.6339530424270867E-3</v>
      </c>
      <c r="N370" s="5">
        <f>SUMPRODUCT(I370:M370,$AJ$13:$AN$13)</f>
        <v>-2.3328969175789204E-2</v>
      </c>
      <c r="P370" s="2" t="s">
        <v>361</v>
      </c>
      <c r="Q370" s="10" cm="1">
        <f t="array" aca="1" ref="Q370:U370" ca="1">_xlfn.LET(_xlpm.array,_xlfn.RANDARRAY(1,COLUMNS(_xlfn.ANCHORARRAY(Q369)),0,1,FALSE),_xlpm.array/SUM(_xlpm.array))</f>
        <v>6.6667890579585165E-2</v>
      </c>
      <c r="R370" s="2">
        <f ca="1"/>
        <v>0.42586212870892692</v>
      </c>
      <c r="S370" s="2">
        <f ca="1"/>
        <v>0.24618142325320977</v>
      </c>
      <c r="T370" s="2">
        <f ca="1"/>
        <v>7.0875537047065673E-2</v>
      </c>
      <c r="U370" s="2">
        <f ca="1"/>
        <v>0.19041302041121244</v>
      </c>
      <c r="V370" s="12"/>
      <c r="X370" s="2" cm="1">
        <f t="array" aca="1" ref="X370" ca="1">MMULT(MMULT(_xlfn.ANCHORARRAY(Q370),$Q$9:$U$13),TRANSPOSE(_xlfn.ANCHORARRAY(Q370)))</f>
        <v>2.9749944383575608E-4</v>
      </c>
      <c r="Y370" s="2">
        <f t="shared" ca="1" si="16"/>
        <v>1.7248172188256819E-2</v>
      </c>
      <c r="Z370" s="2" cm="1">
        <f t="array" aca="1" ref="Z370" ca="1">MMULT(_xlfn.ANCHORARRAY(Q370),TRANSPOSE($Q$3:$U$3))</f>
        <v>9.6270947104474408E-4</v>
      </c>
      <c r="AA370" s="11">
        <f ca="1">AVEDEV(Q370*$Q$3,R370*$R$3,S370*$S$3,T370*$T$3,U370*$U$3)</f>
        <v>1.3027847570419056E-4</v>
      </c>
      <c r="AB370" s="11" cm="1">
        <f t="array" aca="1" ref="AB370" ca="1">MMULT(_xlfn.ANCHORARRAY(Q370),TRANSPOSE($Q$6:$U$6))</f>
        <v>-2.2513168648860302E-2</v>
      </c>
      <c r="AD370" s="2" t="s">
        <v>361</v>
      </c>
      <c r="AE370" s="10" cm="1">
        <f t="array" aca="1" ref="AE370:AI370" ca="1">_xlfn.LET(_xlpm.array,_xlfn.RANDARRAY(1,COLUMNS(_xlfn.ANCHORARRAY(Q369)),-1,1,FALSE),_xlpm.array/SUM(_xlpm.array))</f>
        <v>0.22489149073703069</v>
      </c>
      <c r="AF370" s="10">
        <f ca="1"/>
        <v>0.34339764395209066</v>
      </c>
      <c r="AG370" s="10">
        <f ca="1"/>
        <v>0.35995969065661843</v>
      </c>
      <c r="AH370" s="10">
        <f ca="1"/>
        <v>-0.11948726793163804</v>
      </c>
      <c r="AI370" s="10">
        <f ca="1"/>
        <v>0.19123844258589828</v>
      </c>
      <c r="AJ370" s="1"/>
      <c r="AK370" s="2" cm="1">
        <f t="array" aca="1" ref="AK370" ca="1">MMULT(MMULT(_xlfn.ANCHORARRAY(AE370),$Q$9:$U$13),TRANSPOSE(_xlfn.ANCHORARRAY(AE370)))</f>
        <v>3.3932189592939785E-4</v>
      </c>
      <c r="AL370" s="2">
        <f t="shared" ca="1" si="17"/>
        <v>1.8420692058915642E-2</v>
      </c>
      <c r="AM370" s="2" cm="1">
        <f t="array" aca="1" ref="AM370" ca="1">MMULT(_xlfn.ANCHORARRAY(AE371),TRANSPOSE($Q$3:$U$3))</f>
        <v>9.9990722389979581E-4</v>
      </c>
    </row>
    <row r="371" spans="1:39" x14ac:dyDescent="0.35">
      <c r="A371" s="3">
        <v>44368</v>
      </c>
      <c r="B371" s="4">
        <v>35.35200881958</v>
      </c>
      <c r="C371" s="4">
        <v>87.171035766601506</v>
      </c>
      <c r="D371" s="4">
        <v>46.260929107666001</v>
      </c>
      <c r="E371" s="4">
        <v>14.4184656143188</v>
      </c>
      <c r="F371" s="4">
        <v>252.591064453125</v>
      </c>
      <c r="I371" s="5">
        <f>B371/B370-1</f>
        <v>2.5012683641824074E-2</v>
      </c>
      <c r="J371" s="5">
        <f>C371/C370-1</f>
        <v>2.9311974170091126E-2</v>
      </c>
      <c r="K371" s="5">
        <f>D371/D370-1</f>
        <v>1.4507672412828576E-2</v>
      </c>
      <c r="L371" s="5">
        <f>E371/E370-1</f>
        <v>4.6686798910862581E-2</v>
      </c>
      <c r="M371" s="5">
        <f>F371/F370-1</f>
        <v>1.2334677298529551E-2</v>
      </c>
      <c r="N371" s="5">
        <f>SUMPRODUCT(I371:M371,$AJ$13:$AN$13)</f>
        <v>2.5294493915535558E-2</v>
      </c>
      <c r="P371" s="2" t="s">
        <v>362</v>
      </c>
      <c r="Q371" s="10" cm="1">
        <f t="array" aca="1" ref="Q371:U371" ca="1">_xlfn.LET(_xlpm.array,_xlfn.RANDARRAY(1,COLUMNS(_xlfn.ANCHORARRAY(Q370)),0,1,FALSE),_xlpm.array/SUM(_xlpm.array))</f>
        <v>0.23343552738819842</v>
      </c>
      <c r="R371" s="2">
        <f ca="1"/>
        <v>0.20980691641794316</v>
      </c>
      <c r="S371" s="2">
        <f ca="1"/>
        <v>0.29330058570638368</v>
      </c>
      <c r="T371" s="2">
        <f ca="1"/>
        <v>5.0568337711212321E-3</v>
      </c>
      <c r="U371" s="2">
        <f ca="1"/>
        <v>0.25840013671635359</v>
      </c>
      <c r="V371" s="12"/>
      <c r="X371" s="2" cm="1">
        <f t="array" aca="1" ref="X371" ca="1">MMULT(MMULT(_xlfn.ANCHORARRAY(Q371),$Q$9:$U$13),TRANSPOSE(_xlfn.ANCHORARRAY(Q371)))</f>
        <v>2.9741863252937852E-4</v>
      </c>
      <c r="Y371" s="2">
        <f t="shared" ca="1" si="16"/>
        <v>1.7245829424222498E-2</v>
      </c>
      <c r="Z371" s="2" cm="1">
        <f t="array" aca="1" ref="Z371" ca="1">MMULT(_xlfn.ANCHORARRAY(Q371),TRANSPOSE($Q$3:$U$3))</f>
        <v>9.5097679099807983E-4</v>
      </c>
      <c r="AA371" s="11">
        <f ca="1">AVEDEV(Q371*$Q$3,R371*$R$3,S371*$S$3,T371*$T$3,U371*$U$3)</f>
        <v>1.1742719707069161E-4</v>
      </c>
      <c r="AB371" s="11" cm="1">
        <f t="array" aca="1" ref="AB371" ca="1">MMULT(_xlfn.ANCHORARRAY(Q371),TRANSPOSE($Q$6:$U$6))</f>
        <v>-2.265794167380681E-2</v>
      </c>
      <c r="AD371" s="2" t="s">
        <v>362</v>
      </c>
      <c r="AE371" s="10" cm="1">
        <f t="array" aca="1" ref="AE371:AI371" ca="1">_xlfn.LET(_xlpm.array,_xlfn.RANDARRAY(1,COLUMNS(_xlfn.ANCHORARRAY(Q370)),-1,1,FALSE),_xlpm.array/SUM(_xlpm.array))</f>
        <v>0.8556884030261902</v>
      </c>
      <c r="AF371" s="10">
        <f ca="1"/>
        <v>-1.2413984712072936</v>
      </c>
      <c r="AG371" s="10">
        <f ca="1"/>
        <v>0.17237630972680501</v>
      </c>
      <c r="AH371" s="10">
        <f ca="1"/>
        <v>1.0264793159024537</v>
      </c>
      <c r="AI371" s="10">
        <f ca="1"/>
        <v>0.18685444255184475</v>
      </c>
      <c r="AJ371" s="1"/>
      <c r="AK371" s="2" cm="1">
        <f t="array" aca="1" ref="AK371" ca="1">MMULT(MMULT(_xlfn.ANCHORARRAY(AE371),$Q$9:$U$13),TRANSPOSE(_xlfn.ANCHORARRAY(AE371)))</f>
        <v>6.8895673174803988E-4</v>
      </c>
      <c r="AL371" s="2">
        <f t="shared" ca="1" si="17"/>
        <v>2.6247985289313918E-2</v>
      </c>
      <c r="AM371" s="2" cm="1">
        <f t="array" aca="1" ref="AM371" ca="1">MMULT(_xlfn.ANCHORARRAY(AE372),TRANSPOSE($Q$3:$U$3))</f>
        <v>-2.7268236172757641E-3</v>
      </c>
    </row>
    <row r="372" spans="1:39" x14ac:dyDescent="0.35">
      <c r="A372" s="3">
        <v>44369</v>
      </c>
      <c r="B372" s="4">
        <v>35.547672271728501</v>
      </c>
      <c r="C372" s="4">
        <v>87.458709716796804</v>
      </c>
      <c r="D372" s="4">
        <v>46.149887084960902</v>
      </c>
      <c r="E372" s="4">
        <v>14.5291090011596</v>
      </c>
      <c r="F372" s="4">
        <v>255.36096191406199</v>
      </c>
      <c r="I372" s="5">
        <f>B372/B371-1</f>
        <v>5.5347194878536676E-3</v>
      </c>
      <c r="J372" s="5">
        <f>C372/C371-1</f>
        <v>3.3001093501463519E-3</v>
      </c>
      <c r="K372" s="5">
        <f>D372/D371-1</f>
        <v>-2.4003413862844214E-3</v>
      </c>
      <c r="L372" s="5">
        <f>E372/E371-1</f>
        <v>7.6737282454606426E-3</v>
      </c>
      <c r="M372" s="5">
        <f>F372/F371-1</f>
        <v>1.0965936055315373E-2</v>
      </c>
      <c r="N372" s="5">
        <f>SUMPRODUCT(I372:M372,$AJ$13:$AN$13)</f>
        <v>4.2901019079597483E-3</v>
      </c>
      <c r="P372" s="2" t="s">
        <v>363</v>
      </c>
      <c r="Q372" s="10" cm="1">
        <f t="array" aca="1" ref="Q372:U372" ca="1">_xlfn.LET(_xlpm.array,_xlfn.RANDARRAY(1,COLUMNS(_xlfn.ANCHORARRAY(Q371)),0,1,FALSE),_xlpm.array/SUM(_xlpm.array))</f>
        <v>9.9166161896009061E-2</v>
      </c>
      <c r="R372" s="2">
        <f ca="1"/>
        <v>8.8275065112881509E-2</v>
      </c>
      <c r="S372" s="2">
        <f ca="1"/>
        <v>0.25759704893683572</v>
      </c>
      <c r="T372" s="2">
        <f ca="1"/>
        <v>0.27801469875687923</v>
      </c>
      <c r="U372" s="2">
        <f ca="1"/>
        <v>0.27694702529739457</v>
      </c>
      <c r="V372" s="12"/>
      <c r="X372" s="2" cm="1">
        <f t="array" aca="1" ref="X372" ca="1">MMULT(MMULT(_xlfn.ANCHORARRAY(Q372),$Q$9:$U$13),TRANSPOSE(_xlfn.ANCHORARRAY(Q372)))</f>
        <v>2.8529992017131467E-4</v>
      </c>
      <c r="Y372" s="2">
        <f t="shared" ca="1" si="16"/>
        <v>1.6890823549232721E-2</v>
      </c>
      <c r="Z372" s="2" cm="1">
        <f t="array" aca="1" ref="Z372" ca="1">MMULT(_xlfn.ANCHORARRAY(Q372),TRANSPOSE($Q$3:$U$3))</f>
        <v>1.0290491033381659E-3</v>
      </c>
      <c r="AA372" s="11">
        <f ca="1">AVEDEV(Q372*$Q$3,R372*$R$3,S372*$S$3,T372*$T$3,U372*$U$3)</f>
        <v>1.187027648320232E-4</v>
      </c>
      <c r="AB372" s="11" cm="1">
        <f t="array" aca="1" ref="AB372" ca="1">MMULT(_xlfn.ANCHORARRAY(Q372),TRANSPOSE($Q$6:$U$6))</f>
        <v>-2.3525627266214485E-2</v>
      </c>
      <c r="AD372" s="2" t="s">
        <v>363</v>
      </c>
      <c r="AE372" s="10" cm="1">
        <f t="array" aca="1" ref="AE372:AI372" ca="1">_xlfn.LET(_xlpm.array,_xlfn.RANDARRAY(1,COLUMNS(_xlfn.ANCHORARRAY(Q371)),-1,1,FALSE),_xlpm.array/SUM(_xlpm.array))</f>
        <v>-0.89671702399149389</v>
      </c>
      <c r="AF372" s="10">
        <f ca="1"/>
        <v>-0.10991005100132159</v>
      </c>
      <c r="AG372" s="10">
        <f ca="1"/>
        <v>-4.641932627105839</v>
      </c>
      <c r="AH372" s="10">
        <f ca="1"/>
        <v>1.022404489242235</v>
      </c>
      <c r="AI372" s="10">
        <f ca="1"/>
        <v>5.6261552128564194</v>
      </c>
      <c r="AJ372" s="1"/>
      <c r="AK372" s="2" cm="1">
        <f t="array" aca="1" ref="AK372" ca="1">MMULT(MMULT(_xlfn.ANCHORARRAY(AE372),$Q$9:$U$13),TRANSPOSE(_xlfn.ANCHORARRAY(AE372)))</f>
        <v>1.7658612247900805E-2</v>
      </c>
      <c r="AL372" s="2">
        <f t="shared" ca="1" si="17"/>
        <v>0.13288571122547677</v>
      </c>
      <c r="AM372" s="2" cm="1">
        <f t="array" aca="1" ref="AM372" ca="1">MMULT(_xlfn.ANCHORARRAY(AE373),TRANSPOSE($Q$3:$U$3))</f>
        <v>1.0925841836111924E-3</v>
      </c>
    </row>
    <row r="373" spans="1:39" x14ac:dyDescent="0.35">
      <c r="A373" s="3">
        <v>44370</v>
      </c>
      <c r="B373" s="4">
        <v>35.752227783203097</v>
      </c>
      <c r="C373" s="4">
        <v>87.351852416992102</v>
      </c>
      <c r="D373" s="4">
        <v>45.9000854492187</v>
      </c>
      <c r="E373" s="4">
        <v>14.577520370483301</v>
      </c>
      <c r="F373" s="4">
        <v>255.13014221191401</v>
      </c>
      <c r="I373" s="5">
        <f>B373/B372-1</f>
        <v>5.7543996104993944E-3</v>
      </c>
      <c r="J373" s="5">
        <f>C373/C372-1</f>
        <v>-1.2218028387420699E-3</v>
      </c>
      <c r="K373" s="5">
        <f>D373/D372-1</f>
        <v>-5.4128330862938112E-3</v>
      </c>
      <c r="L373" s="5">
        <f>E373/E372-1</f>
        <v>3.3320260258105083E-3</v>
      </c>
      <c r="M373" s="5">
        <f>F373/F372-1</f>
        <v>-9.0389580465966013E-4</v>
      </c>
      <c r="N373" s="5">
        <f>SUMPRODUCT(I373:M373,$AJ$13:$AN$13)</f>
        <v>-3.1875666595668844E-3</v>
      </c>
      <c r="P373" s="2" t="s">
        <v>364</v>
      </c>
      <c r="Q373" s="10" cm="1">
        <f t="array" aca="1" ref="Q373:U373" ca="1">_xlfn.LET(_xlpm.array,_xlfn.RANDARRAY(1,COLUMNS(_xlfn.ANCHORARRAY(Q372)),0,1,FALSE),_xlpm.array/SUM(_xlpm.array))</f>
        <v>0.30169154410203358</v>
      </c>
      <c r="R373" s="2">
        <f ca="1"/>
        <v>4.7839488795199878E-2</v>
      </c>
      <c r="S373" s="2">
        <f ca="1"/>
        <v>0.33116428191294822</v>
      </c>
      <c r="T373" s="2">
        <f ca="1"/>
        <v>0.20749785370917617</v>
      </c>
      <c r="U373" s="2">
        <f ca="1"/>
        <v>0.11180683148064215</v>
      </c>
      <c r="V373" s="12"/>
      <c r="X373" s="2" cm="1">
        <f t="array" aca="1" ref="X373" ca="1">MMULT(MMULT(_xlfn.ANCHORARRAY(Q373),$Q$9:$U$13),TRANSPOSE(_xlfn.ANCHORARRAY(Q373)))</f>
        <v>3.2549289100175386E-4</v>
      </c>
      <c r="Y373" s="2">
        <f t="shared" ca="1" si="16"/>
        <v>1.8041421534949895E-2</v>
      </c>
      <c r="Z373" s="2" cm="1">
        <f t="array" aca="1" ref="Z373" ca="1">MMULT(_xlfn.ANCHORARRAY(Q373),TRANSPOSE($Q$3:$U$3))</f>
        <v>1.0235781508724311E-3</v>
      </c>
      <c r="AA373" s="11">
        <f ca="1">AVEDEV(Q373*$Q$3,R373*$R$3,S373*$S$3,T373*$T$3,U373*$U$3)</f>
        <v>1.3614526026881429E-4</v>
      </c>
      <c r="AB373" s="11" cm="1">
        <f t="array" aca="1" ref="AB373" ca="1">MMULT(_xlfn.ANCHORARRAY(Q373),TRANSPOSE($Q$6:$U$6))</f>
        <v>-2.3967810177763442E-2</v>
      </c>
      <c r="AD373" s="2" t="s">
        <v>364</v>
      </c>
      <c r="AE373" s="10" cm="1">
        <f t="array" aca="1" ref="AE373:AI373" ca="1">_xlfn.LET(_xlpm.array,_xlfn.RANDARRAY(1,COLUMNS(_xlfn.ANCHORARRAY(Q372)),-1,1,FALSE),_xlpm.array/SUM(_xlpm.array))</f>
        <v>0.75174390080357989</v>
      </c>
      <c r="AF373" s="10">
        <f ca="1"/>
        <v>-0.62583140765783596</v>
      </c>
      <c r="AG373" s="10">
        <f ca="1"/>
        <v>0.67748558896447375</v>
      </c>
      <c r="AH373" s="10">
        <f ca="1"/>
        <v>-0.32360210990044819</v>
      </c>
      <c r="AI373" s="10">
        <f ca="1"/>
        <v>0.52020402779023056</v>
      </c>
      <c r="AJ373" s="1"/>
      <c r="AK373" s="2" cm="1">
        <f t="array" aca="1" ref="AK373" ca="1">MMULT(MMULT(_xlfn.ANCHORARRAY(AE373),$Q$9:$U$13),TRANSPOSE(_xlfn.ANCHORARRAY(AE373)))</f>
        <v>9.1519581113068535E-4</v>
      </c>
      <c r="AL373" s="2">
        <f t="shared" ca="1" si="17"/>
        <v>3.0252203409515236E-2</v>
      </c>
      <c r="AM373" s="2" cm="1">
        <f t="array" aca="1" ref="AM373" ca="1">MMULT(_xlfn.ANCHORARRAY(AE374),TRANSPOSE($Q$3:$U$3))</f>
        <v>1.5159225685527087E-3</v>
      </c>
    </row>
    <row r="374" spans="1:39" x14ac:dyDescent="0.35">
      <c r="A374" s="3">
        <v>44371</v>
      </c>
      <c r="B374" s="4">
        <v>36.3125190734863</v>
      </c>
      <c r="C374" s="4">
        <v>88.066993713378906</v>
      </c>
      <c r="D374" s="4">
        <v>45.835319519042898</v>
      </c>
      <c r="E374" s="4">
        <v>14.944028854370099</v>
      </c>
      <c r="F374" s="4">
        <v>256.49581909179602</v>
      </c>
      <c r="I374" s="5">
        <f>B374/B373-1</f>
        <v>1.567150706469933E-2</v>
      </c>
      <c r="J374" s="5">
        <f>C374/C373-1</f>
        <v>8.1869047604501421E-3</v>
      </c>
      <c r="K374" s="5">
        <f>D374/D373-1</f>
        <v>-1.4110198171081167E-3</v>
      </c>
      <c r="L374" s="5">
        <f>E374/E373-1</f>
        <v>2.5142032017249516E-2</v>
      </c>
      <c r="M374" s="5">
        <f>F374/F373-1</f>
        <v>5.3528637112101318E-3</v>
      </c>
      <c r="N374" s="5">
        <f>SUMPRODUCT(I374:M374,$AJ$13:$AN$13)</f>
        <v>8.000574647337385E-3</v>
      </c>
      <c r="P374" s="2" t="s">
        <v>365</v>
      </c>
      <c r="Q374" s="10" cm="1">
        <f t="array" aca="1" ref="Q374:U374" ca="1">_xlfn.LET(_xlpm.array,_xlfn.RANDARRAY(1,COLUMNS(_xlfn.ANCHORARRAY(Q373)),0,1,FALSE),_xlpm.array/SUM(_xlpm.array))</f>
        <v>0.35739105375962299</v>
      </c>
      <c r="R374" s="2">
        <f ca="1"/>
        <v>0.31529072285987386</v>
      </c>
      <c r="S374" s="2">
        <f ca="1"/>
        <v>6.5931902023997929E-2</v>
      </c>
      <c r="T374" s="2">
        <f ca="1"/>
        <v>0.25276818161259884</v>
      </c>
      <c r="U374" s="2">
        <f ca="1"/>
        <v>8.6181397439063657E-3</v>
      </c>
      <c r="V374" s="12"/>
      <c r="X374" s="2" cm="1">
        <f t="array" aca="1" ref="X374" ca="1">MMULT(MMULT(_xlfn.ANCHORARRAY(Q374),$Q$9:$U$13),TRANSPOSE(_xlfn.ANCHORARRAY(Q374)))</f>
        <v>3.3510910020042315E-4</v>
      </c>
      <c r="Y374" s="2">
        <f t="shared" ca="1" si="16"/>
        <v>1.8305985365459656E-2</v>
      </c>
      <c r="Z374" s="2" cm="1">
        <f t="array" aca="1" ref="Z374" ca="1">MMULT(_xlfn.ANCHORARRAY(Q374),TRANSPOSE($Q$3:$U$3))</f>
        <v>7.8377763998599989E-4</v>
      </c>
      <c r="AA374" s="11">
        <f ca="1">AVEDEV(Q374*$Q$3,R374*$R$3,S374*$S$3,T374*$T$3,U374*$U$3)</f>
        <v>7.9938391617708971E-5</v>
      </c>
      <c r="AB374" s="11" cm="1">
        <f t="array" aca="1" ref="AB374" ca="1">MMULT(_xlfn.ANCHORARRAY(Q374),TRANSPOSE($Q$6:$U$6))</f>
        <v>-2.2541310475083943E-2</v>
      </c>
      <c r="AD374" s="2" t="s">
        <v>365</v>
      </c>
      <c r="AE374" s="10" cm="1">
        <f t="array" aca="1" ref="AE374:AI374" ca="1">_xlfn.LET(_xlpm.array,_xlfn.RANDARRAY(1,COLUMNS(_xlfn.ANCHORARRAY(Q373)),-1,1,FALSE),_xlpm.array/SUM(_xlpm.array))</f>
        <v>0.27891188149976442</v>
      </c>
      <c r="AF374" s="10">
        <f ca="1"/>
        <v>-0.25280113349351158</v>
      </c>
      <c r="AG374" s="10">
        <f ca="1"/>
        <v>0.82599947455793554</v>
      </c>
      <c r="AH374" s="10">
        <f ca="1"/>
        <v>0.40595389201997567</v>
      </c>
      <c r="AI374" s="10">
        <f ca="1"/>
        <v>-0.25806411458416401</v>
      </c>
      <c r="AJ374" s="1"/>
      <c r="AK374" s="2" cm="1">
        <f t="array" aca="1" ref="AK374" ca="1">MMULT(MMULT(_xlfn.ANCHORARRAY(AE374),$Q$9:$U$13),TRANSPOSE(_xlfn.ANCHORARRAY(AE374)))</f>
        <v>7.3058303270439261E-4</v>
      </c>
      <c r="AL374" s="2">
        <f t="shared" ca="1" si="17"/>
        <v>2.7029299523006374E-2</v>
      </c>
      <c r="AM374" s="2" cm="1">
        <f t="array" aca="1" ref="AM374" ca="1">MMULT(_xlfn.ANCHORARRAY(AE375),TRANSPOSE($Q$3:$U$3))</f>
        <v>-2.2022181660129488E-4</v>
      </c>
    </row>
    <row r="375" spans="1:39" x14ac:dyDescent="0.35">
      <c r="A375" s="3">
        <v>44372</v>
      </c>
      <c r="B375" s="4">
        <v>37.015110015869098</v>
      </c>
      <c r="C375" s="4">
        <v>88.198501586914006</v>
      </c>
      <c r="D375" s="4">
        <v>46.029624938964801</v>
      </c>
      <c r="E375" s="4">
        <v>15.033931732177701</v>
      </c>
      <c r="F375" s="4">
        <v>254.8896484375</v>
      </c>
      <c r="I375" s="5">
        <f>B375/B374-1</f>
        <v>1.9348449524004385E-2</v>
      </c>
      <c r="J375" s="5">
        <f>C375/C374-1</f>
        <v>1.49327083836992E-3</v>
      </c>
      <c r="K375" s="5">
        <f>D375/D374-1</f>
        <v>4.2392072742325482E-3</v>
      </c>
      <c r="L375" s="5">
        <f>E375/E374-1</f>
        <v>6.0159732481586126E-3</v>
      </c>
      <c r="M375" s="5">
        <f>F375/F374-1</f>
        <v>-6.2619759650788254E-3</v>
      </c>
      <c r="N375" s="5">
        <f>SUMPRODUCT(I375:M375,$AJ$13:$AN$13)</f>
        <v>-2.7182978132639811E-3</v>
      </c>
      <c r="P375" s="2" t="s">
        <v>366</v>
      </c>
      <c r="Q375" s="10" cm="1">
        <f t="array" aca="1" ref="Q375:U375" ca="1">_xlfn.LET(_xlpm.array,_xlfn.RANDARRAY(1,COLUMNS(_xlfn.ANCHORARRAY(Q374)),0,1,FALSE),_xlpm.array/SUM(_xlpm.array))</f>
        <v>0.10471188933928266</v>
      </c>
      <c r="R375" s="2">
        <f ca="1"/>
        <v>0.12009949087959303</v>
      </c>
      <c r="S375" s="2">
        <f ca="1"/>
        <v>0.12655993745981295</v>
      </c>
      <c r="T375" s="2">
        <f ca="1"/>
        <v>0.37954514498256486</v>
      </c>
      <c r="U375" s="2">
        <f ca="1"/>
        <v>0.26908353733874646</v>
      </c>
      <c r="V375" s="12"/>
      <c r="X375" s="2" cm="1">
        <f t="array" aca="1" ref="X375" ca="1">MMULT(MMULT(_xlfn.ANCHORARRAY(Q375),$Q$9:$U$13),TRANSPOSE(_xlfn.ANCHORARRAY(Q375)))</f>
        <v>2.7784111473060585E-4</v>
      </c>
      <c r="Y375" s="2">
        <f t="shared" ca="1" si="16"/>
        <v>1.6668566666951476E-2</v>
      </c>
      <c r="Z375" s="2" cm="1">
        <f t="array" aca="1" ref="Z375" ca="1">MMULT(_xlfn.ANCHORARRAY(Q375),TRANSPOSE($Q$3:$U$3))</f>
        <v>9.4001359054100917E-4</v>
      </c>
      <c r="AA375" s="11">
        <f ca="1">AVEDEV(Q375*$Q$3,R375*$R$3,S375*$S$3,T375*$T$3,U375*$U$3)</f>
        <v>9.4033869354235897E-5</v>
      </c>
      <c r="AB375" s="11" cm="1">
        <f t="array" aca="1" ref="AB375" ca="1">MMULT(_xlfn.ANCHORARRAY(Q375),TRANSPOSE($Q$6:$U$6))</f>
        <v>-2.3139783710216785E-2</v>
      </c>
      <c r="AD375" s="2" t="s">
        <v>366</v>
      </c>
      <c r="AE375" s="10" cm="1">
        <f t="array" aca="1" ref="AE375:AI375" ca="1">_xlfn.LET(_xlpm.array,_xlfn.RANDARRAY(1,COLUMNS(_xlfn.ANCHORARRAY(Q374)),-1,1,FALSE),_xlpm.array/SUM(_xlpm.array))</f>
        <v>-1.2543063532358001</v>
      </c>
      <c r="AF375" s="10">
        <f ca="1"/>
        <v>1.3480655609317851</v>
      </c>
      <c r="AG375" s="10">
        <f ca="1"/>
        <v>-0.78528543500897852</v>
      </c>
      <c r="AH375" s="10">
        <f ca="1"/>
        <v>-2.2807058179037956</v>
      </c>
      <c r="AI375" s="10">
        <f ca="1"/>
        <v>3.9722320452167894</v>
      </c>
      <c r="AJ375" s="1"/>
      <c r="AK375" s="2" cm="1">
        <f t="array" aca="1" ref="AK375" ca="1">MMULT(MMULT(_xlfn.ANCHORARRAY(AE375),$Q$9:$U$13),TRANSPOSE(_xlfn.ANCHORARRAY(AE375)))</f>
        <v>5.8474926860097674E-3</v>
      </c>
      <c r="AL375" s="2">
        <f t="shared" ca="1" si="17"/>
        <v>7.6468900122924274E-2</v>
      </c>
      <c r="AM375" s="2" cm="1">
        <f t="array" aca="1" ref="AM375" ca="1">MMULT(_xlfn.ANCHORARRAY(AE376),TRANSPOSE($Q$3:$U$3))</f>
        <v>2.4132596393514039E-3</v>
      </c>
    </row>
    <row r="376" spans="1:39" x14ac:dyDescent="0.35">
      <c r="A376" s="3">
        <v>44375</v>
      </c>
      <c r="B376" s="4">
        <v>36.9617500305175</v>
      </c>
      <c r="C376" s="4">
        <v>85.477745056152301</v>
      </c>
      <c r="D376" s="4">
        <v>46.145267486572202</v>
      </c>
      <c r="E376" s="4">
        <v>14.674333572387599</v>
      </c>
      <c r="F376" s="4">
        <v>258.44830322265602</v>
      </c>
      <c r="I376" s="5">
        <f>B376/B375-1</f>
        <v>-1.4415730583732245E-3</v>
      </c>
      <c r="J376" s="5">
        <f>C376/C375-1</f>
        <v>-3.0848103786440983E-2</v>
      </c>
      <c r="K376" s="5">
        <f>D376/D375-1</f>
        <v>2.5123504212938297E-3</v>
      </c>
      <c r="L376" s="5">
        <f>E376/E375-1</f>
        <v>-2.39191028798168E-2</v>
      </c>
      <c r="M376" s="5">
        <f>F376/F375-1</f>
        <v>1.3961550839631798E-2</v>
      </c>
      <c r="N376" s="5">
        <f>SUMPRODUCT(I376:M376,$AJ$13:$AN$13)</f>
        <v>-3.7768851782892443E-3</v>
      </c>
      <c r="P376" s="2" t="s">
        <v>367</v>
      </c>
      <c r="Q376" s="10" cm="1">
        <f t="array" aca="1" ref="Q376:U376" ca="1">_xlfn.LET(_xlpm.array,_xlfn.RANDARRAY(1,COLUMNS(_xlfn.ANCHORARRAY(Q375)),0,1,FALSE),_xlpm.array/SUM(_xlpm.array))</f>
        <v>0.36818692381115053</v>
      </c>
      <c r="R376" s="2">
        <f ca="1"/>
        <v>0.44487369688111555</v>
      </c>
      <c r="S376" s="2">
        <f ca="1"/>
        <v>7.092351728349594E-2</v>
      </c>
      <c r="T376" s="2">
        <f ca="1"/>
        <v>9.1738182732168438E-2</v>
      </c>
      <c r="U376" s="2">
        <f ca="1"/>
        <v>2.4277679292069528E-2</v>
      </c>
      <c r="V376" s="12"/>
      <c r="X376" s="2" cm="1">
        <f t="array" aca="1" ref="X376" ca="1">MMULT(MMULT(_xlfn.ANCHORARRAY(Q376),$Q$9:$U$13),TRANSPOSE(_xlfn.ANCHORARRAY(Q376)))</f>
        <v>3.315307936830362E-4</v>
      </c>
      <c r="Y376" s="2">
        <f t="shared" ca="1" si="16"/>
        <v>1.8207987084876687E-2</v>
      </c>
      <c r="Z376" s="2" cm="1">
        <f t="array" aca="1" ref="Z376" ca="1">MMULT(_xlfn.ANCHORARRAY(Q376),TRANSPOSE($Q$3:$U$3))</f>
        <v>7.3946378901952961E-4</v>
      </c>
      <c r="AA376" s="11">
        <f ca="1">AVEDEV(Q376*$Q$3,R376*$R$3,S376*$S$3,T376*$T$3,U376*$U$3)</f>
        <v>8.6483300855751179E-5</v>
      </c>
      <c r="AB376" s="11" cm="1">
        <f t="array" aca="1" ref="AB376" ca="1">MMULT(_xlfn.ANCHORARRAY(Q376),TRANSPOSE($Q$6:$U$6))</f>
        <v>-2.1842550473076115E-2</v>
      </c>
      <c r="AD376" s="2" t="s">
        <v>367</v>
      </c>
      <c r="AE376" s="10" cm="1">
        <f t="array" aca="1" ref="AE376:AI376" ca="1">_xlfn.LET(_xlpm.array,_xlfn.RANDARRAY(1,COLUMNS(_xlfn.ANCHORARRAY(Q375)),-1,1,FALSE),_xlpm.array/SUM(_xlpm.array))</f>
        <v>-0.11138671103072841</v>
      </c>
      <c r="AF376" s="10">
        <f ca="1"/>
        <v>1.7454228477152109</v>
      </c>
      <c r="AG376" s="10">
        <f ca="1"/>
        <v>1.8853400473239879</v>
      </c>
      <c r="AH376" s="10">
        <f ca="1"/>
        <v>0.23545574007424289</v>
      </c>
      <c r="AI376" s="10">
        <f ca="1"/>
        <v>-2.7548319240827133</v>
      </c>
      <c r="AJ376" s="1"/>
      <c r="AK376" s="2" cm="1">
        <f t="array" aca="1" ref="AK376" ca="1">MMULT(MMULT(_xlfn.ANCHORARRAY(AE376),$Q$9:$U$13),TRANSPOSE(_xlfn.ANCHORARRAY(AE376)))</f>
        <v>5.1099729258068443E-3</v>
      </c>
      <c r="AL376" s="2">
        <f t="shared" ca="1" si="17"/>
        <v>7.1484074630695504E-2</v>
      </c>
      <c r="AM376" s="2" cm="1">
        <f t="array" aca="1" ref="AM376" ca="1">MMULT(_xlfn.ANCHORARRAY(AE377),TRANSPOSE($Q$3:$U$3))</f>
        <v>-2.8895514683442984E-3</v>
      </c>
    </row>
    <row r="377" spans="1:39" x14ac:dyDescent="0.35">
      <c r="A377" s="3">
        <v>44376</v>
      </c>
      <c r="B377" s="4">
        <v>36.365879058837798</v>
      </c>
      <c r="C377" s="4">
        <v>85.288688659667898</v>
      </c>
      <c r="D377" s="4">
        <v>47.278659820556598</v>
      </c>
      <c r="E377" s="4">
        <v>14.6605062484741</v>
      </c>
      <c r="F377" s="4">
        <v>261.02584838867102</v>
      </c>
      <c r="I377" s="5">
        <f>B377/B376-1</f>
        <v>-1.6121286767745602E-2</v>
      </c>
      <c r="J377" s="5">
        <f>C377/C376-1</f>
        <v>-2.21176162707859E-3</v>
      </c>
      <c r="K377" s="5">
        <f>D377/D376-1</f>
        <v>2.4561399157870367E-2</v>
      </c>
      <c r="L377" s="5">
        <f>E377/E376-1</f>
        <v>-9.4227951445224889E-4</v>
      </c>
      <c r="M377" s="5">
        <f>F377/F376-1</f>
        <v>9.9731556906157426E-3</v>
      </c>
      <c r="N377" s="5">
        <f>SUMPRODUCT(I377:M377,$AJ$13:$AN$13)</f>
        <v>2.0414606162039519E-2</v>
      </c>
      <c r="P377" s="2" t="s">
        <v>368</v>
      </c>
      <c r="Q377" s="10" cm="1">
        <f t="array" aca="1" ref="Q377:U377" ca="1">_xlfn.LET(_xlpm.array,_xlfn.RANDARRAY(1,COLUMNS(_xlfn.ANCHORARRAY(Q376)),0,1,FALSE),_xlpm.array/SUM(_xlpm.array))</f>
        <v>0.17735010071327442</v>
      </c>
      <c r="R377" s="2">
        <f ca="1"/>
        <v>0.11613747505596185</v>
      </c>
      <c r="S377" s="2">
        <f ca="1"/>
        <v>0.26066478632006362</v>
      </c>
      <c r="T377" s="2">
        <f ca="1"/>
        <v>0.29472506119316039</v>
      </c>
      <c r="U377" s="2">
        <f ca="1"/>
        <v>0.15112257671753968</v>
      </c>
      <c r="V377" s="12"/>
      <c r="X377" s="2" cm="1">
        <f t="array" aca="1" ref="X377" ca="1">MMULT(MMULT(_xlfn.ANCHORARRAY(Q377),$Q$9:$U$13),TRANSPOSE(_xlfn.ANCHORARRAY(Q377)))</f>
        <v>3.0237804061513437E-4</v>
      </c>
      <c r="Y377" s="2">
        <f t="shared" ca="1" si="16"/>
        <v>1.7389020691664449E-2</v>
      </c>
      <c r="Z377" s="2" cm="1">
        <f t="array" aca="1" ref="Z377" ca="1">MMULT(_xlfn.ANCHORARRAY(Q377),TRANSPOSE($Q$3:$U$3))</f>
        <v>1.0149483070428938E-3</v>
      </c>
      <c r="AA377" s="11">
        <f ca="1">AVEDEV(Q377*$Q$3,R377*$R$3,S377*$S$3,T377*$T$3,U377*$U$3)</f>
        <v>1.2737466478053894E-4</v>
      </c>
      <c r="AB377" s="11" cm="1">
        <f t="array" aca="1" ref="AB377" ca="1">MMULT(_xlfn.ANCHORARRAY(Q377),TRANSPOSE($Q$6:$U$6))</f>
        <v>-2.3760023798663439E-2</v>
      </c>
      <c r="AD377" s="2" t="s">
        <v>368</v>
      </c>
      <c r="AE377" s="10" cm="1">
        <f t="array" aca="1" ref="AE377:AI377" ca="1">_xlfn.LET(_xlpm.array,_xlfn.RANDARRAY(1,COLUMNS(_xlfn.ANCHORARRAY(Q376)),-1,1,FALSE),_xlpm.array/SUM(_xlpm.array))</f>
        <v>0.21616192648869095</v>
      </c>
      <c r="AF377" s="10">
        <f ca="1"/>
        <v>3.0703753481328411</v>
      </c>
      <c r="AG377" s="10">
        <f ca="1"/>
        <v>-3.916225108501751</v>
      </c>
      <c r="AH377" s="10">
        <f ca="1"/>
        <v>-0.4986821887584561</v>
      </c>
      <c r="AI377" s="10">
        <f ca="1"/>
        <v>2.1283700226386748</v>
      </c>
      <c r="AJ377" s="1"/>
      <c r="AK377" s="2" cm="1">
        <f t="array" aca="1" ref="AK377" ca="1">MMULT(MMULT(_xlfn.ANCHORARRAY(AE377),$Q$9:$U$13),TRANSPOSE(_xlfn.ANCHORARRAY(AE377)))</f>
        <v>1.1346079269817356E-2</v>
      </c>
      <c r="AL377" s="2">
        <f t="shared" ca="1" si="17"/>
        <v>0.10651797627545012</v>
      </c>
      <c r="AM377" s="2" cm="1">
        <f t="array" aca="1" ref="AM377" ca="1">MMULT(_xlfn.ANCHORARRAY(AE378),TRANSPOSE($Q$3:$U$3))</f>
        <v>1.0910423165234684E-3</v>
      </c>
    </row>
    <row r="378" spans="1:39" x14ac:dyDescent="0.35">
      <c r="A378" s="3">
        <v>44377</v>
      </c>
      <c r="B378" s="4">
        <v>36.668262481689403</v>
      </c>
      <c r="C378" s="4">
        <v>86.094223022460895</v>
      </c>
      <c r="D378" s="4">
        <v>46.108261108398402</v>
      </c>
      <c r="E378" s="4">
        <v>14.6605062484741</v>
      </c>
      <c r="F378" s="4">
        <v>260.544921875</v>
      </c>
      <c r="I378" s="5">
        <f>B378/B377-1</f>
        <v>8.3150313061968184E-3</v>
      </c>
      <c r="J378" s="5">
        <f>C378/C377-1</f>
        <v>9.4447971407716214E-3</v>
      </c>
      <c r="K378" s="5">
        <f>D378/D377-1</f>
        <v>-2.4755327596010068E-2</v>
      </c>
      <c r="L378" s="5">
        <f>E378/E377-1</f>
        <v>0</v>
      </c>
      <c r="M378" s="5">
        <f>F378/F377-1</f>
        <v>-1.8424478519648568E-3</v>
      </c>
      <c r="N378" s="5">
        <f>SUMPRODUCT(I378:M378,$AJ$13:$AN$13)</f>
        <v>-1.6219129028734708E-2</v>
      </c>
      <c r="P378" s="2" t="s">
        <v>369</v>
      </c>
      <c r="Q378" s="10" cm="1">
        <f t="array" aca="1" ref="Q378:U378" ca="1">_xlfn.LET(_xlpm.array,_xlfn.RANDARRAY(1,COLUMNS(_xlfn.ANCHORARRAY(Q377)),0,1,FALSE),_xlpm.array/SUM(_xlpm.array))</f>
        <v>0.2867026501474052</v>
      </c>
      <c r="R378" s="2">
        <f ca="1"/>
        <v>0.12506497091447463</v>
      </c>
      <c r="S378" s="2">
        <f ca="1"/>
        <v>0.2628194455854066</v>
      </c>
      <c r="T378" s="2">
        <f ca="1"/>
        <v>0.18701734250206684</v>
      </c>
      <c r="U378" s="2">
        <f ca="1"/>
        <v>0.13839559085064673</v>
      </c>
      <c r="V378" s="12"/>
      <c r="X378" s="2" cm="1">
        <f t="array" aca="1" ref="X378" ca="1">MMULT(MMULT(_xlfn.ANCHORARRAY(Q378),$Q$9:$U$13),TRANSPOSE(_xlfn.ANCHORARRAY(Q378)))</f>
        <v>3.0069194942684775E-4</v>
      </c>
      <c r="Y378" s="2">
        <f t="shared" ca="1" si="16"/>
        <v>1.7340471430351823E-2</v>
      </c>
      <c r="Z378" s="2" cm="1">
        <f t="array" aca="1" ref="Z378" ca="1">MMULT(_xlfn.ANCHORARRAY(Q378),TRANSPOSE($Q$3:$U$3))</f>
        <v>9.6077437047185617E-4</v>
      </c>
      <c r="AA378" s="11">
        <f ca="1">AVEDEV(Q378*$Q$3,R378*$R$3,S378*$S$3,T378*$T$3,U378*$U$3)</f>
        <v>9.3865643496407713E-5</v>
      </c>
      <c r="AB378" s="11" cm="1">
        <f t="array" aca="1" ref="AB378" ca="1">MMULT(_xlfn.ANCHORARRAY(Q378),TRANSPOSE($Q$6:$U$6))</f>
        <v>-2.3398907685295948E-2</v>
      </c>
      <c r="AD378" s="2" t="s">
        <v>369</v>
      </c>
      <c r="AE378" s="10" cm="1">
        <f t="array" aca="1" ref="AE378:AI378" ca="1">_xlfn.LET(_xlpm.array,_xlfn.RANDARRAY(1,COLUMNS(_xlfn.ANCHORARRAY(Q377)),-1,1,FALSE),_xlpm.array/SUM(_xlpm.array))</f>
        <v>0.68278118192965565</v>
      </c>
      <c r="AF378" s="10">
        <f ca="1"/>
        <v>-0.30509013261509965</v>
      </c>
      <c r="AG378" s="10">
        <f ca="1"/>
        <v>0.26270550899012929</v>
      </c>
      <c r="AH378" s="10">
        <f ca="1"/>
        <v>1.0325932373297857</v>
      </c>
      <c r="AI378" s="10">
        <f ca="1"/>
        <v>-0.67298979563447081</v>
      </c>
      <c r="AJ378" s="1"/>
      <c r="AK378" s="2" cm="1">
        <f t="array" aca="1" ref="AK378" ca="1">MMULT(MMULT(_xlfn.ANCHORARRAY(AE378),$Q$9:$U$13),TRANSPOSE(_xlfn.ANCHORARRAY(AE378)))</f>
        <v>9.0944412262945068E-4</v>
      </c>
      <c r="AL378" s="2">
        <f t="shared" ca="1" si="17"/>
        <v>3.0156991272828441E-2</v>
      </c>
      <c r="AM378" s="2" cm="1">
        <f t="array" aca="1" ref="AM378" ca="1">MMULT(_xlfn.ANCHORARRAY(AE379),TRANSPOSE($Q$3:$U$3))</f>
        <v>1.6995261042261605E-3</v>
      </c>
    </row>
    <row r="379" spans="1:39" x14ac:dyDescent="0.35">
      <c r="A379" s="3">
        <v>44378</v>
      </c>
      <c r="B379" s="4">
        <v>36.943965911865199</v>
      </c>
      <c r="C379" s="4">
        <v>87.302551269531193</v>
      </c>
      <c r="D379" s="4">
        <v>45.6549072265625</v>
      </c>
      <c r="E379" s="4">
        <v>14.7296533584594</v>
      </c>
      <c r="F379" s="4">
        <v>261.21820068359301</v>
      </c>
      <c r="I379" s="5">
        <f>B379/B378-1</f>
        <v>7.5188572219224703E-3</v>
      </c>
      <c r="J379" s="5">
        <f>C379/C378-1</f>
        <v>1.4034951529268813E-2</v>
      </c>
      <c r="K379" s="5">
        <f>D379/D378-1</f>
        <v>-9.8323786440370764E-3</v>
      </c>
      <c r="L379" s="5">
        <f>E379/E378-1</f>
        <v>4.7165567691427324E-3</v>
      </c>
      <c r="M379" s="5">
        <f>F379/F378-1</f>
        <v>2.5841179469083819E-3</v>
      </c>
      <c r="N379" s="5">
        <f>SUMPRODUCT(I379:M379,$AJ$13:$AN$13)</f>
        <v>-4.6867572681867833E-3</v>
      </c>
      <c r="P379" s="2" t="s">
        <v>370</v>
      </c>
      <c r="Q379" s="10" cm="1">
        <f t="array" aca="1" ref="Q379:U379" ca="1">_xlfn.LET(_xlpm.array,_xlfn.RANDARRAY(1,COLUMNS(_xlfn.ANCHORARRAY(Q378)),0,1,FALSE),_xlpm.array/SUM(_xlpm.array))</f>
        <v>0.15169497190192063</v>
      </c>
      <c r="R379" s="2">
        <f ca="1"/>
        <v>0.1622181358272469</v>
      </c>
      <c r="S379" s="2">
        <f ca="1"/>
        <v>0.26561485582177025</v>
      </c>
      <c r="T379" s="2">
        <f ca="1"/>
        <v>0.2053962335607798</v>
      </c>
      <c r="U379" s="2">
        <f ca="1"/>
        <v>0.2150758028882824</v>
      </c>
      <c r="V379" s="12"/>
      <c r="X379" s="2" cm="1">
        <f t="array" aca="1" ref="X379" ca="1">MMULT(MMULT(_xlfn.ANCHORARRAY(Q379),$Q$9:$U$13),TRANSPOSE(_xlfn.ANCHORARRAY(Q379)))</f>
        <v>2.8871816502527462E-4</v>
      </c>
      <c r="Y379" s="2">
        <f t="shared" ca="1" si="16"/>
        <v>1.6991708714113322E-2</v>
      </c>
      <c r="Z379" s="2" cm="1">
        <f t="array" aca="1" ref="Z379" ca="1">MMULT(_xlfn.ANCHORARRAY(Q379),TRANSPOSE($Q$3:$U$3))</f>
        <v>1.0012530076783286E-3</v>
      </c>
      <c r="AA379" s="11">
        <f ca="1">AVEDEV(Q379*$Q$3,R379*$R$3,S379*$S$3,T379*$T$3,U379*$U$3)</f>
        <v>9.6277535263495365E-5</v>
      </c>
      <c r="AB379" s="11" cm="1">
        <f t="array" aca="1" ref="AB379" ca="1">MMULT(_xlfn.ANCHORARRAY(Q379),TRANSPOSE($Q$6:$U$6))</f>
        <v>-2.3328787314843856E-2</v>
      </c>
      <c r="AD379" s="2" t="s">
        <v>370</v>
      </c>
      <c r="AE379" s="10" cm="1">
        <f t="array" aca="1" ref="AE379:AI379" ca="1">_xlfn.LET(_xlpm.array,_xlfn.RANDARRAY(1,COLUMNS(_xlfn.ANCHORARRAY(Q378)),-1,1,FALSE),_xlpm.array/SUM(_xlpm.array))</f>
        <v>-1.4596233574533897</v>
      </c>
      <c r="AF379" s="10">
        <f ca="1"/>
        <v>-3.636876653033104E-2</v>
      </c>
      <c r="AG379" s="10">
        <f ca="1"/>
        <v>0.60305040109751118</v>
      </c>
      <c r="AH379" s="10">
        <f ca="1"/>
        <v>0.15872232754160778</v>
      </c>
      <c r="AI379" s="10">
        <f ca="1"/>
        <v>1.7342193953446017</v>
      </c>
      <c r="AJ379" s="1"/>
      <c r="AK379" s="2" cm="1">
        <f t="array" aca="1" ref="AK379" ca="1">MMULT(MMULT(_xlfn.ANCHORARRAY(AE379),$Q$9:$U$13),TRANSPOSE(_xlfn.ANCHORARRAY(AE379)))</f>
        <v>1.5908475671779652E-3</v>
      </c>
      <c r="AL379" s="2">
        <f t="shared" ca="1" si="17"/>
        <v>3.9885430512631617E-2</v>
      </c>
      <c r="AM379" s="2" cm="1">
        <f t="array" aca="1" ref="AM379" ca="1">MMULT(_xlfn.ANCHORARRAY(AE380),TRANSPOSE($Q$3:$U$3))</f>
        <v>1.4230827836113312E-3</v>
      </c>
    </row>
    <row r="380" spans="1:39" x14ac:dyDescent="0.35">
      <c r="A380" s="3">
        <v>44379</v>
      </c>
      <c r="B380" s="4">
        <v>36.597114562988203</v>
      </c>
      <c r="C380" s="4">
        <v>87.187461853027301</v>
      </c>
      <c r="D380" s="4">
        <v>45.969474792480398</v>
      </c>
      <c r="E380" s="4">
        <v>14.8541355133056</v>
      </c>
      <c r="F380" s="4">
        <v>267.03695678710898</v>
      </c>
      <c r="I380" s="5">
        <f>B380/B379-1</f>
        <v>-9.3885791716150635E-3</v>
      </c>
      <c r="J380" s="5">
        <f>C380/C379-1</f>
        <v>-1.3182823964510426E-3</v>
      </c>
      <c r="K380" s="5">
        <f>D380/D379-1</f>
        <v>6.8901151054114873E-3</v>
      </c>
      <c r="L380" s="5">
        <f>E380/E379-1</f>
        <v>8.4511258898505304E-3</v>
      </c>
      <c r="M380" s="5">
        <f>F380/F379-1</f>
        <v>2.2275462001838386E-2</v>
      </c>
      <c r="N380" s="5">
        <f>SUMPRODUCT(I380:M380,$AJ$13:$AN$13)</f>
        <v>1.7735857030308173E-2</v>
      </c>
      <c r="P380" s="2" t="s">
        <v>371</v>
      </c>
      <c r="Q380" s="10" cm="1">
        <f t="array" aca="1" ref="Q380:U380" ca="1">_xlfn.LET(_xlpm.array,_xlfn.RANDARRAY(1,COLUMNS(_xlfn.ANCHORARRAY(Q379)),0,1,FALSE),_xlpm.array/SUM(_xlpm.array))</f>
        <v>0.2759667281995416</v>
      </c>
      <c r="R380" s="2">
        <f ca="1"/>
        <v>9.4570905142901812E-3</v>
      </c>
      <c r="S380" s="2">
        <f ca="1"/>
        <v>0.30983120212705123</v>
      </c>
      <c r="T380" s="2">
        <f ca="1"/>
        <v>0.12038737680533416</v>
      </c>
      <c r="U380" s="2">
        <f ca="1"/>
        <v>0.28435760235378288</v>
      </c>
      <c r="V380" s="12"/>
      <c r="X380" s="2" cm="1">
        <f t="array" aca="1" ref="X380" ca="1">MMULT(MMULT(_xlfn.ANCHORARRAY(Q380),$Q$9:$U$13),TRANSPOSE(_xlfn.ANCHORARRAY(Q380)))</f>
        <v>3.0250326746082798E-4</v>
      </c>
      <c r="Y380" s="2">
        <f t="shared" ca="1" si="16"/>
        <v>1.7392621063566812E-2</v>
      </c>
      <c r="Z380" s="2" cm="1">
        <f t="array" aca="1" ref="Z380" ca="1">MMULT(_xlfn.ANCHORARRAY(Q380),TRANSPOSE($Q$3:$U$3))</f>
        <v>9.90812906382373E-4</v>
      </c>
      <c r="AA380" s="11">
        <f ca="1">AVEDEV(Q380*$Q$3,R380*$R$3,S380*$S$3,T380*$T$3,U380*$U$3)</f>
        <v>1.2973317882693653E-4</v>
      </c>
      <c r="AB380" s="11" cm="1">
        <f t="array" aca="1" ref="AB380" ca="1">MMULT(_xlfn.ANCHORARRAY(Q380),TRANSPOSE($Q$6:$U$6))</f>
        <v>-2.3323430563149609E-2</v>
      </c>
      <c r="AD380" s="2" t="s">
        <v>371</v>
      </c>
      <c r="AE380" s="10" cm="1">
        <f t="array" aca="1" ref="AE380:AI380" ca="1">_xlfn.LET(_xlpm.array,_xlfn.RANDARRAY(1,COLUMNS(_xlfn.ANCHORARRAY(Q379)),-1,1,FALSE),_xlpm.array/SUM(_xlpm.array))</f>
        <v>8.3448154868497562E-2</v>
      </c>
      <c r="AF380" s="10">
        <f ca="1"/>
        <v>0.27731923912424705</v>
      </c>
      <c r="AG380" s="10">
        <f ca="1"/>
        <v>0.66694371884518866</v>
      </c>
      <c r="AH380" s="10">
        <f ca="1"/>
        <v>0.45270903535988455</v>
      </c>
      <c r="AI380" s="10">
        <f ca="1"/>
        <v>-0.48042014819781781</v>
      </c>
      <c r="AJ380" s="1"/>
      <c r="AK380" s="2" cm="1">
        <f t="array" aca="1" ref="AK380" ca="1">MMULT(MMULT(_xlfn.ANCHORARRAY(AE380),$Q$9:$U$13),TRANSPOSE(_xlfn.ANCHORARRAY(AE380)))</f>
        <v>7.1903631874520866E-4</v>
      </c>
      <c r="AL380" s="2">
        <f t="shared" ca="1" si="17"/>
        <v>2.681485257735363E-2</v>
      </c>
      <c r="AM380" s="2" cm="1">
        <f t="array" aca="1" ref="AM380" ca="1">MMULT(_xlfn.ANCHORARRAY(AE381),TRANSPOSE($Q$3:$U$3))</f>
        <v>2.0649603546984562E-4</v>
      </c>
    </row>
    <row r="381" spans="1:39" x14ac:dyDescent="0.35">
      <c r="A381" s="3">
        <v>44383</v>
      </c>
      <c r="B381" s="4">
        <v>35.6366157531738</v>
      </c>
      <c r="C381" s="4">
        <v>85.477745056152301</v>
      </c>
      <c r="D381" s="4">
        <v>45.506866455078097</v>
      </c>
      <c r="E381" s="4">
        <v>14.439214706420801</v>
      </c>
      <c r="F381" s="4">
        <v>267.04647827148398</v>
      </c>
      <c r="I381" s="5">
        <f>B381/B380-1</f>
        <v>-2.6245205975494734E-2</v>
      </c>
      <c r="J381" s="5">
        <f>C381/C380-1</f>
        <v>-1.9609663597698113E-2</v>
      </c>
      <c r="K381" s="5">
        <f>D381/D380-1</f>
        <v>-1.0063380960749546E-2</v>
      </c>
      <c r="L381" s="5">
        <f>E381/E380-1</f>
        <v>-2.7933016129624955E-2</v>
      </c>
      <c r="M381" s="5">
        <f>F381/F380-1</f>
        <v>3.5656054838018036E-5</v>
      </c>
      <c r="N381" s="5">
        <f>SUMPRODUCT(I381:M381,$AJ$13:$AN$13)</f>
        <v>-1.0046789172158128E-2</v>
      </c>
      <c r="P381" s="2" t="s">
        <v>372</v>
      </c>
      <c r="Q381" s="10" cm="1">
        <f t="array" aca="1" ref="Q381:U381" ca="1">_xlfn.LET(_xlpm.array,_xlfn.RANDARRAY(1,COLUMNS(_xlfn.ANCHORARRAY(Q380)),0,1,FALSE),_xlpm.array/SUM(_xlpm.array))</f>
        <v>0.35821060281620182</v>
      </c>
      <c r="R381" s="2">
        <f ca="1"/>
        <v>1.7942477219851843E-2</v>
      </c>
      <c r="S381" s="2">
        <f ca="1"/>
        <v>8.0665662351167039E-2</v>
      </c>
      <c r="T381" s="2">
        <f ca="1"/>
        <v>0.19762160896776712</v>
      </c>
      <c r="U381" s="2">
        <f ca="1"/>
        <v>0.34555964864501221</v>
      </c>
      <c r="V381" s="12"/>
      <c r="X381" s="2" cm="1">
        <f t="array" aca="1" ref="X381" ca="1">MMULT(MMULT(_xlfn.ANCHORARRAY(Q381),$Q$9:$U$13),TRANSPOSE(_xlfn.ANCHORARRAY(Q381)))</f>
        <v>2.5862954584307215E-4</v>
      </c>
      <c r="Y381" s="2">
        <f t="shared" ca="1" si="16"/>
        <v>1.6081963370281383E-2</v>
      </c>
      <c r="Z381" s="2" cm="1">
        <f t="array" aca="1" ref="Z381" ca="1">MMULT(_xlfn.ANCHORARRAY(Q381),TRANSPOSE($Q$3:$U$3))</f>
        <v>7.9235882708498227E-4</v>
      </c>
      <c r="AA381" s="11">
        <f ca="1">AVEDEV(Q381*$Q$3,R381*$R$3,S381*$S$3,T381*$T$3,U381*$U$3)</f>
        <v>6.9136054120506128E-5</v>
      </c>
      <c r="AB381" s="11" cm="1">
        <f t="array" aca="1" ref="AB381" ca="1">MMULT(_xlfn.ANCHORARRAY(Q381),TRANSPOSE($Q$6:$U$6))</f>
        <v>-2.2228759637226047E-2</v>
      </c>
      <c r="AD381" s="2" t="s">
        <v>372</v>
      </c>
      <c r="AE381" s="10" cm="1">
        <f t="array" aca="1" ref="AE381:AI381" ca="1">_xlfn.LET(_xlpm.array,_xlfn.RANDARRAY(1,COLUMNS(_xlfn.ANCHORARRAY(Q380)),-1,1,FALSE),_xlpm.array/SUM(_xlpm.array))</f>
        <v>0.30757936970139799</v>
      </c>
      <c r="AF381" s="10">
        <f ca="1"/>
        <v>-1.3698908765094424</v>
      </c>
      <c r="AG381" s="10">
        <f ca="1"/>
        <v>-0.97216850799909538</v>
      </c>
      <c r="AH381" s="10">
        <f ca="1"/>
        <v>1.2010538867508895</v>
      </c>
      <c r="AI381" s="10">
        <f ca="1"/>
        <v>1.8334261280562503</v>
      </c>
      <c r="AJ381" s="1"/>
      <c r="AK381" s="2" cm="1">
        <f t="array" aca="1" ref="AK381" ca="1">MMULT(MMULT(_xlfn.ANCHORARRAY(AE381),$Q$9:$U$13),TRANSPOSE(_xlfn.ANCHORARRAY(AE381)))</f>
        <v>1.6337071315823491E-3</v>
      </c>
      <c r="AL381" s="2">
        <f t="shared" ca="1" si="17"/>
        <v>4.0419143132708155E-2</v>
      </c>
      <c r="AM381" s="2" cm="1">
        <f t="array" aca="1" ref="AM381" ca="1">MMULT(_xlfn.ANCHORARRAY(AE382),TRANSPOSE($Q$3:$U$3))</f>
        <v>2.2022019668932417E-3</v>
      </c>
    </row>
    <row r="382" spans="1:39" x14ac:dyDescent="0.35">
      <c r="A382" s="3">
        <v>44384</v>
      </c>
      <c r="B382" s="4">
        <v>35.35200881958</v>
      </c>
      <c r="C382" s="4">
        <v>84.606430053710895</v>
      </c>
      <c r="D382" s="4">
        <v>46.0249824523925</v>
      </c>
      <c r="E382" s="4">
        <v>14.197175025939901</v>
      </c>
      <c r="F382" s="4">
        <v>269.229736328125</v>
      </c>
      <c r="I382" s="5">
        <f>B382/B381-1</f>
        <v>-7.986362553757731E-3</v>
      </c>
      <c r="J382" s="5">
        <f>C382/C381-1</f>
        <v>-1.0193472018582339E-2</v>
      </c>
      <c r="K382" s="5">
        <f>D382/D381-1</f>
        <v>1.1385446585865378E-2</v>
      </c>
      <c r="L382" s="5">
        <f>E382/E381-1</f>
        <v>-1.6762662333241085E-2</v>
      </c>
      <c r="M382" s="5">
        <f>F382/F381-1</f>
        <v>8.1755732963513239E-3</v>
      </c>
      <c r="N382" s="5">
        <f>SUMPRODUCT(I382:M382,$AJ$13:$AN$13)</f>
        <v>3.4703629904383297E-3</v>
      </c>
      <c r="P382" s="2" t="s">
        <v>373</v>
      </c>
      <c r="Q382" s="10" cm="1">
        <f t="array" aca="1" ref="Q382:U382" ca="1">_xlfn.LET(_xlpm.array,_xlfn.RANDARRAY(1,COLUMNS(_xlfn.ANCHORARRAY(Q381)),0,1,FALSE),_xlpm.array/SUM(_xlpm.array))</f>
        <v>0.36749288446728584</v>
      </c>
      <c r="R382" s="2">
        <f ca="1"/>
        <v>0.12088700878099118</v>
      </c>
      <c r="S382" s="2">
        <f ca="1"/>
        <v>4.422263460103824E-3</v>
      </c>
      <c r="T382" s="2">
        <f ca="1"/>
        <v>0.42378115458991039</v>
      </c>
      <c r="U382" s="2">
        <f ca="1"/>
        <v>8.3416688701708763E-2</v>
      </c>
      <c r="V382" s="12"/>
      <c r="X382" s="2" cm="1">
        <f t="array" aca="1" ref="X382" ca="1">MMULT(MMULT(_xlfn.ANCHORARRAY(Q382),$Q$9:$U$13),TRANSPOSE(_xlfn.ANCHORARRAY(Q382)))</f>
        <v>3.3182596969423924E-4</v>
      </c>
      <c r="Y382" s="2">
        <f t="shared" ca="1" si="16"/>
        <v>1.8216090955367983E-2</v>
      </c>
      <c r="Z382" s="2" cm="1">
        <f t="array" aca="1" ref="Z382" ca="1">MMULT(_xlfn.ANCHORARRAY(Q382),TRANSPOSE($Q$3:$U$3))</f>
        <v>7.7897871147390057E-4</v>
      </c>
      <c r="AA382" s="11">
        <f ca="1">AVEDEV(Q382*$Q$3,R382*$R$3,S382*$S$3,T382*$T$3,U382*$U$3)</f>
        <v>1.2325099216695199E-4</v>
      </c>
      <c r="AB382" s="11" cm="1">
        <f t="array" aca="1" ref="AB382" ca="1">MMULT(_xlfn.ANCHORARRAY(Q382),TRANSPOSE($Q$6:$U$6))</f>
        <v>-2.2893955601859955E-2</v>
      </c>
      <c r="AD382" s="2" t="s">
        <v>373</v>
      </c>
      <c r="AE382" s="10" cm="1">
        <f t="array" aca="1" ref="AE382:AI382" ca="1">_xlfn.LET(_xlpm.array,_xlfn.RANDARRAY(1,COLUMNS(_xlfn.ANCHORARRAY(Q381)),-1,1,FALSE),_xlpm.array/SUM(_xlpm.array))</f>
        <v>-1.4208976527477661</v>
      </c>
      <c r="AF382" s="10">
        <f ca="1"/>
        <v>1.1588792873082452</v>
      </c>
      <c r="AG382" s="10">
        <f ca="1"/>
        <v>1.2014638863518339</v>
      </c>
      <c r="AH382" s="10">
        <f ca="1"/>
        <v>0.31396757220896665</v>
      </c>
      <c r="AI382" s="10">
        <f ca="1"/>
        <v>-0.25341309312127952</v>
      </c>
      <c r="AJ382" s="1"/>
      <c r="AK382" s="2" cm="1">
        <f t="array" aca="1" ref="AK382" ca="1">MMULT(MMULT(_xlfn.ANCHORARRAY(AE382),$Q$9:$U$13),TRANSPOSE(_xlfn.ANCHORARRAY(AE382)))</f>
        <v>1.8103079620836601E-3</v>
      </c>
      <c r="AL382" s="2">
        <f t="shared" ca="1" si="17"/>
        <v>4.2547713946623031E-2</v>
      </c>
      <c r="AM382" s="2" cm="1">
        <f t="array" aca="1" ref="AM382" ca="1">MMULT(_xlfn.ANCHORARRAY(AE383),TRANSPOSE($Q$3:$U$3))</f>
        <v>1.1467414490754699E-3</v>
      </c>
    </row>
    <row r="383" spans="1:39" x14ac:dyDescent="0.35">
      <c r="A383" s="3">
        <v>44385</v>
      </c>
      <c r="B383" s="4">
        <v>34.4893379211425</v>
      </c>
      <c r="C383" s="4">
        <v>84.335182189941406</v>
      </c>
      <c r="D383" s="4">
        <v>45.798316955566399</v>
      </c>
      <c r="E383" s="4">
        <v>13.9551391601562</v>
      </c>
      <c r="F383" s="4">
        <v>266.81576538085898</v>
      </c>
      <c r="I383" s="5">
        <f>B383/B382-1</f>
        <v>-2.4402316225936804E-2</v>
      </c>
      <c r="J383" s="5">
        <f>C383/C382-1</f>
        <v>-3.2059958515835429E-3</v>
      </c>
      <c r="K383" s="5">
        <f>D383/D382-1</f>
        <v>-4.924836137863986E-3</v>
      </c>
      <c r="L383" s="5">
        <f>E383/E382-1</f>
        <v>-1.7048170874943258E-2</v>
      </c>
      <c r="M383" s="5">
        <f>F383/F382-1</f>
        <v>-8.9662122029640079E-3</v>
      </c>
      <c r="N383" s="5">
        <f>SUMPRODUCT(I383:M383,$AJ$13:$AN$13)</f>
        <v>-6.3627134223900204E-3</v>
      </c>
      <c r="P383" s="2" t="s">
        <v>374</v>
      </c>
      <c r="Q383" s="10" cm="1">
        <f t="array" aca="1" ref="Q383:U383" ca="1">_xlfn.LET(_xlpm.array,_xlfn.RANDARRAY(1,COLUMNS(_xlfn.ANCHORARRAY(Q382)),0,1,FALSE),_xlpm.array/SUM(_xlpm.array))</f>
        <v>0.26463837675353608</v>
      </c>
      <c r="R383" s="2">
        <f ca="1"/>
        <v>9.5959345805430488E-2</v>
      </c>
      <c r="S383" s="2">
        <f ca="1"/>
        <v>0.161875134647193</v>
      </c>
      <c r="T383" s="2">
        <f ca="1"/>
        <v>0.30942836903925175</v>
      </c>
      <c r="U383" s="2">
        <f ca="1"/>
        <v>0.16809877375458865</v>
      </c>
      <c r="V383" s="12"/>
      <c r="X383" s="2" cm="1">
        <f t="array" aca="1" ref="X383" ca="1">MMULT(MMULT(_xlfn.ANCHORARRAY(Q383),$Q$9:$U$13),TRANSPOSE(_xlfn.ANCHORARRAY(Q383)))</f>
        <v>2.8618467553949396E-4</v>
      </c>
      <c r="Y383" s="2">
        <f t="shared" ca="1" si="16"/>
        <v>1.6916993690945622E-2</v>
      </c>
      <c r="Z383" s="2" cm="1">
        <f t="array" aca="1" ref="Z383" ca="1">MMULT(_xlfn.ANCHORARRAY(Q383),TRANSPOSE($Q$3:$U$3))</f>
        <v>9.121483773853775E-4</v>
      </c>
      <c r="AA383" s="11">
        <f ca="1">AVEDEV(Q383*$Q$3,R383*$R$3,S383*$S$3,T383*$T$3,U383*$U$3)</f>
        <v>8.5657325693626958E-5</v>
      </c>
      <c r="AB383" s="11" cm="1">
        <f t="array" aca="1" ref="AB383" ca="1">MMULT(_xlfn.ANCHORARRAY(Q383),TRANSPOSE($Q$6:$U$6))</f>
        <v>-2.3260025904003414E-2</v>
      </c>
      <c r="AD383" s="2" t="s">
        <v>374</v>
      </c>
      <c r="AE383" s="10" cm="1">
        <f t="array" aca="1" ref="AE383:AI383" ca="1">_xlfn.LET(_xlpm.array,_xlfn.RANDARRAY(1,COLUMNS(_xlfn.ANCHORARRAY(Q382)),-1,1,FALSE),_xlpm.array/SUM(_xlpm.array))</f>
        <v>0.10941240076677231</v>
      </c>
      <c r="AF383" s="10">
        <f ca="1"/>
        <v>0.1221193393477857</v>
      </c>
      <c r="AG383" s="10">
        <f ca="1"/>
        <v>0.57597734607599749</v>
      </c>
      <c r="AH383" s="10">
        <f ca="1"/>
        <v>-0.3141351047592571</v>
      </c>
      <c r="AI383" s="10">
        <f ca="1"/>
        <v>0.5066260185687016</v>
      </c>
      <c r="AJ383" s="1"/>
      <c r="AK383" s="2" cm="1">
        <f t="array" aca="1" ref="AK383" ca="1">MMULT(MMULT(_xlfn.ANCHORARRAY(AE383),$Q$9:$U$13),TRANSPOSE(_xlfn.ANCHORARRAY(AE383)))</f>
        <v>5.320145055186232E-4</v>
      </c>
      <c r="AL383" s="2">
        <f t="shared" ca="1" si="17"/>
        <v>2.3065439634193476E-2</v>
      </c>
      <c r="AM383" s="2" cm="1">
        <f t="array" aca="1" ref="AM383" ca="1">MMULT(_xlfn.ANCHORARRAY(AE384),TRANSPOSE($Q$3:$U$3))</f>
        <v>6.0118873951800944E-4</v>
      </c>
    </row>
    <row r="384" spans="1:39" x14ac:dyDescent="0.35">
      <c r="A384" s="3">
        <v>44386</v>
      </c>
      <c r="B384" s="4">
        <v>35.6099243164062</v>
      </c>
      <c r="C384" s="4">
        <v>85.543510437011705</v>
      </c>
      <c r="D384" s="4">
        <v>46.376567840576101</v>
      </c>
      <c r="E384" s="4">
        <v>14.217919349670399</v>
      </c>
      <c r="F384" s="4">
        <v>267.315826416015</v>
      </c>
      <c r="I384" s="5">
        <f>B384/B383-1</f>
        <v>3.2490806226139979E-2</v>
      </c>
      <c r="J384" s="5">
        <f>C384/C383-1</f>
        <v>1.4327688820886975E-2</v>
      </c>
      <c r="K384" s="5">
        <f>D384/D383-1</f>
        <v>1.2626029152353446E-2</v>
      </c>
      <c r="L384" s="5">
        <f>E384/E383-1</f>
        <v>1.8830352495836866E-2</v>
      </c>
      <c r="M384" s="5">
        <f>F384/F383-1</f>
        <v>1.8741809894262662E-3</v>
      </c>
      <c r="N384" s="5">
        <f>SUMPRODUCT(I384:M384,$AJ$13:$AN$13)</f>
        <v>6.1325203763757004E-3</v>
      </c>
      <c r="P384" s="2" t="s">
        <v>375</v>
      </c>
      <c r="Q384" s="10" cm="1">
        <f t="array" aca="1" ref="Q384:U384" ca="1">_xlfn.LET(_xlpm.array,_xlfn.RANDARRAY(1,COLUMNS(_xlfn.ANCHORARRAY(Q383)),0,1,FALSE),_xlpm.array/SUM(_xlpm.array))</f>
        <v>0.11133587683576951</v>
      </c>
      <c r="R384" s="2">
        <f ca="1"/>
        <v>0.21210026942381752</v>
      </c>
      <c r="S384" s="2">
        <f ca="1"/>
        <v>0.11961516129477384</v>
      </c>
      <c r="T384" s="2">
        <f ca="1"/>
        <v>0.27966852195564329</v>
      </c>
      <c r="U384" s="2">
        <f ca="1"/>
        <v>0.27728017048999587</v>
      </c>
      <c r="V384" s="12"/>
      <c r="X384" s="2" cm="1">
        <f t="array" aca="1" ref="X384" ca="1">MMULT(MMULT(_xlfn.ANCHORARRAY(Q384),$Q$9:$U$13),TRANSPOSE(_xlfn.ANCHORARRAY(Q384)))</f>
        <v>2.6663275248376951E-4</v>
      </c>
      <c r="Y384" s="2">
        <f t="shared" ca="1" si="16"/>
        <v>1.6328893179997521E-2</v>
      </c>
      <c r="Z384" s="2" cm="1">
        <f t="array" aca="1" ref="Z384" ca="1">MMULT(_xlfn.ANCHORARRAY(Q384),TRANSPOSE($Q$3:$U$3))</f>
        <v>9.03518004016531E-4</v>
      </c>
      <c r="AA384" s="11">
        <f ca="1">AVEDEV(Q384*$Q$3,R384*$R$3,S384*$S$3,T384*$T$3,U384*$U$3)</f>
        <v>5.9974904374318928E-5</v>
      </c>
      <c r="AB384" s="11" cm="1">
        <f t="array" aca="1" ref="AB384" ca="1">MMULT(_xlfn.ANCHORARRAY(Q384),TRANSPOSE($Q$6:$U$6))</f>
        <v>-2.2641238694297804E-2</v>
      </c>
      <c r="AD384" s="2" t="s">
        <v>375</v>
      </c>
      <c r="AE384" s="10" cm="1">
        <f t="array" aca="1" ref="AE384:AI384" ca="1">_xlfn.LET(_xlpm.array,_xlfn.RANDARRAY(1,COLUMNS(_xlfn.ANCHORARRAY(Q383)),-1,1,FALSE),_xlpm.array/SUM(_xlpm.array))</f>
        <v>3.2339146444082401</v>
      </c>
      <c r="AF384" s="10">
        <f ca="1"/>
        <v>-2.7053793124799301</v>
      </c>
      <c r="AG384" s="10">
        <f ca="1"/>
        <v>1.7057994472336426</v>
      </c>
      <c r="AH384" s="10">
        <f ca="1"/>
        <v>-3.4778979193918005</v>
      </c>
      <c r="AI384" s="10">
        <f ca="1"/>
        <v>2.2435631402298477</v>
      </c>
      <c r="AJ384" s="1"/>
      <c r="AK384" s="2" cm="1">
        <f t="array" aca="1" ref="AK384" ca="1">MMULT(MMULT(_xlfn.ANCHORARRAY(AE384),$Q$9:$U$13),TRANSPOSE(_xlfn.ANCHORARRAY(AE384)))</f>
        <v>1.5504704396034009E-2</v>
      </c>
      <c r="AL384" s="2">
        <f t="shared" ca="1" si="17"/>
        <v>0.12451788785565715</v>
      </c>
      <c r="AM384" s="2" cm="1">
        <f t="array" aca="1" ref="AM384" ca="1">MMULT(_xlfn.ANCHORARRAY(AE385),TRANSPOSE($Q$3:$U$3))</f>
        <v>1.2979839506909491E-3</v>
      </c>
    </row>
    <row r="385" spans="1:39" x14ac:dyDescent="0.35">
      <c r="A385" s="3">
        <v>44389</v>
      </c>
      <c r="B385" s="4">
        <v>36.134651184082003</v>
      </c>
      <c r="C385" s="4">
        <v>85.716125488281193</v>
      </c>
      <c r="D385" s="4">
        <v>44.933235168457003</v>
      </c>
      <c r="E385" s="4">
        <v>14.1349372863769</v>
      </c>
      <c r="F385" s="4">
        <v>266.719482421875</v>
      </c>
      <c r="I385" s="5">
        <f>B385/B384-1</f>
        <v>1.4735410921220327E-2</v>
      </c>
      <c r="J385" s="5">
        <f>C385/C384-1</f>
        <v>2.0178626103564135E-3</v>
      </c>
      <c r="K385" s="5">
        <f>D385/D384-1</f>
        <v>-3.1122024317985164E-2</v>
      </c>
      <c r="L385" s="5">
        <f>E385/E384-1</f>
        <v>-5.8364421159431412E-3</v>
      </c>
      <c r="M385" s="5">
        <f>F385/F384-1</f>
        <v>-2.2308592878146349E-3</v>
      </c>
      <c r="N385" s="5">
        <f>SUMPRODUCT(I385:M385,$AJ$13:$AN$13)</f>
        <v>-2.4004496571410169E-2</v>
      </c>
      <c r="P385" s="2" t="s">
        <v>376</v>
      </c>
      <c r="Q385" s="10" cm="1">
        <f t="array" aca="1" ref="Q385:U385" ca="1">_xlfn.LET(_xlpm.array,_xlfn.RANDARRAY(1,COLUMNS(_xlfn.ANCHORARRAY(Q384)),0,1,FALSE),_xlpm.array/SUM(_xlpm.array))</f>
        <v>0.30048919208428831</v>
      </c>
      <c r="R385" s="2">
        <f ca="1"/>
        <v>0.15931380908635795</v>
      </c>
      <c r="S385" s="2">
        <f ca="1"/>
        <v>7.6340000793234539E-2</v>
      </c>
      <c r="T385" s="2">
        <f ca="1"/>
        <v>0.35502697614200768</v>
      </c>
      <c r="U385" s="2">
        <f ca="1"/>
        <v>0.10883002189411152</v>
      </c>
      <c r="V385" s="12"/>
      <c r="X385" s="2" cm="1">
        <f t="array" aca="1" ref="X385" ca="1">MMULT(MMULT(_xlfn.ANCHORARRAY(Q385),$Q$9:$U$13),TRANSPOSE(_xlfn.ANCHORARRAY(Q385)))</f>
        <v>3.0577190743034661E-4</v>
      </c>
      <c r="Y385" s="2">
        <f t="shared" ca="1" si="16"/>
        <v>1.7486334876993137E-2</v>
      </c>
      <c r="Z385" s="2" cm="1">
        <f t="array" aca="1" ref="Z385" ca="1">MMULT(_xlfn.ANCHORARRAY(Q385),TRANSPOSE($Q$3:$U$3))</f>
        <v>8.3897658609250825E-4</v>
      </c>
      <c r="AA385" s="11">
        <f ca="1">AVEDEV(Q385*$Q$3,R385*$R$3,S385*$S$3,T385*$T$3,U385*$U$3)</f>
        <v>7.7962528849982534E-5</v>
      </c>
      <c r="AB385" s="11" cm="1">
        <f t="array" aca="1" ref="AB385" ca="1">MMULT(_xlfn.ANCHORARRAY(Q385),TRANSPOSE($Q$6:$U$6))</f>
        <v>-2.2971753062065073E-2</v>
      </c>
      <c r="AD385" s="2" t="s">
        <v>376</v>
      </c>
      <c r="AE385" s="10" cm="1">
        <f t="array" aca="1" ref="AE385:AI385" ca="1">_xlfn.LET(_xlpm.array,_xlfn.RANDARRAY(1,COLUMNS(_xlfn.ANCHORARRAY(Q384)),-1,1,FALSE),_xlpm.array/SUM(_xlpm.array))</f>
        <v>-0.45100458684923911</v>
      </c>
      <c r="AF385" s="10">
        <f ca="1"/>
        <v>-0.11055789259366691</v>
      </c>
      <c r="AG385" s="10">
        <f ca="1"/>
        <v>0.33189054870329227</v>
      </c>
      <c r="AH385" s="10">
        <f ca="1"/>
        <v>0.50018537151261111</v>
      </c>
      <c r="AI385" s="10">
        <f ca="1"/>
        <v>0.72948655922700267</v>
      </c>
      <c r="AJ385" s="1"/>
      <c r="AK385" s="2" cm="1">
        <f t="array" aca="1" ref="AK385" ca="1">MMULT(MMULT(_xlfn.ANCHORARRAY(AE385),$Q$9:$U$13),TRANSPOSE(_xlfn.ANCHORARRAY(AE385)))</f>
        <v>4.4588794855097497E-4</v>
      </c>
      <c r="AL385" s="2">
        <f t="shared" ca="1" si="17"/>
        <v>2.1116059020351668E-2</v>
      </c>
      <c r="AM385" s="2" cm="1">
        <f t="array" aca="1" ref="AM385" ca="1">MMULT(_xlfn.ANCHORARRAY(AE386),TRANSPOSE($Q$3:$U$3))</f>
        <v>1.2386339296510587E-3</v>
      </c>
    </row>
    <row r="386" spans="1:39" x14ac:dyDescent="0.35">
      <c r="A386" s="3">
        <v>44390</v>
      </c>
      <c r="B386" s="4">
        <v>35.449840545654297</v>
      </c>
      <c r="C386" s="4">
        <v>85.428413391113196</v>
      </c>
      <c r="D386" s="4">
        <v>43.374240875244098</v>
      </c>
      <c r="E386" s="4">
        <v>14.100359916686999</v>
      </c>
      <c r="F386" s="4">
        <v>270.239654541015</v>
      </c>
      <c r="I386" s="5">
        <f>B386/B385-1</f>
        <v>-1.8951632739971691E-2</v>
      </c>
      <c r="J386" s="5">
        <f>C386/C385-1</f>
        <v>-3.3565690881272037E-3</v>
      </c>
      <c r="K386" s="5">
        <f>D386/D385-1</f>
        <v>-3.4695794490829712E-2</v>
      </c>
      <c r="L386" s="5">
        <f>E386/E385-1</f>
        <v>-2.4462343899626093E-3</v>
      </c>
      <c r="M386" s="5">
        <f>F386/F385-1</f>
        <v>1.3198031456780113E-2</v>
      </c>
      <c r="N386" s="5">
        <f>SUMPRODUCT(I386:M386,$AJ$13:$AN$13)</f>
        <v>-9.2083879805584697E-3</v>
      </c>
      <c r="P386" s="2" t="s">
        <v>377</v>
      </c>
      <c r="Q386" s="10" cm="1">
        <f t="array" aca="1" ref="Q386:U386" ca="1">_xlfn.LET(_xlpm.array,_xlfn.RANDARRAY(1,COLUMNS(_xlfn.ANCHORARRAY(Q385)),0,1,FALSE),_xlpm.array/SUM(_xlpm.array))</f>
        <v>0.1160417786635608</v>
      </c>
      <c r="R386" s="2">
        <f ca="1"/>
        <v>0.11951186373143784</v>
      </c>
      <c r="S386" s="2">
        <f ca="1"/>
        <v>0.26037974832190858</v>
      </c>
      <c r="T386" s="2">
        <f ca="1"/>
        <v>0.20811239420383826</v>
      </c>
      <c r="U386" s="2">
        <f ca="1"/>
        <v>0.29595421507925462</v>
      </c>
      <c r="V386" s="12"/>
      <c r="X386" s="2" cm="1">
        <f t="array" aca="1" ref="X386" ca="1">MMULT(MMULT(_xlfn.ANCHORARRAY(Q386),$Q$9:$U$13),TRANSPOSE(_xlfn.ANCHORARRAY(Q386)))</f>
        <v>2.8006472029614392E-4</v>
      </c>
      <c r="Y386" s="2">
        <f t="shared" ca="1" si="16"/>
        <v>1.6735134307681667E-2</v>
      </c>
      <c r="Z386" s="2" cm="1">
        <f t="array" aca="1" ref="Z386" ca="1">MMULT(_xlfn.ANCHORARRAY(Q386),TRANSPOSE($Q$3:$U$3))</f>
        <v>1.0080798384375174E-3</v>
      </c>
      <c r="AA386" s="11">
        <f ca="1">AVEDEV(Q386*$Q$3,R386*$R$3,S386*$S$3,T386*$T$3,U386*$U$3)</f>
        <v>1.0279276284142985E-4</v>
      </c>
      <c r="AB386" s="11" cm="1">
        <f t="array" aca="1" ref="AB386" ca="1">MMULT(_xlfn.ANCHORARRAY(Q386),TRANSPOSE($Q$6:$U$6))</f>
        <v>-2.3232909607906464E-2</v>
      </c>
      <c r="AD386" s="2" t="s">
        <v>377</v>
      </c>
      <c r="AE386" s="10" cm="1">
        <f t="array" aca="1" ref="AE386:AI386" ca="1">_xlfn.LET(_xlpm.array,_xlfn.RANDARRAY(1,COLUMNS(_xlfn.ANCHORARRAY(Q385)),-1,1,FALSE),_xlpm.array/SUM(_xlpm.array))</f>
        <v>-8.9124532841363138E-2</v>
      </c>
      <c r="AF386" s="10">
        <f ca="1"/>
        <v>0.29844165375418302</v>
      </c>
      <c r="AG386" s="10">
        <f ca="1"/>
        <v>0.52796859789834139</v>
      </c>
      <c r="AH386" s="10">
        <f ca="1"/>
        <v>2.9747074681275423E-2</v>
      </c>
      <c r="AI386" s="10">
        <f ca="1"/>
        <v>0.23296720650756333</v>
      </c>
      <c r="AJ386" s="1"/>
      <c r="AK386" s="2" cm="1">
        <f t="array" aca="1" ref="AK386" ca="1">MMULT(MMULT(_xlfn.ANCHORARRAY(AE386),$Q$9:$U$13),TRANSPOSE(_xlfn.ANCHORARRAY(AE386)))</f>
        <v>4.1088868558938348E-4</v>
      </c>
      <c r="AL386" s="2">
        <f t="shared" ca="1" si="17"/>
        <v>2.0270389379323316E-2</v>
      </c>
      <c r="AM386" s="2" cm="1">
        <f t="array" aca="1" ref="AM386" ca="1">MMULT(_xlfn.ANCHORARRAY(AE387),TRANSPOSE($Q$3:$U$3))</f>
        <v>6.2056458764289408E-4</v>
      </c>
    </row>
    <row r="387" spans="1:39" x14ac:dyDescent="0.35">
      <c r="A387" s="3">
        <v>44391</v>
      </c>
      <c r="B387" s="4">
        <v>34.5604858398437</v>
      </c>
      <c r="C387" s="4">
        <v>83.817337036132798</v>
      </c>
      <c r="D387" s="4">
        <v>43.2077026367187</v>
      </c>
      <c r="E387" s="4">
        <v>14.0727005004882</v>
      </c>
      <c r="F387" s="4">
        <v>271.711181640625</v>
      </c>
      <c r="I387" s="5">
        <f>B387/B386-1</f>
        <v>-2.508769269822908E-2</v>
      </c>
      <c r="J387" s="5">
        <f>C387/C386-1</f>
        <v>-1.8858788206734922E-2</v>
      </c>
      <c r="K387" s="5">
        <f>D387/D386-1</f>
        <v>-3.8395654924406886E-3</v>
      </c>
      <c r="L387" s="5">
        <f>E387/E386-1</f>
        <v>-1.9616106512335696E-3</v>
      </c>
      <c r="M387" s="5">
        <f>F387/F386-1</f>
        <v>5.445267098602935E-3</v>
      </c>
      <c r="N387" s="5">
        <f>SUMPRODUCT(I387:M387,$AJ$13:$AN$13)</f>
        <v>6.776779043685963E-3</v>
      </c>
      <c r="P387" s="2" t="s">
        <v>378</v>
      </c>
      <c r="Q387" s="10" cm="1">
        <f t="array" aca="1" ref="Q387:U387" ca="1">_xlfn.LET(_xlpm.array,_xlfn.RANDARRAY(1,COLUMNS(_xlfn.ANCHORARRAY(Q386)),0,1,FALSE),_xlpm.array/SUM(_xlpm.array))</f>
        <v>0.11231959814923206</v>
      </c>
      <c r="R387" s="2">
        <f ca="1"/>
        <v>0.20116181240360897</v>
      </c>
      <c r="S387" s="2">
        <f ca="1"/>
        <v>0.25704950957271588</v>
      </c>
      <c r="T387" s="2">
        <f ca="1"/>
        <v>0.27832709386223958</v>
      </c>
      <c r="U387" s="2">
        <f ca="1"/>
        <v>0.15114198601220347</v>
      </c>
      <c r="V387" s="12"/>
      <c r="X387" s="2" cm="1">
        <f t="array" aca="1" ref="X387" ca="1">MMULT(MMULT(_xlfn.ANCHORARRAY(Q387),$Q$9:$U$13),TRANSPOSE(_xlfn.ANCHORARRAY(Q387)))</f>
        <v>3.0352627295675164E-4</v>
      </c>
      <c r="Y387" s="2">
        <f t="shared" ca="1" si="16"/>
        <v>1.7422005422934286E-2</v>
      </c>
      <c r="Z387" s="2" cm="1">
        <f t="array" aca="1" ref="Z387" ca="1">MMULT(_xlfn.ANCHORARRAY(Q387),TRANSPOSE($Q$3:$U$3))</f>
        <v>1.0213760781943634E-3</v>
      </c>
      <c r="AA387" s="11">
        <f ca="1">AVEDEV(Q387*$Q$3,R387*$R$3,S387*$S$3,T387*$T$3,U387*$U$3)</f>
        <v>1.1729675879439073E-4</v>
      </c>
      <c r="AB387" s="11" cm="1">
        <f t="array" aca="1" ref="AB387" ca="1">MMULT(_xlfn.ANCHORARRAY(Q387),TRANSPOSE($Q$6:$U$6))</f>
        <v>-2.359581536792232E-2</v>
      </c>
      <c r="AD387" s="2" t="s">
        <v>378</v>
      </c>
      <c r="AE387" s="10" cm="1">
        <f t="array" aca="1" ref="AE387:AI387" ca="1">_xlfn.LET(_xlpm.array,_xlfn.RANDARRAY(1,COLUMNS(_xlfn.ANCHORARRAY(Q386)),-1,1,FALSE),_xlpm.array/SUM(_xlpm.array))</f>
        <v>-0.12162718317934104</v>
      </c>
      <c r="AF387" s="10">
        <f ca="1"/>
        <v>0.51128006229007139</v>
      </c>
      <c r="AG387" s="10">
        <f ca="1"/>
        <v>-0.36949985101774574</v>
      </c>
      <c r="AH387" s="10">
        <f ca="1"/>
        <v>0.62178987878348824</v>
      </c>
      <c r="AI387" s="10">
        <f ca="1"/>
        <v>0.35805709312352707</v>
      </c>
      <c r="AJ387" s="1"/>
      <c r="AK387" s="2" cm="1">
        <f t="array" aca="1" ref="AK387" ca="1">MMULT(MMULT(_xlfn.ANCHORARRAY(AE387),$Q$9:$U$13),TRANSPOSE(_xlfn.ANCHORARRAY(AE387)))</f>
        <v>5.384736712548085E-4</v>
      </c>
      <c r="AL387" s="2">
        <f t="shared" ca="1" si="17"/>
        <v>2.3205035471957559E-2</v>
      </c>
      <c r="AM387" s="2" cm="1">
        <f t="array" aca="1" ref="AM387" ca="1">MMULT(_xlfn.ANCHORARRAY(AE388),TRANSPOSE($Q$3:$U$3))</f>
        <v>1.0834963118583052E-3</v>
      </c>
    </row>
    <row r="388" spans="1:39" x14ac:dyDescent="0.35">
      <c r="A388" s="3">
        <v>44392</v>
      </c>
      <c r="B388" s="4">
        <v>34.533805847167898</v>
      </c>
      <c r="C388" s="4">
        <v>83.266624450683594</v>
      </c>
      <c r="D388" s="4">
        <v>43.318729400634702</v>
      </c>
      <c r="E388" s="4">
        <v>13.761512756347599</v>
      </c>
      <c r="F388" s="4">
        <v>270.28771972656199</v>
      </c>
      <c r="I388" s="5">
        <f>B388/B387-1</f>
        <v>-7.719796764269482E-4</v>
      </c>
      <c r="J388" s="5">
        <f>C388/C387-1</f>
        <v>-6.5703899088538353E-3</v>
      </c>
      <c r="K388" s="5">
        <f>D388/D387-1</f>
        <v>2.5696058142570255E-3</v>
      </c>
      <c r="L388" s="5">
        <f>E388/E387-1</f>
        <v>-2.2112866263998443E-2</v>
      </c>
      <c r="M388" s="5">
        <f>F388/F387-1</f>
        <v>-5.2388786706089041E-3</v>
      </c>
      <c r="N388" s="5">
        <f>SUMPRODUCT(I388:M388,$AJ$13:$AN$13)</f>
        <v>-1.0305958845459496E-2</v>
      </c>
      <c r="P388" s="2" t="s">
        <v>379</v>
      </c>
      <c r="Q388" s="10" cm="1">
        <f t="array" aca="1" ref="Q388:U388" ca="1">_xlfn.LET(_xlpm.array,_xlfn.RANDARRAY(1,COLUMNS(_xlfn.ANCHORARRAY(Q387)),0,1,FALSE),_xlpm.array/SUM(_xlpm.array))</f>
        <v>0.17344779772239305</v>
      </c>
      <c r="R388" s="2">
        <f ca="1"/>
        <v>0.32617019323055169</v>
      </c>
      <c r="S388" s="2">
        <f ca="1"/>
        <v>0.2683048259867255</v>
      </c>
      <c r="T388" s="2">
        <f ca="1"/>
        <v>0.22685446624335462</v>
      </c>
      <c r="U388" s="2">
        <f ca="1"/>
        <v>5.2227168169750047E-3</v>
      </c>
      <c r="V388" s="12"/>
      <c r="X388" s="2" cm="1">
        <f t="array" aca="1" ref="X388" ca="1">MMULT(MMULT(_xlfn.ANCHORARRAY(Q388),$Q$9:$U$13),TRANSPOSE(_xlfn.ANCHORARRAY(Q388)))</f>
        <v>3.3969020701815145E-4</v>
      </c>
      <c r="Y388" s="2">
        <f t="shared" ca="1" si="16"/>
        <v>1.8430686558512991E-2</v>
      </c>
      <c r="Z388" s="2" cm="1">
        <f t="array" aca="1" ref="Z388" ca="1">MMULT(_xlfn.ANCHORARRAY(Q388),TRANSPOSE($Q$3:$U$3))</f>
        <v>9.978166718538164E-4</v>
      </c>
      <c r="AA388" s="11">
        <f ca="1">AVEDEV(Q388*$Q$3,R388*$R$3,S388*$S$3,T388*$T$3,U388*$U$3)</f>
        <v>1.2279114462460168E-4</v>
      </c>
      <c r="AB388" s="11" cm="1">
        <f t="array" aca="1" ref="AB388" ca="1">MMULT(_xlfn.ANCHORARRAY(Q388),TRANSPOSE($Q$6:$U$6))</f>
        <v>-2.3564852569698536E-2</v>
      </c>
      <c r="AD388" s="2" t="s">
        <v>379</v>
      </c>
      <c r="AE388" s="10" cm="1">
        <f t="array" aca="1" ref="AE388:AI388" ca="1">_xlfn.LET(_xlpm.array,_xlfn.RANDARRAY(1,COLUMNS(_xlfn.ANCHORARRAY(Q387)),-1,1,FALSE),_xlpm.array/SUM(_xlpm.array))</f>
        <v>-0.40254747947179226</v>
      </c>
      <c r="AF388" s="10">
        <f ca="1"/>
        <v>0.41521409498080109</v>
      </c>
      <c r="AG388" s="10">
        <f ca="1"/>
        <v>0.21889382049150033</v>
      </c>
      <c r="AH388" s="10">
        <f ca="1"/>
        <v>0.16223635597806454</v>
      </c>
      <c r="AI388" s="10">
        <f ca="1"/>
        <v>0.60620320802142624</v>
      </c>
      <c r="AJ388" s="1"/>
      <c r="AK388" s="2" cm="1">
        <f t="array" aca="1" ref="AK388" ca="1">MMULT(MMULT(_xlfn.ANCHORARRAY(AE388),$Q$9:$U$13),TRANSPOSE(_xlfn.ANCHORARRAY(AE388)))</f>
        <v>3.3659766667621163E-4</v>
      </c>
      <c r="AL388" s="2">
        <f t="shared" ca="1" si="17"/>
        <v>1.8346598231721641E-2</v>
      </c>
      <c r="AM388" s="2" cm="1">
        <f t="array" aca="1" ref="AM388" ca="1">MMULT(_xlfn.ANCHORARRAY(AE389),TRANSPOSE($Q$3:$U$3))</f>
        <v>-3.0510386860469856E-3</v>
      </c>
    </row>
    <row r="389" spans="1:39" x14ac:dyDescent="0.35">
      <c r="A389" s="3">
        <v>44393</v>
      </c>
      <c r="B389" s="4">
        <v>33.724483489990199</v>
      </c>
      <c r="C389" s="4">
        <v>81.063728332519503</v>
      </c>
      <c r="D389" s="4">
        <v>42.694202423095703</v>
      </c>
      <c r="E389" s="4">
        <v>13.519472122192299</v>
      </c>
      <c r="F389" s="4">
        <v>270.01843261718699</v>
      </c>
      <c r="I389" s="5">
        <f>B389/B388-1</f>
        <v>-2.3435654927795091E-2</v>
      </c>
      <c r="J389" s="5">
        <f>C389/C388-1</f>
        <v>-2.645593156557946E-2</v>
      </c>
      <c r="K389" s="5">
        <f>D389/D388-1</f>
        <v>-1.441701975519738E-2</v>
      </c>
      <c r="L389" s="5">
        <f>E389/E388-1</f>
        <v>-1.7588228739144784E-2</v>
      </c>
      <c r="M389" s="5">
        <f>F389/F388-1</f>
        <v>-9.9629798071265707E-4</v>
      </c>
      <c r="N389" s="5">
        <f>SUMPRODUCT(I389:M389,$AJ$13:$AN$13)</f>
        <v>-8.4129249199683172E-3</v>
      </c>
      <c r="P389" s="2" t="s">
        <v>380</v>
      </c>
      <c r="Q389" s="10" cm="1">
        <f t="array" aca="1" ref="Q389:U389" ca="1">_xlfn.LET(_xlpm.array,_xlfn.RANDARRAY(1,COLUMNS(_xlfn.ANCHORARRAY(Q388)),0,1,FALSE),_xlpm.array/SUM(_xlpm.array))</f>
        <v>0.17335838679129326</v>
      </c>
      <c r="R389" s="2">
        <f ca="1"/>
        <v>0.29365974115090654</v>
      </c>
      <c r="S389" s="2">
        <f ca="1"/>
        <v>0.1657085415080457</v>
      </c>
      <c r="T389" s="2">
        <f ca="1"/>
        <v>0.10693148103392744</v>
      </c>
      <c r="U389" s="2">
        <f ca="1"/>
        <v>0.26034184951582706</v>
      </c>
      <c r="V389" s="12"/>
      <c r="X389" s="2" cm="1">
        <f t="array" aca="1" ref="X389" ca="1">MMULT(MMULT(_xlfn.ANCHORARRAY(Q389),$Q$9:$U$13),TRANSPOSE(_xlfn.ANCHORARRAY(Q389)))</f>
        <v>2.6595260695832059E-4</v>
      </c>
      <c r="Y389" s="2">
        <f t="shared" ca="1" si="16"/>
        <v>1.6308053438663997E-2</v>
      </c>
      <c r="Z389" s="2" cm="1">
        <f t="array" aca="1" ref="Z389" ca="1">MMULT(_xlfn.ANCHORARRAY(Q389),TRANSPOSE($Q$3:$U$3))</f>
        <v>8.8002784921559348E-4</v>
      </c>
      <c r="AA389" s="11">
        <f ca="1">AVEDEV(Q389*$Q$3,R389*$R$3,S389*$S$3,T389*$T$3,U389*$U$3)</f>
        <v>6.1863743097249899E-5</v>
      </c>
      <c r="AB389" s="11" cm="1">
        <f t="array" aca="1" ref="AB389" ca="1">MMULT(_xlfn.ANCHORARRAY(Q389),TRANSPOSE($Q$6:$U$6))</f>
        <v>-2.2225375754155459E-2</v>
      </c>
      <c r="AD389" s="2" t="s">
        <v>380</v>
      </c>
      <c r="AE389" s="10" cm="1">
        <f t="array" aca="1" ref="AE389:AI389" ca="1">_xlfn.LET(_xlpm.array,_xlfn.RANDARRAY(1,COLUMNS(_xlfn.ANCHORARRAY(Q388)),-1,1,FALSE),_xlpm.array/SUM(_xlpm.array))</f>
        <v>8.6182871392536917</v>
      </c>
      <c r="AF389" s="10">
        <f ca="1"/>
        <v>-6.7703859551753265</v>
      </c>
      <c r="AG389" s="10">
        <f ca="1"/>
        <v>-5.1268902510304413</v>
      </c>
      <c r="AH389" s="10">
        <f ca="1"/>
        <v>9.9937254964909261</v>
      </c>
      <c r="AI389" s="10">
        <f ca="1"/>
        <v>-5.714736429538851</v>
      </c>
      <c r="AJ389" s="1"/>
      <c r="AK389" s="2" cm="1">
        <f t="array" aca="1" ref="AK389" ca="1">MMULT(MMULT(_xlfn.ANCHORARRAY(AE389),$Q$9:$U$13),TRANSPOSE(_xlfn.ANCHORARRAY(AE389)))</f>
        <v>7.5168891204710195E-2</v>
      </c>
      <c r="AL389" s="2">
        <f t="shared" ca="1" si="17"/>
        <v>0.27416945709672003</v>
      </c>
      <c r="AM389" s="2" cm="1">
        <f t="array" aca="1" ref="AM389" ca="1">MMULT(_xlfn.ANCHORARRAY(AE390),TRANSPOSE($Q$3:$U$3))</f>
        <v>1.5105673741431581E-3</v>
      </c>
    </row>
    <row r="390" spans="1:39" x14ac:dyDescent="0.35">
      <c r="A390" s="3">
        <v>44396</v>
      </c>
      <c r="B390" s="4">
        <v>32.844028472900298</v>
      </c>
      <c r="C390" s="4">
        <v>78.877243041992102</v>
      </c>
      <c r="D390" s="4">
        <v>42.967147827148402</v>
      </c>
      <c r="E390" s="4">
        <v>13.063061714172299</v>
      </c>
      <c r="F390" s="4">
        <v>266.42141723632801</v>
      </c>
      <c r="I390" s="5">
        <f>B390/B389-1</f>
        <v>-2.6107294344514753E-2</v>
      </c>
      <c r="J390" s="5">
        <f>C390/C389-1</f>
        <v>-2.6972424480139146E-2</v>
      </c>
      <c r="K390" s="5">
        <f>D390/D389-1</f>
        <v>6.3930320409275598E-3</v>
      </c>
      <c r="L390" s="5">
        <f>E390/E389-1</f>
        <v>-3.3759484386287508E-2</v>
      </c>
      <c r="M390" s="5">
        <f>F390/F389-1</f>
        <v>-1.3321369752407164E-2</v>
      </c>
      <c r="N390" s="5">
        <f>SUMPRODUCT(I390:M390,$AJ$13:$AN$13)</f>
        <v>-8.4613703210298478E-3</v>
      </c>
      <c r="P390" s="2" t="s">
        <v>381</v>
      </c>
      <c r="Q390" s="10" cm="1">
        <f t="array" aca="1" ref="Q390:U390" ca="1">_xlfn.LET(_xlpm.array,_xlfn.RANDARRAY(1,COLUMNS(_xlfn.ANCHORARRAY(Q389)),0,1,FALSE),_xlpm.array/SUM(_xlpm.array))</f>
        <v>0.11856181052459042</v>
      </c>
      <c r="R390" s="2">
        <f ca="1"/>
        <v>0.35520925800692388</v>
      </c>
      <c r="S390" s="2">
        <f ca="1"/>
        <v>0.21901401608939183</v>
      </c>
      <c r="T390" s="2">
        <f ca="1"/>
        <v>4.1286619971941475E-2</v>
      </c>
      <c r="U390" s="2">
        <f ca="1"/>
        <v>0.2659282954071524</v>
      </c>
      <c r="V390" s="12"/>
      <c r="X390" s="2" cm="1">
        <f t="array" aca="1" ref="X390" ca="1">MMULT(MMULT(_xlfn.ANCHORARRAY(Q390),$Q$9:$U$13),TRANSPOSE(_xlfn.ANCHORARRAY(Q390)))</f>
        <v>2.7709188373981427E-4</v>
      </c>
      <c r="Y390" s="2">
        <f t="shared" ca="1" si="16"/>
        <v>1.6646077127654261E-2</v>
      </c>
      <c r="Z390" s="2" cm="1">
        <f t="array" aca="1" ref="Z390" ca="1">MMULT(_xlfn.ANCHORARRAY(Q390),TRANSPOSE($Q$3:$U$3))</f>
        <v>9.2090058768504385E-4</v>
      </c>
      <c r="AA390" s="11">
        <f ca="1">AVEDEV(Q390*$Q$3,R390*$R$3,S390*$S$3,T390*$T$3,U390*$U$3)</f>
        <v>1.0636900869374658E-4</v>
      </c>
      <c r="AB390" s="11" cm="1">
        <f t="array" aca="1" ref="AB390" ca="1">MMULT(_xlfn.ANCHORARRAY(Q390),TRANSPOSE($Q$6:$U$6))</f>
        <v>-2.221705157153965E-2</v>
      </c>
      <c r="AD390" s="2" t="s">
        <v>381</v>
      </c>
      <c r="AE390" s="10" cm="1">
        <f t="array" aca="1" ref="AE390:AI390" ca="1">_xlfn.LET(_xlpm.array,_xlfn.RANDARRAY(1,COLUMNS(_xlfn.ANCHORARRAY(Q389)),-1,1,FALSE),_xlpm.array/SUM(_xlpm.array))</f>
        <v>0.46831328409310319</v>
      </c>
      <c r="AF390" s="10">
        <f ca="1"/>
        <v>2.7008084360042113</v>
      </c>
      <c r="AG390" s="10">
        <f ca="1"/>
        <v>1.915846740615992</v>
      </c>
      <c r="AH390" s="10">
        <f ca="1"/>
        <v>-2.6741349727176598</v>
      </c>
      <c r="AI390" s="10">
        <f ca="1"/>
        <v>-1.4108334879956468</v>
      </c>
      <c r="AJ390" s="1"/>
      <c r="AK390" s="2" cm="1">
        <f t="array" aca="1" ref="AK390" ca="1">MMULT(MMULT(_xlfn.ANCHORARRAY(AE390),$Q$9:$U$13),TRANSPOSE(_xlfn.ANCHORARRAY(AE390)))</f>
        <v>5.2573129311612836E-3</v>
      </c>
      <c r="AL390" s="2">
        <f t="shared" ca="1" si="17"/>
        <v>7.250733018916973E-2</v>
      </c>
      <c r="AM390" s="2" cm="1">
        <f t="array" aca="1" ref="AM390" ca="1">MMULT(_xlfn.ANCHORARRAY(AE391),TRANSPOSE($Q$3:$U$3))</f>
        <v>-1.2747549619851674E-3</v>
      </c>
    </row>
    <row r="391" spans="1:39" x14ac:dyDescent="0.35">
      <c r="A391" s="3">
        <v>44397</v>
      </c>
      <c r="B391" s="4">
        <v>33.519927978515597</v>
      </c>
      <c r="C391" s="4">
        <v>79.345771789550696</v>
      </c>
      <c r="D391" s="4">
        <v>44.119041442871001</v>
      </c>
      <c r="E391" s="4">
        <v>13.118384361266999</v>
      </c>
      <c r="F391" s="4">
        <v>268.64309692382801</v>
      </c>
      <c r="I391" s="5">
        <f>B391/B390-1</f>
        <v>2.057906831291989E-2</v>
      </c>
      <c r="J391" s="5">
        <f>C391/C390-1</f>
        <v>5.9399736792165037E-3</v>
      </c>
      <c r="K391" s="5">
        <f>D391/D390-1</f>
        <v>2.6808705580284808E-2</v>
      </c>
      <c r="L391" s="5">
        <f>E391/E390-1</f>
        <v>4.2350444562839762E-3</v>
      </c>
      <c r="M391" s="5">
        <f>F391/F390-1</f>
        <v>8.3389680549941225E-3</v>
      </c>
      <c r="N391" s="5">
        <f>SUMPRODUCT(I391:M391,$AJ$13:$AN$13)</f>
        <v>1.2576664645552986E-2</v>
      </c>
      <c r="P391" s="2" t="s">
        <v>382</v>
      </c>
      <c r="Q391" s="10" cm="1">
        <f t="array" aca="1" ref="Q391:U391" ca="1">_xlfn.LET(_xlpm.array,_xlfn.RANDARRAY(1,COLUMNS(_xlfn.ANCHORARRAY(Q390)),0,1,FALSE),_xlpm.array/SUM(_xlpm.array))</f>
        <v>0.18180843859278906</v>
      </c>
      <c r="R391" s="2">
        <f ca="1"/>
        <v>8.6462939735844988E-3</v>
      </c>
      <c r="S391" s="2">
        <f ca="1"/>
        <v>0.34469679608002352</v>
      </c>
      <c r="T391" s="2">
        <f ca="1"/>
        <v>4.101386963707794E-2</v>
      </c>
      <c r="U391" s="2">
        <f ca="1"/>
        <v>0.42383460171652487</v>
      </c>
      <c r="V391" s="12"/>
      <c r="X391" s="2" cm="1">
        <f t="array" aca="1" ref="X391" ca="1">MMULT(MMULT(_xlfn.ANCHORARRAY(Q391),$Q$9:$U$13),TRANSPOSE(_xlfn.ANCHORARRAY(Q391)))</f>
        <v>3.1959649715437611E-4</v>
      </c>
      <c r="Y391" s="2">
        <f t="shared" ca="1" si="16"/>
        <v>1.7877262015039554E-2</v>
      </c>
      <c r="Z391" s="2" cm="1">
        <f t="array" aca="1" ref="Z391" ca="1">MMULT(_xlfn.ANCHORARRAY(Q391),TRANSPOSE($Q$3:$U$3))</f>
        <v>1.0245771664132478E-3</v>
      </c>
      <c r="AA391" s="11">
        <f ca="1">AVEDEV(Q391*$Q$3,R391*$R$3,S391*$S$3,T391*$T$3,U391*$U$3)</f>
        <v>1.8965140402618828E-4</v>
      </c>
      <c r="AB391" s="11" cm="1">
        <f t="array" aca="1" ref="AB391" ca="1">MMULT(_xlfn.ANCHORARRAY(Q391),TRANSPOSE($Q$6:$U$6))</f>
        <v>-2.3029013321057213E-2</v>
      </c>
      <c r="AD391" s="2" t="s">
        <v>382</v>
      </c>
      <c r="AE391" s="10" cm="1">
        <f t="array" aca="1" ref="AE391:AI391" ca="1">_xlfn.LET(_xlpm.array,_xlfn.RANDARRAY(1,COLUMNS(_xlfn.ANCHORARRAY(Q390)),-1,1,FALSE),_xlpm.array/SUM(_xlpm.array))</f>
        <v>1.505997726534803</v>
      </c>
      <c r="AF391" s="10">
        <f ca="1"/>
        <v>-3.0771398280340607</v>
      </c>
      <c r="AG391" s="10">
        <f ca="1"/>
        <v>-3.1153261714490688</v>
      </c>
      <c r="AH391" s="10">
        <f ca="1"/>
        <v>3.5707989324265768</v>
      </c>
      <c r="AI391" s="10">
        <f ca="1"/>
        <v>2.1156693405217495</v>
      </c>
      <c r="AJ391" s="1"/>
      <c r="AK391" s="2" cm="1">
        <f t="array" aca="1" ref="AK391" ca="1">MMULT(MMULT(_xlfn.ANCHORARRAY(AE391),$Q$9:$U$13),TRANSPOSE(_xlfn.ANCHORARRAY(AE391)))</f>
        <v>1.0097985252810165E-2</v>
      </c>
      <c r="AL391" s="2">
        <f t="shared" ca="1" si="17"/>
        <v>0.10048873196936145</v>
      </c>
      <c r="AM391" s="2" cm="1">
        <f t="array" aca="1" ref="AM391" ca="1">MMULT(_xlfn.ANCHORARRAY(AE392),TRANSPOSE($Q$3:$U$3))</f>
        <v>1.9767837248122846E-3</v>
      </c>
    </row>
    <row r="392" spans="1:39" x14ac:dyDescent="0.35">
      <c r="A392" s="3">
        <v>44398</v>
      </c>
      <c r="B392" s="4">
        <v>34.204738616943303</v>
      </c>
      <c r="C392" s="4">
        <v>82.050086975097599</v>
      </c>
      <c r="D392" s="4">
        <v>44.507633209228501</v>
      </c>
      <c r="E392" s="4">
        <v>13.609371185302701</v>
      </c>
      <c r="F392" s="4">
        <v>270.64352416992102</v>
      </c>
      <c r="I392" s="5">
        <f>B392/B391-1</f>
        <v>2.0429955543658451E-2</v>
      </c>
      <c r="J392" s="5">
        <f>C392/C391-1</f>
        <v>3.4082662813080589E-2</v>
      </c>
      <c r="K392" s="5">
        <f>D392/D391-1</f>
        <v>8.8078016577191054E-3</v>
      </c>
      <c r="L392" s="5">
        <f>E392/E391-1</f>
        <v>3.7427385150062831E-2</v>
      </c>
      <c r="M392" s="5">
        <f>F392/F391-1</f>
        <v>7.4464122436028735E-3</v>
      </c>
      <c r="N392" s="5">
        <f>SUMPRODUCT(I392:M392,$AJ$13:$AN$13)</f>
        <v>1.7536391179248136E-2</v>
      </c>
      <c r="P392" s="2" t="s">
        <v>383</v>
      </c>
      <c r="Q392" s="10" cm="1">
        <f t="array" aca="1" ref="Q392:U392" ca="1">_xlfn.LET(_xlpm.array,_xlfn.RANDARRAY(1,COLUMNS(_xlfn.ANCHORARRAY(Q391)),0,1,FALSE),_xlpm.array/SUM(_xlpm.array))</f>
        <v>0.15548820078134826</v>
      </c>
      <c r="R392" s="2">
        <f ca="1"/>
        <v>0.18823844100914452</v>
      </c>
      <c r="S392" s="2">
        <f ca="1"/>
        <v>0.28639753649504296</v>
      </c>
      <c r="T392" s="2">
        <f ca="1"/>
        <v>0.25573053354831188</v>
      </c>
      <c r="U392" s="2">
        <f ca="1"/>
        <v>0.11414528816615242</v>
      </c>
      <c r="V392" s="12"/>
      <c r="X392" s="2" cm="1">
        <f t="array" aca="1" ref="X392" ca="1">MMULT(MMULT(_xlfn.ANCHORARRAY(Q392),$Q$9:$U$13),TRANSPOSE(_xlfn.ANCHORARRAY(Q392)))</f>
        <v>3.1334289664052825E-4</v>
      </c>
      <c r="Y392" s="2">
        <f t="shared" ca="1" si="16"/>
        <v>1.7701494192314055E-2</v>
      </c>
      <c r="Z392" s="2" cm="1">
        <f t="array" aca="1" ref="Z392" ca="1">MMULT(_xlfn.ANCHORARRAY(Q392),TRANSPOSE($Q$3:$U$3))</f>
        <v>1.03015832782937E-3</v>
      </c>
      <c r="AA392" s="11">
        <f ca="1">AVEDEV(Q392*$Q$3,R392*$R$3,S392*$S$3,T392*$T$3,U392*$U$3)</f>
        <v>1.2572207300753582E-4</v>
      </c>
      <c r="AB392" s="11" cm="1">
        <f t="array" aca="1" ref="AB392" ca="1">MMULT(_xlfn.ANCHORARRAY(Q392),TRANSPOSE($Q$6:$U$6))</f>
        <v>-2.3745925039990991E-2</v>
      </c>
      <c r="AD392" s="2" t="s">
        <v>383</v>
      </c>
      <c r="AE392" s="10" cm="1">
        <f t="array" aca="1" ref="AE392:AI392" ca="1">_xlfn.LET(_xlpm.array,_xlfn.RANDARRAY(1,COLUMNS(_xlfn.ANCHORARRAY(Q391)),-1,1,FALSE),_xlpm.array/SUM(_xlpm.array))</f>
        <v>-0.71774927111893039</v>
      </c>
      <c r="AF392" s="10">
        <f ca="1"/>
        <v>1.1204815232692653</v>
      </c>
      <c r="AG392" s="10">
        <f ca="1"/>
        <v>0.94642467487279258</v>
      </c>
      <c r="AH392" s="10">
        <f ca="1"/>
        <v>0.98696866775203074</v>
      </c>
      <c r="AI392" s="10">
        <f ca="1"/>
        <v>-1.3361255947751582</v>
      </c>
      <c r="AJ392" s="1"/>
      <c r="AK392" s="2" cm="1">
        <f t="array" aca="1" ref="AK392" ca="1">MMULT(MMULT(_xlfn.ANCHORARRAY(AE392),$Q$9:$U$13),TRANSPOSE(_xlfn.ANCHORARRAY(AE392)))</f>
        <v>2.3500451166999035E-3</v>
      </c>
      <c r="AL392" s="2">
        <f t="shared" ca="1" si="17"/>
        <v>4.847726391515824E-2</v>
      </c>
      <c r="AM392" s="2" cm="1">
        <f t="array" aca="1" ref="AM392" ca="1">MMULT(_xlfn.ANCHORARRAY(AE393),TRANSPOSE($Q$3:$U$3))</f>
        <v>5.971615898664363E-3</v>
      </c>
    </row>
    <row r="393" spans="1:39" x14ac:dyDescent="0.35">
      <c r="A393" s="3">
        <v>44399</v>
      </c>
      <c r="B393" s="4">
        <v>33.760059356689403</v>
      </c>
      <c r="C393" s="4">
        <v>81.228096008300696</v>
      </c>
      <c r="D393" s="4">
        <v>44.382724761962798</v>
      </c>
      <c r="E393" s="4">
        <v>13.574795722961399</v>
      </c>
      <c r="F393" s="4">
        <v>275.20245361328102</v>
      </c>
      <c r="I393" s="5">
        <f>B393/B392-1</f>
        <v>-1.3000516251091221E-2</v>
      </c>
      <c r="J393" s="5">
        <f>C393/C392-1</f>
        <v>-1.0018160822259481E-2</v>
      </c>
      <c r="K393" s="5">
        <f>D393/D392-1</f>
        <v>-2.806450001025973E-3</v>
      </c>
      <c r="L393" s="5">
        <f>E393/E392-1</f>
        <v>-2.5405628129712143E-3</v>
      </c>
      <c r="M393" s="5">
        <f>F393/F392-1</f>
        <v>1.6844775641103871E-2</v>
      </c>
      <c r="N393" s="5">
        <f>SUMPRODUCT(I393:M393,$AJ$13:$AN$13)</f>
        <v>7.0667278623923972E-3</v>
      </c>
      <c r="P393" s="2" t="s">
        <v>384</v>
      </c>
      <c r="Q393" s="10" cm="1">
        <f t="array" aca="1" ref="Q393:U393" ca="1">_xlfn.LET(_xlpm.array,_xlfn.RANDARRAY(1,COLUMNS(_xlfn.ANCHORARRAY(Q392)),0,1,FALSE),_xlpm.array/SUM(_xlpm.array))</f>
        <v>0.25093584285002724</v>
      </c>
      <c r="R393" s="2">
        <f ca="1"/>
        <v>0.25874564691995156</v>
      </c>
      <c r="S393" s="2">
        <f ca="1"/>
        <v>0.26969618337579709</v>
      </c>
      <c r="T393" s="2">
        <f ca="1"/>
        <v>2.7503089830652014E-2</v>
      </c>
      <c r="U393" s="2">
        <f ca="1"/>
        <v>0.19311923702357223</v>
      </c>
      <c r="V393" s="12"/>
      <c r="X393" s="2" cm="1">
        <f t="array" aca="1" ref="X393" ca="1">MMULT(MMULT(_xlfn.ANCHORARRAY(Q393),$Q$9:$U$13),TRANSPOSE(_xlfn.ANCHORARRAY(Q393)))</f>
        <v>2.9645163065158541E-4</v>
      </c>
      <c r="Y393" s="2">
        <f t="shared" ca="1" si="16"/>
        <v>1.7217770780550697E-2</v>
      </c>
      <c r="Z393" s="2" cm="1">
        <f t="array" aca="1" ref="Z393" ca="1">MMULT(_xlfn.ANCHORARRAY(Q393),TRANSPOSE($Q$3:$U$3))</f>
        <v>9.3027579931307747E-4</v>
      </c>
      <c r="AA393" s="11">
        <f ca="1">AVEDEV(Q393*$Q$3,R393*$R$3,S393*$S$3,T393*$T$3,U393*$U$3)</f>
        <v>1.019290663198961E-4</v>
      </c>
      <c r="AB393" s="11" cm="1">
        <f t="array" aca="1" ref="AB393" ca="1">MMULT(_xlfn.ANCHORARRAY(Q393),TRANSPOSE($Q$6:$U$6))</f>
        <v>-2.2654060059998871E-2</v>
      </c>
      <c r="AD393" s="2" t="s">
        <v>384</v>
      </c>
      <c r="AE393" s="10" cm="1">
        <f t="array" aca="1" ref="AE393:AI393" ca="1">_xlfn.LET(_xlpm.array,_xlfn.RANDARRAY(1,COLUMNS(_xlfn.ANCHORARRAY(Q392)),-1,1,FALSE),_xlpm.array/SUM(_xlpm.array))</f>
        <v>-7.0490875785889937</v>
      </c>
      <c r="AF393" s="10">
        <f ca="1"/>
        <v>-2.5746972225569773</v>
      </c>
      <c r="AG393" s="10">
        <f ca="1"/>
        <v>11.694268185938656</v>
      </c>
      <c r="AH393" s="10">
        <f ca="1"/>
        <v>-26.243253521073939</v>
      </c>
      <c r="AI393" s="10">
        <f ca="1"/>
        <v>25.172770136281255</v>
      </c>
      <c r="AJ393" s="1"/>
      <c r="AK393" s="2" cm="1">
        <f t="array" aca="1" ref="AK393" ca="1">MMULT(MMULT(_xlfn.ANCHORARRAY(AE393),$Q$9:$U$13),TRANSPOSE(_xlfn.ANCHORARRAY(AE393)))</f>
        <v>0.66448217175594027</v>
      </c>
      <c r="AL393" s="2">
        <f t="shared" ca="1" si="17"/>
        <v>0.81515775881478325</v>
      </c>
      <c r="AM393" s="2" cm="1">
        <f t="array" aca="1" ref="AM393" ca="1">MMULT(_xlfn.ANCHORARRAY(AE394),TRANSPOSE($Q$3:$U$3))</f>
        <v>1.3799909819975265E-3</v>
      </c>
    </row>
    <row r="394" spans="1:39" x14ac:dyDescent="0.35">
      <c r="A394" s="3">
        <v>44400</v>
      </c>
      <c r="B394" s="4">
        <v>33.5288276672363</v>
      </c>
      <c r="C394" s="4">
        <v>81.260986328125</v>
      </c>
      <c r="D394" s="4">
        <v>44.6649169921875</v>
      </c>
      <c r="E394" s="4">
        <v>13.4641523361206</v>
      </c>
      <c r="F394" s="4">
        <v>278.59747314453102</v>
      </c>
      <c r="I394" s="5">
        <f>B394/B393-1</f>
        <v>-6.8492678585082567E-3</v>
      </c>
      <c r="J394" s="5">
        <f>C394/C393-1</f>
        <v>4.049130958447833E-4</v>
      </c>
      <c r="K394" s="5">
        <f>D394/D393-1</f>
        <v>6.3581547040696407E-3</v>
      </c>
      <c r="L394" s="5">
        <f>E394/E393-1</f>
        <v>-8.1506483853490685E-3</v>
      </c>
      <c r="M394" s="5">
        <f>F394/F393-1</f>
        <v>1.2336443540655218E-2</v>
      </c>
      <c r="N394" s="5">
        <f>SUMPRODUCT(I394:M394,$AJ$13:$AN$13)</f>
        <v>5.5906467583062358E-3</v>
      </c>
      <c r="P394" s="2" t="s">
        <v>385</v>
      </c>
      <c r="Q394" s="10" cm="1">
        <f t="array" aca="1" ref="Q394:U394" ca="1">_xlfn.LET(_xlpm.array,_xlfn.RANDARRAY(1,COLUMNS(_xlfn.ANCHORARRAY(Q393)),0,1,FALSE),_xlpm.array/SUM(_xlpm.array))</f>
        <v>0.22822017379361317</v>
      </c>
      <c r="R394" s="2">
        <f ca="1"/>
        <v>0.26327744164954403</v>
      </c>
      <c r="S394" s="2">
        <f ca="1"/>
        <v>9.7999568094963421E-2</v>
      </c>
      <c r="T394" s="2">
        <f ca="1"/>
        <v>0.21120142852235987</v>
      </c>
      <c r="U394" s="2">
        <f ca="1"/>
        <v>0.19930138793951943</v>
      </c>
      <c r="V394" s="12"/>
      <c r="X394" s="2" cm="1">
        <f t="array" aca="1" ref="X394" ca="1">MMULT(MMULT(_xlfn.ANCHORARRAY(Q394),$Q$9:$U$13),TRANSPOSE(_xlfn.ANCHORARRAY(Q394)))</f>
        <v>2.7394025616190784E-4</v>
      </c>
      <c r="Y394" s="2">
        <f t="shared" ca="1" si="16"/>
        <v>1.6551140630237781E-2</v>
      </c>
      <c r="Z394" s="2" cm="1">
        <f t="array" aca="1" ref="Z394" ca="1">MMULT(_xlfn.ANCHORARRAY(Q394),TRANSPOSE($Q$3:$U$3))</f>
        <v>8.356023139936236E-4</v>
      </c>
      <c r="AA394" s="11">
        <f ca="1">AVEDEV(Q394*$Q$3,R394*$R$3,S394*$S$3,T394*$T$3,U394*$U$3)</f>
        <v>2.9512615874252568E-5</v>
      </c>
      <c r="AB394" s="11" cm="1">
        <f t="array" aca="1" ref="AB394" ca="1">MMULT(_xlfn.ANCHORARRAY(Q394),TRANSPOSE($Q$6:$U$6))</f>
        <v>-2.2341732096715278E-2</v>
      </c>
      <c r="AD394" s="2" t="s">
        <v>385</v>
      </c>
      <c r="AE394" s="10" cm="1">
        <f t="array" aca="1" ref="AE394:AI394" ca="1">_xlfn.LET(_xlpm.array,_xlfn.RANDARRAY(1,COLUMNS(_xlfn.ANCHORARRAY(Q393)),-1,1,FALSE),_xlpm.array/SUM(_xlpm.array))</f>
        <v>0.51530720169395583</v>
      </c>
      <c r="AF394" s="10">
        <f ca="1"/>
        <v>0.25569987704228087</v>
      </c>
      <c r="AG394" s="10">
        <f ca="1"/>
        <v>0.84800444146946141</v>
      </c>
      <c r="AH394" s="10">
        <f ca="1"/>
        <v>0.10772353547834107</v>
      </c>
      <c r="AI394" s="10">
        <f ca="1"/>
        <v>-0.72673505568403929</v>
      </c>
      <c r="AJ394" s="1"/>
      <c r="AK394" s="2" cm="1">
        <f t="array" aca="1" ref="AK394" ca="1">MMULT(MMULT(_xlfn.ANCHORARRAY(AE394),$Q$9:$U$13),TRANSPOSE(_xlfn.ANCHORARRAY(AE394)))</f>
        <v>9.3844926802674593E-4</v>
      </c>
      <c r="AL394" s="2">
        <f t="shared" ca="1" si="17"/>
        <v>3.0634119344723227E-2</v>
      </c>
      <c r="AM394" s="2" cm="1">
        <f t="array" aca="1" ref="AM394" ca="1">MMULT(_xlfn.ANCHORARRAY(AE395),TRANSPOSE($Q$3:$U$3))</f>
        <v>6.0944158315889103E-4</v>
      </c>
    </row>
    <row r="395" spans="1:39" x14ac:dyDescent="0.35">
      <c r="A395" s="3">
        <v>44403</v>
      </c>
      <c r="B395" s="4">
        <v>33.9112548828125</v>
      </c>
      <c r="C395" s="4">
        <v>82.978927612304602</v>
      </c>
      <c r="D395" s="4">
        <v>44.623283386230398</v>
      </c>
      <c r="E395" s="4">
        <v>13.8652391433715</v>
      </c>
      <c r="F395" s="4">
        <v>278.001220703125</v>
      </c>
      <c r="I395" s="5">
        <f>B395/B394-1</f>
        <v>1.1405922669640578E-2</v>
      </c>
      <c r="J395" s="5">
        <f>C395/C394-1</f>
        <v>2.1141034114977364E-2</v>
      </c>
      <c r="K395" s="5">
        <f>D395/D394-1</f>
        <v>-9.3213216906651297E-4</v>
      </c>
      <c r="L395" s="5">
        <f>E395/E394-1</f>
        <v>2.9789235685851123E-2</v>
      </c>
      <c r="M395" s="5">
        <f>F395/F394-1</f>
        <v>-2.1401932855891204E-3</v>
      </c>
      <c r="N395" s="5">
        <f>SUMPRODUCT(I395:M395,$AJ$13:$AN$13)</f>
        <v>8.7275933324191604E-3</v>
      </c>
      <c r="P395" s="2" t="s">
        <v>386</v>
      </c>
      <c r="Q395" s="10" cm="1">
        <f t="array" aca="1" ref="Q395:U395" ca="1">_xlfn.LET(_xlpm.array,_xlfn.RANDARRAY(1,COLUMNS(_xlfn.ANCHORARRAY(Q394)),0,1,FALSE),_xlpm.array/SUM(_xlpm.array))</f>
        <v>2.2492202102913864E-2</v>
      </c>
      <c r="R395" s="2">
        <f ca="1"/>
        <v>0.10025423846047499</v>
      </c>
      <c r="S395" s="2">
        <f ca="1"/>
        <v>0.1273846317647602</v>
      </c>
      <c r="T395" s="2">
        <f ca="1"/>
        <v>0.36926527522180785</v>
      </c>
      <c r="U395" s="2">
        <f ca="1"/>
        <v>0.38060365245004307</v>
      </c>
      <c r="V395" s="12"/>
      <c r="X395" s="2" cm="1">
        <f t="array" aca="1" ref="X395" ca="1">MMULT(MMULT(_xlfn.ANCHORARRAY(Q395),$Q$9:$U$13),TRANSPOSE(_xlfn.ANCHORARRAY(Q395)))</f>
        <v>2.6890434717853666E-4</v>
      </c>
      <c r="Y395" s="2">
        <f t="shared" ca="1" si="16"/>
        <v>1.6398303179857868E-2</v>
      </c>
      <c r="Z395" s="2" cm="1">
        <f t="array" aca="1" ref="Z395" ca="1">MMULT(_xlfn.ANCHORARRAY(Q395),TRANSPOSE($Q$3:$U$3))</f>
        <v>9.5986776379218552E-4</v>
      </c>
      <c r="AA395" s="11">
        <f ca="1">AVEDEV(Q395*$Q$3,R395*$R$3,S395*$S$3,T395*$T$3,U395*$U$3)</f>
        <v>1.1972238737230391E-4</v>
      </c>
      <c r="AB395" s="11" cm="1">
        <f t="array" aca="1" ref="AB395" ca="1">MMULT(_xlfn.ANCHORARRAY(Q395),TRANSPOSE($Q$6:$U$6))</f>
        <v>-2.2962883544736273E-2</v>
      </c>
      <c r="AD395" s="2" t="s">
        <v>386</v>
      </c>
      <c r="AE395" s="10" cm="1">
        <f t="array" aca="1" ref="AE395:AI395" ca="1">_xlfn.LET(_xlpm.array,_xlfn.RANDARRAY(1,COLUMNS(_xlfn.ANCHORARRAY(Q394)),-1,1,FALSE),_xlpm.array/SUM(_xlpm.array))</f>
        <v>0.28676326964656151</v>
      </c>
      <c r="AF395" s="10">
        <f ca="1"/>
        <v>-0.44888398174919886</v>
      </c>
      <c r="AG395" s="10">
        <f ca="1"/>
        <v>-0.37622526764997716</v>
      </c>
      <c r="AH395" s="10">
        <f ca="1"/>
        <v>0.87967463151639802</v>
      </c>
      <c r="AI395" s="10">
        <f ca="1"/>
        <v>0.65867134823621643</v>
      </c>
      <c r="AJ395" s="1"/>
      <c r="AK395" s="2" cm="1">
        <f t="array" aca="1" ref="AK395" ca="1">MMULT(MMULT(_xlfn.ANCHORARRAY(AE395),$Q$9:$U$13),TRANSPOSE(_xlfn.ANCHORARRAY(AE395)))</f>
        <v>5.0057440667567463E-4</v>
      </c>
      <c r="AL395" s="2">
        <f t="shared" ca="1" si="17"/>
        <v>2.2373520211975466E-2</v>
      </c>
      <c r="AM395" s="2" cm="1">
        <f t="array" aca="1" ref="AM395" ca="1">MMULT(_xlfn.ANCHORARRAY(AE396),TRANSPOSE($Q$3:$U$3))</f>
        <v>4.1300521020654264E-4</v>
      </c>
    </row>
    <row r="396" spans="1:39" x14ac:dyDescent="0.35">
      <c r="A396" s="3">
        <v>44404</v>
      </c>
      <c r="B396" s="4">
        <v>33.777843475341797</v>
      </c>
      <c r="C396" s="4">
        <v>82.699462890625</v>
      </c>
      <c r="D396" s="4">
        <v>44.456745147705</v>
      </c>
      <c r="E396" s="4">
        <v>13.726935386657701</v>
      </c>
      <c r="F396" s="4">
        <v>275.58706665039</v>
      </c>
      <c r="I396" s="5">
        <f>B396/B395-1</f>
        <v>-3.9341336064304677E-3</v>
      </c>
      <c r="J396" s="5">
        <f>C396/C395-1</f>
        <v>-3.367899896047355E-3</v>
      </c>
      <c r="K396" s="5">
        <f>D396/D395-1</f>
        <v>-3.7320928871134029E-3</v>
      </c>
      <c r="L396" s="5">
        <f>E396/E395-1</f>
        <v>-9.9748554845459081E-3</v>
      </c>
      <c r="M396" s="5">
        <f>F396/F395-1</f>
        <v>-8.6839692524697254E-3</v>
      </c>
      <c r="N396" s="5">
        <f>SUMPRODUCT(I396:M396,$AJ$13:$AN$13)</f>
        <v>-8.2567171557072494E-3</v>
      </c>
      <c r="P396" s="2" t="s">
        <v>387</v>
      </c>
      <c r="Q396" s="10" cm="1">
        <f t="array" aca="1" ref="Q396:U396" ca="1">_xlfn.LET(_xlpm.array,_xlfn.RANDARRAY(1,COLUMNS(_xlfn.ANCHORARRAY(Q395)),0,1,FALSE),_xlpm.array/SUM(_xlpm.array))</f>
        <v>0.16048556280566592</v>
      </c>
      <c r="R396" s="2">
        <f ca="1"/>
        <v>0.18681081686723411</v>
      </c>
      <c r="S396" s="2">
        <f ca="1"/>
        <v>0.24177289928725712</v>
      </c>
      <c r="T396" s="2">
        <f ca="1"/>
        <v>0.10313646996674526</v>
      </c>
      <c r="U396" s="2">
        <f ca="1"/>
        <v>0.3077942510730976</v>
      </c>
      <c r="V396" s="12"/>
      <c r="X396" s="2" cm="1">
        <f t="array" aca="1" ref="X396" ca="1">MMULT(MMULT(_xlfn.ANCHORARRAY(Q396),$Q$9:$U$13),TRANSPOSE(_xlfn.ANCHORARRAY(Q396)))</f>
        <v>2.7338443703676365E-4</v>
      </c>
      <c r="Y396" s="2">
        <f t="shared" ca="1" si="16"/>
        <v>1.6534341143110712E-2</v>
      </c>
      <c r="Z396" s="2" cm="1">
        <f t="array" aca="1" ref="Z396" ca="1">MMULT(_xlfn.ANCHORARRAY(Q396),TRANSPOSE($Q$3:$U$3))</f>
        <v>9.5140570589420062E-4</v>
      </c>
      <c r="AA396" s="11">
        <f ca="1">AVEDEV(Q396*$Q$3,R396*$R$3,S396*$S$3,T396*$T$3,U396*$U$3)</f>
        <v>9.8997880432826919E-5</v>
      </c>
      <c r="AB396" s="11" cm="1">
        <f t="array" aca="1" ref="AB396" ca="1">MMULT(_xlfn.ANCHORARRAY(Q396),TRANSPOSE($Q$6:$U$6))</f>
        <v>-2.2671155691965605E-2</v>
      </c>
      <c r="AD396" s="2" t="s">
        <v>387</v>
      </c>
      <c r="AE396" s="10" cm="1">
        <f t="array" aca="1" ref="AE396:AI396" ca="1">_xlfn.LET(_xlpm.array,_xlfn.RANDARRAY(1,COLUMNS(_xlfn.ANCHORARRAY(Q395)),-1,1,FALSE),_xlpm.array/SUM(_xlpm.array))</f>
        <v>-0.87851054985111499</v>
      </c>
      <c r="AF396" s="10">
        <f ca="1"/>
        <v>1.5321624558002103</v>
      </c>
      <c r="AG396" s="10">
        <f ca="1"/>
        <v>0.27902916344774392</v>
      </c>
      <c r="AH396" s="10">
        <f ca="1"/>
        <v>-2.9753965857460476</v>
      </c>
      <c r="AI396" s="10">
        <f ca="1"/>
        <v>3.0427155163492086</v>
      </c>
      <c r="AJ396" s="1"/>
      <c r="AK396" s="2" cm="1">
        <f t="array" aca="1" ref="AK396" ca="1">MMULT(MMULT(_xlfn.ANCHORARRAY(AE396),$Q$9:$U$13),TRANSPOSE(_xlfn.ANCHORARRAY(AE396)))</f>
        <v>5.555126211188941E-3</v>
      </c>
      <c r="AL396" s="2">
        <f t="shared" ca="1" si="17"/>
        <v>7.4532719064776792E-2</v>
      </c>
      <c r="AM396" s="2" cm="1">
        <f t="array" aca="1" ref="AM396" ca="1">MMULT(_xlfn.ANCHORARRAY(AE397),TRANSPOSE($Q$3:$U$3))</f>
        <v>9.4468418515124774E-4</v>
      </c>
    </row>
    <row r="397" spans="1:39" x14ac:dyDescent="0.35">
      <c r="A397" s="3">
        <v>44405</v>
      </c>
      <c r="B397" s="4">
        <v>33.9112548828125</v>
      </c>
      <c r="C397" s="4">
        <v>83.167984008789006</v>
      </c>
      <c r="D397" s="4">
        <v>44.359600067138601</v>
      </c>
      <c r="E397" s="4">
        <v>13.7753391265869</v>
      </c>
      <c r="F397" s="4">
        <v>275.27932739257801</v>
      </c>
      <c r="I397" s="5">
        <f>B397/B396-1</f>
        <v>3.9496721443479377E-3</v>
      </c>
      <c r="J397" s="5">
        <f>C397/C396-1</f>
        <v>5.6653465668048408E-3</v>
      </c>
      <c r="K397" s="5">
        <f>D397/D396-1</f>
        <v>-2.1851595352659903E-3</v>
      </c>
      <c r="L397" s="5">
        <f>E397/E396-1</f>
        <v>3.5261869139593394E-3</v>
      </c>
      <c r="M397" s="5">
        <f>F397/F396-1</f>
        <v>-1.116667997349774E-3</v>
      </c>
      <c r="N397" s="5">
        <f>SUMPRODUCT(I397:M397,$AJ$13:$AN$13)</f>
        <v>-1.1910417882404264E-3</v>
      </c>
      <c r="P397" s="2" t="s">
        <v>388</v>
      </c>
      <c r="Q397" s="10" cm="1">
        <f t="array" aca="1" ref="Q397:U397" ca="1">_xlfn.LET(_xlpm.array,_xlfn.RANDARRAY(1,COLUMNS(_xlfn.ANCHORARRAY(Q396)),0,1,FALSE),_xlpm.array/SUM(_xlpm.array))</f>
        <v>0.16332867133662712</v>
      </c>
      <c r="R397" s="2">
        <f ca="1"/>
        <v>0.23511704386127677</v>
      </c>
      <c r="S397" s="2">
        <f ca="1"/>
        <v>0.18690752256802109</v>
      </c>
      <c r="T397" s="2">
        <f ca="1"/>
        <v>0.19551371416570684</v>
      </c>
      <c r="U397" s="2">
        <f ca="1"/>
        <v>0.21913304806836811</v>
      </c>
      <c r="V397" s="12"/>
      <c r="X397" s="2" cm="1">
        <f t="array" aca="1" ref="X397" ca="1">MMULT(MMULT(_xlfn.ANCHORARRAY(Q397),$Q$9:$U$13),TRANSPOSE(_xlfn.ANCHORARRAY(Q397)))</f>
        <v>2.7445171135702796E-4</v>
      </c>
      <c r="Y397" s="2">
        <f t="shared" ca="1" si="16"/>
        <v>1.6566584178913525E-2</v>
      </c>
      <c r="Z397" s="2" cm="1">
        <f t="array" aca="1" ref="Z397" ca="1">MMULT(_xlfn.ANCHORARRAY(Q397),TRANSPOSE($Q$3:$U$3))</f>
        <v>9.2558569938733107E-4</v>
      </c>
      <c r="AA397" s="11">
        <f ca="1">AVEDEV(Q397*$Q$3,R397*$R$3,S397*$S$3,T397*$T$3,U397*$U$3)</f>
        <v>5.3217536138260783E-5</v>
      </c>
      <c r="AB397" s="11" cm="1">
        <f t="array" aca="1" ref="AB397" ca="1">MMULT(_xlfn.ANCHORARRAY(Q397),TRANSPOSE($Q$6:$U$6))</f>
        <v>-2.2777823840192474E-2</v>
      </c>
      <c r="AD397" s="2" t="s">
        <v>388</v>
      </c>
      <c r="AE397" s="10" cm="1">
        <f t="array" aca="1" ref="AE397:AI397" ca="1">_xlfn.LET(_xlpm.array,_xlfn.RANDARRAY(1,COLUMNS(_xlfn.ANCHORARRAY(Q396)),-1,1,FALSE),_xlpm.array/SUM(_xlpm.array))</f>
        <v>0.62220582496456633</v>
      </c>
      <c r="AF397" s="10">
        <f ca="1"/>
        <v>-0.1562638844128264</v>
      </c>
      <c r="AG397" s="10">
        <f ca="1"/>
        <v>0.79563037909335632</v>
      </c>
      <c r="AH397" s="10">
        <f ca="1"/>
        <v>-1.3610954183180453</v>
      </c>
      <c r="AI397" s="10">
        <f ca="1"/>
        <v>1.0995230986729492</v>
      </c>
      <c r="AJ397" s="1"/>
      <c r="AK397" s="2" cm="1">
        <f t="array" aca="1" ref="AK397" ca="1">MMULT(MMULT(_xlfn.ANCHORARRAY(AE397),$Q$9:$U$13),TRANSPOSE(_xlfn.ANCHORARRAY(AE397)))</f>
        <v>1.9710009889955336E-3</v>
      </c>
      <c r="AL397" s="2">
        <f t="shared" ca="1" si="17"/>
        <v>4.4395956899198979E-2</v>
      </c>
      <c r="AM397" s="2" cm="1">
        <f t="array" aca="1" ref="AM397" ca="1">MMULT(_xlfn.ANCHORARRAY(AE398),TRANSPOSE($Q$3:$U$3))</f>
        <v>9.9998456940784235E-3</v>
      </c>
    </row>
    <row r="398" spans="1:39" x14ac:dyDescent="0.35">
      <c r="A398" s="3">
        <v>44406</v>
      </c>
      <c r="B398" s="4">
        <v>34.400405883788999</v>
      </c>
      <c r="C398" s="4">
        <v>84.310531616210895</v>
      </c>
      <c r="D398" s="4">
        <v>44.7759399414062</v>
      </c>
      <c r="E398" s="4">
        <v>13.7822570800781</v>
      </c>
      <c r="F398" s="4">
        <v>275.54870605468699</v>
      </c>
      <c r="I398" s="5">
        <f>B398/B397-1</f>
        <v>1.4424444116470037E-2</v>
      </c>
      <c r="J398" s="5">
        <f>C398/C397-1</f>
        <v>1.373782977955984E-2</v>
      </c>
      <c r="K398" s="5">
        <f>D398/D397-1</f>
        <v>9.3855641988986882E-3</v>
      </c>
      <c r="L398" s="5">
        <f>E398/E397-1</f>
        <v>5.0219841614262961E-4</v>
      </c>
      <c r="M398" s="5">
        <f>F398/F397-1</f>
        <v>9.7856480782820832E-4</v>
      </c>
      <c r="N398" s="5">
        <f>SUMPRODUCT(I398:M398,$AJ$13:$AN$13)</f>
        <v>8.2653088224681468E-4</v>
      </c>
      <c r="P398" s="2" t="s">
        <v>389</v>
      </c>
      <c r="Q398" s="10" cm="1">
        <f t="array" aca="1" ref="Q398:U398" ca="1">_xlfn.LET(_xlpm.array,_xlfn.RANDARRAY(1,COLUMNS(_xlfn.ANCHORARRAY(Q397)),0,1,FALSE),_xlpm.array/SUM(_xlpm.array))</f>
        <v>0.12911706639345863</v>
      </c>
      <c r="R398" s="2">
        <f ca="1"/>
        <v>0.16901158493890284</v>
      </c>
      <c r="S398" s="2">
        <f ca="1"/>
        <v>0.22504653308035799</v>
      </c>
      <c r="T398" s="2">
        <f ca="1"/>
        <v>0.24499139952164595</v>
      </c>
      <c r="U398" s="2">
        <f ca="1"/>
        <v>0.23183341606563462</v>
      </c>
      <c r="V398" s="12"/>
      <c r="X398" s="2" cm="1">
        <f t="array" aca="1" ref="X398" ca="1">MMULT(MMULT(_xlfn.ANCHORARRAY(Q398),$Q$9:$U$13),TRANSPOSE(_xlfn.ANCHORARRAY(Q398)))</f>
        <v>2.8052359842487186E-4</v>
      </c>
      <c r="Y398" s="2">
        <f t="shared" ca="1" si="16"/>
        <v>1.6748838718695449E-2</v>
      </c>
      <c r="Z398" s="2" cm="1">
        <f t="array" aca="1" ref="Z398" ca="1">MMULT(_xlfn.ANCHORARRAY(Q398),TRANSPOSE($Q$3:$U$3))</f>
        <v>9.8212395036180325E-4</v>
      </c>
      <c r="AA398" s="11">
        <f ca="1">AVEDEV(Q398*$Q$3,R398*$R$3,S398*$S$3,T398*$T$3,U398*$U$3)</f>
        <v>8.9165429310260604E-5</v>
      </c>
      <c r="AB398" s="11" cm="1">
        <f t="array" aca="1" ref="AB398" ca="1">MMULT(_xlfn.ANCHORARRAY(Q398),TRANSPOSE($Q$6:$U$6))</f>
        <v>-2.3213044600625652E-2</v>
      </c>
      <c r="AD398" s="2" t="s">
        <v>389</v>
      </c>
      <c r="AE398" s="10" cm="1">
        <f t="array" aca="1" ref="AE398:AI398" ca="1">_xlfn.LET(_xlpm.array,_xlfn.RANDARRAY(1,COLUMNS(_xlfn.ANCHORARRAY(Q397)),-1,1,FALSE),_xlpm.array/SUM(_xlpm.array))</f>
        <v>-23.176212023772283</v>
      </c>
      <c r="AF398" s="10">
        <f ca="1"/>
        <v>2.0671408707943697</v>
      </c>
      <c r="AG398" s="10">
        <f ca="1"/>
        <v>4.8777396090176977</v>
      </c>
      <c r="AH398" s="10">
        <f ca="1"/>
        <v>-3.2377722608134807</v>
      </c>
      <c r="AI398" s="10">
        <f ca="1"/>
        <v>20.469103804773695</v>
      </c>
      <c r="AJ398" s="1"/>
      <c r="AK398" s="2" cm="1">
        <f t="array" aca="1" ref="AK398" ca="1">MMULT(MMULT(_xlfn.ANCHORARRAY(AE398),$Q$9:$U$13),TRANSPOSE(_xlfn.ANCHORARRAY(AE398)))</f>
        <v>0.25935989571529322</v>
      </c>
      <c r="AL398" s="2">
        <f t="shared" ca="1" si="17"/>
        <v>0.50927389066718631</v>
      </c>
      <c r="AM398" s="2" cm="1">
        <f t="array" aca="1" ref="AM398" ca="1">MMULT(_xlfn.ANCHORARRAY(AE399),TRANSPOSE($Q$3:$U$3))</f>
        <v>1.0285745188135279E-3</v>
      </c>
    </row>
    <row r="399" spans="1:39" x14ac:dyDescent="0.35">
      <c r="A399" s="3">
        <v>44407</v>
      </c>
      <c r="B399" s="4">
        <v>34.1158027648925</v>
      </c>
      <c r="C399" s="4">
        <v>83.685821533203097</v>
      </c>
      <c r="D399" s="4">
        <v>44.697307586669901</v>
      </c>
      <c r="E399" s="4">
        <v>13.5263872146606</v>
      </c>
      <c r="F399" s="4">
        <v>274.01937866210898</v>
      </c>
      <c r="I399" s="5">
        <f>B399/B398-1</f>
        <v>-8.2732488639215562E-3</v>
      </c>
      <c r="J399" s="5">
        <f>C399/C398-1</f>
        <v>-7.4096328303506764E-3</v>
      </c>
      <c r="K399" s="5">
        <f>D399/D398-1</f>
        <v>-1.7561296276348282E-3</v>
      </c>
      <c r="L399" s="5">
        <f>E399/E398-1</f>
        <v>-1.8565164176726379E-2</v>
      </c>
      <c r="M399" s="5">
        <f>F399/F398-1</f>
        <v>-5.5501164003814996E-3</v>
      </c>
      <c r="N399" s="5">
        <f>SUMPRODUCT(I399:M399,$AJ$13:$AN$13)</f>
        <v>-8.8075696401400932E-3</v>
      </c>
      <c r="P399" s="2" t="s">
        <v>390</v>
      </c>
      <c r="Q399" s="10" cm="1">
        <f t="array" aca="1" ref="Q399:U399" ca="1">_xlfn.LET(_xlpm.array,_xlfn.RANDARRAY(1,COLUMNS(_xlfn.ANCHORARRAY(Q398)),0,1,FALSE),_xlpm.array/SUM(_xlpm.array))</f>
        <v>0.17132924249865236</v>
      </c>
      <c r="R399" s="2">
        <f ca="1"/>
        <v>0.30401159253268956</v>
      </c>
      <c r="S399" s="2">
        <f ca="1"/>
        <v>0.13390204469589798</v>
      </c>
      <c r="T399" s="2">
        <f ca="1"/>
        <v>5.2867312769858073E-2</v>
      </c>
      <c r="U399" s="2">
        <f ca="1"/>
        <v>0.33788980750290193</v>
      </c>
      <c r="V399" s="12"/>
      <c r="X399" s="2" cm="1">
        <f t="array" aca="1" ref="X399" ca="1">MMULT(MMULT(_xlfn.ANCHORARRAY(Q399),$Q$9:$U$13),TRANSPOSE(_xlfn.ANCHORARRAY(Q399)))</f>
        <v>2.5600247882229829E-4</v>
      </c>
      <c r="Y399" s="2">
        <f t="shared" ca="1" si="16"/>
        <v>1.6000077463009306E-2</v>
      </c>
      <c r="Z399" s="2" cm="1">
        <f t="array" aca="1" ref="Z399" ca="1">MMULT(_xlfn.ANCHORARRAY(Q399),TRANSPOSE($Q$3:$U$3))</f>
        <v>8.3898206642667107E-4</v>
      </c>
      <c r="AA399" s="11">
        <f ca="1">AVEDEV(Q399*$Q$3,R399*$R$3,S399*$S$3,T399*$T$3,U399*$U$3)</f>
        <v>7.7802091940142712E-5</v>
      </c>
      <c r="AB399" s="11" cm="1">
        <f t="array" aca="1" ref="AB399" ca="1">MMULT(_xlfn.ANCHORARRAY(Q399),TRANSPOSE($Q$6:$U$6))</f>
        <v>-2.1731744101884474E-2</v>
      </c>
      <c r="AD399" s="2" t="s">
        <v>390</v>
      </c>
      <c r="AE399" s="10" cm="1">
        <f t="array" aca="1" ref="AE399:AI399" ca="1">_xlfn.LET(_xlpm.array,_xlfn.RANDARRAY(1,COLUMNS(_xlfn.ANCHORARRAY(Q398)),-1,1,FALSE),_xlpm.array/SUM(_xlpm.array))</f>
        <v>0.10020531679055406</v>
      </c>
      <c r="AF399" s="10">
        <f ca="1"/>
        <v>0.3781461614962191</v>
      </c>
      <c r="AG399" s="10">
        <f ca="1"/>
        <v>0.36425986352784606</v>
      </c>
      <c r="AH399" s="10">
        <f ca="1"/>
        <v>-4.0617824237563112E-2</v>
      </c>
      <c r="AI399" s="10">
        <f ca="1"/>
        <v>0.19800648242294389</v>
      </c>
      <c r="AJ399" s="1"/>
      <c r="AK399" s="2" cm="1">
        <f t="array" aca="1" ref="AK399" ca="1">MMULT(MMULT(_xlfn.ANCHORARRAY(AE399),$Q$9:$U$13),TRANSPOSE(_xlfn.ANCHORARRAY(AE399)))</f>
        <v>3.3075506453476508E-4</v>
      </c>
      <c r="AL399" s="2">
        <f t="shared" ca="1" si="17"/>
        <v>1.8186672717535914E-2</v>
      </c>
      <c r="AM399" s="2" cm="1">
        <f t="array" aca="1" ref="AM399" ca="1">MMULT(_xlfn.ANCHORARRAY(AE400),TRANSPOSE($Q$3:$U$3))</f>
        <v>1.8442881265313812E-3</v>
      </c>
    </row>
    <row r="400" spans="1:39" x14ac:dyDescent="0.35">
      <c r="A400" s="3">
        <v>44410</v>
      </c>
      <c r="B400" s="4">
        <v>33.760059356689403</v>
      </c>
      <c r="C400" s="4">
        <v>83.537872314453097</v>
      </c>
      <c r="D400" s="4">
        <v>44.544639587402301</v>
      </c>
      <c r="E400" s="4">
        <v>13.6854438781738</v>
      </c>
      <c r="F400" s="4">
        <v>273.93289184570301</v>
      </c>
      <c r="I400" s="5">
        <f>B400/B399-1</f>
        <v>-1.0427525644191471E-2</v>
      </c>
      <c r="J400" s="5">
        <f>C400/C399-1</f>
        <v>-1.7679126050199612E-3</v>
      </c>
      <c r="K400" s="5">
        <f>D400/D399-1</f>
        <v>-3.4155972140283986E-3</v>
      </c>
      <c r="L400" s="5">
        <f>E400/E399-1</f>
        <v>1.1758990851659545E-2</v>
      </c>
      <c r="M400" s="5">
        <f>F400/F399-1</f>
        <v>-3.1562299290011087E-4</v>
      </c>
      <c r="N400" s="5">
        <f>SUMPRODUCT(I400:M400,$AJ$13:$AN$13)</f>
        <v>6.6843234514143476E-3</v>
      </c>
      <c r="P400" s="2" t="s">
        <v>391</v>
      </c>
      <c r="Q400" s="10" cm="1">
        <f t="array" aca="1" ref="Q400:U400" ca="1">_xlfn.LET(_xlpm.array,_xlfn.RANDARRAY(1,COLUMNS(_xlfn.ANCHORARRAY(Q399)),0,1,FALSE),_xlpm.array/SUM(_xlpm.array))</f>
        <v>0.16255802810802342</v>
      </c>
      <c r="R400" s="2">
        <f ca="1"/>
        <v>0.21847554309653569</v>
      </c>
      <c r="S400" s="2">
        <f ca="1"/>
        <v>0.2938467968810784</v>
      </c>
      <c r="T400" s="2">
        <f ca="1"/>
        <v>2.345855372379417E-2</v>
      </c>
      <c r="U400" s="2">
        <f ca="1"/>
        <v>0.3016610781905682</v>
      </c>
      <c r="V400" s="12"/>
      <c r="X400" s="2" cm="1">
        <f t="array" aca="1" ref="X400" ca="1">MMULT(MMULT(_xlfn.ANCHORARRAY(Q400),$Q$9:$U$13),TRANSPOSE(_xlfn.ANCHORARRAY(Q400)))</f>
        <v>2.9168508778855341E-4</v>
      </c>
      <c r="Y400" s="2">
        <f t="shared" ca="1" si="16"/>
        <v>1.7078790583309855E-2</v>
      </c>
      <c r="Z400" s="2" cm="1">
        <f t="array" aca="1" ref="Z400" ca="1">MMULT(_xlfn.ANCHORARRAY(Q400),TRANSPOSE($Q$3:$U$3))</f>
        <v>9.740585935713226E-4</v>
      </c>
      <c r="AA400" s="11">
        <f ca="1">AVEDEV(Q400*$Q$3,R400*$R$3,S400*$S$3,T400*$T$3,U400*$U$3)</f>
        <v>1.2732424610821877E-4</v>
      </c>
      <c r="AB400" s="11" cm="1">
        <f t="array" aca="1" ref="AB400" ca="1">MMULT(_xlfn.ANCHORARRAY(Q400),TRANSPOSE($Q$6:$U$6))</f>
        <v>-2.2653634471240459E-2</v>
      </c>
      <c r="AD400" s="2" t="s">
        <v>391</v>
      </c>
      <c r="AE400" s="10" cm="1">
        <f t="array" aca="1" ref="AE400:AI400" ca="1">_xlfn.LET(_xlpm.array,_xlfn.RANDARRAY(1,COLUMNS(_xlfn.ANCHORARRAY(Q399)),-1,1,FALSE),_xlpm.array/SUM(_xlpm.array))</f>
        <v>-2.112869730484038</v>
      </c>
      <c r="AF400" s="10">
        <f ca="1"/>
        <v>1.7352962704409061</v>
      </c>
      <c r="AG400" s="10">
        <f ca="1"/>
        <v>0.27783665965780463</v>
      </c>
      <c r="AH400" s="10">
        <f ca="1"/>
        <v>1.3966960469705105</v>
      </c>
      <c r="AI400" s="10">
        <f ca="1"/>
        <v>-0.2969592465851833</v>
      </c>
      <c r="AJ400" s="1"/>
      <c r="AK400" s="2" cm="1">
        <f t="array" aca="1" ref="AK400" ca="1">MMULT(MMULT(_xlfn.ANCHORARRAY(AE400),$Q$9:$U$13),TRANSPOSE(_xlfn.ANCHORARRAY(AE400)))</f>
        <v>3.015088388218793E-3</v>
      </c>
      <c r="AL400" s="2">
        <f t="shared" ca="1" si="17"/>
        <v>5.4909820507981932E-2</v>
      </c>
      <c r="AM400" s="2" cm="1">
        <f t="array" aca="1" ref="AM400" ca="1">MMULT(_xlfn.ANCHORARRAY(AE401),TRANSPOSE($Q$3:$U$3))</f>
        <v>9.726208896495308E-4</v>
      </c>
    </row>
    <row r="401" spans="1:39" x14ac:dyDescent="0.35">
      <c r="A401" s="3">
        <v>44411</v>
      </c>
      <c r="B401" s="4">
        <v>34.284786224365199</v>
      </c>
      <c r="C401" s="4">
        <v>84.335182189941406</v>
      </c>
      <c r="D401" s="4">
        <v>45.534622192382798</v>
      </c>
      <c r="E401" s="4">
        <v>14.0035486221313</v>
      </c>
      <c r="F401" s="4">
        <v>276.14489746093699</v>
      </c>
      <c r="I401" s="5">
        <f>B401/B400-1</f>
        <v>1.5542830127513563E-2</v>
      </c>
      <c r="J401" s="5">
        <f>C401/C400-1</f>
        <v>9.5442923478716857E-3</v>
      </c>
      <c r="K401" s="5">
        <f>D401/D400-1</f>
        <v>2.222450589229763E-2</v>
      </c>
      <c r="L401" s="5">
        <f>E401/E400-1</f>
        <v>2.32440209312339E-2</v>
      </c>
      <c r="M401" s="5">
        <f>F401/F400-1</f>
        <v>8.0749909232511463E-3</v>
      </c>
      <c r="N401" s="5">
        <f>SUMPRODUCT(I401:M401,$AJ$13:$AN$13)</f>
        <v>2.032214791758253E-2</v>
      </c>
      <c r="P401" s="2" t="s">
        <v>392</v>
      </c>
      <c r="Q401" s="10" cm="1">
        <f t="array" aca="1" ref="Q401:U401" ca="1">_xlfn.LET(_xlpm.array,_xlfn.RANDARRAY(1,COLUMNS(_xlfn.ANCHORARRAY(Q400)),0,1,FALSE),_xlpm.array/SUM(_xlpm.array))</f>
        <v>0.23634092414883273</v>
      </c>
      <c r="R401" s="2">
        <f ca="1"/>
        <v>0.1197791948435061</v>
      </c>
      <c r="S401" s="2">
        <f ca="1"/>
        <v>0.33437572540793853</v>
      </c>
      <c r="T401" s="2">
        <f ca="1"/>
        <v>0.19961743855920464</v>
      </c>
      <c r="U401" s="2">
        <f ca="1"/>
        <v>0.109886717040518</v>
      </c>
      <c r="V401" s="12"/>
      <c r="X401" s="2" cm="1">
        <f t="array" aca="1" ref="X401" ca="1">MMULT(MMULT(_xlfn.ANCHORARRAY(Q401),$Q$9:$U$13),TRANSPOSE(_xlfn.ANCHORARRAY(Q401)))</f>
        <v>3.2340644605549174E-4</v>
      </c>
      <c r="Y401" s="2">
        <f t="shared" ca="1" si="16"/>
        <v>1.7983504832359339E-2</v>
      </c>
      <c r="Z401" s="2" cm="1">
        <f t="array" aca="1" ref="Z401" ca="1">MMULT(_xlfn.ANCHORARRAY(Q401),TRANSPOSE($Q$3:$U$3))</f>
        <v>1.0385931388482872E-3</v>
      </c>
      <c r="AA401" s="11">
        <f ca="1">AVEDEV(Q401*$Q$3,R401*$R$3,S401*$S$3,T401*$T$3,U401*$U$3)</f>
        <v>1.3412312352914063E-4</v>
      </c>
      <c r="AB401" s="11" cm="1">
        <f t="array" aca="1" ref="AB401" ca="1">MMULT(_xlfn.ANCHORARRAY(Q401),TRANSPOSE($Q$6:$U$6))</f>
        <v>-2.3887796394009467E-2</v>
      </c>
      <c r="AD401" s="2" t="s">
        <v>392</v>
      </c>
      <c r="AE401" s="10" cm="1">
        <f t="array" aca="1" ref="AE401:AI401" ca="1">_xlfn.LET(_xlpm.array,_xlfn.RANDARRAY(1,COLUMNS(_xlfn.ANCHORARRAY(Q400)),-1,1,FALSE),_xlpm.array/SUM(_xlpm.array))</f>
        <v>-0.19211410772972087</v>
      </c>
      <c r="AF401" s="10">
        <f ca="1"/>
        <v>0.78321961421382658</v>
      </c>
      <c r="AG401" s="10">
        <f ca="1"/>
        <v>0.36828567731282635</v>
      </c>
      <c r="AH401" s="10">
        <f ca="1"/>
        <v>-0.50954093017217994</v>
      </c>
      <c r="AI401" s="10">
        <f ca="1"/>
        <v>0.55014974637524783</v>
      </c>
      <c r="AJ401" s="1"/>
      <c r="AK401" s="2" cm="1">
        <f t="array" aca="1" ref="AK401" ca="1">MMULT(MMULT(_xlfn.ANCHORARRAY(AE401),$Q$9:$U$13),TRANSPOSE(_xlfn.ANCHORARRAY(AE401)))</f>
        <v>4.6171085834930921E-4</v>
      </c>
      <c r="AL401" s="2">
        <f t="shared" ca="1" si="17"/>
        <v>2.1487458163992064E-2</v>
      </c>
      <c r="AM401" s="2" cm="1">
        <f t="array" aca="1" ref="AM401" ca="1">MMULT(_xlfn.ANCHORARRAY(AE402),TRANSPOSE($Q$3:$U$3))</f>
        <v>6.9142793775878631E-4</v>
      </c>
    </row>
    <row r="402" spans="1:39" x14ac:dyDescent="0.35">
      <c r="A402" s="3">
        <v>44412</v>
      </c>
      <c r="B402" s="4">
        <v>34.035770416259702</v>
      </c>
      <c r="C402" s="4">
        <v>82.444641113281193</v>
      </c>
      <c r="D402" s="4">
        <v>45.053520202636697</v>
      </c>
      <c r="E402" s="4">
        <v>13.7200174331665</v>
      </c>
      <c r="F402" s="4">
        <v>275.55825805664</v>
      </c>
      <c r="I402" s="5">
        <f>B402/B401-1</f>
        <v>-7.263157672207643E-3</v>
      </c>
      <c r="J402" s="5">
        <f>C402/C401-1</f>
        <v>-2.2416991670241471E-2</v>
      </c>
      <c r="K402" s="5">
        <f>D402/D401-1</f>
        <v>-1.0565630427621708E-2</v>
      </c>
      <c r="L402" s="5">
        <f>E402/E401-1</f>
        <v>-2.0247095690923977E-2</v>
      </c>
      <c r="M402" s="5">
        <f>F402/F401-1</f>
        <v>-2.1243898029293939E-3</v>
      </c>
      <c r="N402" s="5">
        <f>SUMPRODUCT(I402:M402,$AJ$13:$AN$13)</f>
        <v>-1.2836443724290481E-2</v>
      </c>
      <c r="P402" s="2" t="s">
        <v>393</v>
      </c>
      <c r="Q402" s="10" cm="1">
        <f t="array" aca="1" ref="Q402:U402" ca="1">_xlfn.LET(_xlpm.array,_xlfn.RANDARRAY(1,COLUMNS(_xlfn.ANCHORARRAY(Q401)),0,1,FALSE),_xlpm.array/SUM(_xlpm.array))</f>
        <v>0.19026568470272301</v>
      </c>
      <c r="R402" s="2">
        <f ca="1"/>
        <v>0.19873665356760448</v>
      </c>
      <c r="S402" s="2">
        <f ca="1"/>
        <v>0.27056647203907264</v>
      </c>
      <c r="T402" s="2">
        <f ca="1"/>
        <v>8.0429908575781528E-2</v>
      </c>
      <c r="U402" s="2">
        <f ca="1"/>
        <v>0.26000128111481835</v>
      </c>
      <c r="V402" s="12"/>
      <c r="X402" s="2" cm="1">
        <f t="array" aca="1" ref="X402" ca="1">MMULT(MMULT(_xlfn.ANCHORARRAY(Q402),$Q$9:$U$13),TRANSPOSE(_xlfn.ANCHORARRAY(Q402)))</f>
        <v>2.8515589414199405E-4</v>
      </c>
      <c r="Y402" s="2">
        <f t="shared" ca="1" si="16"/>
        <v>1.6886559570913017E-2</v>
      </c>
      <c r="Z402" s="2" cm="1">
        <f t="array" aca="1" ref="Z402" ca="1">MMULT(_xlfn.ANCHORARRAY(Q402),TRANSPOSE($Q$3:$U$3))</f>
        <v>9.6225878960282238E-4</v>
      </c>
      <c r="AA402" s="11">
        <f ca="1">AVEDEV(Q402*$Q$3,R402*$R$3,S402*$S$3,T402*$T$3,U402*$U$3)</f>
        <v>1.0134384658717238E-4</v>
      </c>
      <c r="AB402" s="11" cm="1">
        <f t="array" aca="1" ref="AB402" ca="1">MMULT(_xlfn.ANCHORARRAY(Q402),TRANSPOSE($Q$6:$U$6))</f>
        <v>-2.280868062443132E-2</v>
      </c>
      <c r="AD402" s="2" t="s">
        <v>393</v>
      </c>
      <c r="AE402" s="10" cm="1">
        <f t="array" aca="1" ref="AE402:AI402" ca="1">_xlfn.LET(_xlpm.array,_xlfn.RANDARRAY(1,COLUMNS(_xlfn.ANCHORARRAY(Q401)),-1,1,FALSE),_xlpm.array/SUM(_xlpm.array))</f>
        <v>0.91865475338933111</v>
      </c>
      <c r="AF402" s="10">
        <f ca="1"/>
        <v>0.96514385328587282</v>
      </c>
      <c r="AG402" s="10">
        <f ca="1"/>
        <v>0.47332528367179999</v>
      </c>
      <c r="AH402" s="10">
        <f ca="1"/>
        <v>-0.82153428191695776</v>
      </c>
      <c r="AI402" s="10">
        <f ca="1"/>
        <v>-0.5355896084300461</v>
      </c>
      <c r="AJ402" s="1"/>
      <c r="AK402" s="2" cm="1">
        <f t="array" aca="1" ref="AK402" ca="1">MMULT(MMULT(_xlfn.ANCHORARRAY(AE402),$Q$9:$U$13),TRANSPOSE(_xlfn.ANCHORARRAY(AE402)))</f>
        <v>9.8669546949197123E-4</v>
      </c>
      <c r="AL402" s="2">
        <f t="shared" ca="1" si="17"/>
        <v>3.1411709114468306E-2</v>
      </c>
      <c r="AM402" s="2" cm="1">
        <f t="array" aca="1" ref="AM402" ca="1">MMULT(_xlfn.ANCHORARRAY(AE403),TRANSPOSE($Q$3:$U$3))</f>
        <v>1.3208100764234389E-3</v>
      </c>
    </row>
    <row r="403" spans="1:39" x14ac:dyDescent="0.35">
      <c r="A403" s="3">
        <v>44413</v>
      </c>
      <c r="B403" s="4">
        <v>34.702781677246001</v>
      </c>
      <c r="C403" s="4">
        <v>83.209083557128906</v>
      </c>
      <c r="D403" s="4">
        <v>45.492984771728501</v>
      </c>
      <c r="E403" s="4">
        <v>13.879070281982401</v>
      </c>
      <c r="F403" s="4">
        <v>278.45315551757801</v>
      </c>
      <c r="I403" s="5">
        <f>B403/B402-1</f>
        <v>1.9597360448396106E-2</v>
      </c>
      <c r="J403" s="5">
        <f>C403/C402-1</f>
        <v>9.2721908122244123E-3</v>
      </c>
      <c r="K403" s="5">
        <f>D403/D402-1</f>
        <v>9.7542781810440182E-3</v>
      </c>
      <c r="L403" s="5">
        <f>E403/E402-1</f>
        <v>1.1592758507099843E-2</v>
      </c>
      <c r="M403" s="5">
        <f>F403/F402-1</f>
        <v>1.0505573236505805E-2</v>
      </c>
      <c r="N403" s="5">
        <f>SUMPRODUCT(I403:M403,$AJ$13:$AN$13)</f>
        <v>8.0333304899549325E-3</v>
      </c>
      <c r="P403" s="2" t="s">
        <v>394</v>
      </c>
      <c r="Q403" s="10" cm="1">
        <f t="array" aca="1" ref="Q403:U403" ca="1">_xlfn.LET(_xlpm.array,_xlfn.RANDARRAY(1,COLUMNS(_xlfn.ANCHORARRAY(Q402)),0,1,FALSE),_xlpm.array/SUM(_xlpm.array))</f>
        <v>6.9349044317246044E-3</v>
      </c>
      <c r="R403" s="2">
        <f ca="1"/>
        <v>9.7005151645541646E-2</v>
      </c>
      <c r="S403" s="2">
        <f ca="1"/>
        <v>0.25713094225472327</v>
      </c>
      <c r="T403" s="2">
        <f ca="1"/>
        <v>0.27400899287873104</v>
      </c>
      <c r="U403" s="2">
        <f ca="1"/>
        <v>0.36492000878927938</v>
      </c>
      <c r="V403" s="12"/>
      <c r="X403" s="2" cm="1">
        <f t="array" aca="1" ref="X403" ca="1">MMULT(MMULT(_xlfn.ANCHORARRAY(Q403),$Q$9:$U$13),TRANSPOSE(_xlfn.ANCHORARRAY(Q403)))</f>
        <v>2.837487011303967E-4</v>
      </c>
      <c r="Y403" s="2">
        <f t="shared" ca="1" si="16"/>
        <v>1.68448419740405E-2</v>
      </c>
      <c r="Z403" s="2" cm="1">
        <f t="array" aca="1" ref="Z403" ca="1">MMULT(_xlfn.ANCHORARRAY(Q403),TRANSPOSE($Q$3:$U$3))</f>
        <v>1.0509851798984264E-3</v>
      </c>
      <c r="AA403" s="11">
        <f ca="1">AVEDEV(Q403*$Q$3,R403*$R$3,S403*$S$3,T403*$T$3,U403*$U$3)</f>
        <v>1.3841299323932025E-4</v>
      </c>
      <c r="AB403" s="11" cm="1">
        <f t="array" aca="1" ref="AB403" ca="1">MMULT(_xlfn.ANCHORARRAY(Q403),TRANSPOSE($Q$6:$U$6))</f>
        <v>-2.336985458610075E-2</v>
      </c>
      <c r="AD403" s="2" t="s">
        <v>394</v>
      </c>
      <c r="AE403" s="10" cm="1">
        <f t="array" aca="1" ref="AE403:AI403" ca="1">_xlfn.LET(_xlpm.array,_xlfn.RANDARRAY(1,COLUMNS(_xlfn.ANCHORARRAY(Q402)),-1,1,FALSE),_xlpm.array/SUM(_xlpm.array))</f>
        <v>-1.8330797809557671</v>
      </c>
      <c r="AF403" s="10">
        <f ca="1"/>
        <v>-0.18057723344078694</v>
      </c>
      <c r="AG403" s="10">
        <f ca="1"/>
        <v>-0.5155101730776197</v>
      </c>
      <c r="AH403" s="10">
        <f ca="1"/>
        <v>2.0338671733162212</v>
      </c>
      <c r="AI403" s="10">
        <f ca="1"/>
        <v>1.4953000141579524</v>
      </c>
      <c r="AJ403" s="1"/>
      <c r="AK403" s="2" cm="1">
        <f t="array" aca="1" ref="AK403" ca="1">MMULT(MMULT(_xlfn.ANCHORARRAY(AE403),$Q$9:$U$13),TRANSPOSE(_xlfn.ANCHORARRAY(AE403)))</f>
        <v>2.5276834064214618E-3</v>
      </c>
      <c r="AL403" s="2">
        <f t="shared" ca="1" si="17"/>
        <v>5.0276071907234973E-2</v>
      </c>
      <c r="AM403" s="2" cm="1">
        <f t="array" aca="1" ref="AM403" ca="1">MMULT(_xlfn.ANCHORARRAY(AE404),TRANSPOSE($Q$3:$U$3))</f>
        <v>6.7903274187875395E-4</v>
      </c>
    </row>
    <row r="404" spans="1:39" x14ac:dyDescent="0.35">
      <c r="A404" s="3">
        <v>44414</v>
      </c>
      <c r="B404" s="4">
        <v>35.707759857177699</v>
      </c>
      <c r="C404" s="4">
        <v>83.800910949707003</v>
      </c>
      <c r="D404" s="4">
        <v>45.585517883300703</v>
      </c>
      <c r="E404" s="4">
        <v>14.121106147766101</v>
      </c>
      <c r="F404" s="4">
        <v>278.39538574218699</v>
      </c>
      <c r="I404" s="5">
        <f>B404/B403-1</f>
        <v>2.8959585697726498E-2</v>
      </c>
      <c r="J404" s="5">
        <f>C404/C403-1</f>
        <v>7.1125334792536687E-3</v>
      </c>
      <c r="K404" s="5">
        <f>D404/D403-1</f>
        <v>2.0340083649492691E-3</v>
      </c>
      <c r="L404" s="5">
        <f>E404/E403-1</f>
        <v>1.7438910594602897E-2</v>
      </c>
      <c r="M404" s="5">
        <f>F404/F403-1</f>
        <v>-2.0746676504224126E-4</v>
      </c>
      <c r="N404" s="5">
        <f>SUMPRODUCT(I404:M404,$AJ$13:$AN$13)</f>
        <v>5.2967590949341153E-4</v>
      </c>
      <c r="P404" s="2" t="s">
        <v>395</v>
      </c>
      <c r="Q404" s="10" cm="1">
        <f t="array" aca="1" ref="Q404:U404" ca="1">_xlfn.LET(_xlpm.array,_xlfn.RANDARRAY(1,COLUMNS(_xlfn.ANCHORARRAY(Q403)),0,1,FALSE),_xlpm.array/SUM(_xlpm.array))</f>
        <v>0.38174139980866406</v>
      </c>
      <c r="R404" s="2">
        <f ca="1"/>
        <v>0.15791621983801629</v>
      </c>
      <c r="S404" s="2">
        <f ca="1"/>
        <v>0.19379752242234854</v>
      </c>
      <c r="T404" s="2">
        <f ca="1"/>
        <v>4.685713566281928E-2</v>
      </c>
      <c r="U404" s="2">
        <f ca="1"/>
        <v>0.21968772226815181</v>
      </c>
      <c r="V404" s="12"/>
      <c r="X404" s="2" cm="1">
        <f t="array" aca="1" ref="X404" ca="1">MMULT(MMULT(_xlfn.ANCHORARRAY(Q404),$Q$9:$U$13),TRANSPOSE(_xlfn.ANCHORARRAY(Q404)))</f>
        <v>2.8499214759914029E-4</v>
      </c>
      <c r="Y404" s="2">
        <f t="shared" ca="1" si="16"/>
        <v>1.6881710446490318E-2</v>
      </c>
      <c r="Z404" s="2" cm="1">
        <f t="array" aca="1" ref="Z404" ca="1">MMULT(_xlfn.ANCHORARRAY(Q404),TRANSPOSE($Q$3:$U$3))</f>
        <v>8.3996159578826699E-4</v>
      </c>
      <c r="AA404" s="11">
        <f ca="1">AVEDEV(Q404*$Q$3,R404*$R$3,S404*$S$3,T404*$T$3,U404*$U$3)</f>
        <v>6.9119198308142707E-5</v>
      </c>
      <c r="AB404" s="11" cm="1">
        <f t="array" aca="1" ref="AB404" ca="1">MMULT(_xlfn.ANCHORARRAY(Q404),TRANSPOSE($Q$6:$U$6))</f>
        <v>-2.2364711372423442E-2</v>
      </c>
      <c r="AD404" s="2" t="s">
        <v>395</v>
      </c>
      <c r="AE404" s="10" cm="1">
        <f t="array" aca="1" ref="AE404:AI404" ca="1">_xlfn.LET(_xlpm.array,_xlfn.RANDARRAY(1,COLUMNS(_xlfn.ANCHORARRAY(Q403)),-1,1,FALSE),_xlpm.array/SUM(_xlpm.array))</f>
        <v>0.32934861657751069</v>
      </c>
      <c r="AF404" s="10">
        <f ca="1"/>
        <v>0.14361547601717528</v>
      </c>
      <c r="AG404" s="10">
        <f ca="1"/>
        <v>-8.6595654587310403E-2</v>
      </c>
      <c r="AH404" s="10">
        <f ca="1"/>
        <v>0.30402272869435598</v>
      </c>
      <c r="AI404" s="10">
        <f ca="1"/>
        <v>0.30960883329826849</v>
      </c>
      <c r="AJ404" s="1"/>
      <c r="AK404" s="2" cm="1">
        <f t="array" aca="1" ref="AK404" ca="1">MMULT(MMULT(_xlfn.ANCHORARRAY(AE404),$Q$9:$U$13),TRANSPOSE(_xlfn.ANCHORARRAY(AE404)))</f>
        <v>2.8031845798735626E-4</v>
      </c>
      <c r="AL404" s="2">
        <f t="shared" ca="1" si="17"/>
        <v>1.6742713578967904E-2</v>
      </c>
      <c r="AM404" s="2" cm="1">
        <f t="array" aca="1" ref="AM404" ca="1">MMULT(_xlfn.ANCHORARRAY(AE405),TRANSPOSE($Q$3:$U$3))</f>
        <v>-7.3947376109410627E-3</v>
      </c>
    </row>
    <row r="405" spans="1:39" x14ac:dyDescent="0.35">
      <c r="A405" s="3">
        <v>44417</v>
      </c>
      <c r="B405" s="4">
        <v>36.170219421386697</v>
      </c>
      <c r="C405" s="4">
        <v>82.403526306152301</v>
      </c>
      <c r="D405" s="4">
        <v>45.567005157470703</v>
      </c>
      <c r="E405" s="4">
        <v>13.9827966690063</v>
      </c>
      <c r="F405" s="4">
        <v>277.30868530273398</v>
      </c>
      <c r="I405" s="5">
        <f>B405/B404-1</f>
        <v>1.2951234299175329E-2</v>
      </c>
      <c r="J405" s="5">
        <f>C405/C404-1</f>
        <v>-1.667505314343587E-2</v>
      </c>
      <c r="K405" s="5">
        <f>D405/D404-1</f>
        <v>-4.0610980613164926E-4</v>
      </c>
      <c r="L405" s="5">
        <f>E405/E404-1</f>
        <v>-9.7945215702298638E-3</v>
      </c>
      <c r="M405" s="5">
        <f>F405/F404-1</f>
        <v>-3.9034427117242698E-3</v>
      </c>
      <c r="N405" s="5">
        <f>SUMPRODUCT(I405:M405,$AJ$13:$AN$13)</f>
        <v>-9.2912994413179347E-3</v>
      </c>
      <c r="P405" s="2" t="s">
        <v>396</v>
      </c>
      <c r="Q405" s="10" cm="1">
        <f t="array" aca="1" ref="Q405:U405" ca="1">_xlfn.LET(_xlpm.array,_xlfn.RANDARRAY(1,COLUMNS(_xlfn.ANCHORARRAY(Q404)),0,1,FALSE),_xlpm.array/SUM(_xlpm.array))</f>
        <v>0.29764585390524684</v>
      </c>
      <c r="R405" s="2">
        <f ca="1"/>
        <v>6.8205146156828059E-2</v>
      </c>
      <c r="S405" s="2">
        <f ca="1"/>
        <v>0.11685321768547054</v>
      </c>
      <c r="T405" s="2">
        <f ca="1"/>
        <v>0.22572572131238178</v>
      </c>
      <c r="U405" s="2">
        <f ca="1"/>
        <v>0.29157006094007282</v>
      </c>
      <c r="V405" s="12"/>
      <c r="X405" s="2" cm="1">
        <f t="array" aca="1" ref="X405" ca="1">MMULT(MMULT(_xlfn.ANCHORARRAY(Q405),$Q$9:$U$13),TRANSPOSE(_xlfn.ANCHORARRAY(Q405)))</f>
        <v>2.6070414325319002E-4</v>
      </c>
      <c r="Y405" s="2">
        <f t="shared" ca="1" si="16"/>
        <v>1.6146335288640269E-2</v>
      </c>
      <c r="Z405" s="2" cm="1">
        <f t="array" aca="1" ref="Z405" ca="1">MMULT(_xlfn.ANCHORARRAY(Q405),TRANSPOSE($Q$3:$U$3))</f>
        <v>8.4446690237964224E-4</v>
      </c>
      <c r="AA405" s="11">
        <f ca="1">AVEDEV(Q405*$Q$3,R405*$R$3,S405*$S$3,T405*$T$3,U405*$U$3)</f>
        <v>5.46813246473464E-5</v>
      </c>
      <c r="AB405" s="11" cm="1">
        <f t="array" aca="1" ref="AB405" ca="1">MMULT(_xlfn.ANCHORARRAY(Q405),TRANSPOSE($Q$6:$U$6))</f>
        <v>-2.2558338120189998E-2</v>
      </c>
      <c r="AD405" s="2" t="s">
        <v>396</v>
      </c>
      <c r="AE405" s="10" cm="1">
        <f t="array" aca="1" ref="AE405:AI405" ca="1">_xlfn.LET(_xlpm.array,_xlfn.RANDARRAY(1,COLUMNS(_xlfn.ANCHORARRAY(Q404)),-1,1,FALSE),_xlpm.array/SUM(_xlpm.array))</f>
        <v>7.3940445743841843E-2</v>
      </c>
      <c r="AF405" s="10">
        <f ca="1"/>
        <v>4.1339987735814852</v>
      </c>
      <c r="AG405" s="10">
        <f ca="1"/>
        <v>-8.6480563250538935</v>
      </c>
      <c r="AH405" s="10">
        <f ca="1"/>
        <v>-2.2104757921788614</v>
      </c>
      <c r="AI405" s="10">
        <f ca="1"/>
        <v>7.650592897907428</v>
      </c>
      <c r="AJ405" s="1"/>
      <c r="AK405" s="2" cm="1">
        <f t="array" aca="1" ref="AK405" ca="1">MMULT(MMULT(_xlfn.ANCHORARRAY(AE405),$Q$9:$U$13),TRANSPOSE(_xlfn.ANCHORARRAY(AE405)))</f>
        <v>5.4407102207592692E-2</v>
      </c>
      <c r="AL405" s="2">
        <f t="shared" ca="1" si="17"/>
        <v>0.23325330052883</v>
      </c>
      <c r="AM405" s="2" cm="1">
        <f t="array" aca="1" ref="AM405" ca="1">MMULT(_xlfn.ANCHORARRAY(AE406),TRANSPOSE($Q$3:$U$3))</f>
        <v>-4.9827975557971416E-3</v>
      </c>
    </row>
    <row r="406" spans="1:39" x14ac:dyDescent="0.35">
      <c r="A406" s="3">
        <v>44418</v>
      </c>
      <c r="B406" s="4">
        <v>36.8461303710937</v>
      </c>
      <c r="C406" s="4">
        <v>83.907760620117102</v>
      </c>
      <c r="D406" s="4">
        <v>45.530002593994098</v>
      </c>
      <c r="E406" s="4">
        <v>14.217919349670399</v>
      </c>
      <c r="F406" s="4">
        <v>275.49102783203102</v>
      </c>
      <c r="I406" s="5">
        <f>B406/B405-1</f>
        <v>1.8686946347562072E-2</v>
      </c>
      <c r="J406" s="5">
        <f>C406/C405-1</f>
        <v>1.82544896000707E-2</v>
      </c>
      <c r="K406" s="5">
        <f>D406/D405-1</f>
        <v>-8.1204729932837783E-4</v>
      </c>
      <c r="L406" s="5">
        <f>E406/E405-1</f>
        <v>1.68151397914027E-2</v>
      </c>
      <c r="M406" s="5">
        <f>F406/F405-1</f>
        <v>-6.5546359239294638E-3</v>
      </c>
      <c r="N406" s="5">
        <f>SUMPRODUCT(I406:M406,$AJ$13:$AN$13)</f>
        <v>-7.5793981978396078E-4</v>
      </c>
      <c r="P406" s="2" t="s">
        <v>397</v>
      </c>
      <c r="Q406" s="10" cm="1">
        <f t="array" aca="1" ref="Q406:U406" ca="1">_xlfn.LET(_xlpm.array,_xlfn.RANDARRAY(1,COLUMNS(_xlfn.ANCHORARRAY(Q405)),0,1,FALSE),_xlpm.array/SUM(_xlpm.array))</f>
        <v>0.13636476088327668</v>
      </c>
      <c r="R406" s="2">
        <f ca="1"/>
        <v>0.26538177241719718</v>
      </c>
      <c r="S406" s="2">
        <f ca="1"/>
        <v>0.25063928744597397</v>
      </c>
      <c r="T406" s="2">
        <f ca="1"/>
        <v>3.791818409694224E-3</v>
      </c>
      <c r="U406" s="2">
        <f ca="1"/>
        <v>0.34382236084385787</v>
      </c>
      <c r="V406" s="12"/>
      <c r="X406" s="2" cm="1">
        <f t="array" aca="1" ref="X406" ca="1">MMULT(MMULT(_xlfn.ANCHORARRAY(Q406),$Q$9:$U$13),TRANSPOSE(_xlfn.ANCHORARRAY(Q406)))</f>
        <v>2.7859186349670645E-4</v>
      </c>
      <c r="Y406" s="2">
        <f t="shared" ca="1" si="16"/>
        <v>1.6691071370547383E-2</v>
      </c>
      <c r="Z406" s="2" cm="1">
        <f t="array" aca="1" ref="Z406" ca="1">MMULT(_xlfn.ANCHORARRAY(Q406),TRANSPOSE($Q$3:$U$3))</f>
        <v>9.3698503975274752E-4</v>
      </c>
      <c r="AA406" s="11">
        <f ca="1">AVEDEV(Q406*$Q$3,R406*$R$3,S406*$S$3,T406*$T$3,U406*$U$3)</f>
        <v>1.2064534051931693E-4</v>
      </c>
      <c r="AB406" s="11" cm="1">
        <f t="array" aca="1" ref="AB406" ca="1">MMULT(_xlfn.ANCHORARRAY(Q406),TRANSPOSE($Q$6:$U$6))</f>
        <v>-2.2234523207905855E-2</v>
      </c>
      <c r="AD406" s="2" t="s">
        <v>397</v>
      </c>
      <c r="AE406" s="10" cm="1">
        <f t="array" aca="1" ref="AE406:AI406" ca="1">_xlfn.LET(_xlpm.array,_xlfn.RANDARRAY(1,COLUMNS(_xlfn.ANCHORARRAY(Q405)),-1,1,FALSE),_xlpm.array/SUM(_xlpm.array))</f>
        <v>6.8812786572597515</v>
      </c>
      <c r="AF406" s="10">
        <f ca="1"/>
        <v>-15.897076838284873</v>
      </c>
      <c r="AG406" s="10">
        <f ca="1"/>
        <v>-10.566426430283457</v>
      </c>
      <c r="AH406" s="10">
        <f ca="1"/>
        <v>17.704929499325232</v>
      </c>
      <c r="AI406" s="10">
        <f ca="1"/>
        <v>2.8772951119833459</v>
      </c>
      <c r="AJ406" s="1"/>
      <c r="AK406" s="2" cm="1">
        <f t="array" aca="1" ref="AK406" ca="1">MMULT(MMULT(_xlfn.ANCHORARRAY(AE406),$Q$9:$U$13),TRANSPOSE(_xlfn.ANCHORARRAY(AE406)))</f>
        <v>0.16530467037261298</v>
      </c>
      <c r="AL406" s="2">
        <f t="shared" ca="1" si="17"/>
        <v>0.40657677057674235</v>
      </c>
      <c r="AM406" s="2" cm="1">
        <f t="array" aca="1" ref="AM406" ca="1">MMULT(_xlfn.ANCHORARRAY(AE407),TRANSPOSE($Q$3:$U$3))</f>
        <v>1.088442688141086E-3</v>
      </c>
    </row>
    <row r="407" spans="1:39" x14ac:dyDescent="0.35">
      <c r="A407" s="3">
        <v>44419</v>
      </c>
      <c r="B407" s="4">
        <v>37.308601379394503</v>
      </c>
      <c r="C407" s="4">
        <v>84.540672302246094</v>
      </c>
      <c r="D407" s="4">
        <v>46.432083129882798</v>
      </c>
      <c r="E407" s="4">
        <v>14.4965667724609</v>
      </c>
      <c r="F407" s="4">
        <v>275.98147583007801</v>
      </c>
      <c r="I407" s="5">
        <f>B407/B406-1</f>
        <v>1.2551413232354536E-2</v>
      </c>
      <c r="J407" s="5">
        <f>C407/C406-1</f>
        <v>7.5429456995572686E-3</v>
      </c>
      <c r="K407" s="5">
        <f>D407/D406-1</f>
        <v>1.9812881275954375E-2</v>
      </c>
      <c r="L407" s="5">
        <f>E407/E406-1</f>
        <v>1.9598326304823166E-2</v>
      </c>
      <c r="M407" s="5">
        <f>F407/F406-1</f>
        <v>1.7802684969689953E-3</v>
      </c>
      <c r="N407" s="5">
        <f>SUMPRODUCT(I407:M407,$AJ$13:$AN$13)</f>
        <v>1.6191005218348566E-2</v>
      </c>
      <c r="P407" s="2" t="s">
        <v>398</v>
      </c>
      <c r="Q407" s="10" cm="1">
        <f t="array" aca="1" ref="Q407:U407" ca="1">_xlfn.LET(_xlpm.array,_xlfn.RANDARRAY(1,COLUMNS(_xlfn.ANCHORARRAY(Q406)),0,1,FALSE),_xlpm.array/SUM(_xlpm.array))</f>
        <v>0.46862752531471957</v>
      </c>
      <c r="R407" s="2">
        <f ca="1"/>
        <v>2.76772528587475E-2</v>
      </c>
      <c r="S407" s="2">
        <f ca="1"/>
        <v>0.35579915564592607</v>
      </c>
      <c r="T407" s="2">
        <f ca="1"/>
        <v>0.13126759985488173</v>
      </c>
      <c r="U407" s="2">
        <f ca="1"/>
        <v>1.6628466325725247E-2</v>
      </c>
      <c r="V407" s="12"/>
      <c r="X407" s="2" cm="1">
        <f t="array" aca="1" ref="X407" ca="1">MMULT(MMULT(_xlfn.ANCHORARRAY(Q407),$Q$9:$U$13),TRANSPOSE(_xlfn.ANCHORARRAY(Q407)))</f>
        <v>3.6560539939728572E-4</v>
      </c>
      <c r="Y407" s="2">
        <f t="shared" ca="1" si="16"/>
        <v>1.9120810636510308E-2</v>
      </c>
      <c r="Z407" s="2" cm="1">
        <f t="array" aca="1" ref="Z407" ca="1">MMULT(_xlfn.ANCHORARRAY(Q407),TRANSPOSE($Q$3:$U$3))</f>
        <v>9.830308699418876E-4</v>
      </c>
      <c r="AA407" s="11">
        <f ca="1">AVEDEV(Q407*$Q$3,R407*$R$3,S407*$S$3,T407*$T$3,U407*$U$3)</f>
        <v>1.6911357479041319E-4</v>
      </c>
      <c r="AB407" s="11" cm="1">
        <f t="array" aca="1" ref="AB407" ca="1">MMULT(_xlfn.ANCHORARRAY(Q407),TRANSPOSE($Q$6:$U$6))</f>
        <v>-2.399452082632407E-2</v>
      </c>
      <c r="AD407" s="2" t="s">
        <v>398</v>
      </c>
      <c r="AE407" s="10" cm="1">
        <f t="array" aca="1" ref="AE407:AI407" ca="1">_xlfn.LET(_xlpm.array,_xlfn.RANDARRAY(1,COLUMNS(_xlfn.ANCHORARRAY(Q406)),-1,1,FALSE),_xlpm.array/SUM(_xlpm.array))</f>
        <v>-2.5753829922344109</v>
      </c>
      <c r="AF407" s="10">
        <f ca="1"/>
        <v>1.3095863450299945</v>
      </c>
      <c r="AG407" s="10">
        <f ca="1"/>
        <v>-1.4079186371237191</v>
      </c>
      <c r="AH407" s="10">
        <f ca="1"/>
        <v>3.5739769023505072</v>
      </c>
      <c r="AI407" s="10">
        <f ca="1"/>
        <v>9.973838197762816E-2</v>
      </c>
      <c r="AJ407" s="1"/>
      <c r="AK407" s="2" cm="1">
        <f t="array" aca="1" ref="AK407" ca="1">MMULT(MMULT(_xlfn.ANCHORARRAY(AE407),$Q$9:$U$13),TRANSPOSE(_xlfn.ANCHORARRAY(AE407)))</f>
        <v>9.0772815176590055E-3</v>
      </c>
      <c r="AL407" s="2">
        <f t="shared" ca="1" si="17"/>
        <v>9.5274768525874701E-2</v>
      </c>
      <c r="AM407" s="2" cm="1">
        <f t="array" aca="1" ref="AM407" ca="1">MMULT(_xlfn.ANCHORARRAY(AE408),TRANSPOSE($Q$3:$U$3))</f>
        <v>1.8091241494948944E-3</v>
      </c>
    </row>
    <row r="408" spans="1:39" x14ac:dyDescent="0.35">
      <c r="A408" s="3">
        <v>44420</v>
      </c>
      <c r="B408" s="4">
        <v>37.486480712890597</v>
      </c>
      <c r="C408" s="4">
        <v>84.368064880371094</v>
      </c>
      <c r="D408" s="4">
        <v>46.496856689453097</v>
      </c>
      <c r="E408" s="4">
        <v>14.677685737609799</v>
      </c>
      <c r="F408" s="4">
        <v>278.73208618164</v>
      </c>
      <c r="I408" s="5">
        <f>B408/B407-1</f>
        <v>4.7677834847579259E-3</v>
      </c>
      <c r="J408" s="5">
        <f>C408/C407-1</f>
        <v>-2.0417086495113645E-3</v>
      </c>
      <c r="K408" s="5">
        <f>D408/D407-1</f>
        <v>1.3950173070871319E-3</v>
      </c>
      <c r="L408" s="5">
        <f>E408/E407-1</f>
        <v>1.2493921353362802E-2</v>
      </c>
      <c r="M408" s="5">
        <f>F408/F407-1</f>
        <v>9.9666484617813023E-3</v>
      </c>
      <c r="N408" s="5">
        <f>SUMPRODUCT(I408:M408,$AJ$13:$AN$13)</f>
        <v>8.5815149628212725E-3</v>
      </c>
      <c r="P408" s="2" t="s">
        <v>399</v>
      </c>
      <c r="Q408" s="10" cm="1">
        <f t="array" aca="1" ref="Q408:U408" ca="1">_xlfn.LET(_xlpm.array,_xlfn.RANDARRAY(1,COLUMNS(_xlfn.ANCHORARRAY(Q407)),0,1,FALSE),_xlpm.array/SUM(_xlpm.array))</f>
        <v>0.28529175072910479</v>
      </c>
      <c r="R408" s="2">
        <f ca="1"/>
        <v>0.28727842062140957</v>
      </c>
      <c r="S408" s="2">
        <f ca="1"/>
        <v>0.25049649683015301</v>
      </c>
      <c r="T408" s="2">
        <f ca="1"/>
        <v>0.11867421414393105</v>
      </c>
      <c r="U408" s="2">
        <f ca="1"/>
        <v>5.8259117675401671E-2</v>
      </c>
      <c r="V408" s="12"/>
      <c r="X408" s="2" cm="1">
        <f t="array" aca="1" ref="X408" ca="1">MMULT(MMULT(_xlfn.ANCHORARRAY(Q408),$Q$9:$U$13),TRANSPOSE(_xlfn.ANCHORARRAY(Q408)))</f>
        <v>3.1638657264008242E-4</v>
      </c>
      <c r="Y408" s="2">
        <f t="shared" ca="1" si="16"/>
        <v>1.7787258716285722E-2</v>
      </c>
      <c r="Z408" s="2" cm="1">
        <f t="array" aca="1" ref="Z408" ca="1">MMULT(_xlfn.ANCHORARRAY(Q408),TRANSPOSE($Q$3:$U$3))</f>
        <v>9.2738620521863027E-4</v>
      </c>
      <c r="AA408" s="11">
        <f ca="1">AVEDEV(Q408*$Q$3,R408*$R$3,S408*$S$3,T408*$T$3,U408*$U$3)</f>
        <v>9.825357727303254E-5</v>
      </c>
      <c r="AB408" s="11" cm="1">
        <f t="array" aca="1" ref="AB408" ca="1">MMULT(_xlfn.ANCHORARRAY(Q408),TRANSPOSE($Q$6:$U$6))</f>
        <v>-2.3042418736491183E-2</v>
      </c>
      <c r="AD408" s="2" t="s">
        <v>399</v>
      </c>
      <c r="AE408" s="10" cm="1">
        <f t="array" aca="1" ref="AE408:AI408" ca="1">_xlfn.LET(_xlpm.array,_xlfn.RANDARRAY(1,COLUMNS(_xlfn.ANCHORARRAY(Q407)),-1,1,FALSE),_xlpm.array/SUM(_xlpm.array))</f>
        <v>-0.86695065089427348</v>
      </c>
      <c r="AF408" s="10">
        <f ca="1"/>
        <v>0.18450335769232865</v>
      </c>
      <c r="AG408" s="10">
        <f ca="1"/>
        <v>1.2729910424900119</v>
      </c>
      <c r="AH408" s="10">
        <f ca="1"/>
        <v>-1.0340091310576771</v>
      </c>
      <c r="AI408" s="10">
        <f ca="1"/>
        <v>1.4434653817696097</v>
      </c>
      <c r="AJ408" s="1"/>
      <c r="AK408" s="2" cm="1">
        <f t="array" aca="1" ref="AK408" ca="1">MMULT(MMULT(_xlfn.ANCHORARRAY(AE408),$Q$9:$U$13),TRANSPOSE(_xlfn.ANCHORARRAY(AE408)))</f>
        <v>2.5626192820151074E-3</v>
      </c>
      <c r="AL408" s="2">
        <f t="shared" ca="1" si="17"/>
        <v>5.062231999834764E-2</v>
      </c>
      <c r="AM408" s="2" cm="1">
        <f t="array" aca="1" ref="AM408" ca="1">MMULT(_xlfn.ANCHORARRAY(AE409),TRANSPOSE($Q$3:$U$3))</f>
        <v>-5.085736585203381E-4</v>
      </c>
    </row>
    <row r="409" spans="1:39" x14ac:dyDescent="0.35">
      <c r="A409" s="3">
        <v>44421</v>
      </c>
      <c r="B409" s="4">
        <v>37.024002075195298</v>
      </c>
      <c r="C409" s="4">
        <v>83.809112548828097</v>
      </c>
      <c r="D409" s="4">
        <v>46.2747993469238</v>
      </c>
      <c r="E409" s="4">
        <v>14.691622734069799</v>
      </c>
      <c r="F409" s="4">
        <v>281.65591430664</v>
      </c>
      <c r="I409" s="5">
        <f>B409/B408-1</f>
        <v>-1.2337211413294025E-2</v>
      </c>
      <c r="J409" s="5">
        <f>C409/C408-1</f>
        <v>-6.6251647745573239E-3</v>
      </c>
      <c r="K409" s="5">
        <f>D409/D408-1</f>
        <v>-4.7757495525426741E-3</v>
      </c>
      <c r="L409" s="5">
        <f>E409/E408-1</f>
        <v>9.4953637168337934E-4</v>
      </c>
      <c r="M409" s="5">
        <f>F409/F408-1</f>
        <v>1.048974362820454E-2</v>
      </c>
      <c r="N409" s="5">
        <f>SUMPRODUCT(I409:M409,$AJ$13:$AN$13)</f>
        <v>5.246269257381051E-3</v>
      </c>
      <c r="P409" s="2" t="s">
        <v>400</v>
      </c>
      <c r="Q409" s="10" cm="1">
        <f t="array" aca="1" ref="Q409:U409" ca="1">_xlfn.LET(_xlpm.array,_xlfn.RANDARRAY(1,COLUMNS(_xlfn.ANCHORARRAY(Q408)),0,1,FALSE),_xlpm.array/SUM(_xlpm.array))</f>
        <v>0.23178292812182005</v>
      </c>
      <c r="R409" s="2">
        <f ca="1"/>
        <v>0.35316205598592232</v>
      </c>
      <c r="S409" s="2">
        <f ca="1"/>
        <v>7.5370355629816754E-2</v>
      </c>
      <c r="T409" s="2">
        <f ca="1"/>
        <v>0.29496542872220921</v>
      </c>
      <c r="U409" s="2">
        <f ca="1"/>
        <v>4.4719231540231628E-2</v>
      </c>
      <c r="V409" s="12"/>
      <c r="X409" s="2" cm="1">
        <f t="array" aca="1" ref="X409" ca="1">MMULT(MMULT(_xlfn.ANCHORARRAY(Q409),$Q$9:$U$13),TRANSPOSE(_xlfn.ANCHORARRAY(Q409)))</f>
        <v>3.2867264301942678E-4</v>
      </c>
      <c r="Y409" s="2">
        <f t="shared" ca="1" si="16"/>
        <v>1.8129331014117064E-2</v>
      </c>
      <c r="Z409" s="2" cm="1">
        <f t="array" aca="1" ref="Z409" ca="1">MMULT(_xlfn.ANCHORARRAY(Q409),TRANSPOSE($Q$3:$U$3))</f>
        <v>8.3364245200483796E-4</v>
      </c>
      <c r="AA409" s="11">
        <f ca="1">AVEDEV(Q409*$Q$3,R409*$R$3,S409*$S$3,T409*$T$3,U409*$U$3)</f>
        <v>9.0310990807302544E-5</v>
      </c>
      <c r="AB409" s="11" cm="1">
        <f t="array" aca="1" ref="AB409" ca="1">MMULT(_xlfn.ANCHORARRAY(Q409),TRANSPOSE($Q$6:$U$6))</f>
        <v>-2.2651977564004146E-2</v>
      </c>
      <c r="AD409" s="2" t="s">
        <v>400</v>
      </c>
      <c r="AE409" s="10" cm="1">
        <f t="array" aca="1" ref="AE409:AI409" ca="1">_xlfn.LET(_xlpm.array,_xlfn.RANDARRAY(1,COLUMNS(_xlfn.ANCHORARRAY(Q408)),-1,1,FALSE),_xlpm.array/SUM(_xlpm.array))</f>
        <v>1.5193463268742988</v>
      </c>
      <c r="AF409" s="10">
        <f ca="1"/>
        <v>0.42896192498656666</v>
      </c>
      <c r="AG409" s="10">
        <f ca="1"/>
        <v>-0.29722473881183892</v>
      </c>
      <c r="AH409" s="10">
        <f ca="1"/>
        <v>-2.3887507980453146</v>
      </c>
      <c r="AI409" s="10">
        <f ca="1"/>
        <v>1.7376672849962882</v>
      </c>
      <c r="AJ409" s="1"/>
      <c r="AK409" s="2" cm="1">
        <f t="array" aca="1" ref="AK409" ca="1">MMULT(MMULT(_xlfn.ANCHORARRAY(AE409),$Q$9:$U$13),TRANSPOSE(_xlfn.ANCHORARRAY(AE409)))</f>
        <v>3.454912031505076E-3</v>
      </c>
      <c r="AL409" s="2">
        <f t="shared" ca="1" si="17"/>
        <v>5.8778499738467944E-2</v>
      </c>
      <c r="AM409" s="2" cm="1">
        <f t="array" aca="1" ref="AM409" ca="1">MMULT(_xlfn.ANCHORARRAY(AE410),TRANSPOSE($Q$3:$U$3))</f>
        <v>3.5050585792085146E-3</v>
      </c>
    </row>
    <row r="410" spans="1:39" x14ac:dyDescent="0.35">
      <c r="A410" s="3">
        <v>44424</v>
      </c>
      <c r="B410" s="4">
        <v>36.721622467041001</v>
      </c>
      <c r="C410" s="4">
        <v>82.954269409179602</v>
      </c>
      <c r="D410" s="4">
        <v>46.099006652832003</v>
      </c>
      <c r="E410" s="4">
        <v>14.5662279129028</v>
      </c>
      <c r="F410" s="4">
        <v>283.33898925781199</v>
      </c>
      <c r="I410" s="5">
        <f>B410/B409-1</f>
        <v>-8.1671237901339566E-3</v>
      </c>
      <c r="J410" s="5">
        <f>C410/C409-1</f>
        <v>-1.0199882967982243E-2</v>
      </c>
      <c r="K410" s="5">
        <f>D410/D409-1</f>
        <v>-3.7988861447862954E-3</v>
      </c>
      <c r="L410" s="5">
        <f>E410/E409-1</f>
        <v>-8.5351239571520576E-3</v>
      </c>
      <c r="M410" s="5">
        <f>F410/F409-1</f>
        <v>5.9756421423469153E-3</v>
      </c>
      <c r="N410" s="5">
        <f>SUMPRODUCT(I410:M410,$AJ$13:$AN$13)</f>
        <v>-1.2737220974268146E-3</v>
      </c>
      <c r="P410" s="2" t="s">
        <v>401</v>
      </c>
      <c r="Q410" s="10" cm="1">
        <f t="array" aca="1" ref="Q410:U410" ca="1">_xlfn.LET(_xlpm.array,_xlfn.RANDARRAY(1,COLUMNS(_xlfn.ANCHORARRAY(Q409)),0,1,FALSE),_xlpm.array/SUM(_xlpm.array))</f>
        <v>0.20545820745401205</v>
      </c>
      <c r="R410" s="2">
        <f ca="1"/>
        <v>0.24658276094597373</v>
      </c>
      <c r="S410" s="2">
        <f ca="1"/>
        <v>2.7860182671126003E-2</v>
      </c>
      <c r="T410" s="2">
        <f ca="1"/>
        <v>0.26561675397160572</v>
      </c>
      <c r="U410" s="2">
        <f ca="1"/>
        <v>0.25448209495728258</v>
      </c>
      <c r="V410" s="12"/>
      <c r="X410" s="2" cm="1">
        <f t="array" aca="1" ref="X410" ca="1">MMULT(MMULT(_xlfn.ANCHORARRAY(Q410),$Q$9:$U$13),TRANSPOSE(_xlfn.ANCHORARRAY(Q410)))</f>
        <v>2.7012458866103865E-4</v>
      </c>
      <c r="Y410" s="2">
        <f t="shared" ref="Y410:Y473" ca="1" si="18">SQRT(X410)</f>
        <v>1.6435467400139209E-2</v>
      </c>
      <c r="Z410" s="2" cm="1">
        <f t="array" aca="1" ref="Z410" ca="1">MMULT(_xlfn.ANCHORARRAY(Q410),TRANSPOSE($Q$3:$U$3))</f>
        <v>7.9573290898283123E-4</v>
      </c>
      <c r="AA410" s="11">
        <f ca="1">AVEDEV(Q410*$Q$3,R410*$R$3,S410*$S$3,T410*$T$3,U410*$U$3)</f>
        <v>6.7449936997378014E-5</v>
      </c>
      <c r="AB410" s="11" cm="1">
        <f t="array" aca="1" ref="AB410" ca="1">MMULT(_xlfn.ANCHORARRAY(Q410),TRANSPOSE($Q$6:$U$6))</f>
        <v>-2.2081656853689045E-2</v>
      </c>
      <c r="AD410" s="2" t="s">
        <v>401</v>
      </c>
      <c r="AE410" s="10" cm="1">
        <f t="array" aca="1" ref="AE410:AI410" ca="1">_xlfn.LET(_xlpm.array,_xlfn.RANDARRAY(1,COLUMNS(_xlfn.ANCHORARRAY(Q409)),-1,1,FALSE),_xlpm.array/SUM(_xlpm.array))</f>
        <v>-1.2983855025761406</v>
      </c>
      <c r="AF410" s="10">
        <f ca="1"/>
        <v>-0.71387373502507867</v>
      </c>
      <c r="AG410" s="10">
        <f ca="1"/>
        <v>2.7153744108354498</v>
      </c>
      <c r="AH410" s="10">
        <f ca="1"/>
        <v>0.19244564264843517</v>
      </c>
      <c r="AI410" s="10">
        <f ca="1"/>
        <v>0.10443918411733417</v>
      </c>
      <c r="AJ410" s="1"/>
      <c r="AK410" s="2" cm="1">
        <f t="array" aca="1" ref="AK410" ca="1">MMULT(MMULT(_xlfn.ANCHORARRAY(AE410),$Q$9:$U$13),TRANSPOSE(_xlfn.ANCHORARRAY(AE410)))</f>
        <v>5.4557615755559761E-3</v>
      </c>
      <c r="AL410" s="2">
        <f t="shared" ref="AL410:AL473" ca="1" si="19">SQRT(AK410)</f>
        <v>7.3863127306904461E-2</v>
      </c>
      <c r="AM410" s="2" cm="1">
        <f t="array" aca="1" ref="AM410" ca="1">MMULT(_xlfn.ANCHORARRAY(AE411),TRANSPOSE($Q$3:$U$3))</f>
        <v>5.4595047096225771E-4</v>
      </c>
    </row>
    <row r="411" spans="1:39" x14ac:dyDescent="0.35">
      <c r="A411" s="3">
        <v>44425</v>
      </c>
      <c r="B411" s="4">
        <v>36.543750762939403</v>
      </c>
      <c r="C411" s="4">
        <v>82.798095703125</v>
      </c>
      <c r="D411" s="4">
        <v>45.25244140625</v>
      </c>
      <c r="E411" s="4">
        <v>14.6358928680419</v>
      </c>
      <c r="F411" s="4">
        <v>281.87713623046801</v>
      </c>
      <c r="I411" s="5">
        <f>B411/B410-1</f>
        <v>-4.843786634461611E-3</v>
      </c>
      <c r="J411" s="5">
        <f>C411/C410-1</f>
        <v>-1.8826482008329481E-3</v>
      </c>
      <c r="K411" s="5">
        <f>D411/D410-1</f>
        <v>-1.8364066995139816E-2</v>
      </c>
      <c r="L411" s="5">
        <f>E411/E410-1</f>
        <v>4.7826352543467454E-3</v>
      </c>
      <c r="M411" s="5">
        <f>F411/F410-1</f>
        <v>-5.1593782810237521E-3</v>
      </c>
      <c r="N411" s="5">
        <f>SUMPRODUCT(I411:M411,$AJ$13:$AN$13)</f>
        <v>-7.5878524199460961E-3</v>
      </c>
      <c r="P411" s="2" t="s">
        <v>402</v>
      </c>
      <c r="Q411" s="10" cm="1">
        <f t="array" aca="1" ref="Q411:U411" ca="1">_xlfn.LET(_xlpm.array,_xlfn.RANDARRAY(1,COLUMNS(_xlfn.ANCHORARRAY(Q410)),0,1,FALSE),_xlpm.array/SUM(_xlpm.array))</f>
        <v>0.20749921720320907</v>
      </c>
      <c r="R411" s="2">
        <f ca="1"/>
        <v>0.12922955305533446</v>
      </c>
      <c r="S411" s="2">
        <f ca="1"/>
        <v>0.16787680494975829</v>
      </c>
      <c r="T411" s="2">
        <f ca="1"/>
        <v>0.25790233362982784</v>
      </c>
      <c r="U411" s="2">
        <f ca="1"/>
        <v>0.23749209116187023</v>
      </c>
      <c r="V411" s="12"/>
      <c r="X411" s="2" cm="1">
        <f t="array" aca="1" ref="X411" ca="1">MMULT(MMULT(_xlfn.ANCHORARRAY(Q411),$Q$9:$U$13),TRANSPOSE(_xlfn.ANCHORARRAY(Q411)))</f>
        <v>2.7089346719288E-4</v>
      </c>
      <c r="Y411" s="2">
        <f t="shared" ca="1" si="18"/>
        <v>1.6458841611513248E-2</v>
      </c>
      <c r="Z411" s="2" cm="1">
        <f t="array" aca="1" ref="Z411" ca="1">MMULT(_xlfn.ANCHORARRAY(Q411),TRANSPOSE($Q$3:$U$3))</f>
        <v>9.1758539919621575E-4</v>
      </c>
      <c r="AA411" s="11">
        <f ca="1">AVEDEV(Q411*$Q$3,R411*$R$3,S411*$S$3,T411*$T$3,U411*$U$3)</f>
        <v>6.7630136986054147E-5</v>
      </c>
      <c r="AB411" s="11" cm="1">
        <f t="array" aca="1" ref="AB411" ca="1">MMULT(_xlfn.ANCHORARRAY(Q411),TRANSPOSE($Q$6:$U$6))</f>
        <v>-2.2973883762666202E-2</v>
      </c>
      <c r="AD411" s="2" t="s">
        <v>402</v>
      </c>
      <c r="AE411" s="10" cm="1">
        <f t="array" aca="1" ref="AE411:AI411" ca="1">_xlfn.LET(_xlpm.array,_xlfn.RANDARRAY(1,COLUMNS(_xlfn.ANCHORARRAY(Q410)),-1,1,FALSE),_xlpm.array/SUM(_xlpm.array))</f>
        <v>0.43882580538920823</v>
      </c>
      <c r="AF411" s="10">
        <f ca="1"/>
        <v>0.43996121417405748</v>
      </c>
      <c r="AG411" s="10">
        <f ca="1"/>
        <v>-0.1860554167562416</v>
      </c>
      <c r="AH411" s="10">
        <f ca="1"/>
        <v>0.26787619173947252</v>
      </c>
      <c r="AI411" s="10">
        <f ca="1"/>
        <v>3.9392205453503429E-2</v>
      </c>
      <c r="AJ411" s="1"/>
      <c r="AK411" s="2" cm="1">
        <f t="array" aca="1" ref="AK411" ca="1">MMULT(MMULT(_xlfn.ANCHORARRAY(AE411),$Q$9:$U$13),TRANSPOSE(_xlfn.ANCHORARRAY(AE411)))</f>
        <v>4.1150207743779956E-4</v>
      </c>
      <c r="AL411" s="2">
        <f t="shared" ca="1" si="19"/>
        <v>2.0285513980123834E-2</v>
      </c>
      <c r="AM411" s="2" cm="1">
        <f t="array" aca="1" ref="AM411" ca="1">MMULT(_xlfn.ANCHORARRAY(AE412),TRANSPOSE($Q$3:$U$3))</f>
        <v>-7.1476200663543571E-2</v>
      </c>
    </row>
    <row r="412" spans="1:39" x14ac:dyDescent="0.35">
      <c r="A412" s="3">
        <v>44426</v>
      </c>
      <c r="B412" s="4">
        <v>36.276947021484297</v>
      </c>
      <c r="C412" s="4">
        <v>80.557151794433594</v>
      </c>
      <c r="D412" s="4">
        <v>44.854587554931598</v>
      </c>
      <c r="E412" s="4">
        <v>14.531398773193301</v>
      </c>
      <c r="F412" s="4">
        <v>280.152252197265</v>
      </c>
      <c r="I412" s="5">
        <f>B412/B411-1</f>
        <v>-7.3009402670752843E-3</v>
      </c>
      <c r="J412" s="5">
        <f>C412/C411-1</f>
        <v>-2.7065162425068068E-2</v>
      </c>
      <c r="K412" s="5">
        <f>D412/D411-1</f>
        <v>-8.7918759508841537E-3</v>
      </c>
      <c r="L412" s="5">
        <f>E412/E411-1</f>
        <v>-7.1395777347322831E-3</v>
      </c>
      <c r="M412" s="5">
        <f>F412/F411-1</f>
        <v>-6.1192761366524184E-3</v>
      </c>
      <c r="N412" s="5">
        <f>SUMPRODUCT(I412:M412,$AJ$13:$AN$13)</f>
        <v>-6.959591989272448E-3</v>
      </c>
      <c r="P412" s="2" t="s">
        <v>403</v>
      </c>
      <c r="Q412" s="10" cm="1">
        <f t="array" aca="1" ref="Q412:U412" ca="1">_xlfn.LET(_xlpm.array,_xlfn.RANDARRAY(1,COLUMNS(_xlfn.ANCHORARRAY(Q411)),0,1,FALSE),_xlpm.array/SUM(_xlpm.array))</f>
        <v>0.29191126136574219</v>
      </c>
      <c r="R412" s="2">
        <f ca="1"/>
        <v>0.32875178920589376</v>
      </c>
      <c r="S412" s="2">
        <f ca="1"/>
        <v>6.3810174433639219E-2</v>
      </c>
      <c r="T412" s="2">
        <f ca="1"/>
        <v>0.19216021021253091</v>
      </c>
      <c r="U412" s="2">
        <f ca="1"/>
        <v>0.12336656478219403</v>
      </c>
      <c r="V412" s="12"/>
      <c r="X412" s="2" cm="1">
        <f t="array" aca="1" ref="X412" ca="1">MMULT(MMULT(_xlfn.ANCHORARRAY(Q412),$Q$9:$U$13),TRANSPOSE(_xlfn.ANCHORARRAY(Q412)))</f>
        <v>2.9559431093695169E-4</v>
      </c>
      <c r="Y412" s="2">
        <f t="shared" ca="1" si="18"/>
        <v>1.7192856392611196E-2</v>
      </c>
      <c r="Z412" s="2" cm="1">
        <f t="array" aca="1" ref="Z412" ca="1">MMULT(_xlfn.ANCHORARRAY(Q412),TRANSPOSE($Q$3:$U$3))</f>
        <v>7.8272951965570586E-4</v>
      </c>
      <c r="AA412" s="11">
        <f ca="1">AVEDEV(Q412*$Q$3,R412*$R$3,S412*$S$3,T412*$T$3,U412*$U$3)</f>
        <v>4.9315899194850562E-5</v>
      </c>
      <c r="AB412" s="11" cm="1">
        <f t="array" aca="1" ref="AB412" ca="1">MMULT(_xlfn.ANCHORARRAY(Q412),TRANSPOSE($Q$6:$U$6))</f>
        <v>-2.2130771983014445E-2</v>
      </c>
      <c r="AD412" s="2" t="s">
        <v>403</v>
      </c>
      <c r="AE412" s="10" cm="1">
        <f t="array" aca="1" ref="AE412:AI412" ca="1">_xlfn.LET(_xlpm.array,_xlfn.RANDARRAY(1,COLUMNS(_xlfn.ANCHORARRAY(Q411)),-1,1,FALSE),_xlpm.array/SUM(_xlpm.array))</f>
        <v>105.03874277627979</v>
      </c>
      <c r="AF412" s="10">
        <f ca="1"/>
        <v>-134.99650131485302</v>
      </c>
      <c r="AG412" s="10">
        <f ca="1"/>
        <v>-61.680346349346891</v>
      </c>
      <c r="AH412" s="10">
        <f ca="1"/>
        <v>11.809674996121547</v>
      </c>
      <c r="AI412" s="10">
        <f ca="1"/>
        <v>80.828429891798592</v>
      </c>
      <c r="AJ412" s="1"/>
      <c r="AK412" s="2" cm="1">
        <f t="array" aca="1" ref="AK412" ca="1">MMULT(MMULT(_xlfn.ANCHORARRAY(AE412),$Q$9:$U$13),TRANSPOSE(_xlfn.ANCHORARRAY(AE412)))</f>
        <v>8.704980263752967</v>
      </c>
      <c r="AL412" s="2">
        <f t="shared" ca="1" si="19"/>
        <v>2.9504203537382545</v>
      </c>
      <c r="AM412" s="2" cm="1">
        <f t="array" aca="1" ref="AM412" ca="1">MMULT(_xlfn.ANCHORARRAY(AE413),TRANSPOSE($Q$3:$U$3))</f>
        <v>8.0250153653571772E-4</v>
      </c>
    </row>
    <row r="413" spans="1:39" x14ac:dyDescent="0.35">
      <c r="A413" s="3">
        <v>44427</v>
      </c>
      <c r="B413" s="4">
        <v>35.743335723876903</v>
      </c>
      <c r="C413" s="4">
        <v>78.549468994140597</v>
      </c>
      <c r="D413" s="4">
        <v>44.512248992919901</v>
      </c>
      <c r="E413" s="4">
        <v>13.883544921875</v>
      </c>
      <c r="F413" s="4">
        <v>285.97253417968699</v>
      </c>
      <c r="I413" s="5">
        <f>B413/B412-1</f>
        <v>-1.4709377205622376E-2</v>
      </c>
      <c r="J413" s="5">
        <f>C413/C412-1</f>
        <v>-2.4922465052093945E-2</v>
      </c>
      <c r="K413" s="5">
        <f>D413/D412-1</f>
        <v>-7.6321861524744072E-3</v>
      </c>
      <c r="L413" s="5">
        <f>E413/E412-1</f>
        <v>-4.4583034395382803E-2</v>
      </c>
      <c r="M413" s="5">
        <f>F413/F412-1</f>
        <v>2.0775424565652623E-2</v>
      </c>
      <c r="N413" s="5">
        <f>SUMPRODUCT(I413:M413,$AJ$13:$AN$13)</f>
        <v>-1.2794984724935152E-2</v>
      </c>
      <c r="P413" s="2" t="s">
        <v>404</v>
      </c>
      <c r="Q413" s="10" cm="1">
        <f t="array" aca="1" ref="Q413:U413" ca="1">_xlfn.LET(_xlpm.array,_xlfn.RANDARRAY(1,COLUMNS(_xlfn.ANCHORARRAY(Q412)),0,1,FALSE),_xlpm.array/SUM(_xlpm.array))</f>
        <v>0.14379790521734606</v>
      </c>
      <c r="R413" s="2">
        <f ca="1"/>
        <v>0.46492913506565997</v>
      </c>
      <c r="S413" s="2">
        <f ca="1"/>
        <v>0.11062648920738981</v>
      </c>
      <c r="T413" s="2">
        <f ca="1"/>
        <v>0.10269409539514386</v>
      </c>
      <c r="U413" s="2">
        <f ca="1"/>
        <v>0.17795237511446027</v>
      </c>
      <c r="V413" s="12"/>
      <c r="X413" s="2" cm="1">
        <f t="array" aca="1" ref="X413" ca="1">MMULT(MMULT(_xlfn.ANCHORARRAY(Q413),$Q$9:$U$13),TRANSPOSE(_xlfn.ANCHORARRAY(Q413)))</f>
        <v>2.8757274069308542E-4</v>
      </c>
      <c r="Y413" s="2">
        <f t="shared" ca="1" si="18"/>
        <v>1.695796982816886E-2</v>
      </c>
      <c r="Z413" s="2" cm="1">
        <f t="array" aca="1" ref="Z413" ca="1">MMULT(_xlfn.ANCHORARRAY(Q413),TRANSPOSE($Q$3:$U$3))</f>
        <v>8.3327325944717462E-4</v>
      </c>
      <c r="AA413" s="11">
        <f ca="1">AVEDEV(Q413*$Q$3,R413*$R$3,S413*$S$3,T413*$T$3,U413*$U$3)</f>
        <v>7.4343043912107501E-5</v>
      </c>
      <c r="AB413" s="11" cm="1">
        <f t="array" aca="1" ref="AB413" ca="1">MMULT(_xlfn.ANCHORARRAY(Q413),TRANSPOSE($Q$6:$U$6))</f>
        <v>-2.1853967249868295E-2</v>
      </c>
      <c r="AD413" s="2" t="s">
        <v>404</v>
      </c>
      <c r="AE413" s="10" cm="1">
        <f t="array" aca="1" ref="AE413:AI413" ca="1">_xlfn.LET(_xlpm.array,_xlfn.RANDARRAY(1,COLUMNS(_xlfn.ANCHORARRAY(Q412)),-1,1,FALSE),_xlpm.array/SUM(_xlpm.array))</f>
        <v>-0.12512422016697317</v>
      </c>
      <c r="AF413" s="10">
        <f ca="1"/>
        <v>0.22216495187316218</v>
      </c>
      <c r="AG413" s="10">
        <f ca="1"/>
        <v>-0.13978475564725307</v>
      </c>
      <c r="AH413" s="10">
        <f ca="1"/>
        <v>0.51925538969300022</v>
      </c>
      <c r="AI413" s="10">
        <f ca="1"/>
        <v>0.52348863424806391</v>
      </c>
      <c r="AJ413" s="1"/>
      <c r="AK413" s="2" cm="1">
        <f t="array" aca="1" ref="AK413" ca="1">MMULT(MMULT(_xlfn.ANCHORARRAY(AE413),$Q$9:$U$13),TRANSPOSE(_xlfn.ANCHORARRAY(AE413)))</f>
        <v>3.3224878606799986E-4</v>
      </c>
      <c r="AL413" s="2">
        <f t="shared" ca="1" si="19"/>
        <v>1.8227692834475784E-2</v>
      </c>
      <c r="AM413" s="2" cm="1">
        <f t="array" aca="1" ref="AM413" ca="1">MMULT(_xlfn.ANCHORARRAY(AE414),TRANSPOSE($Q$3:$U$3))</f>
        <v>2.2558066467575936E-3</v>
      </c>
    </row>
    <row r="414" spans="1:39" x14ac:dyDescent="0.35">
      <c r="A414" s="3">
        <v>44428</v>
      </c>
      <c r="B414" s="4">
        <v>35.903415679931598</v>
      </c>
      <c r="C414" s="4">
        <v>78.557792663574205</v>
      </c>
      <c r="D414" s="4">
        <v>45.567005157470703</v>
      </c>
      <c r="E414" s="4">
        <v>13.8556814193725</v>
      </c>
      <c r="F414" s="4">
        <v>293.28628540039</v>
      </c>
      <c r="I414" s="5">
        <f>B414/B413-1</f>
        <v>4.4785958784412383E-3</v>
      </c>
      <c r="J414" s="5">
        <f>C414/C413-1</f>
        <v>1.059672272798462E-4</v>
      </c>
      <c r="K414" s="5">
        <f>D414/D413-1</f>
        <v>2.3695863237972459E-2</v>
      </c>
      <c r="L414" s="5">
        <f>E414/E413-1</f>
        <v>-2.0069443833899969E-3</v>
      </c>
      <c r="M414" s="5">
        <f>F414/F413-1</f>
        <v>2.5575012795136187E-2</v>
      </c>
      <c r="N414" s="5">
        <f>SUMPRODUCT(I414:M414,$AJ$13:$AN$13)</f>
        <v>1.8644517549965267E-2</v>
      </c>
      <c r="P414" s="2" t="s">
        <v>405</v>
      </c>
      <c r="Q414" s="10" cm="1">
        <f t="array" aca="1" ref="Q414:U414" ca="1">_xlfn.LET(_xlpm.array,_xlfn.RANDARRAY(1,COLUMNS(_xlfn.ANCHORARRAY(Q413)),0,1,FALSE),_xlpm.array/SUM(_xlpm.array))</f>
        <v>4.9055722429176898E-2</v>
      </c>
      <c r="R414" s="2">
        <f ca="1"/>
        <v>0.31296867206903217</v>
      </c>
      <c r="S414" s="2">
        <f ca="1"/>
        <v>0.1954697455362355</v>
      </c>
      <c r="T414" s="2">
        <f ca="1"/>
        <v>9.9420003684267844E-2</v>
      </c>
      <c r="U414" s="2">
        <f ca="1"/>
        <v>0.34308585628128763</v>
      </c>
      <c r="V414" s="12"/>
      <c r="X414" s="2" cm="1">
        <f t="array" aca="1" ref="X414" ca="1">MMULT(MMULT(_xlfn.ANCHORARRAY(Q414),$Q$9:$U$13),TRANSPOSE(_xlfn.ANCHORARRAY(Q414)))</f>
        <v>2.6553096088989883E-4</v>
      </c>
      <c r="Y414" s="2">
        <f t="shared" ca="1" si="18"/>
        <v>1.6295120769417415E-2</v>
      </c>
      <c r="Z414" s="2" cm="1">
        <f t="array" aca="1" ref="Z414" ca="1">MMULT(_xlfn.ANCHORARRAY(Q414),TRANSPOSE($Q$3:$U$3))</f>
        <v>9.3489705581583607E-4</v>
      </c>
      <c r="AA414" s="11">
        <f ca="1">AVEDEV(Q414*$Q$3,R414*$R$3,S414*$S$3,T414*$T$3,U414*$U$3)</f>
        <v>9.8982902789910315E-5</v>
      </c>
      <c r="AB414" s="11" cm="1">
        <f t="array" aca="1" ref="AB414" ca="1">MMULT(_xlfn.ANCHORARRAY(Q414),TRANSPOSE($Q$6:$U$6))</f>
        <v>-2.2221724395732577E-2</v>
      </c>
      <c r="AD414" s="2" t="s">
        <v>405</v>
      </c>
      <c r="AE414" s="10" cm="1">
        <f t="array" aca="1" ref="AE414:AI414" ca="1">_xlfn.LET(_xlpm.array,_xlfn.RANDARRAY(1,COLUMNS(_xlfn.ANCHORARRAY(Q413)),-1,1,FALSE),_xlpm.array/SUM(_xlpm.array))</f>
        <v>-0.52667515417550881</v>
      </c>
      <c r="AF414" s="10">
        <f ca="1"/>
        <v>-0.50764849482439478</v>
      </c>
      <c r="AG414" s="10">
        <f ca="1"/>
        <v>1.5489864681573737</v>
      </c>
      <c r="AH414" s="10">
        <f ca="1"/>
        <v>2.8917114165748117E-2</v>
      </c>
      <c r="AI414" s="10">
        <f ca="1"/>
        <v>0.45642006667678181</v>
      </c>
      <c r="AJ414" s="1"/>
      <c r="AK414" s="2" cm="1">
        <f t="array" aca="1" ref="AK414" ca="1">MMULT(MMULT(_xlfn.ANCHORARRAY(AE414),$Q$9:$U$13),TRANSPOSE(_xlfn.ANCHORARRAY(AE414)))</f>
        <v>2.0052454351464494E-3</v>
      </c>
      <c r="AL414" s="2">
        <f t="shared" ca="1" si="19"/>
        <v>4.4779966895325519E-2</v>
      </c>
      <c r="AM414" s="2" cm="1">
        <f t="array" aca="1" ref="AM414" ca="1">MMULT(_xlfn.ANCHORARRAY(AE415),TRANSPOSE($Q$3:$U$3))</f>
        <v>-4.4964825454041975E-4</v>
      </c>
    </row>
    <row r="415" spans="1:39" x14ac:dyDescent="0.35">
      <c r="A415" s="3">
        <v>44431</v>
      </c>
      <c r="B415" s="4">
        <v>36.383663177490199</v>
      </c>
      <c r="C415" s="4">
        <v>80.582160949707003</v>
      </c>
      <c r="D415" s="4">
        <v>46.316440582275298</v>
      </c>
      <c r="E415" s="4">
        <v>14.531398773193301</v>
      </c>
      <c r="F415" s="4">
        <v>293.56576538085898</v>
      </c>
      <c r="I415" s="5">
        <f>B415/B414-1</f>
        <v>1.3376094960988238E-2</v>
      </c>
      <c r="J415" s="5">
        <f>C415/C414-1</f>
        <v>2.5769159462030844E-2</v>
      </c>
      <c r="K415" s="5">
        <f>D415/D414-1</f>
        <v>1.6446887878952987E-2</v>
      </c>
      <c r="L415" s="5">
        <f>E415/E414-1</f>
        <v>4.8768251330897128E-2</v>
      </c>
      <c r="M415" s="5">
        <f>F415/F414-1</f>
        <v>9.529255010591875E-4</v>
      </c>
      <c r="N415" s="5">
        <f>SUMPRODUCT(I415:M415,$AJ$13:$AN$13)</f>
        <v>2.6956259546653545E-2</v>
      </c>
      <c r="P415" s="2" t="s">
        <v>406</v>
      </c>
      <c r="Q415" s="10" cm="1">
        <f t="array" aca="1" ref="Q415:U415" ca="1">_xlfn.LET(_xlpm.array,_xlfn.RANDARRAY(1,COLUMNS(_xlfn.ANCHORARRAY(Q414)),0,1,FALSE),_xlpm.array/SUM(_xlpm.array))</f>
        <v>0.16687454106174765</v>
      </c>
      <c r="R415" s="2">
        <f ca="1"/>
        <v>0.10752300701851188</v>
      </c>
      <c r="S415" s="2">
        <f ca="1"/>
        <v>0.31909314732963556</v>
      </c>
      <c r="T415" s="2">
        <f ca="1"/>
        <v>0.1789636324344254</v>
      </c>
      <c r="U415" s="2">
        <f ca="1"/>
        <v>0.22754567215567953</v>
      </c>
      <c r="V415" s="12"/>
      <c r="X415" s="2" cm="1">
        <f t="array" aca="1" ref="X415" ca="1">MMULT(MMULT(_xlfn.ANCHORARRAY(Q415),$Q$9:$U$13),TRANSPOSE(_xlfn.ANCHORARRAY(Q415)))</f>
        <v>3.0185738660791018E-4</v>
      </c>
      <c r="Y415" s="2">
        <f t="shared" ca="1" si="18"/>
        <v>1.7374043473178894E-2</v>
      </c>
      <c r="Z415" s="2" cm="1">
        <f t="array" aca="1" ref="Z415" ca="1">MMULT(_xlfn.ANCHORARRAY(Q415),TRANSPOSE($Q$3:$U$3))</f>
        <v>1.0384098637343437E-3</v>
      </c>
      <c r="AA415" s="11">
        <f ca="1">AVEDEV(Q415*$Q$3,R415*$R$3,S415*$S$3,T415*$T$3,U415*$U$3)</f>
        <v>1.2421021809216464E-4</v>
      </c>
      <c r="AB415" s="11" cm="1">
        <f t="array" aca="1" ref="AB415" ca="1">MMULT(_xlfn.ANCHORARRAY(Q415),TRANSPOSE($Q$6:$U$6))</f>
        <v>-2.3568003850198208E-2</v>
      </c>
      <c r="AD415" s="2" t="s">
        <v>406</v>
      </c>
      <c r="AE415" s="10" cm="1">
        <f t="array" aca="1" ref="AE415:AI415" ca="1">_xlfn.LET(_xlpm.array,_xlfn.RANDARRAY(1,COLUMNS(_xlfn.ANCHORARRAY(Q414)),-1,1,FALSE),_xlpm.array/SUM(_xlpm.array))</f>
        <v>0.84111090008197198</v>
      </c>
      <c r="AF415" s="10">
        <f ca="1"/>
        <v>0.48279718485244255</v>
      </c>
      <c r="AG415" s="10">
        <f ca="1"/>
        <v>-1.1213127028639991</v>
      </c>
      <c r="AH415" s="10">
        <f ca="1"/>
        <v>-7.237147842893632E-2</v>
      </c>
      <c r="AI415" s="10">
        <f ca="1"/>
        <v>0.86977609635852093</v>
      </c>
      <c r="AJ415" s="1"/>
      <c r="AK415" s="2" cm="1">
        <f t="array" aca="1" ref="AK415" ca="1">MMULT(MMULT(_xlfn.ANCHORARRAY(AE415),$Q$9:$U$13),TRANSPOSE(_xlfn.ANCHORARRAY(AE415)))</f>
        <v>1.186091434079964E-3</v>
      </c>
      <c r="AL415" s="2">
        <f t="shared" ca="1" si="19"/>
        <v>3.4439678193617956E-2</v>
      </c>
      <c r="AM415" s="2" cm="1">
        <f t="array" aca="1" ref="AM415" ca="1">MMULT(_xlfn.ANCHORARRAY(AE416),TRANSPOSE($Q$3:$U$3))</f>
        <v>4.0453491545496293E-3</v>
      </c>
    </row>
    <row r="416" spans="1:39" x14ac:dyDescent="0.35">
      <c r="A416" s="3">
        <v>44432</v>
      </c>
      <c r="B416" s="4">
        <v>36.890602111816399</v>
      </c>
      <c r="C416" s="4">
        <v>81.506828308105398</v>
      </c>
      <c r="D416" s="4">
        <v>46.603252410888601</v>
      </c>
      <c r="E416" s="4">
        <v>14.656791687011699</v>
      </c>
      <c r="F416" s="4">
        <v>291.609619140625</v>
      </c>
      <c r="I416" s="5">
        <f>B416/B415-1</f>
        <v>1.3933147188978756E-2</v>
      </c>
      <c r="J416" s="5">
        <f>C416/C415-1</f>
        <v>1.1474839437173978E-2</v>
      </c>
      <c r="K416" s="5">
        <f>D416/D415-1</f>
        <v>6.1924410642872907E-3</v>
      </c>
      <c r="L416" s="5">
        <f>E416/E415-1</f>
        <v>8.629101422067853E-3</v>
      </c>
      <c r="M416" s="5">
        <f>F416/F415-1</f>
        <v>-6.6634004060254215E-3</v>
      </c>
      <c r="N416" s="5">
        <f>SUMPRODUCT(I416:M416,$AJ$13:$AN$13)</f>
        <v>6.2476870078101215E-4</v>
      </c>
      <c r="P416" s="2" t="s">
        <v>407</v>
      </c>
      <c r="Q416" s="10" cm="1">
        <f t="array" aca="1" ref="Q416:U416" ca="1">_xlfn.LET(_xlpm.array,_xlfn.RANDARRAY(1,COLUMNS(_xlfn.ANCHORARRAY(Q415)),0,1,FALSE),_xlpm.array/SUM(_xlpm.array))</f>
        <v>0.33500644647186628</v>
      </c>
      <c r="R416" s="2">
        <f ca="1"/>
        <v>4.1846487647368459E-2</v>
      </c>
      <c r="S416" s="2">
        <f ca="1"/>
        <v>0.17720131512979695</v>
      </c>
      <c r="T416" s="2">
        <f ca="1"/>
        <v>0.18629423113989418</v>
      </c>
      <c r="U416" s="2">
        <f ca="1"/>
        <v>0.25965151961107413</v>
      </c>
      <c r="V416" s="12"/>
      <c r="X416" s="2" cm="1">
        <f t="array" aca="1" ref="X416" ca="1">MMULT(MMULT(_xlfn.ANCHORARRAY(Q416),$Q$9:$U$13),TRANSPOSE(_xlfn.ANCHORARRAY(Q416)))</f>
        <v>2.7246698799305631E-4</v>
      </c>
      <c r="Y416" s="2">
        <f t="shared" ca="1" si="18"/>
        <v>1.6506574084074997E-2</v>
      </c>
      <c r="Z416" s="2" cm="1">
        <f t="array" aca="1" ref="Z416" ca="1">MMULT(_xlfn.ANCHORARRAY(Q416),TRANSPOSE($Q$3:$U$3))</f>
        <v>8.7751561462814096E-4</v>
      </c>
      <c r="AA416" s="11">
        <f ca="1">AVEDEV(Q416*$Q$3,R416*$R$3,S416*$S$3,T416*$T$3,U416*$U$3)</f>
        <v>6.007301491224616E-5</v>
      </c>
      <c r="AB416" s="11" cm="1">
        <f t="array" aca="1" ref="AB416" ca="1">MMULT(_xlfn.ANCHORARRAY(Q416),TRANSPOSE($Q$6:$U$6))</f>
        <v>-2.2826471772370328E-2</v>
      </c>
      <c r="AD416" s="2" t="s">
        <v>407</v>
      </c>
      <c r="AE416" s="10" cm="1">
        <f t="array" aca="1" ref="AE416:AI416" ca="1">_xlfn.LET(_xlpm.array,_xlfn.RANDARRAY(1,COLUMNS(_xlfn.ANCHORARRAY(Q415)),-1,1,FALSE),_xlpm.array/SUM(_xlpm.array))</f>
        <v>1.3192897328768907</v>
      </c>
      <c r="AF416" s="10">
        <f ca="1"/>
        <v>-1.6813520263756891</v>
      </c>
      <c r="AG416" s="10">
        <f ca="1"/>
        <v>4.848581437135671</v>
      </c>
      <c r="AH416" s="10">
        <f ca="1"/>
        <v>-2.355509916233447</v>
      </c>
      <c r="AI416" s="10">
        <f ca="1"/>
        <v>-1.1310092274034249</v>
      </c>
      <c r="AJ416" s="1"/>
      <c r="AK416" s="2" cm="1">
        <f t="array" aca="1" ref="AK416" ca="1">MMULT(MMULT(_xlfn.ANCHORARRAY(AE416),$Q$9:$U$13),TRANSPOSE(_xlfn.ANCHORARRAY(AE416)))</f>
        <v>1.9240116270102869E-2</v>
      </c>
      <c r="AL416" s="2">
        <f t="shared" ca="1" si="19"/>
        <v>0.13870874619180604</v>
      </c>
      <c r="AM416" s="2" cm="1">
        <f t="array" aca="1" ref="AM416" ca="1">MMULT(_xlfn.ANCHORARRAY(AE417),TRANSPOSE($Q$3:$U$3))</f>
        <v>2.4673567356149392E-3</v>
      </c>
    </row>
    <row r="417" spans="1:39" x14ac:dyDescent="0.35">
      <c r="A417" s="3">
        <v>44433</v>
      </c>
      <c r="B417" s="4">
        <v>37.486480712890597</v>
      </c>
      <c r="C417" s="4">
        <v>82.064979553222599</v>
      </c>
      <c r="D417" s="4">
        <v>47.2138862609863</v>
      </c>
      <c r="E417" s="4">
        <v>14.726450920104901</v>
      </c>
      <c r="F417" s="4">
        <v>291.02185058593699</v>
      </c>
      <c r="I417" s="5">
        <f>B417/B416-1</f>
        <v>1.6152585400153407E-2</v>
      </c>
      <c r="J417" s="5">
        <f>C417/C416-1</f>
        <v>6.8479077974585856E-3</v>
      </c>
      <c r="K417" s="5">
        <f>D417/D416-1</f>
        <v>1.3102816187889665E-2</v>
      </c>
      <c r="L417" s="5">
        <f>E417/E416-1</f>
        <v>4.75269312553106E-3</v>
      </c>
      <c r="M417" s="5">
        <f>F417/F416-1</f>
        <v>-2.0156007076178595E-3</v>
      </c>
      <c r="N417" s="5">
        <f>SUMPRODUCT(I417:M417,$AJ$13:$AN$13)</f>
        <v>3.4738086718921687E-3</v>
      </c>
      <c r="P417" s="2" t="s">
        <v>408</v>
      </c>
      <c r="Q417" s="10" cm="1">
        <f t="array" aca="1" ref="Q417:U417" ca="1">_xlfn.LET(_xlpm.array,_xlfn.RANDARRAY(1,COLUMNS(_xlfn.ANCHORARRAY(Q416)),0,1,FALSE),_xlpm.array/SUM(_xlpm.array))</f>
        <v>0.33668557442509323</v>
      </c>
      <c r="R417" s="2">
        <f ca="1"/>
        <v>0.149366715623726</v>
      </c>
      <c r="S417" s="2">
        <f ca="1"/>
        <v>0.2881207683779054</v>
      </c>
      <c r="T417" s="2">
        <f ca="1"/>
        <v>8.4179219586847959E-2</v>
      </c>
      <c r="U417" s="2">
        <f ca="1"/>
        <v>0.14164772198642731</v>
      </c>
      <c r="V417" s="12"/>
      <c r="X417" s="2" cm="1">
        <f t="array" aca="1" ref="X417" ca="1">MMULT(MMULT(_xlfn.ANCHORARRAY(Q417),$Q$9:$U$13),TRANSPOSE(_xlfn.ANCHORARRAY(Q417)))</f>
        <v>3.1005985942565158E-4</v>
      </c>
      <c r="Y417" s="2">
        <f t="shared" ca="1" si="18"/>
        <v>1.7608516673066236E-2</v>
      </c>
      <c r="Z417" s="2" cm="1">
        <f t="array" aca="1" ref="Z417" ca="1">MMULT(_xlfn.ANCHORARRAY(Q417),TRANSPOSE($Q$3:$U$3))</f>
        <v>9.4243967213574528E-4</v>
      </c>
      <c r="AA417" s="11">
        <f ca="1">AVEDEV(Q417*$Q$3,R417*$R$3,S417*$S$3,T417*$T$3,U417*$U$3)</f>
        <v>1.117681664742156E-4</v>
      </c>
      <c r="AB417" s="11" cm="1">
        <f t="array" aca="1" ref="AB417" ca="1">MMULT(_xlfn.ANCHORARRAY(Q417),TRANSPOSE($Q$6:$U$6))</f>
        <v>-2.314422708805295E-2</v>
      </c>
      <c r="AD417" s="2" t="s">
        <v>408</v>
      </c>
      <c r="AE417" s="10" cm="1">
        <f t="array" aca="1" ref="AE417:AI417" ca="1">_xlfn.LET(_xlpm.array,_xlfn.RANDARRAY(1,COLUMNS(_xlfn.ANCHORARRAY(Q416)),-1,1,FALSE),_xlpm.array/SUM(_xlpm.array))</f>
        <v>2.0060110936651459</v>
      </c>
      <c r="AF417" s="10">
        <f ca="1"/>
        <v>-3.1403565079828928</v>
      </c>
      <c r="AG417" s="10">
        <f ca="1"/>
        <v>2.9526931777304899</v>
      </c>
      <c r="AH417" s="10">
        <f ca="1"/>
        <v>-1.6678376595148554</v>
      </c>
      <c r="AI417" s="10">
        <f ca="1"/>
        <v>0.84948989610211245</v>
      </c>
      <c r="AJ417" s="1"/>
      <c r="AK417" s="2" cm="1">
        <f t="array" aca="1" ref="AK417" ca="1">MMULT(MMULT(_xlfn.ANCHORARRAY(AE417),$Q$9:$U$13),TRANSPOSE(_xlfn.ANCHORARRAY(AE417)))</f>
        <v>1.2170530416447316E-2</v>
      </c>
      <c r="AL417" s="2">
        <f t="shared" ca="1" si="19"/>
        <v>0.1103201269780239</v>
      </c>
      <c r="AM417" s="2" cm="1">
        <f t="array" aca="1" ref="AM417" ca="1">MMULT(_xlfn.ANCHORARRAY(AE418),TRANSPOSE($Q$3:$U$3))</f>
        <v>1.5239520442839193E-3</v>
      </c>
    </row>
    <row r="418" spans="1:39" x14ac:dyDescent="0.35">
      <c r="A418" s="3">
        <v>44434</v>
      </c>
      <c r="B418" s="4">
        <v>37.388637542724602</v>
      </c>
      <c r="C418" s="4">
        <v>80.990333557128906</v>
      </c>
      <c r="D418" s="4">
        <v>46.977970123291001</v>
      </c>
      <c r="E418" s="4">
        <v>14.587129592895501</v>
      </c>
      <c r="F418" s="4">
        <v>288.20809936523398</v>
      </c>
      <c r="I418" s="5">
        <f>B418/B417-1</f>
        <v>-2.610092180041601E-3</v>
      </c>
      <c r="J418" s="5">
        <f>C418/C417-1</f>
        <v>-1.3095062009937375E-2</v>
      </c>
      <c r="K418" s="5">
        <f>D418/D417-1</f>
        <v>-4.9967532092405342E-3</v>
      </c>
      <c r="L418" s="5">
        <f>E418/E417-1</f>
        <v>-9.4606180379276372E-3</v>
      </c>
      <c r="M418" s="5">
        <f>F418/F417-1</f>
        <v>-9.6685221918486608E-3</v>
      </c>
      <c r="N418" s="5">
        <f>SUMPRODUCT(I418:M418,$AJ$13:$AN$13)</f>
        <v>-9.0680482042812156E-3</v>
      </c>
      <c r="P418" s="2" t="s">
        <v>409</v>
      </c>
      <c r="Q418" s="10" cm="1">
        <f t="array" aca="1" ref="Q418:U418" ca="1">_xlfn.LET(_xlpm.array,_xlfn.RANDARRAY(1,COLUMNS(_xlfn.ANCHORARRAY(Q417)),0,1,FALSE),_xlpm.array/SUM(_xlpm.array))</f>
        <v>0.26715837148608074</v>
      </c>
      <c r="R418" s="2">
        <f ca="1"/>
        <v>0.23597540290776564</v>
      </c>
      <c r="S418" s="2">
        <f ca="1"/>
        <v>0.15848397556174479</v>
      </c>
      <c r="T418" s="2">
        <f ca="1"/>
        <v>0.22673486416265495</v>
      </c>
      <c r="U418" s="2">
        <f ca="1"/>
        <v>0.11164738588175388</v>
      </c>
      <c r="V418" s="12"/>
      <c r="X418" s="2" cm="1">
        <f t="array" aca="1" ref="X418" ca="1">MMULT(MMULT(_xlfn.ANCHORARRAY(Q418),$Q$9:$U$13),TRANSPOSE(_xlfn.ANCHORARRAY(Q418)))</f>
        <v>2.9457858435552397E-4</v>
      </c>
      <c r="Y418" s="2">
        <f t="shared" ca="1" si="18"/>
        <v>1.7163291769224341E-2</v>
      </c>
      <c r="Z418" s="2" cm="1">
        <f t="array" aca="1" ref="Z418" ca="1">MMULT(_xlfn.ANCHORARRAY(Q418),TRANSPOSE($Q$3:$U$3))</f>
        <v>8.825089422832491E-4</v>
      </c>
      <c r="AA418" s="11">
        <f ca="1">AVEDEV(Q418*$Q$3,R418*$R$3,S418*$S$3,T418*$T$3,U418*$U$3)</f>
        <v>5.4404296972661844E-5</v>
      </c>
      <c r="AB418" s="11" cm="1">
        <f t="array" aca="1" ref="AB418" ca="1">MMULT(_xlfn.ANCHORARRAY(Q418),TRANSPOSE($Q$6:$U$6))</f>
        <v>-2.2889405705683766E-2</v>
      </c>
      <c r="AD418" s="2" t="s">
        <v>409</v>
      </c>
      <c r="AE418" s="10" cm="1">
        <f t="array" aca="1" ref="AE418:AI418" ca="1">_xlfn.LET(_xlpm.array,_xlfn.RANDARRAY(1,COLUMNS(_xlfn.ANCHORARRAY(Q417)),-1,1,FALSE),_xlpm.array/SUM(_xlpm.array))</f>
        <v>-0.67508000252737677</v>
      </c>
      <c r="AF418" s="10">
        <f ca="1"/>
        <v>0.35397105880665403</v>
      </c>
      <c r="AG418" s="10">
        <f ca="1"/>
        <v>0.59091402532400839</v>
      </c>
      <c r="AH418" s="10">
        <f ca="1"/>
        <v>0.35222410825868306</v>
      </c>
      <c r="AI418" s="10">
        <f ca="1"/>
        <v>0.37797081013803135</v>
      </c>
      <c r="AJ418" s="1"/>
      <c r="AK418" s="2" cm="1">
        <f t="array" aca="1" ref="AK418" ca="1">MMULT(MMULT(_xlfn.ANCHORARRAY(AE418),$Q$9:$U$13),TRANSPOSE(_xlfn.ANCHORARRAY(AE418)))</f>
        <v>5.9455579913537959E-4</v>
      </c>
      <c r="AL418" s="2">
        <f t="shared" ca="1" si="19"/>
        <v>2.4383514905267033E-2</v>
      </c>
      <c r="AM418" s="2" cm="1">
        <f t="array" aca="1" ref="AM418" ca="1">MMULT(_xlfn.ANCHORARRAY(AE419),TRANSPOSE($Q$3:$U$3))</f>
        <v>7.7560328352615864E-4</v>
      </c>
    </row>
    <row r="419" spans="1:39" x14ac:dyDescent="0.35">
      <c r="A419" s="3">
        <v>44435</v>
      </c>
      <c r="B419" s="4">
        <v>37.788856506347599</v>
      </c>
      <c r="C419" s="4">
        <v>82.173286437988196</v>
      </c>
      <c r="D419" s="4">
        <v>44.849956512451101</v>
      </c>
      <c r="E419" s="4">
        <v>15.1304883956909</v>
      </c>
      <c r="F419" s="4">
        <v>288.815185546875</v>
      </c>
      <c r="I419" s="5">
        <f>B419/B418-1</f>
        <v>1.070429386911087E-2</v>
      </c>
      <c r="J419" s="5">
        <f>C419/C418-1</f>
        <v>1.460609962823356E-2</v>
      </c>
      <c r="K419" s="5">
        <f>D419/D418-1</f>
        <v>-4.5298117506036295E-2</v>
      </c>
      <c r="L419" s="5">
        <f>E419/E418-1</f>
        <v>3.7249192813097132E-2</v>
      </c>
      <c r="M419" s="5">
        <f>F419/F418-1</f>
        <v>2.106416103426989E-3</v>
      </c>
      <c r="N419" s="5">
        <f>SUMPRODUCT(I419:M419,$AJ$13:$AN$13)</f>
        <v>-9.0512680926133522E-3</v>
      </c>
      <c r="P419" s="2" t="s">
        <v>410</v>
      </c>
      <c r="Q419" s="10" cm="1">
        <f t="array" aca="1" ref="Q419:U419" ca="1">_xlfn.LET(_xlpm.array,_xlfn.RANDARRAY(1,COLUMNS(_xlfn.ANCHORARRAY(Q418)),0,1,FALSE),_xlpm.array/SUM(_xlpm.array))</f>
        <v>3.4951310225374309E-2</v>
      </c>
      <c r="R419" s="2">
        <f ca="1"/>
        <v>0.22359791386741526</v>
      </c>
      <c r="S419" s="2">
        <f ca="1"/>
        <v>0.26626567454029509</v>
      </c>
      <c r="T419" s="2">
        <f ca="1"/>
        <v>0.25302698707496912</v>
      </c>
      <c r="U419" s="2">
        <f ca="1"/>
        <v>0.22215811429194607</v>
      </c>
      <c r="V419" s="12"/>
      <c r="X419" s="2" cm="1">
        <f t="array" aca="1" ref="X419" ca="1">MMULT(MMULT(_xlfn.ANCHORARRAY(Q419),$Q$9:$U$13),TRANSPOSE(_xlfn.ANCHORARRAY(Q419)))</f>
        <v>2.9642070301602873E-4</v>
      </c>
      <c r="Y419" s="2">
        <f t="shared" ca="1" si="18"/>
        <v>1.7216872625887336E-2</v>
      </c>
      <c r="Z419" s="2" cm="1">
        <f t="array" aca="1" ref="Z419" ca="1">MMULT(_xlfn.ANCHORARRAY(Q419),TRANSPOSE($Q$3:$U$3))</f>
        <v>1.041874647078582E-3</v>
      </c>
      <c r="AA419" s="11">
        <f ca="1">AVEDEV(Q419*$Q$3,R419*$R$3,S419*$S$3,T419*$T$3,U419*$U$3)</f>
        <v>1.0966500242346836E-4</v>
      </c>
      <c r="AB419" s="11" cm="1">
        <f t="array" aca="1" ref="AB419" ca="1">MMULT(_xlfn.ANCHORARRAY(Q419),TRANSPOSE($Q$6:$U$6))</f>
        <v>-2.3429253801095069E-2</v>
      </c>
      <c r="AD419" s="2" t="s">
        <v>410</v>
      </c>
      <c r="AE419" s="10" cm="1">
        <f t="array" aca="1" ref="AE419:AI419" ca="1">_xlfn.LET(_xlpm.array,_xlfn.RANDARRAY(1,COLUMNS(_xlfn.ANCHORARRAY(Q418)),-1,1,FALSE),_xlpm.array/SUM(_xlpm.array))</f>
        <v>0.24858083978223047</v>
      </c>
      <c r="AF419" s="10">
        <f ca="1"/>
        <v>0.29046273308843024</v>
      </c>
      <c r="AG419" s="10">
        <f ca="1"/>
        <v>9.4150909149072731E-2</v>
      </c>
      <c r="AH419" s="10">
        <f ca="1"/>
        <v>1.4418042931039239E-2</v>
      </c>
      <c r="AI419" s="10">
        <f ca="1"/>
        <v>0.35238747504922724</v>
      </c>
      <c r="AJ419" s="1"/>
      <c r="AK419" s="2" cm="1">
        <f t="array" aca="1" ref="AK419" ca="1">MMULT(MMULT(_xlfn.ANCHORARRAY(AE419),$Q$9:$U$13),TRANSPOSE(_xlfn.ANCHORARRAY(AE419)))</f>
        <v>2.5543176206903361E-4</v>
      </c>
      <c r="AL419" s="2">
        <f t="shared" ca="1" si="19"/>
        <v>1.5982232699752359E-2</v>
      </c>
      <c r="AM419" s="2" cm="1">
        <f t="array" aca="1" ref="AM419" ca="1">MMULT(_xlfn.ANCHORARRAY(AE420),TRANSPOSE($Q$3:$U$3))</f>
        <v>2.0132106866618082E-3</v>
      </c>
    </row>
    <row r="420" spans="1:39" x14ac:dyDescent="0.35">
      <c r="A420" s="3">
        <v>44438</v>
      </c>
      <c r="B420" s="4">
        <v>37.050685882568303</v>
      </c>
      <c r="C420" s="4">
        <v>81.965011596679602</v>
      </c>
      <c r="D420" s="4">
        <v>45.405097961425703</v>
      </c>
      <c r="E420" s="4">
        <v>15.102625846862701</v>
      </c>
      <c r="F420" s="4">
        <v>292.54440307617102</v>
      </c>
      <c r="I420" s="5">
        <f>B420/B419-1</f>
        <v>-1.9534082055520874E-2</v>
      </c>
      <c r="J420" s="5">
        <f>C420/C419-1</f>
        <v>-2.5345808879844167E-3</v>
      </c>
      <c r="K420" s="5">
        <f>D420/D419-1</f>
        <v>1.2377747764827474E-2</v>
      </c>
      <c r="L420" s="5">
        <f>E420/E419-1</f>
        <v>-1.8414837710152288E-3</v>
      </c>
      <c r="M420" s="5">
        <f>F420/F419-1</f>
        <v>1.2912124139991876E-2</v>
      </c>
      <c r="N420" s="5">
        <f>SUMPRODUCT(I420:M420,$AJ$13:$AN$13)</f>
        <v>1.5630106079486651E-2</v>
      </c>
      <c r="P420" s="2" t="s">
        <v>411</v>
      </c>
      <c r="Q420" s="10" cm="1">
        <f t="array" aca="1" ref="Q420:U420" ca="1">_xlfn.LET(_xlpm.array,_xlfn.RANDARRAY(1,COLUMNS(_xlfn.ANCHORARRAY(Q419)),0,1,FALSE),_xlpm.array/SUM(_xlpm.array))</f>
        <v>0.26453904730613376</v>
      </c>
      <c r="R420" s="2">
        <f ca="1"/>
        <v>4.5690261433856946E-2</v>
      </c>
      <c r="S420" s="2">
        <f ca="1"/>
        <v>0.36139237634748644</v>
      </c>
      <c r="T420" s="2">
        <f ca="1"/>
        <v>0.26141301942151846</v>
      </c>
      <c r="U420" s="2">
        <f ca="1"/>
        <v>6.6965295491004606E-2</v>
      </c>
      <c r="V420" s="12"/>
      <c r="X420" s="2" cm="1">
        <f t="array" aca="1" ref="X420" ca="1">MMULT(MMULT(_xlfn.ANCHORARRAY(Q420),$Q$9:$U$13),TRANSPOSE(_xlfn.ANCHORARRAY(Q420)))</f>
        <v>3.4388683763272767E-4</v>
      </c>
      <c r="Y420" s="2">
        <f t="shared" ca="1" si="18"/>
        <v>1.8544186087092841E-2</v>
      </c>
      <c r="Z420" s="2" cm="1">
        <f t="array" aca="1" ref="Z420" ca="1">MMULT(_xlfn.ANCHORARRAY(Q420),TRANSPOSE($Q$3:$U$3))</f>
        <v>1.0729999694783592E-3</v>
      </c>
      <c r="AA420" s="11">
        <f ca="1">AVEDEV(Q420*$Q$3,R420*$R$3,S420*$S$3,T420*$T$3,U420*$U$3)</f>
        <v>1.6990621146202283E-4</v>
      </c>
      <c r="AB420" s="11" cm="1">
        <f t="array" aca="1" ref="AB420" ca="1">MMULT(_xlfn.ANCHORARRAY(Q420),TRANSPOSE($Q$6:$U$6))</f>
        <v>-2.4395500225400511E-2</v>
      </c>
      <c r="AD420" s="2" t="s">
        <v>411</v>
      </c>
      <c r="AE420" s="10" cm="1">
        <f t="array" aca="1" ref="AE420:AI420" ca="1">_xlfn.LET(_xlpm.array,_xlfn.RANDARRAY(1,COLUMNS(_xlfn.ANCHORARRAY(Q419)),-1,1,FALSE),_xlpm.array/SUM(_xlpm.array))</f>
        <v>-0.68538512520717532</v>
      </c>
      <c r="AF420" s="10">
        <f ca="1"/>
        <v>0.26886881249895322</v>
      </c>
      <c r="AG420" s="10">
        <f ca="1"/>
        <v>1.2810483751672974</v>
      </c>
      <c r="AH420" s="10">
        <f ca="1"/>
        <v>-7.3297554086969266E-2</v>
      </c>
      <c r="AI420" s="10">
        <f ca="1"/>
        <v>0.20876549162789398</v>
      </c>
      <c r="AJ420" s="1"/>
      <c r="AK420" s="2" cm="1">
        <f t="array" aca="1" ref="AK420" ca="1">MMULT(MMULT(_xlfn.ANCHORARRAY(AE420),$Q$9:$U$13),TRANSPOSE(_xlfn.ANCHORARRAY(AE420)))</f>
        <v>1.3640085975301381E-3</v>
      </c>
      <c r="AL420" s="2">
        <f t="shared" ca="1" si="19"/>
        <v>3.693248702064536E-2</v>
      </c>
      <c r="AM420" s="2" cm="1">
        <f t="array" aca="1" ref="AM420" ca="1">MMULT(_xlfn.ANCHORARRAY(AE421),TRANSPOSE($Q$3:$U$3))</f>
        <v>-7.2999431646374158E-4</v>
      </c>
    </row>
    <row r="421" spans="1:39" x14ac:dyDescent="0.35">
      <c r="A421" s="3">
        <v>44439</v>
      </c>
      <c r="B421" s="4">
        <v>37.130722045898402</v>
      </c>
      <c r="C421" s="4">
        <v>80.615447998046804</v>
      </c>
      <c r="D421" s="4">
        <v>45.085906982421797</v>
      </c>
      <c r="E421" s="4">
        <v>14.7612857818603</v>
      </c>
      <c r="F421" s="4">
        <v>290.89657592773398</v>
      </c>
      <c r="I421" s="5">
        <f>B421/B420-1</f>
        <v>2.1601803427815369E-3</v>
      </c>
      <c r="J421" s="5">
        <f>C421/C420-1</f>
        <v>-1.6465118132033219E-2</v>
      </c>
      <c r="K421" s="5">
        <f>D421/D420-1</f>
        <v>-7.0298489230234962E-3</v>
      </c>
      <c r="L421" s="5">
        <f>E421/E420-1</f>
        <v>-2.2601372004015352E-2</v>
      </c>
      <c r="M421" s="5">
        <f>F421/F420-1</f>
        <v>-5.6327420080841684E-3</v>
      </c>
      <c r="N421" s="5">
        <f>SUMPRODUCT(I421:M421,$AJ$13:$AN$13)</f>
        <v>-1.618780944050038E-2</v>
      </c>
      <c r="P421" s="2" t="s">
        <v>412</v>
      </c>
      <c r="Q421" s="10" cm="1">
        <f t="array" aca="1" ref="Q421:U421" ca="1">_xlfn.LET(_xlpm.array,_xlfn.RANDARRAY(1,COLUMNS(_xlfn.ANCHORARRAY(Q420)),0,1,FALSE),_xlpm.array/SUM(_xlpm.array))</f>
        <v>0.18326954848084559</v>
      </c>
      <c r="R421" s="2">
        <f ca="1"/>
        <v>0.4113363144104738</v>
      </c>
      <c r="S421" s="2">
        <f ca="1"/>
        <v>0.1525417196267275</v>
      </c>
      <c r="T421" s="2">
        <f ca="1"/>
        <v>6.0415955626907998E-2</v>
      </c>
      <c r="U421" s="2">
        <f ca="1"/>
        <v>0.19243646185504504</v>
      </c>
      <c r="V421" s="12"/>
      <c r="X421" s="2" cm="1">
        <f t="array" aca="1" ref="X421" ca="1">MMULT(MMULT(_xlfn.ANCHORARRAY(Q421),$Q$9:$U$13),TRANSPOSE(_xlfn.ANCHORARRAY(Q421)))</f>
        <v>2.8118690760545889E-4</v>
      </c>
      <c r="Y421" s="2">
        <f t="shared" ca="1" si="18"/>
        <v>1.6768628673969107E-2</v>
      </c>
      <c r="Z421" s="2" cm="1">
        <f t="array" aca="1" ref="Z421" ca="1">MMULT(_xlfn.ANCHORARRAY(Q421),TRANSPOSE($Q$3:$U$3))</f>
        <v>8.501555075765561E-4</v>
      </c>
      <c r="AA421" s="11">
        <f ca="1">AVEDEV(Q421*$Q$3,R421*$R$3,S421*$S$3,T421*$T$3,U421*$U$3)</f>
        <v>8.3215802694412006E-5</v>
      </c>
      <c r="AB421" s="11" cm="1">
        <f t="array" aca="1" ref="AB421" ca="1">MMULT(_xlfn.ANCHORARRAY(Q421),TRANSPOSE($Q$6:$U$6))</f>
        <v>-2.196867835711927E-2</v>
      </c>
      <c r="AD421" s="2" t="s">
        <v>412</v>
      </c>
      <c r="AE421" s="10" cm="1">
        <f t="array" aca="1" ref="AE421:AI421" ca="1">_xlfn.LET(_xlpm.array,_xlfn.RANDARRAY(1,COLUMNS(_xlfn.ANCHORARRAY(Q420)),-1,1,FALSE),_xlpm.array/SUM(_xlpm.array))</f>
        <v>1.8675609368911947</v>
      </c>
      <c r="AF421" s="10">
        <f ca="1"/>
        <v>-0.11337695921120002</v>
      </c>
      <c r="AG421" s="10">
        <f ca="1"/>
        <v>-0.57085634784314976</v>
      </c>
      <c r="AH421" s="10">
        <f ca="1"/>
        <v>-2.0606249599792075</v>
      </c>
      <c r="AI421" s="10">
        <f ca="1"/>
        <v>1.8772973301423623</v>
      </c>
      <c r="AJ421" s="1"/>
      <c r="AK421" s="2" cm="1">
        <f t="array" aca="1" ref="AK421" ca="1">MMULT(MMULT(_xlfn.ANCHORARRAY(AE421),$Q$9:$U$13),TRANSPOSE(_xlfn.ANCHORARRAY(AE421)))</f>
        <v>3.6088108698403565E-3</v>
      </c>
      <c r="AL421" s="2">
        <f t="shared" ca="1" si="19"/>
        <v>6.0073379044634709E-2</v>
      </c>
      <c r="AM421" s="2" cm="1">
        <f t="array" aca="1" ref="AM421" ca="1">MMULT(_xlfn.ANCHORARRAY(AE422),TRANSPOSE($Q$3:$U$3))</f>
        <v>3.3204325285072856E-3</v>
      </c>
    </row>
    <row r="422" spans="1:39" x14ac:dyDescent="0.35">
      <c r="A422" s="3">
        <v>44440</v>
      </c>
      <c r="B422" s="4">
        <v>36.6326904296875</v>
      </c>
      <c r="C422" s="4">
        <v>79.732421875</v>
      </c>
      <c r="D422" s="4">
        <v>44.757438659667898</v>
      </c>
      <c r="E422" s="4">
        <v>14.8727407455444</v>
      </c>
      <c r="F422" s="4">
        <v>290.84835815429602</v>
      </c>
      <c r="I422" s="5">
        <f>B422/B421-1</f>
        <v>-1.341292570597663E-2</v>
      </c>
      <c r="J422" s="5">
        <f>C422/C421-1</f>
        <v>-1.0953559708161587E-2</v>
      </c>
      <c r="K422" s="5">
        <f>D422/D421-1</f>
        <v>-7.2853879346812533E-3</v>
      </c>
      <c r="L422" s="5">
        <f>E422/E421-1</f>
        <v>7.5504915581989795E-3</v>
      </c>
      <c r="M422" s="5">
        <f>F422/F421-1</f>
        <v>-1.6575572704546904E-4</v>
      </c>
      <c r="N422" s="5">
        <f>SUMPRODUCT(I422:M422,$AJ$13:$AN$13)</f>
        <v>3.9173984608526164E-3</v>
      </c>
      <c r="P422" s="2" t="s">
        <v>413</v>
      </c>
      <c r="Q422" s="10" cm="1">
        <f t="array" aca="1" ref="Q422:U422" ca="1">_xlfn.LET(_xlpm.array,_xlfn.RANDARRAY(1,COLUMNS(_xlfn.ANCHORARRAY(Q421)),0,1,FALSE),_xlpm.array/SUM(_xlpm.array))</f>
        <v>0.22926206092788659</v>
      </c>
      <c r="R422" s="2">
        <f ca="1"/>
        <v>0.32837740349934164</v>
      </c>
      <c r="S422" s="2">
        <f ca="1"/>
        <v>4.9738219429661355E-3</v>
      </c>
      <c r="T422" s="2">
        <f ca="1"/>
        <v>4.3881651538273489E-2</v>
      </c>
      <c r="U422" s="2">
        <f ca="1"/>
        <v>0.39350506209153213</v>
      </c>
      <c r="V422" s="12"/>
      <c r="X422" s="2" cm="1">
        <f t="array" aca="1" ref="X422" ca="1">MMULT(MMULT(_xlfn.ANCHORARRAY(Q422),$Q$9:$U$13),TRANSPOSE(_xlfn.ANCHORARRAY(Q422)))</f>
        <v>2.5180185334865613E-4</v>
      </c>
      <c r="Y422" s="2">
        <f t="shared" ca="1" si="18"/>
        <v>1.5868265606192006E-2</v>
      </c>
      <c r="Z422" s="2" cm="1">
        <f t="array" aca="1" ref="Z422" ca="1">MMULT(_xlfn.ANCHORARRAY(Q422),TRANSPOSE($Q$3:$U$3))</f>
        <v>7.1019717157999173E-4</v>
      </c>
      <c r="AA422" s="11">
        <f ca="1">AVEDEV(Q422*$Q$3,R422*$R$3,S422*$S$3,T422*$T$3,U422*$U$3)</f>
        <v>1.0267559335976965E-4</v>
      </c>
      <c r="AB422" s="11" cm="1">
        <f t="array" aca="1" ref="AB422" ca="1">MMULT(_xlfn.ANCHORARRAY(Q422),TRANSPOSE($Q$6:$U$6))</f>
        <v>-2.0878365219693981E-2</v>
      </c>
      <c r="AD422" s="2" t="s">
        <v>413</v>
      </c>
      <c r="AE422" s="10" cm="1">
        <f t="array" aca="1" ref="AE422:AI422" ca="1">_xlfn.LET(_xlpm.array,_xlfn.RANDARRAY(1,COLUMNS(_xlfn.ANCHORARRAY(Q421)),-1,1,FALSE),_xlpm.array/SUM(_xlpm.array))</f>
        <v>-0.88366650989615136</v>
      </c>
      <c r="AF422" s="10">
        <f ca="1"/>
        <v>-3.6406212593412395</v>
      </c>
      <c r="AG422" s="10">
        <f ca="1"/>
        <v>3.0654626289959745</v>
      </c>
      <c r="AH422" s="10">
        <f ca="1"/>
        <v>-1.6781173072332629</v>
      </c>
      <c r="AI422" s="10">
        <f ca="1"/>
        <v>4.136942447474679</v>
      </c>
      <c r="AJ422" s="1"/>
      <c r="AK422" s="2" cm="1">
        <f t="array" aca="1" ref="AK422" ca="1">MMULT(MMULT(_xlfn.ANCHORARRAY(AE422),$Q$9:$U$13),TRANSPOSE(_xlfn.ANCHORARRAY(AE422)))</f>
        <v>2.0542439583970555E-2</v>
      </c>
      <c r="AL422" s="2">
        <f t="shared" ca="1" si="19"/>
        <v>0.14332633946337484</v>
      </c>
      <c r="AM422" s="2" cm="1">
        <f t="array" aca="1" ref="AM422" ca="1">MMULT(_xlfn.ANCHORARRAY(AE423),TRANSPOSE($Q$3:$U$3))</f>
        <v>8.4881338799088998E-4</v>
      </c>
    </row>
    <row r="423" spans="1:39" x14ac:dyDescent="0.35">
      <c r="A423" s="3">
        <v>44441</v>
      </c>
      <c r="B423" s="4">
        <v>36.668445587158203</v>
      </c>
      <c r="C423" s="4">
        <v>81.398536682128906</v>
      </c>
      <c r="D423" s="4">
        <v>44.905471801757798</v>
      </c>
      <c r="E423" s="4">
        <v>15.443965911865201</v>
      </c>
      <c r="F423" s="4">
        <v>290.193115234375</v>
      </c>
      <c r="I423" s="5">
        <f>B423/B422-1</f>
        <v>9.7604508572279869E-4</v>
      </c>
      <c r="J423" s="5">
        <f>C423/C422-1</f>
        <v>2.0896327591063857E-2</v>
      </c>
      <c r="K423" s="5">
        <f>D423/D422-1</f>
        <v>3.3074533870343092E-3</v>
      </c>
      <c r="L423" s="5">
        <f>E423/E422-1</f>
        <v>3.8407525290315325E-2</v>
      </c>
      <c r="M423" s="5">
        <f>F423/F422-1</f>
        <v>-2.2528678658498835E-3</v>
      </c>
      <c r="N423" s="5">
        <f>SUMPRODUCT(I423:M423,$AJ$13:$AN$13)</f>
        <v>1.7948819251452284E-2</v>
      </c>
      <c r="P423" s="2" t="s">
        <v>414</v>
      </c>
      <c r="Q423" s="10" cm="1">
        <f t="array" aca="1" ref="Q423:U423" ca="1">_xlfn.LET(_xlpm.array,_xlfn.RANDARRAY(1,COLUMNS(_xlfn.ANCHORARRAY(Q422)),0,1,FALSE),_xlpm.array/SUM(_xlpm.array))</f>
        <v>0.34958488880642113</v>
      </c>
      <c r="R423" s="2">
        <f ca="1"/>
        <v>0.19350021023556285</v>
      </c>
      <c r="S423" s="2">
        <f ca="1"/>
        <v>0.34546096108201707</v>
      </c>
      <c r="T423" s="2">
        <f ca="1"/>
        <v>7.7187653647689231E-2</v>
      </c>
      <c r="U423" s="2">
        <f ca="1"/>
        <v>3.4266286228309739E-2</v>
      </c>
      <c r="V423" s="12"/>
      <c r="X423" s="2" cm="1">
        <f t="array" aca="1" ref="X423" ca="1">MMULT(MMULT(_xlfn.ANCHORARRAY(Q423),$Q$9:$U$13),TRANSPOSE(_xlfn.ANCHORARRAY(Q423)))</f>
        <v>3.4679152588851871E-4</v>
      </c>
      <c r="Y423" s="2">
        <f t="shared" ca="1" si="18"/>
        <v>1.862233943113804E-2</v>
      </c>
      <c r="Z423" s="2" cm="1">
        <f t="array" aca="1" ref="Z423" ca="1">MMULT(_xlfn.ANCHORARRAY(Q423),TRANSPOSE($Q$3:$U$3))</f>
        <v>9.8507041407202146E-4</v>
      </c>
      <c r="AA423" s="11">
        <f ca="1">AVEDEV(Q423*$Q$3,R423*$R$3,S423*$S$3,T423*$T$3,U423*$U$3)</f>
        <v>1.4560591403344172E-4</v>
      </c>
      <c r="AB423" s="11" cm="1">
        <f t="array" aca="1" ref="AB423" ca="1">MMULT(_xlfn.ANCHORARRAY(Q423),TRANSPOSE($Q$6:$U$6))</f>
        <v>-2.3551455127492227E-2</v>
      </c>
      <c r="AD423" s="2" t="s">
        <v>414</v>
      </c>
      <c r="AE423" s="10" cm="1">
        <f t="array" aca="1" ref="AE423:AI423" ca="1">_xlfn.LET(_xlpm.array,_xlfn.RANDARRAY(1,COLUMNS(_xlfn.ANCHORARRAY(Q422)),-1,1,FALSE),_xlpm.array/SUM(_xlpm.array))</f>
        <v>0.3410991659914826</v>
      </c>
      <c r="AF423" s="10">
        <f ca="1"/>
        <v>-0.40996026109015943</v>
      </c>
      <c r="AG423" s="10">
        <f ca="1"/>
        <v>5.9525533131101191E-2</v>
      </c>
      <c r="AH423" s="10">
        <f ca="1"/>
        <v>0.4134404509881156</v>
      </c>
      <c r="AI423" s="10">
        <f ca="1"/>
        <v>0.59589511097946002</v>
      </c>
      <c r="AJ423" s="1"/>
      <c r="AK423" s="2" cm="1">
        <f t="array" aca="1" ref="AK423" ca="1">MMULT(MMULT(_xlfn.ANCHORARRAY(AE423),$Q$9:$U$13),TRANSPOSE(_xlfn.ANCHORARRAY(AE423)))</f>
        <v>3.06949777359433E-4</v>
      </c>
      <c r="AL423" s="2">
        <f t="shared" ca="1" si="19"/>
        <v>1.7519982230568415E-2</v>
      </c>
      <c r="AM423" s="2" cm="1">
        <f t="array" aca="1" ref="AM423" ca="1">MMULT(_xlfn.ANCHORARRAY(AE424),TRANSPOSE($Q$3:$U$3))</f>
        <v>1.1508634977927213E-3</v>
      </c>
    </row>
    <row r="424" spans="1:39" x14ac:dyDescent="0.35">
      <c r="A424" s="3">
        <v>44442</v>
      </c>
      <c r="B424" s="4">
        <v>36.695262908935497</v>
      </c>
      <c r="C424" s="4">
        <v>81.215255737304602</v>
      </c>
      <c r="D424" s="4">
        <v>44.937854766845703</v>
      </c>
      <c r="E424" s="4">
        <v>15.569357872009199</v>
      </c>
      <c r="F424" s="4">
        <v>290.18347167968699</v>
      </c>
      <c r="I424" s="5">
        <f>B424/B423-1</f>
        <v>7.3134602102364887E-4</v>
      </c>
      <c r="J424" s="5">
        <f>C424/C423-1</f>
        <v>-2.2516491363970825E-3</v>
      </c>
      <c r="K424" s="5">
        <f>D424/D423-1</f>
        <v>7.2113628447922906E-4</v>
      </c>
      <c r="L424" s="5">
        <f>E424/E423-1</f>
        <v>8.1191554591339976E-3</v>
      </c>
      <c r="M424" s="5">
        <f>F424/F423-1</f>
        <v>-3.3231507509112745E-5</v>
      </c>
      <c r="N424" s="5">
        <f>SUMPRODUCT(I424:M424,$AJ$13:$AN$13)</f>
        <v>4.020355932670079E-3</v>
      </c>
      <c r="P424" s="2" t="s">
        <v>415</v>
      </c>
      <c r="Q424" s="10" cm="1">
        <f t="array" aca="1" ref="Q424:U424" ca="1">_xlfn.LET(_xlpm.array,_xlfn.RANDARRAY(1,COLUMNS(_xlfn.ANCHORARRAY(Q423)),0,1,FALSE),_xlpm.array/SUM(_xlpm.array))</f>
        <v>0.25502961505130456</v>
      </c>
      <c r="R424" s="2">
        <f ca="1"/>
        <v>2.9140894683481629E-2</v>
      </c>
      <c r="S424" s="2">
        <f ca="1"/>
        <v>0.28877673719893265</v>
      </c>
      <c r="T424" s="2">
        <f ca="1"/>
        <v>0.26427368266157891</v>
      </c>
      <c r="U424" s="2">
        <f ca="1"/>
        <v>0.16277907040470219</v>
      </c>
      <c r="V424" s="12"/>
      <c r="X424" s="2" cm="1">
        <f t="array" aca="1" ref="X424" ca="1">MMULT(MMULT(_xlfn.ANCHORARRAY(Q424),$Q$9:$U$13),TRANSPOSE(_xlfn.ANCHORARRAY(Q424)))</f>
        <v>3.0617576165356802E-4</v>
      </c>
      <c r="Y424" s="2">
        <f t="shared" ca="1" si="18"/>
        <v>1.7497878775827886E-2</v>
      </c>
      <c r="Z424" s="2" cm="1">
        <f t="array" aca="1" ref="Z424" ca="1">MMULT(_xlfn.ANCHORARRAY(Q424),TRANSPOSE($Q$3:$U$3))</f>
        <v>1.01436002237049E-3</v>
      </c>
      <c r="AA424" s="11">
        <f ca="1">AVEDEV(Q424*$Q$3,R424*$R$3,S424*$S$3,T424*$T$3,U424*$U$3)</f>
        <v>1.3328646237477647E-4</v>
      </c>
      <c r="AB424" s="11" cm="1">
        <f t="array" aca="1" ref="AB424" ca="1">MMULT(_xlfn.ANCHORARRAY(Q424),TRANSPOSE($Q$6:$U$6))</f>
        <v>-2.3878184995618772E-2</v>
      </c>
      <c r="AD424" s="2" t="s">
        <v>415</v>
      </c>
      <c r="AE424" s="10" cm="1">
        <f t="array" aca="1" ref="AE424:AI424" ca="1">_xlfn.LET(_xlpm.array,_xlfn.RANDARRAY(1,COLUMNS(_xlfn.ANCHORARRAY(Q423)),-1,1,FALSE),_xlpm.array/SUM(_xlpm.array))</f>
        <v>1.1233993581088848</v>
      </c>
      <c r="AF424" s="10">
        <f ca="1"/>
        <v>0.37620180805806291</v>
      </c>
      <c r="AG424" s="10">
        <f ca="1"/>
        <v>1.1024399844288824</v>
      </c>
      <c r="AH424" s="10">
        <f ca="1"/>
        <v>-1.0120346180119992</v>
      </c>
      <c r="AI424" s="10">
        <f ca="1"/>
        <v>-0.59000653258383096</v>
      </c>
      <c r="AJ424" s="1"/>
      <c r="AK424" s="2" cm="1">
        <f t="array" aca="1" ref="AK424" ca="1">MMULT(MMULT(_xlfn.ANCHORARRAY(AE424),$Q$9:$U$13),TRANSPOSE(_xlfn.ANCHORARRAY(AE424)))</f>
        <v>1.7032398656766712E-3</v>
      </c>
      <c r="AL424" s="2">
        <f t="shared" ca="1" si="19"/>
        <v>4.1270326696994673E-2</v>
      </c>
      <c r="AM424" s="2" cm="1">
        <f t="array" aca="1" ref="AM424" ca="1">MMULT(_xlfn.ANCHORARRAY(AE425),TRANSPOSE($Q$3:$U$3))</f>
        <v>4.1414458893439113E-4</v>
      </c>
    </row>
    <row r="425" spans="1:39" x14ac:dyDescent="0.35">
      <c r="A425" s="3">
        <v>44446</v>
      </c>
      <c r="B425" s="4">
        <v>36.936611175537102</v>
      </c>
      <c r="C425" s="4">
        <v>80.8570556640625</v>
      </c>
      <c r="D425" s="4">
        <v>44.415107727050703</v>
      </c>
      <c r="E425" s="4">
        <v>16.015188217163001</v>
      </c>
      <c r="F425" s="4">
        <v>289.25842285156199</v>
      </c>
      <c r="I425" s="5">
        <f>B425/B424-1</f>
        <v>6.5770959919415617E-3</v>
      </c>
      <c r="J425" s="5">
        <f>C425/C424-1</f>
        <v>-4.4105023125300402E-3</v>
      </c>
      <c r="K425" s="5">
        <f>D425/D424-1</f>
        <v>-1.1632665655875396E-2</v>
      </c>
      <c r="L425" s="5">
        <f>E425/E424-1</f>
        <v>2.8635114486983415E-2</v>
      </c>
      <c r="M425" s="5">
        <f>F425/F424-1</f>
        <v>-3.1878067443692482E-3</v>
      </c>
      <c r="N425" s="5">
        <f>SUMPRODUCT(I425:M425,$AJ$13:$AN$13)</f>
        <v>4.5005702022192593E-3</v>
      </c>
      <c r="P425" s="2" t="s">
        <v>416</v>
      </c>
      <c r="Q425" s="10" cm="1">
        <f t="array" aca="1" ref="Q425:U425" ca="1">_xlfn.LET(_xlpm.array,_xlfn.RANDARRAY(1,COLUMNS(_xlfn.ANCHORARRAY(Q424)),0,1,FALSE),_xlpm.array/SUM(_xlpm.array))</f>
        <v>0.29307184368913036</v>
      </c>
      <c r="R425" s="2">
        <f ca="1"/>
        <v>0.16340032162148829</v>
      </c>
      <c r="S425" s="2">
        <f ca="1"/>
        <v>3.0904264526175527E-2</v>
      </c>
      <c r="T425" s="2">
        <f ca="1"/>
        <v>7.9172159778163956E-2</v>
      </c>
      <c r="U425" s="2">
        <f ca="1"/>
        <v>0.43345141038504176</v>
      </c>
      <c r="V425" s="12"/>
      <c r="X425" s="2" cm="1">
        <f t="array" aca="1" ref="X425" ca="1">MMULT(MMULT(_xlfn.ANCHORARRAY(Q425),$Q$9:$U$13),TRANSPOSE(_xlfn.ANCHORARRAY(Q425)))</f>
        <v>2.4834055113376644E-4</v>
      </c>
      <c r="Y425" s="2">
        <f t="shared" ca="1" si="18"/>
        <v>1.5758824547972047E-2</v>
      </c>
      <c r="Z425" s="2" cm="1">
        <f t="array" aca="1" ref="Z425" ca="1">MMULT(_xlfn.ANCHORARRAY(Q425),TRANSPOSE($Q$3:$U$3))</f>
        <v>7.3087311023176701E-4</v>
      </c>
      <c r="AA425" s="11">
        <f ca="1">AVEDEV(Q425*$Q$3,R425*$R$3,S425*$S$3,T425*$T$3,U425*$U$3)</f>
        <v>7.5252154697639319E-5</v>
      </c>
      <c r="AB425" s="11" cm="1">
        <f t="array" aca="1" ref="AB425" ca="1">MMULT(_xlfn.ANCHORARRAY(Q425),TRANSPOSE($Q$6:$U$6))</f>
        <v>-2.1255021286482517E-2</v>
      </c>
      <c r="AD425" s="2" t="s">
        <v>416</v>
      </c>
      <c r="AE425" s="10" cm="1">
        <f t="array" aca="1" ref="AE425:AI425" ca="1">_xlfn.LET(_xlpm.array,_xlfn.RANDARRAY(1,COLUMNS(_xlfn.ANCHORARRAY(Q424)),-1,1,FALSE),_xlpm.array/SUM(_xlpm.array))</f>
        <v>0.24673402804784417</v>
      </c>
      <c r="AF425" s="10">
        <f ca="1"/>
        <v>0.63011110536396475</v>
      </c>
      <c r="AG425" s="10">
        <f ca="1"/>
        <v>-0.32905454968610415</v>
      </c>
      <c r="AH425" s="10">
        <f ca="1"/>
        <v>6.668380797536004E-2</v>
      </c>
      <c r="AI425" s="10">
        <f ca="1"/>
        <v>0.38552560829893523</v>
      </c>
      <c r="AJ425" s="1"/>
      <c r="AK425" s="2" cm="1">
        <f t="array" aca="1" ref="AK425" ca="1">MMULT(MMULT(_xlfn.ANCHORARRAY(AE425),$Q$9:$U$13),TRANSPOSE(_xlfn.ANCHORARRAY(AE425)))</f>
        <v>3.8189364106778806E-4</v>
      </c>
      <c r="AL425" s="2">
        <f t="shared" ca="1" si="19"/>
        <v>1.9542099198084837E-2</v>
      </c>
      <c r="AM425" s="2" cm="1">
        <f t="array" aca="1" ref="AM425" ca="1">MMULT(_xlfn.ANCHORARRAY(AE426),TRANSPOSE($Q$3:$U$3))</f>
        <v>1.6933400783011427E-3</v>
      </c>
    </row>
    <row r="426" spans="1:39" x14ac:dyDescent="0.35">
      <c r="A426" s="3">
        <v>44447</v>
      </c>
      <c r="B426" s="4">
        <v>36.453903198242102</v>
      </c>
      <c r="C426" s="4">
        <v>80.298904418945298</v>
      </c>
      <c r="D426" s="4">
        <v>43.896984100341797</v>
      </c>
      <c r="E426" s="4">
        <v>15.743507385253899</v>
      </c>
      <c r="F426" s="4">
        <v>289.28732299804602</v>
      </c>
      <c r="I426" s="5">
        <f>B426/B425-1</f>
        <v>-1.306855073956259E-2</v>
      </c>
      <c r="J426" s="5">
        <f>C426/C425-1</f>
        <v>-6.9029380371721238E-3</v>
      </c>
      <c r="K426" s="5">
        <f>D426/D425-1</f>
        <v>-1.1665481707102687E-2</v>
      </c>
      <c r="L426" s="5">
        <f>E426/E425-1</f>
        <v>-1.6963948735735035E-2</v>
      </c>
      <c r="M426" s="5">
        <f>F426/F425-1</f>
        <v>9.9911166627775216E-5</v>
      </c>
      <c r="N426" s="5">
        <f>SUMPRODUCT(I426:M426,$AJ$13:$AN$13)</f>
        <v>-9.9612856832807222E-3</v>
      </c>
      <c r="P426" s="2" t="s">
        <v>417</v>
      </c>
      <c r="Q426" s="10" cm="1">
        <f t="array" aca="1" ref="Q426:U426" ca="1">_xlfn.LET(_xlpm.array,_xlfn.RANDARRAY(1,COLUMNS(_xlfn.ANCHORARRAY(Q425)),0,1,FALSE),_xlpm.array/SUM(_xlpm.array))</f>
        <v>1.1633280137666329E-2</v>
      </c>
      <c r="R426" s="2">
        <f ca="1"/>
        <v>0.39014837559762505</v>
      </c>
      <c r="S426" s="2">
        <f ca="1"/>
        <v>0.28881293915038714</v>
      </c>
      <c r="T426" s="2">
        <f ca="1"/>
        <v>6.7789792767223855E-2</v>
      </c>
      <c r="U426" s="2">
        <f ca="1"/>
        <v>0.24161561234709764</v>
      </c>
      <c r="V426" s="12"/>
      <c r="X426" s="2" cm="1">
        <f t="array" aca="1" ref="X426" ca="1">MMULT(MMULT(_xlfn.ANCHORARRAY(Q426),$Q$9:$U$13),TRANSPOSE(_xlfn.ANCHORARRAY(Q426)))</f>
        <v>3.0089289428060799E-4</v>
      </c>
      <c r="Y426" s="2">
        <f t="shared" ca="1" si="18"/>
        <v>1.7346264562741107E-2</v>
      </c>
      <c r="Z426" s="2" cm="1">
        <f t="array" aca="1" ref="Z426" ca="1">MMULT(_xlfn.ANCHORARRAY(Q426),TRANSPOSE($Q$3:$U$3))</f>
        <v>1.0139024232053912E-3</v>
      </c>
      <c r="AA426" s="11">
        <f ca="1">AVEDEV(Q426*$Q$3,R426*$R$3,S426*$S$3,T426*$T$3,U426*$U$3)</f>
        <v>1.393492184232193E-4</v>
      </c>
      <c r="AB426" s="11" cm="1">
        <f t="array" aca="1" ref="AB426" ca="1">MMULT(_xlfn.ANCHORARRAY(Q426),TRANSPOSE($Q$6:$U$6))</f>
        <v>-2.269879787780963E-2</v>
      </c>
      <c r="AD426" s="2" t="s">
        <v>417</v>
      </c>
      <c r="AE426" s="10" cm="1">
        <f t="array" aca="1" ref="AE426:AI426" ca="1">_xlfn.LET(_xlpm.array,_xlfn.RANDARRAY(1,COLUMNS(_xlfn.ANCHORARRAY(Q425)),-1,1,FALSE),_xlpm.array/SUM(_xlpm.array))</f>
        <v>0.40194217676097771</v>
      </c>
      <c r="AF426" s="10">
        <f ca="1"/>
        <v>0.50122354889190401</v>
      </c>
      <c r="AG426" s="10">
        <f ca="1"/>
        <v>0.8710209117323876</v>
      </c>
      <c r="AH426" s="10">
        <f ca="1"/>
        <v>1.1708933025122046</v>
      </c>
      <c r="AI426" s="10">
        <f ca="1"/>
        <v>-1.9450799398974739</v>
      </c>
      <c r="AJ426" s="1"/>
      <c r="AK426" s="2" cm="1">
        <f t="array" aca="1" ref="AK426" ca="1">MMULT(MMULT(_xlfn.ANCHORARRAY(AE426),$Q$9:$U$13),TRANSPOSE(_xlfn.ANCHORARRAY(AE426)))</f>
        <v>2.6935083704006314E-3</v>
      </c>
      <c r="AL426" s="2">
        <f t="shared" ca="1" si="19"/>
        <v>5.1899020900211895E-2</v>
      </c>
      <c r="AM426" s="2" cm="1">
        <f t="array" aca="1" ref="AM426" ca="1">MMULT(_xlfn.ANCHORARRAY(AE427),TRANSPOSE($Q$3:$U$3))</f>
        <v>9.2407774445086481E-5</v>
      </c>
    </row>
    <row r="427" spans="1:39" x14ac:dyDescent="0.35">
      <c r="A427" s="3">
        <v>44448</v>
      </c>
      <c r="B427" s="4">
        <v>36.587993621826101</v>
      </c>
      <c r="C427" s="4">
        <v>79.973983764648395</v>
      </c>
      <c r="D427" s="4">
        <v>44.586277008056598</v>
      </c>
      <c r="E427" s="4">
        <v>15.6250896453857</v>
      </c>
      <c r="F427" s="4">
        <v>286.43502807617102</v>
      </c>
      <c r="I427" s="5">
        <f>B427/B426-1</f>
        <v>3.6783557265402944E-3</v>
      </c>
      <c r="J427" s="5">
        <f>C427/C426-1</f>
        <v>-4.0463896319392623E-3</v>
      </c>
      <c r="K427" s="5">
        <f>D427/D426-1</f>
        <v>1.5702511729261071E-2</v>
      </c>
      <c r="L427" s="5">
        <f>E427/E426-1</f>
        <v>-7.5216873197592182E-3</v>
      </c>
      <c r="M427" s="5">
        <f>F427/F426-1</f>
        <v>-9.8597300853527914E-3</v>
      </c>
      <c r="N427" s="5">
        <f>SUMPRODUCT(I427:M427,$AJ$13:$AN$13)</f>
        <v>4.3644485828898657E-4</v>
      </c>
      <c r="P427" s="2" t="s">
        <v>418</v>
      </c>
      <c r="Q427" s="10" cm="1">
        <f t="array" aca="1" ref="Q427:U427" ca="1">_xlfn.LET(_xlpm.array,_xlfn.RANDARRAY(1,COLUMNS(_xlfn.ANCHORARRAY(Q426)),0,1,FALSE),_xlpm.array/SUM(_xlpm.array))</f>
        <v>0.29885699126930948</v>
      </c>
      <c r="R427" s="2">
        <f ca="1"/>
        <v>0.20672113310475171</v>
      </c>
      <c r="S427" s="2">
        <f ca="1"/>
        <v>8.6662357163948142E-2</v>
      </c>
      <c r="T427" s="2">
        <f ca="1"/>
        <v>0.15600529404535449</v>
      </c>
      <c r="U427" s="2">
        <f ca="1"/>
        <v>0.25175422441663609</v>
      </c>
      <c r="V427" s="12"/>
      <c r="X427" s="2" cm="1">
        <f t="array" aca="1" ref="X427" ca="1">MMULT(MMULT(_xlfn.ANCHORARRAY(Q427),$Q$9:$U$13),TRANSPOSE(_xlfn.ANCHORARRAY(Q427)))</f>
        <v>2.6309167786657431E-4</v>
      </c>
      <c r="Y427" s="2">
        <f t="shared" ca="1" si="18"/>
        <v>1.6220101043661051E-2</v>
      </c>
      <c r="Z427" s="2" cm="1">
        <f t="array" aca="1" ref="Z427" ca="1">MMULT(_xlfn.ANCHORARRAY(Q427),TRANSPOSE($Q$3:$U$3))</f>
        <v>7.9552138301292714E-4</v>
      </c>
      <c r="AA427" s="11">
        <f ca="1">AVEDEV(Q427*$Q$3,R427*$R$3,S427*$S$3,T427*$T$3,U427*$U$3)</f>
        <v>1.3489722720768813E-5</v>
      </c>
      <c r="AB427" s="11" cm="1">
        <f t="array" aca="1" ref="AB427" ca="1">MMULT(_xlfn.ANCHORARRAY(Q427),TRANSPOSE($Q$6:$U$6))</f>
        <v>-2.2062206634060867E-2</v>
      </c>
      <c r="AD427" s="2" t="s">
        <v>418</v>
      </c>
      <c r="AE427" s="10" cm="1">
        <f t="array" aca="1" ref="AE427:AI427" ca="1">_xlfn.LET(_xlpm.array,_xlfn.RANDARRAY(1,COLUMNS(_xlfn.ANCHORARRAY(Q426)),-1,1,FALSE),_xlpm.array/SUM(_xlpm.array))</f>
        <v>0.91662092673053697</v>
      </c>
      <c r="AF427" s="10">
        <f ca="1"/>
        <v>-0.44930222738606296</v>
      </c>
      <c r="AG427" s="10">
        <f ca="1"/>
        <v>-0.35032654233265337</v>
      </c>
      <c r="AH427" s="10">
        <f ca="1"/>
        <v>-0.59122421068776754</v>
      </c>
      <c r="AI427" s="10">
        <f ca="1"/>
        <v>1.474232053675947</v>
      </c>
      <c r="AJ427" s="1"/>
      <c r="AK427" s="2" cm="1">
        <f t="array" aca="1" ref="AK427" ca="1">MMULT(MMULT(_xlfn.ANCHORARRAY(AE427),$Q$9:$U$13),TRANSPOSE(_xlfn.ANCHORARRAY(AE427)))</f>
        <v>1.1130866874393803E-3</v>
      </c>
      <c r="AL427" s="2">
        <f t="shared" ca="1" si="19"/>
        <v>3.3362953817660995E-2</v>
      </c>
      <c r="AM427" s="2" cm="1">
        <f t="array" aca="1" ref="AM427" ca="1">MMULT(_xlfn.ANCHORARRAY(AE428),TRANSPOSE($Q$3:$U$3))</f>
        <v>7.1112881183975026E-4</v>
      </c>
    </row>
    <row r="428" spans="1:39" x14ac:dyDescent="0.35">
      <c r="A428" s="3">
        <v>44449</v>
      </c>
      <c r="B428" s="4">
        <v>35.99800491333</v>
      </c>
      <c r="C428" s="4">
        <v>80.032310485839801</v>
      </c>
      <c r="D428" s="4">
        <v>44.058902740478501</v>
      </c>
      <c r="E428" s="4">
        <v>15.910696029663001</v>
      </c>
      <c r="F428" s="4">
        <v>284.95098876953102</v>
      </c>
      <c r="I428" s="5">
        <f>B428/B427-1</f>
        <v>-1.6125199829054027E-2</v>
      </c>
      <c r="J428" s="5">
        <f>C428/C427-1</f>
        <v>7.293211922898557E-4</v>
      </c>
      <c r="K428" s="5">
        <f>D428/D427-1</f>
        <v>-1.1828174563281002E-2</v>
      </c>
      <c r="L428" s="5">
        <f>E428/E427-1</f>
        <v>1.8278703723254797E-2</v>
      </c>
      <c r="M428" s="5">
        <f>F428/F427-1</f>
        <v>-5.1810678205367333E-3</v>
      </c>
      <c r="N428" s="5">
        <f>SUMPRODUCT(I428:M428,$AJ$13:$AN$13)</f>
        <v>5.291250411184765E-3</v>
      </c>
      <c r="P428" s="2" t="s">
        <v>419</v>
      </c>
      <c r="Q428" s="10" cm="1">
        <f t="array" aca="1" ref="Q428:U428" ca="1">_xlfn.LET(_xlpm.array,_xlfn.RANDARRAY(1,COLUMNS(_xlfn.ANCHORARRAY(Q427)),0,1,FALSE),_xlpm.array/SUM(_xlpm.array))</f>
        <v>0.26734905297935846</v>
      </c>
      <c r="R428" s="2">
        <f ca="1"/>
        <v>0.11809772375948811</v>
      </c>
      <c r="S428" s="2">
        <f ca="1"/>
        <v>8.7685493264079761E-2</v>
      </c>
      <c r="T428" s="2">
        <f ca="1"/>
        <v>0.21297007574429813</v>
      </c>
      <c r="U428" s="2">
        <f ca="1"/>
        <v>0.3138976542527756</v>
      </c>
      <c r="V428" s="12"/>
      <c r="X428" s="2" cm="1">
        <f t="array" aca="1" ref="X428" ca="1">MMULT(MMULT(_xlfn.ANCHORARRAY(Q428),$Q$9:$U$13),TRANSPOSE(_xlfn.ANCHORARRAY(Q428)))</f>
        <v>2.5488347729710203E-4</v>
      </c>
      <c r="Y428" s="2">
        <f t="shared" ca="1" si="18"/>
        <v>1.5965070538431769E-2</v>
      </c>
      <c r="Z428" s="2" cm="1">
        <f t="array" aca="1" ref="Z428" ca="1">MMULT(_xlfn.ANCHORARRAY(Q428),TRANSPOSE($Q$3:$U$3))</f>
        <v>8.2217972743937418E-4</v>
      </c>
      <c r="AA428" s="11">
        <f ca="1">AVEDEV(Q428*$Q$3,R428*$R$3,S428*$S$3,T428*$T$3,U428*$U$3)</f>
        <v>5.1515122085749561E-5</v>
      </c>
      <c r="AB428" s="11" cm="1">
        <f t="array" aca="1" ref="AB428" ca="1">MMULT(_xlfn.ANCHORARRAY(Q428),TRANSPOSE($Q$6:$U$6))</f>
        <v>-2.2267930925030321E-2</v>
      </c>
      <c r="AD428" s="2" t="s">
        <v>419</v>
      </c>
      <c r="AE428" s="10" cm="1">
        <f t="array" aca="1" ref="AE428:AI428" ca="1">_xlfn.LET(_xlpm.array,_xlfn.RANDARRAY(1,COLUMNS(_xlfn.ANCHORARRAY(Q427)),-1,1,FALSE),_xlpm.array/SUM(_xlpm.array))</f>
        <v>0.1897622265376229</v>
      </c>
      <c r="AF428" s="10">
        <f ca="1"/>
        <v>0.1095918332380538</v>
      </c>
      <c r="AG428" s="10">
        <f ca="1"/>
        <v>-0.26502340007484104</v>
      </c>
      <c r="AH428" s="10">
        <f ca="1"/>
        <v>0.88196776233074814</v>
      </c>
      <c r="AI428" s="10">
        <f ca="1"/>
        <v>8.3701577968416152E-2</v>
      </c>
      <c r="AJ428" s="1"/>
      <c r="AK428" s="2" cm="1">
        <f t="array" aca="1" ref="AK428" ca="1">MMULT(MMULT(_xlfn.ANCHORARRAY(AE428),$Q$9:$U$13),TRANSPOSE(_xlfn.ANCHORARRAY(AE428)))</f>
        <v>5.8132233017809895E-4</v>
      </c>
      <c r="AL428" s="2">
        <f t="shared" ca="1" si="19"/>
        <v>2.4110626913834053E-2</v>
      </c>
      <c r="AM428" s="2" cm="1">
        <f t="array" aca="1" ref="AM428" ca="1">MMULT(_xlfn.ANCHORARRAY(AE429),TRANSPOSE($Q$3:$U$3))</f>
        <v>9.3594456409512073E-4</v>
      </c>
    </row>
    <row r="429" spans="1:39" x14ac:dyDescent="0.35">
      <c r="A429" s="3">
        <v>44452</v>
      </c>
      <c r="B429" s="4">
        <v>36.596927642822202</v>
      </c>
      <c r="C429" s="4">
        <v>81.615150451660099</v>
      </c>
      <c r="D429" s="4">
        <v>45.747432708740199</v>
      </c>
      <c r="E429" s="4">
        <v>16.2032775878906</v>
      </c>
      <c r="F429" s="4">
        <v>286.184478759765</v>
      </c>
      <c r="I429" s="5">
        <f>B429/B428-1</f>
        <v>1.6637664529858931E-2</v>
      </c>
      <c r="J429" s="5">
        <f>C429/C428-1</f>
        <v>1.9777511810062709E-2</v>
      </c>
      <c r="K429" s="5">
        <f>D429/D428-1</f>
        <v>3.8324376306139385E-2</v>
      </c>
      <c r="L429" s="5">
        <f>E429/E428-1</f>
        <v>1.8388985477576059E-2</v>
      </c>
      <c r="M429" s="5">
        <f>F429/F428-1</f>
        <v>4.3287794703237292E-3</v>
      </c>
      <c r="N429" s="5">
        <f>SUMPRODUCT(I429:M429,$AJ$13:$AN$13)</f>
        <v>2.4533057407461447E-2</v>
      </c>
      <c r="P429" s="2" t="s">
        <v>420</v>
      </c>
      <c r="Q429" s="10" cm="1">
        <f t="array" aca="1" ref="Q429:U429" ca="1">_xlfn.LET(_xlpm.array,_xlfn.RANDARRAY(1,COLUMNS(_xlfn.ANCHORARRAY(Q428)),0,1,FALSE),_xlpm.array/SUM(_xlpm.array))</f>
        <v>0.24953614584512276</v>
      </c>
      <c r="R429" s="2">
        <f ca="1"/>
        <v>0.30221955318288224</v>
      </c>
      <c r="S429" s="2">
        <f ca="1"/>
        <v>0.27486185311224698</v>
      </c>
      <c r="T429" s="2">
        <f ca="1"/>
        <v>0.10810869897640017</v>
      </c>
      <c r="U429" s="2">
        <f ca="1"/>
        <v>6.5273748883347874E-2</v>
      </c>
      <c r="V429" s="12"/>
      <c r="X429" s="2" cm="1">
        <f t="array" aca="1" ref="X429" ca="1">MMULT(MMULT(_xlfn.ANCHORARRAY(Q429),$Q$9:$U$13),TRANSPOSE(_xlfn.ANCHORARRAY(Q429)))</f>
        <v>3.1899886387066367E-4</v>
      </c>
      <c r="Y429" s="2">
        <f t="shared" ca="1" si="18"/>
        <v>1.786053929394809E-2</v>
      </c>
      <c r="Z429" s="2" cm="1">
        <f t="array" aca="1" ref="Z429" ca="1">MMULT(_xlfn.ANCHORARRAY(Q429),TRANSPOSE($Q$3:$U$3))</f>
        <v>9.5426476530669543E-4</v>
      </c>
      <c r="AA429" s="11">
        <f ca="1">AVEDEV(Q429*$Q$3,R429*$R$3,S429*$S$3,T429*$T$3,U429*$U$3)</f>
        <v>1.1414499000972345E-4</v>
      </c>
      <c r="AB429" s="11" cm="1">
        <f t="array" aca="1" ref="AB429" ca="1">MMULT(_xlfn.ANCHORARRAY(Q429),TRANSPOSE($Q$6:$U$6))</f>
        <v>-2.3114439431936473E-2</v>
      </c>
      <c r="AD429" s="2" t="s">
        <v>420</v>
      </c>
      <c r="AE429" s="10" cm="1">
        <f t="array" aca="1" ref="AE429:AI429" ca="1">_xlfn.LET(_xlpm.array,_xlfn.RANDARRAY(1,COLUMNS(_xlfn.ANCHORARRAY(Q428)),-1,1,FALSE),_xlpm.array/SUM(_xlpm.array))</f>
        <v>-0.56267830641090744</v>
      </c>
      <c r="AF429" s="10">
        <f ca="1"/>
        <v>0.43698440476490713</v>
      </c>
      <c r="AG429" s="10">
        <f ca="1"/>
        <v>-0.22291946110007727</v>
      </c>
      <c r="AH429" s="10">
        <f ca="1"/>
        <v>0.90881335095240878</v>
      </c>
      <c r="AI429" s="10">
        <f ca="1"/>
        <v>0.4398000117936689</v>
      </c>
      <c r="AJ429" s="1"/>
      <c r="AK429" s="2" cm="1">
        <f t="array" aca="1" ref="AK429" ca="1">MMULT(MMULT(_xlfn.ANCHORARRAY(AE429),$Q$9:$U$13),TRANSPOSE(_xlfn.ANCHORARRAY(AE429)))</f>
        <v>6.7461506773602018E-4</v>
      </c>
      <c r="AL429" s="2">
        <f t="shared" ca="1" si="19"/>
        <v>2.5973353032214E-2</v>
      </c>
      <c r="AM429" s="2" cm="1">
        <f t="array" aca="1" ref="AM429" ca="1">MMULT(_xlfn.ANCHORARRAY(AE430),TRANSPOSE($Q$3:$U$3))</f>
        <v>7.9798913547323238E-4</v>
      </c>
    </row>
    <row r="430" spans="1:39" x14ac:dyDescent="0.35">
      <c r="A430" s="3">
        <v>44453</v>
      </c>
      <c r="B430" s="4">
        <v>35.613628387451101</v>
      </c>
      <c r="C430" s="4">
        <v>80.140594482421804</v>
      </c>
      <c r="D430" s="4">
        <v>45.076644897460902</v>
      </c>
      <c r="E430" s="4">
        <v>16.224174499511701</v>
      </c>
      <c r="F430" s="4">
        <v>288.88259887695301</v>
      </c>
      <c r="I430" s="5">
        <f>B430/B429-1</f>
        <v>-2.6868355315721626E-2</v>
      </c>
      <c r="J430" s="5">
        <f>C430/C429-1</f>
        <v>-1.8067184353371513E-2</v>
      </c>
      <c r="K430" s="5">
        <f>D430/D429-1</f>
        <v>-1.4662851477371341E-2</v>
      </c>
      <c r="L430" s="5">
        <f>E430/E429-1</f>
        <v>1.2896718893908865E-3</v>
      </c>
      <c r="M430" s="5">
        <f>F430/F429-1</f>
        <v>9.427905136158321E-3</v>
      </c>
      <c r="N430" s="5">
        <f>SUMPRODUCT(I430:M430,$AJ$13:$AN$13)</f>
        <v>4.4800144861108044E-3</v>
      </c>
      <c r="P430" s="2" t="s">
        <v>421</v>
      </c>
      <c r="Q430" s="10" cm="1">
        <f t="array" aca="1" ref="Q430:U430" ca="1">_xlfn.LET(_xlpm.array,_xlfn.RANDARRAY(1,COLUMNS(_xlfn.ANCHORARRAY(Q429)),0,1,FALSE),_xlpm.array/SUM(_xlpm.array))</f>
        <v>0.36232384712606358</v>
      </c>
      <c r="R430" s="2">
        <f ca="1"/>
        <v>0.11541121952727339</v>
      </c>
      <c r="S430" s="2">
        <f ca="1"/>
        <v>8.6509636330126025E-2</v>
      </c>
      <c r="T430" s="2">
        <f ca="1"/>
        <v>0.13794314317743445</v>
      </c>
      <c r="U430" s="2">
        <f ca="1"/>
        <v>0.29781215383910253</v>
      </c>
      <c r="V430" s="12"/>
      <c r="X430" s="2" cm="1">
        <f t="array" aca="1" ref="X430" ca="1">MMULT(MMULT(_xlfn.ANCHORARRAY(Q430),$Q$9:$U$13),TRANSPOSE(_xlfn.ANCHORARRAY(Q430)))</f>
        <v>2.6113351956250661E-4</v>
      </c>
      <c r="Y430" s="2">
        <f t="shared" ca="1" si="18"/>
        <v>1.6159626219764696E-2</v>
      </c>
      <c r="Z430" s="2" cm="1">
        <f t="array" aca="1" ref="Z430" ca="1">MMULT(_xlfn.ANCHORARRAY(Q430),TRANSPOSE($Q$3:$U$3))</f>
        <v>7.7762707158503068E-4</v>
      </c>
      <c r="AA430" s="11">
        <f ca="1">AVEDEV(Q430*$Q$3,R430*$R$3,S430*$S$3,T430*$T$3,U430*$U$3)</f>
        <v>4.0352667933846574E-5</v>
      </c>
      <c r="AB430" s="11" cm="1">
        <f t="array" aca="1" ref="AB430" ca="1">MMULT(_xlfn.ANCHORARRAY(Q430),TRANSPOSE($Q$6:$U$6))</f>
        <v>-2.2021222020258219E-2</v>
      </c>
      <c r="AD430" s="2" t="s">
        <v>421</v>
      </c>
      <c r="AE430" s="10" cm="1">
        <f t="array" aca="1" ref="AE430:AI430" ca="1">_xlfn.LET(_xlpm.array,_xlfn.RANDARRAY(1,COLUMNS(_xlfn.ANCHORARRAY(Q429)),-1,1,FALSE),_xlpm.array/SUM(_xlpm.array))</f>
        <v>0.42520495094335747</v>
      </c>
      <c r="AF430" s="10">
        <f ca="1"/>
        <v>3.7769575541348722E-2</v>
      </c>
      <c r="AG430" s="10">
        <f ca="1"/>
        <v>2.9275129805270035E-2</v>
      </c>
      <c r="AH430" s="10">
        <f ca="1"/>
        <v>0.46113237131843288</v>
      </c>
      <c r="AI430" s="10">
        <f ca="1"/>
        <v>4.6617972391590913E-2</v>
      </c>
      <c r="AJ430" s="1"/>
      <c r="AK430" s="2" cm="1">
        <f t="array" aca="1" ref="AK430" ca="1">MMULT(MMULT(_xlfn.ANCHORARRAY(AE430),$Q$9:$U$13),TRANSPOSE(_xlfn.ANCHORARRAY(AE430)))</f>
        <v>3.4598520326466263E-4</v>
      </c>
      <c r="AL430" s="2">
        <f t="shared" ca="1" si="19"/>
        <v>1.86006774947759E-2</v>
      </c>
      <c r="AM430" s="2" cm="1">
        <f t="array" aca="1" ref="AM430" ca="1">MMULT(_xlfn.ANCHORARRAY(AE431),TRANSPOSE($Q$3:$U$3))</f>
        <v>2.6289826458385538E-3</v>
      </c>
    </row>
    <row r="431" spans="1:39" x14ac:dyDescent="0.35">
      <c r="A431" s="3">
        <v>44454</v>
      </c>
      <c r="B431" s="4">
        <v>35.881797790527301</v>
      </c>
      <c r="C431" s="4">
        <v>81.840065002441406</v>
      </c>
      <c r="D431" s="4">
        <v>46.464469909667898</v>
      </c>
      <c r="E431" s="4">
        <v>17.0113506317138</v>
      </c>
      <c r="F431" s="4">
        <v>293.72964477539</v>
      </c>
      <c r="I431" s="5">
        <f>B431/B430-1</f>
        <v>7.5299657804790421E-3</v>
      </c>
      <c r="J431" s="5">
        <f>C431/C430-1</f>
        <v>2.1206113218842804E-2</v>
      </c>
      <c r="K431" s="5">
        <f>D431/D430-1</f>
        <v>3.0788116892106254E-2</v>
      </c>
      <c r="L431" s="5">
        <f>E431/E430-1</f>
        <v>4.8518717067903339E-2</v>
      </c>
      <c r="M431" s="5">
        <f>F431/F430-1</f>
        <v>1.677860112474816E-2</v>
      </c>
      <c r="N431" s="5">
        <f>SUMPRODUCT(I431:M431,$AJ$13:$AN$13)</f>
        <v>4.1433522897238922E-2</v>
      </c>
      <c r="P431" s="2" t="s">
        <v>422</v>
      </c>
      <c r="Q431" s="10" cm="1">
        <f t="array" aca="1" ref="Q431:U431" ca="1">_xlfn.LET(_xlpm.array,_xlfn.RANDARRAY(1,COLUMNS(_xlfn.ANCHORARRAY(Q430)),0,1,FALSE),_xlpm.array/SUM(_xlpm.array))</f>
        <v>0.23021630824033484</v>
      </c>
      <c r="R431" s="2">
        <f ca="1"/>
        <v>0.17128592271435306</v>
      </c>
      <c r="S431" s="2">
        <f ca="1"/>
        <v>7.3302480310385207E-2</v>
      </c>
      <c r="T431" s="2">
        <f ca="1"/>
        <v>0.18368094636567658</v>
      </c>
      <c r="U431" s="2">
        <f ca="1"/>
        <v>0.34151434236925038</v>
      </c>
      <c r="V431" s="12"/>
      <c r="X431" s="2" cm="1">
        <f t="array" aca="1" ref="X431" ca="1">MMULT(MMULT(_xlfn.ANCHORARRAY(Q431),$Q$9:$U$13),TRANSPOSE(_xlfn.ANCHORARRAY(Q431)))</f>
        <v>2.5016731061878138E-4</v>
      </c>
      <c r="Y431" s="2">
        <f t="shared" ca="1" si="18"/>
        <v>1.5816678242247372E-2</v>
      </c>
      <c r="Z431" s="2" cm="1">
        <f t="array" aca="1" ref="Z431" ca="1">MMULT(_xlfn.ANCHORARRAY(Q431),TRANSPOSE($Q$3:$U$3))</f>
        <v>8.0998967809291114E-4</v>
      </c>
      <c r="AA431" s="11">
        <f ca="1">AVEDEV(Q431*$Q$3,R431*$R$3,S431*$S$3,T431*$T$3,U431*$U$3)</f>
        <v>4.9945711236541434E-5</v>
      </c>
      <c r="AB431" s="11" cm="1">
        <f t="array" aca="1" ref="AB431" ca="1">MMULT(_xlfn.ANCHORARRAY(Q431),TRANSPOSE($Q$6:$U$6))</f>
        <v>-2.198954223123719E-2</v>
      </c>
      <c r="AD431" s="2" t="s">
        <v>422</v>
      </c>
      <c r="AE431" s="10" cm="1">
        <f t="array" aca="1" ref="AE431:AI431" ca="1">_xlfn.LET(_xlpm.array,_xlfn.RANDARRAY(1,COLUMNS(_xlfn.ANCHORARRAY(Q430)),-1,1,FALSE),_xlpm.array/SUM(_xlpm.array))</f>
        <v>-1.67657156791443</v>
      </c>
      <c r="AF431" s="10">
        <f ca="1"/>
        <v>-5.3243249753154513</v>
      </c>
      <c r="AG431" s="10">
        <f ca="1"/>
        <v>-0.57366944708086365</v>
      </c>
      <c r="AH431" s="10">
        <f ca="1"/>
        <v>6.7863043165644044</v>
      </c>
      <c r="AI431" s="10">
        <f ca="1"/>
        <v>1.788261673746341</v>
      </c>
      <c r="AJ431" s="1"/>
      <c r="AK431" s="2" cm="1">
        <f t="array" aca="1" ref="AK431" ca="1">MMULT(MMULT(_xlfn.ANCHORARRAY(AE431),$Q$9:$U$13),TRANSPOSE(_xlfn.ANCHORARRAY(AE431)))</f>
        <v>1.4640011443727716E-2</v>
      </c>
      <c r="AL431" s="2">
        <f t="shared" ca="1" si="19"/>
        <v>0.12099591498777021</v>
      </c>
      <c r="AM431" s="2" cm="1">
        <f t="array" aca="1" ref="AM431" ca="1">MMULT(_xlfn.ANCHORARRAY(AE432),TRANSPOSE($Q$3:$U$3))</f>
        <v>-3.6370174458274325E-4</v>
      </c>
    </row>
    <row r="432" spans="1:39" x14ac:dyDescent="0.35">
      <c r="A432" s="3">
        <v>44455</v>
      </c>
      <c r="B432" s="4">
        <v>36.158924102783203</v>
      </c>
      <c r="C432" s="4">
        <v>81.073669433593693</v>
      </c>
      <c r="D432" s="4">
        <v>46.908576965332003</v>
      </c>
      <c r="E432" s="4">
        <v>16.628211975097599</v>
      </c>
      <c r="F432" s="4">
        <v>294.11508178710898</v>
      </c>
      <c r="I432" s="5">
        <f>B432/B431-1</f>
        <v>7.7233117993062983E-3</v>
      </c>
      <c r="J432" s="5">
        <f>C432/C431-1</f>
        <v>-9.3645522987408913E-3</v>
      </c>
      <c r="K432" s="5">
        <f>D432/D431-1</f>
        <v>9.5579925161632939E-3</v>
      </c>
      <c r="L432" s="5">
        <f>E432/E431-1</f>
        <v>-2.2522530098340598E-2</v>
      </c>
      <c r="M432" s="5">
        <f>F432/F431-1</f>
        <v>1.3122169266017725E-3</v>
      </c>
      <c r="N432" s="5">
        <f>SUMPRODUCT(I432:M432,$AJ$13:$AN$13)</f>
        <v>-7.03575837120104E-3</v>
      </c>
      <c r="P432" s="2" t="s">
        <v>423</v>
      </c>
      <c r="Q432" s="10" cm="1">
        <f t="array" aca="1" ref="Q432:U432" ca="1">_xlfn.LET(_xlpm.array,_xlfn.RANDARRAY(1,COLUMNS(_xlfn.ANCHORARRAY(Q431)),0,1,FALSE),_xlpm.array/SUM(_xlpm.array))</f>
        <v>0.26371460930887192</v>
      </c>
      <c r="R432" s="2">
        <f ca="1"/>
        <v>6.6416732855961516E-2</v>
      </c>
      <c r="S432" s="2">
        <f ca="1"/>
        <v>0.27199683109803607</v>
      </c>
      <c r="T432" s="2">
        <f ca="1"/>
        <v>0.25744209218191738</v>
      </c>
      <c r="U432" s="2">
        <f ca="1"/>
        <v>0.14042973455521335</v>
      </c>
      <c r="V432" s="12"/>
      <c r="X432" s="2" cm="1">
        <f t="array" aca="1" ref="X432" ca="1">MMULT(MMULT(_xlfn.ANCHORARRAY(Q432),$Q$9:$U$13),TRANSPOSE(_xlfn.ANCHORARRAY(Q432)))</f>
        <v>3.0472800390393706E-4</v>
      </c>
      <c r="Y432" s="2">
        <f t="shared" ca="1" si="18"/>
        <v>1.7456460234077729E-2</v>
      </c>
      <c r="Z432" s="2" cm="1">
        <f t="array" aca="1" ref="Z432" ca="1">MMULT(_xlfn.ANCHORARRAY(Q432),TRANSPOSE($Q$3:$U$3))</f>
        <v>9.9467058556368003E-4</v>
      </c>
      <c r="AA432" s="11">
        <f ca="1">AVEDEV(Q432*$Q$3,R432*$R$3,S432*$S$3,T432*$T$3,U432*$U$3)</f>
        <v>1.2274483213598462E-4</v>
      </c>
      <c r="AB432" s="11" cm="1">
        <f t="array" aca="1" ref="AB432" ca="1">MMULT(_xlfn.ANCHORARRAY(Q432),TRANSPOSE($Q$6:$U$6))</f>
        <v>-2.3756322207618603E-2</v>
      </c>
      <c r="AD432" s="2" t="s">
        <v>423</v>
      </c>
      <c r="AE432" s="10" cm="1">
        <f t="array" aca="1" ref="AE432:AI432" ca="1">_xlfn.LET(_xlpm.array,_xlfn.RANDARRAY(1,COLUMNS(_xlfn.ANCHORARRAY(Q431)),-1,1,FALSE),_xlpm.array/SUM(_xlpm.array))</f>
        <v>-1.3410445589303319</v>
      </c>
      <c r="AF432" s="10">
        <f ca="1"/>
        <v>3.8143719063541259</v>
      </c>
      <c r="AG432" s="10">
        <f ca="1"/>
        <v>-0.37768598156556676</v>
      </c>
      <c r="AH432" s="10">
        <f ca="1"/>
        <v>-3.957560722383072</v>
      </c>
      <c r="AI432" s="10">
        <f ca="1"/>
        <v>2.8619193565248446</v>
      </c>
      <c r="AJ432" s="1"/>
      <c r="AK432" s="2" cm="1">
        <f t="array" aca="1" ref="AK432" ca="1">MMULT(MMULT(_xlfn.ANCHORARRAY(AE432),$Q$9:$U$13),TRANSPOSE(_xlfn.ANCHORARRAY(AE432)))</f>
        <v>6.9873490987266314E-3</v>
      </c>
      <c r="AL432" s="2">
        <f t="shared" ca="1" si="19"/>
        <v>8.3590364867768288E-2</v>
      </c>
      <c r="AM432" s="2" cm="1">
        <f t="array" aca="1" ref="AM432" ca="1">MMULT(_xlfn.ANCHORARRAY(AE433),TRANSPOSE($Q$3:$U$3))</f>
        <v>1.1120516716847048E-3</v>
      </c>
    </row>
    <row r="433" spans="1:39" x14ac:dyDescent="0.35">
      <c r="A433" s="3">
        <v>44456</v>
      </c>
      <c r="B433" s="4">
        <v>36.203605651855398</v>
      </c>
      <c r="C433" s="4">
        <v>80.607139587402301</v>
      </c>
      <c r="D433" s="4">
        <v>46.506103515625</v>
      </c>
      <c r="E433" s="4">
        <v>16.1963081359863</v>
      </c>
      <c r="F433" s="4">
        <v>288.959716796875</v>
      </c>
      <c r="I433" s="5">
        <f>B433/B432-1</f>
        <v>1.2356990751489771E-3</v>
      </c>
      <c r="J433" s="5">
        <f>C433/C432-1</f>
        <v>-5.7543941140288934E-3</v>
      </c>
      <c r="K433" s="5">
        <f>D433/D432-1</f>
        <v>-8.5799543653701793E-3</v>
      </c>
      <c r="L433" s="5">
        <f>E433/E432-1</f>
        <v>-2.5974160045476813E-2</v>
      </c>
      <c r="M433" s="5">
        <f>F433/F432-1</f>
        <v>-1.7528393848111556E-2</v>
      </c>
      <c r="N433" s="5">
        <f>SUMPRODUCT(I433:M433,$AJ$13:$AN$13)</f>
        <v>-2.2628087746504474E-2</v>
      </c>
      <c r="P433" s="2" t="s">
        <v>424</v>
      </c>
      <c r="Q433" s="10" cm="1">
        <f t="array" aca="1" ref="Q433:U433" ca="1">_xlfn.LET(_xlpm.array,_xlfn.RANDARRAY(1,COLUMNS(_xlfn.ANCHORARRAY(Q432)),0,1,FALSE),_xlpm.array/SUM(_xlpm.array))</f>
        <v>0.36161812092073231</v>
      </c>
      <c r="R433" s="2">
        <f ca="1"/>
        <v>6.6392736960245585E-2</v>
      </c>
      <c r="S433" s="2">
        <f ca="1"/>
        <v>8.047451521510722E-2</v>
      </c>
      <c r="T433" s="2">
        <f ca="1"/>
        <v>0.25969925639305519</v>
      </c>
      <c r="U433" s="2">
        <f ca="1"/>
        <v>0.23181537051085963</v>
      </c>
      <c r="V433" s="12"/>
      <c r="X433" s="2" cm="1">
        <f t="array" aca="1" ref="X433" ca="1">MMULT(MMULT(_xlfn.ANCHORARRAY(Q433),$Q$9:$U$13),TRANSPOSE(_xlfn.ANCHORARRAY(Q433)))</f>
        <v>2.7219573239211997E-4</v>
      </c>
      <c r="Y433" s="2">
        <f t="shared" ca="1" si="18"/>
        <v>1.6498355445077547E-2</v>
      </c>
      <c r="Z433" s="2" cm="1">
        <f t="array" aca="1" ref="Z433" ca="1">MMULT(_xlfn.ANCHORARRAY(Q433),TRANSPOSE($Q$3:$U$3))</f>
        <v>8.0558237629685273E-4</v>
      </c>
      <c r="AA433" s="11">
        <f ca="1">AVEDEV(Q433*$Q$3,R433*$R$3,S433*$S$3,T433*$T$3,U433*$U$3)</f>
        <v>5.7223882589857946E-5</v>
      </c>
      <c r="AB433" s="11" cm="1">
        <f t="array" aca="1" ref="AB433" ca="1">MMULT(_xlfn.ANCHORARRAY(Q433),TRANSPOSE($Q$6:$U$6))</f>
        <v>-2.2567703874505969E-2</v>
      </c>
      <c r="AD433" s="2" t="s">
        <v>424</v>
      </c>
      <c r="AE433" s="10" cm="1">
        <f t="array" aca="1" ref="AE433:AI433" ca="1">_xlfn.LET(_xlpm.array,_xlfn.RANDARRAY(1,COLUMNS(_xlfn.ANCHORARRAY(Q432)),-1,1,FALSE),_xlpm.array/SUM(_xlpm.array))</f>
        <v>0.24598657854798256</v>
      </c>
      <c r="AF433" s="10">
        <f ca="1"/>
        <v>0.11590395230319239</v>
      </c>
      <c r="AG433" s="10">
        <f ca="1"/>
        <v>0.39556953112161497</v>
      </c>
      <c r="AH433" s="10">
        <f ca="1"/>
        <v>0.29007065941117199</v>
      </c>
      <c r="AI433" s="10">
        <f ca="1"/>
        <v>-4.7530721383961971E-2</v>
      </c>
      <c r="AJ433" s="1"/>
      <c r="AK433" s="2" cm="1">
        <f t="array" aca="1" ref="AK433" ca="1">MMULT(MMULT(_xlfn.ANCHORARRAY(AE433),$Q$9:$U$13),TRANSPOSE(_xlfn.ANCHORARRAY(AE433)))</f>
        <v>3.8340434771100236E-4</v>
      </c>
      <c r="AL433" s="2">
        <f t="shared" ca="1" si="19"/>
        <v>1.9580713667050095E-2</v>
      </c>
      <c r="AM433" s="2" cm="1">
        <f t="array" aca="1" ref="AM433" ca="1">MMULT(_xlfn.ANCHORARRAY(AE434),TRANSPOSE($Q$3:$U$3))</f>
        <v>8.4762686104486679E-4</v>
      </c>
    </row>
    <row r="434" spans="1:39" x14ac:dyDescent="0.35">
      <c r="A434" s="3">
        <v>44459</v>
      </c>
      <c r="B434" s="4">
        <v>34.961063385009702</v>
      </c>
      <c r="C434" s="4">
        <v>78.957672119140597</v>
      </c>
      <c r="D434" s="4">
        <v>46.6633911132812</v>
      </c>
      <c r="E434" s="4">
        <v>16.112714767456001</v>
      </c>
      <c r="F434" s="4">
        <v>283.59234619140602</v>
      </c>
      <c r="I434" s="5">
        <f>B434/B433-1</f>
        <v>-3.4320953520330266E-2</v>
      </c>
      <c r="J434" s="5">
        <f>C434/C433-1</f>
        <v>-2.0463044299856237E-2</v>
      </c>
      <c r="K434" s="5">
        <f>D434/D433-1</f>
        <v>3.3820850547789938E-3</v>
      </c>
      <c r="L434" s="5">
        <f>E434/E433-1</f>
        <v>-5.1612606915376613E-3</v>
      </c>
      <c r="M434" s="5">
        <f>F434/F433-1</f>
        <v>-1.8574805737513911E-2</v>
      </c>
      <c r="N434" s="5">
        <f>SUMPRODUCT(I434:M434,$AJ$13:$AN$13)</f>
        <v>3.7409696036054966E-3</v>
      </c>
      <c r="P434" s="2" t="s">
        <v>425</v>
      </c>
      <c r="Q434" s="10" cm="1">
        <f t="array" aca="1" ref="Q434:U434" ca="1">_xlfn.LET(_xlpm.array,_xlfn.RANDARRAY(1,COLUMNS(_xlfn.ANCHORARRAY(Q433)),0,1,FALSE),_xlpm.array/SUM(_xlpm.array))</f>
        <v>0.24281857400891094</v>
      </c>
      <c r="R434" s="2">
        <f ca="1"/>
        <v>0.23973474947550691</v>
      </c>
      <c r="S434" s="2">
        <f ca="1"/>
        <v>0.2045714171716714</v>
      </c>
      <c r="T434" s="2">
        <f ca="1"/>
        <v>0.19595945310232291</v>
      </c>
      <c r="U434" s="2">
        <f ca="1"/>
        <v>0.11691580624158789</v>
      </c>
      <c r="V434" s="12"/>
      <c r="X434" s="2" cm="1">
        <f t="array" aca="1" ref="X434" ca="1">MMULT(MMULT(_xlfn.ANCHORARRAY(Q434),$Q$9:$U$13),TRANSPOSE(_xlfn.ANCHORARRAY(Q434)))</f>
        <v>2.9563273513999699E-4</v>
      </c>
      <c r="Y434" s="2">
        <f t="shared" ca="1" si="18"/>
        <v>1.7193973803050794E-2</v>
      </c>
      <c r="Z434" s="2" cm="1">
        <f t="array" aca="1" ref="Z434" ca="1">MMULT(_xlfn.ANCHORARRAY(Q434),TRANSPOSE($Q$3:$U$3))</f>
        <v>9.2031847842808886E-4</v>
      </c>
      <c r="AA434" s="11">
        <f ca="1">AVEDEV(Q434*$Q$3,R434*$R$3,S434*$S$3,T434*$T$3,U434*$U$3)</f>
        <v>6.5716912701875631E-5</v>
      </c>
      <c r="AB434" s="11" cm="1">
        <f t="array" aca="1" ref="AB434" ca="1">MMULT(_xlfn.ANCHORARRAY(Q434),TRANSPOSE($Q$6:$U$6))</f>
        <v>-2.3023851121358525E-2</v>
      </c>
      <c r="AD434" s="2" t="s">
        <v>425</v>
      </c>
      <c r="AE434" s="10" cm="1">
        <f t="array" aca="1" ref="AE434:AI434" ca="1">_xlfn.LET(_xlpm.array,_xlfn.RANDARRAY(1,COLUMNS(_xlfn.ANCHORARRAY(Q433)),-1,1,FALSE),_xlpm.array/SUM(_xlpm.array))</f>
        <v>0.28047834045590242</v>
      </c>
      <c r="AF434" s="10">
        <f ca="1"/>
        <v>0.19353028521397159</v>
      </c>
      <c r="AG434" s="10">
        <f ca="1"/>
        <v>0.12997969786442357</v>
      </c>
      <c r="AH434" s="10">
        <f ca="1"/>
        <v>0.19384877569765951</v>
      </c>
      <c r="AI434" s="10">
        <f ca="1"/>
        <v>0.20216290076804286</v>
      </c>
      <c r="AJ434" s="1"/>
      <c r="AK434" s="2" cm="1">
        <f t="array" aca="1" ref="AK434" ca="1">MMULT(MMULT(_xlfn.ANCHORARRAY(AE434),$Q$9:$U$13),TRANSPOSE(_xlfn.ANCHORARRAY(AE434)))</f>
        <v>2.7220810807119503E-4</v>
      </c>
      <c r="AL434" s="2">
        <f t="shared" ca="1" si="19"/>
        <v>1.6498730498774594E-2</v>
      </c>
      <c r="AM434" s="2" cm="1">
        <f t="array" aca="1" ref="AM434" ca="1">MMULT(_xlfn.ANCHORARRAY(AE435),TRANSPOSE($Q$3:$U$3))</f>
        <v>1.3581385173613075E-3</v>
      </c>
    </row>
    <row r="435" spans="1:39" x14ac:dyDescent="0.35">
      <c r="A435" s="3">
        <v>44460</v>
      </c>
      <c r="B435" s="4">
        <v>34.9789428710937</v>
      </c>
      <c r="C435" s="4">
        <v>79.0159912109375</v>
      </c>
      <c r="D435" s="4">
        <v>45.955593109130803</v>
      </c>
      <c r="E435" s="4">
        <v>16.231138229370099</v>
      </c>
      <c r="F435" s="4">
        <v>284.07415771484301</v>
      </c>
      <c r="I435" s="5">
        <f>B435/B434-1</f>
        <v>5.114113917845664E-4</v>
      </c>
      <c r="J435" s="5">
        <f>C435/C434-1</f>
        <v>7.3861209723746768E-4</v>
      </c>
      <c r="K435" s="5">
        <f>D435/D434-1</f>
        <v>-1.5168164748938451E-2</v>
      </c>
      <c r="L435" s="5">
        <f>E435/E434-1</f>
        <v>7.349690205730397E-3</v>
      </c>
      <c r="M435" s="5">
        <f>F435/F434-1</f>
        <v>1.6989581344759586E-3</v>
      </c>
      <c r="N435" s="5">
        <f>SUMPRODUCT(I435:M435,$AJ$13:$AN$13)</f>
        <v>-4.0680326944321603E-3</v>
      </c>
      <c r="P435" s="2" t="s">
        <v>426</v>
      </c>
      <c r="Q435" s="10" cm="1">
        <f t="array" aca="1" ref="Q435:U435" ca="1">_xlfn.LET(_xlpm.array,_xlfn.RANDARRAY(1,COLUMNS(_xlfn.ANCHORARRAY(Q434)),0,1,FALSE),_xlpm.array/SUM(_xlpm.array))</f>
        <v>0.22168947968564778</v>
      </c>
      <c r="R435" s="2">
        <f ca="1"/>
        <v>0.16787159817882</v>
      </c>
      <c r="S435" s="2">
        <f ca="1"/>
        <v>0.13373810616368884</v>
      </c>
      <c r="T435" s="2">
        <f ca="1"/>
        <v>0.31660206490696408</v>
      </c>
      <c r="U435" s="2">
        <f ca="1"/>
        <v>0.1600987510648792</v>
      </c>
      <c r="V435" s="12"/>
      <c r="X435" s="2" cm="1">
        <f t="array" aca="1" ref="X435" ca="1">MMULT(MMULT(_xlfn.ANCHORARRAY(Q435),$Q$9:$U$13),TRANSPOSE(_xlfn.ANCHORARRAY(Q435)))</f>
        <v>2.8790506012949023E-4</v>
      </c>
      <c r="Y435" s="2">
        <f t="shared" ca="1" si="18"/>
        <v>1.6967765325153757E-2</v>
      </c>
      <c r="Z435" s="2" cm="1">
        <f t="array" aca="1" ref="Z435" ca="1">MMULT(_xlfn.ANCHORARRAY(Q435),TRANSPOSE($Q$3:$U$3))</f>
        <v>8.9834826308174615E-4</v>
      </c>
      <c r="AA435" s="11">
        <f ca="1">AVEDEV(Q435*$Q$3,R435*$R$3,S435*$S$3,T435*$T$3,U435*$U$3)</f>
        <v>7.2519029802109539E-5</v>
      </c>
      <c r="AB435" s="11" cm="1">
        <f t="array" aca="1" ref="AB435" ca="1">MMULT(_xlfn.ANCHORARRAY(Q435),TRANSPOSE($Q$6:$U$6))</f>
        <v>-2.3068802608747749E-2</v>
      </c>
      <c r="AD435" s="2" t="s">
        <v>426</v>
      </c>
      <c r="AE435" s="10" cm="1">
        <f t="array" aca="1" ref="AE435:AI435" ca="1">_xlfn.LET(_xlpm.array,_xlfn.RANDARRAY(1,COLUMNS(_xlfn.ANCHORARRAY(Q434)),-1,1,FALSE),_xlpm.array/SUM(_xlpm.array))</f>
        <v>0.29883732697766996</v>
      </c>
      <c r="AF435" s="10">
        <f ca="1"/>
        <v>-0.22001935226789412</v>
      </c>
      <c r="AG435" s="10">
        <f ca="1"/>
        <v>0.62119854840794864</v>
      </c>
      <c r="AH435" s="10">
        <f ca="1"/>
        <v>0.50105235048851726</v>
      </c>
      <c r="AI435" s="10">
        <f ca="1"/>
        <v>-0.20106887360624176</v>
      </c>
      <c r="AJ435" s="1"/>
      <c r="AK435" s="2" cm="1">
        <f t="array" aca="1" ref="AK435" ca="1">MMULT(MMULT(_xlfn.ANCHORARRAY(AE435),$Q$9:$U$13),TRANSPOSE(_xlfn.ANCHORARRAY(AE435)))</f>
        <v>5.7038630098684155E-4</v>
      </c>
      <c r="AL435" s="2">
        <f t="shared" ca="1" si="19"/>
        <v>2.3882761586274767E-2</v>
      </c>
      <c r="AM435" s="2" cm="1">
        <f t="array" aca="1" ref="AM435" ca="1">MMULT(_xlfn.ANCHORARRAY(AE436),TRANSPOSE($Q$3:$U$3))</f>
        <v>6.5023925289180216E-4</v>
      </c>
    </row>
    <row r="436" spans="1:39" x14ac:dyDescent="0.35">
      <c r="A436" s="3">
        <v>44461</v>
      </c>
      <c r="B436" s="4">
        <v>35.881797790527301</v>
      </c>
      <c r="C436" s="4">
        <v>81.340232849121094</v>
      </c>
      <c r="D436" s="4">
        <v>45.9232177734375</v>
      </c>
      <c r="E436" s="4">
        <v>16.732702255248999</v>
      </c>
      <c r="F436" s="4">
        <v>287.71658325195301</v>
      </c>
      <c r="I436" s="5">
        <f>B436/B435-1</f>
        <v>2.5811383801987775E-2</v>
      </c>
      <c r="J436" s="5">
        <f>C436/C435-1</f>
        <v>2.9414826069559918E-2</v>
      </c>
      <c r="K436" s="5">
        <f>D436/D435-1</f>
        <v>-7.0449173871878212E-4</v>
      </c>
      <c r="L436" s="5">
        <f>E436/E435-1</f>
        <v>3.0901346460799894E-2</v>
      </c>
      <c r="M436" s="5">
        <f>F436/F435-1</f>
        <v>1.2822093943393176E-2</v>
      </c>
      <c r="N436" s="5">
        <f>SUMPRODUCT(I436:M436,$AJ$13:$AN$13)</f>
        <v>9.9265369372497324E-3</v>
      </c>
      <c r="P436" s="2" t="s">
        <v>427</v>
      </c>
      <c r="Q436" s="10" cm="1">
        <f t="array" aca="1" ref="Q436:U436" ca="1">_xlfn.LET(_xlpm.array,_xlfn.RANDARRAY(1,COLUMNS(_xlfn.ANCHORARRAY(Q435)),0,1,FALSE),_xlpm.array/SUM(_xlpm.array))</f>
        <v>0.19353963120861739</v>
      </c>
      <c r="R436" s="2">
        <f ca="1"/>
        <v>0.24475570866503768</v>
      </c>
      <c r="S436" s="2">
        <f ca="1"/>
        <v>0.19317814698455432</v>
      </c>
      <c r="T436" s="2">
        <f ca="1"/>
        <v>0.27198918352631313</v>
      </c>
      <c r="U436" s="2">
        <f ca="1"/>
        <v>9.6537329615477563E-2</v>
      </c>
      <c r="V436" s="12"/>
      <c r="X436" s="2" cm="1">
        <f t="array" aca="1" ref="X436" ca="1">MMULT(MMULT(_xlfn.ANCHORARRAY(Q436),$Q$9:$U$13),TRANSPOSE(_xlfn.ANCHORARRAY(Q436)))</f>
        <v>3.0475515728583966E-4</v>
      </c>
      <c r="Y436" s="2">
        <f t="shared" ca="1" si="18"/>
        <v>1.7457237962685841E-2</v>
      </c>
      <c r="Z436" s="2" cm="1">
        <f t="array" aca="1" ref="Z436" ca="1">MMULT(_xlfn.ANCHORARRAY(Q436),TRANSPOSE($Q$3:$U$3))</f>
        <v>9.4252318065949172E-4</v>
      </c>
      <c r="AA436" s="11">
        <f ca="1">AVEDEV(Q436*$Q$3,R436*$R$3,S436*$S$3,T436*$T$3,U436*$U$3)</f>
        <v>8.583239841006232E-5</v>
      </c>
      <c r="AB436" s="11" cm="1">
        <f t="array" aca="1" ref="AB436" ca="1">MMULT(_xlfn.ANCHORARRAY(Q436),TRANSPOSE($Q$6:$U$6))</f>
        <v>-2.3256044824212372E-2</v>
      </c>
      <c r="AD436" s="2" t="s">
        <v>427</v>
      </c>
      <c r="AE436" s="10" cm="1">
        <f t="array" aca="1" ref="AE436:AI436" ca="1">_xlfn.LET(_xlpm.array,_xlfn.RANDARRAY(1,COLUMNS(_xlfn.ANCHORARRAY(Q435)),-1,1,FALSE),_xlpm.array/SUM(_xlpm.array))</f>
        <v>-0.34394130225791664</v>
      </c>
      <c r="AF436" s="10">
        <f ca="1"/>
        <v>0.68603316050208862</v>
      </c>
      <c r="AG436" s="10">
        <f ca="1"/>
        <v>-0.54803542164929187</v>
      </c>
      <c r="AH436" s="10">
        <f ca="1"/>
        <v>1.1361332626600162</v>
      </c>
      <c r="AI436" s="10">
        <f ca="1"/>
        <v>6.9810300745103707E-2</v>
      </c>
      <c r="AJ436" s="1"/>
      <c r="AK436" s="2" cm="1">
        <f t="array" aca="1" ref="AK436" ca="1">MMULT(MMULT(_xlfn.ANCHORARRAY(AE436),$Q$9:$U$13),TRANSPOSE(_xlfn.ANCHORARRAY(AE436)))</f>
        <v>1.2151139778879619E-3</v>
      </c>
      <c r="AL436" s="2">
        <f t="shared" ca="1" si="19"/>
        <v>3.4858485019977015E-2</v>
      </c>
      <c r="AM436" s="2" cm="1">
        <f t="array" aca="1" ref="AM436" ca="1">MMULT(_xlfn.ANCHORARRAY(AE437),TRANSPOSE($Q$3:$U$3))</f>
        <v>-9.8863858152094231E-4</v>
      </c>
    </row>
    <row r="437" spans="1:39" x14ac:dyDescent="0.35">
      <c r="A437" s="3">
        <v>44462</v>
      </c>
      <c r="B437" s="4">
        <v>37.267360687255803</v>
      </c>
      <c r="C437" s="4">
        <v>83.356239318847599</v>
      </c>
      <c r="D437" s="4">
        <v>47.505336761474602</v>
      </c>
      <c r="E437" s="4">
        <v>16.767532348632798</v>
      </c>
      <c r="F437" s="4">
        <v>288.66091918945301</v>
      </c>
      <c r="I437" s="5">
        <f>B437/B436-1</f>
        <v>3.861464536468362E-2</v>
      </c>
      <c r="J437" s="5">
        <f>C437/C436-1</f>
        <v>2.4784862289071841E-2</v>
      </c>
      <c r="K437" s="5">
        <f>D437/D436-1</f>
        <v>3.4451396586417271E-2</v>
      </c>
      <c r="L437" s="5">
        <f>E437/E436-1</f>
        <v>2.0815581878219636E-3</v>
      </c>
      <c r="M437" s="5">
        <f>F437/F436-1</f>
        <v>3.2821741688522366E-3</v>
      </c>
      <c r="N437" s="5">
        <f>SUMPRODUCT(I437:M437,$AJ$13:$AN$13)</f>
        <v>8.0270523437941197E-3</v>
      </c>
      <c r="P437" s="2" t="s">
        <v>428</v>
      </c>
      <c r="Q437" s="10" cm="1">
        <f t="array" aca="1" ref="Q437:U437" ca="1">_xlfn.LET(_xlpm.array,_xlfn.RANDARRAY(1,COLUMNS(_xlfn.ANCHORARRAY(Q436)),0,1,FALSE),_xlpm.array/SUM(_xlpm.array))</f>
        <v>0.30256601050857246</v>
      </c>
      <c r="R437" s="2">
        <f ca="1"/>
        <v>0.21610567266266942</v>
      </c>
      <c r="S437" s="2">
        <f ca="1"/>
        <v>0.29072609077401712</v>
      </c>
      <c r="T437" s="2">
        <f ca="1"/>
        <v>0.15321921788085335</v>
      </c>
      <c r="U437" s="2">
        <f ca="1"/>
        <v>3.7383008173887636E-2</v>
      </c>
      <c r="V437" s="12"/>
      <c r="X437" s="2" cm="1">
        <f t="array" aca="1" ref="X437" ca="1">MMULT(MMULT(_xlfn.ANCHORARRAY(Q437),$Q$9:$U$13),TRANSPOSE(_xlfn.ANCHORARRAY(Q437)))</f>
        <v>3.2822155942276556E-4</v>
      </c>
      <c r="Y437" s="2">
        <f t="shared" ca="1" si="18"/>
        <v>1.8116886029965678E-2</v>
      </c>
      <c r="Z437" s="2" cm="1">
        <f t="array" aca="1" ref="Z437" ca="1">MMULT(_xlfn.ANCHORARRAY(Q437),TRANSPOSE($Q$3:$U$3))</f>
        <v>9.6885015020502718E-4</v>
      </c>
      <c r="AA437" s="11">
        <f ca="1">AVEDEV(Q437*$Q$3,R437*$R$3,S437*$S$3,T437*$T$3,U437*$U$3)</f>
        <v>1.113477464629324E-4</v>
      </c>
      <c r="AB437" s="11" cm="1">
        <f t="array" aca="1" ref="AB437" ca="1">MMULT(_xlfn.ANCHORARRAY(Q437),TRANSPOSE($Q$6:$U$6))</f>
        <v>-2.3490929885882122E-2</v>
      </c>
      <c r="AD437" s="2" t="s">
        <v>428</v>
      </c>
      <c r="AE437" s="10" cm="1">
        <f t="array" aca="1" ref="AE437:AI437" ca="1">_xlfn.LET(_xlpm.array,_xlfn.RANDARRAY(1,COLUMNS(_xlfn.ANCHORARRAY(Q436)),-1,1,FALSE),_xlpm.array/SUM(_xlpm.array))</f>
        <v>1.5744721674492785</v>
      </c>
      <c r="AF437" s="10">
        <f ca="1"/>
        <v>-0.94267256730760252</v>
      </c>
      <c r="AG437" s="10">
        <f ca="1"/>
        <v>-1.4613693154837049</v>
      </c>
      <c r="AH437" s="10">
        <f ca="1"/>
        <v>-0.49294549473415694</v>
      </c>
      <c r="AI437" s="10">
        <f ca="1"/>
        <v>2.3225152100761859</v>
      </c>
      <c r="AJ437" s="1"/>
      <c r="AK437" s="2" cm="1">
        <f t="array" aca="1" ref="AK437" ca="1">MMULT(MMULT(_xlfn.ANCHORARRAY(AE437),$Q$9:$U$13),TRANSPOSE(_xlfn.ANCHORARRAY(AE437)))</f>
        <v>3.1788352146848269E-3</v>
      </c>
      <c r="AL437" s="2">
        <f t="shared" ca="1" si="19"/>
        <v>5.6381160104105939E-2</v>
      </c>
      <c r="AM437" s="2" cm="1">
        <f t="array" aca="1" ref="AM437" ca="1">MMULT(_xlfn.ANCHORARRAY(AE438),TRANSPOSE($Q$3:$U$3))</f>
        <v>1.1024670819975561E-3</v>
      </c>
    </row>
    <row r="438" spans="1:39" x14ac:dyDescent="0.35">
      <c r="A438" s="3">
        <v>44463</v>
      </c>
      <c r="B438" s="4">
        <v>37.669635772705</v>
      </c>
      <c r="C438" s="4">
        <v>83.806091308593693</v>
      </c>
      <c r="D438" s="4">
        <v>48.055843353271399</v>
      </c>
      <c r="E438" s="4">
        <v>16.676973342895501</v>
      </c>
      <c r="F438" s="4">
        <v>288.45867919921801</v>
      </c>
      <c r="I438" s="5">
        <f>B438/B437-1</f>
        <v>1.0794300375201127E-2</v>
      </c>
      <c r="J438" s="5">
        <f>C438/C437-1</f>
        <v>5.3967404650461237E-3</v>
      </c>
      <c r="K438" s="5">
        <f>D438/D437-1</f>
        <v>1.1588310478902741E-2</v>
      </c>
      <c r="L438" s="5">
        <f>E438/E437-1</f>
        <v>-5.4008546907429178E-3</v>
      </c>
      <c r="M438" s="5">
        <f>F438/F437-1</f>
        <v>-7.0061437759871836E-4</v>
      </c>
      <c r="N438" s="5">
        <f>SUMPRODUCT(I438:M438,$AJ$13:$AN$13)</f>
        <v>-2.2567917770234595E-5</v>
      </c>
      <c r="P438" s="2" t="s">
        <v>429</v>
      </c>
      <c r="Q438" s="10" cm="1">
        <f t="array" aca="1" ref="Q438:U438" ca="1">_xlfn.LET(_xlpm.array,_xlfn.RANDARRAY(1,COLUMNS(_xlfn.ANCHORARRAY(Q437)),0,1,FALSE),_xlpm.array/SUM(_xlpm.array))</f>
        <v>0.24678930263063456</v>
      </c>
      <c r="R438" s="2">
        <f ca="1"/>
        <v>0.24688392667825526</v>
      </c>
      <c r="S438" s="2">
        <f ca="1"/>
        <v>0.30198660372155284</v>
      </c>
      <c r="T438" s="2">
        <f ca="1"/>
        <v>0.11951077093559061</v>
      </c>
      <c r="U438" s="2">
        <f ca="1"/>
        <v>8.4829396033966789E-2</v>
      </c>
      <c r="V438" s="12"/>
      <c r="X438" s="2" cm="1">
        <f t="array" aca="1" ref="X438" ca="1">MMULT(MMULT(_xlfn.ANCHORARRAY(Q438),$Q$9:$U$13),TRANSPOSE(_xlfn.ANCHORARRAY(Q438)))</f>
        <v>3.1928779009582115E-4</v>
      </c>
      <c r="Y438" s="2">
        <f t="shared" ca="1" si="18"/>
        <v>1.7868625859193011E-2</v>
      </c>
      <c r="Z438" s="2" cm="1">
        <f t="array" aca="1" ref="Z438" ca="1">MMULT(_xlfn.ANCHORARRAY(Q438),TRANSPOSE($Q$3:$U$3))</f>
        <v>9.8311683660588572E-4</v>
      </c>
      <c r="AA438" s="11">
        <f ca="1">AVEDEV(Q438*$Q$3,R438*$R$3,S438*$S$3,T438*$T$3,U438*$U$3)</f>
        <v>1.1752124424410917E-4</v>
      </c>
      <c r="AB438" s="11" cm="1">
        <f t="array" aca="1" ref="AB438" ca="1">MMULT(_xlfn.ANCHORARRAY(Q438),TRANSPOSE($Q$6:$U$6))</f>
        <v>-2.3332251974034861E-2</v>
      </c>
      <c r="AD438" s="2" t="s">
        <v>429</v>
      </c>
      <c r="AE438" s="10" cm="1">
        <f t="array" aca="1" ref="AE438:AI438" ca="1">_xlfn.LET(_xlpm.array,_xlfn.RANDARRAY(1,COLUMNS(_xlfn.ANCHORARRAY(Q437)),-1,1,FALSE),_xlpm.array/SUM(_xlpm.array))</f>
        <v>0.16259556660725236</v>
      </c>
      <c r="AF438" s="10">
        <f ca="1"/>
        <v>-0.23301714706598656</v>
      </c>
      <c r="AG438" s="10">
        <f ca="1"/>
        <v>0.41272097070223485</v>
      </c>
      <c r="AH438" s="10">
        <f ca="1"/>
        <v>6.4973136178558127E-2</v>
      </c>
      <c r="AI438" s="10">
        <f ca="1"/>
        <v>0.5927274735779412</v>
      </c>
      <c r="AJ438" s="1"/>
      <c r="AK438" s="2" cm="1">
        <f t="array" aca="1" ref="AK438" ca="1">MMULT(MMULT(_xlfn.ANCHORARRAY(AE438),$Q$9:$U$13),TRANSPOSE(_xlfn.ANCHORARRAY(AE438)))</f>
        <v>4.0293576002944475E-4</v>
      </c>
      <c r="AL438" s="2">
        <f t="shared" ca="1" si="19"/>
        <v>2.0073259825684635E-2</v>
      </c>
      <c r="AM438" s="2" cm="1">
        <f t="array" aca="1" ref="AM438" ca="1">MMULT(_xlfn.ANCHORARRAY(AE439),TRANSPOSE($Q$3:$U$3))</f>
        <v>1.2746001576167904E-3</v>
      </c>
    </row>
    <row r="439" spans="1:39" x14ac:dyDescent="0.35">
      <c r="A439" s="3">
        <v>44466</v>
      </c>
      <c r="B439" s="4">
        <v>38.670814514160099</v>
      </c>
      <c r="C439" s="4">
        <v>85.780433654785099</v>
      </c>
      <c r="D439" s="4">
        <v>48.513832092285099</v>
      </c>
      <c r="E439" s="4">
        <v>17.199436187744102</v>
      </c>
      <c r="F439" s="4">
        <v>283.467041015625</v>
      </c>
      <c r="I439" s="5">
        <f>B439/B438-1</f>
        <v>2.6577871564676503E-2</v>
      </c>
      <c r="J439" s="5">
        <f>C439/C438-1</f>
        <v>2.3558458763115686E-2</v>
      </c>
      <c r="K439" s="5">
        <f>D439/D438-1</f>
        <v>9.5303444296441775E-3</v>
      </c>
      <c r="L439" s="5">
        <f>E439/E438-1</f>
        <v>3.1328397192118329E-2</v>
      </c>
      <c r="M439" s="5">
        <f>F439/F438-1</f>
        <v>-1.7304517227389904E-2</v>
      </c>
      <c r="N439" s="5">
        <f>SUMPRODUCT(I439:M439,$AJ$13:$AN$13)</f>
        <v>5.3615915794942102E-3</v>
      </c>
      <c r="P439" s="2" t="s">
        <v>430</v>
      </c>
      <c r="Q439" s="10" cm="1">
        <f t="array" aca="1" ref="Q439:U439" ca="1">_xlfn.LET(_xlpm.array,_xlfn.RANDARRAY(1,COLUMNS(_xlfn.ANCHORARRAY(Q438)),0,1,FALSE),_xlpm.array/SUM(_xlpm.array))</f>
        <v>0.27020128256459147</v>
      </c>
      <c r="R439" s="2">
        <f ca="1"/>
        <v>0.19823134658954519</v>
      </c>
      <c r="S439" s="2">
        <f ca="1"/>
        <v>0.16380726193677342</v>
      </c>
      <c r="T439" s="2">
        <f ca="1"/>
        <v>0.31071921464088281</v>
      </c>
      <c r="U439" s="2">
        <f ca="1"/>
        <v>5.7040894268207187E-2</v>
      </c>
      <c r="V439" s="12"/>
      <c r="X439" s="2" cm="1">
        <f t="array" aca="1" ref="X439" ca="1">MMULT(MMULT(_xlfn.ANCHORARRAY(Q439),$Q$9:$U$13),TRANSPOSE(_xlfn.ANCHORARRAY(Q439)))</f>
        <v>3.14670759590527E-4</v>
      </c>
      <c r="Y439" s="2">
        <f t="shared" ca="1" si="18"/>
        <v>1.7738961626615212E-2</v>
      </c>
      <c r="Z439" s="2" cm="1">
        <f t="array" aca="1" ref="Z439" ca="1">MMULT(_xlfn.ANCHORARRAY(Q439),TRANSPOSE($Q$3:$U$3))</f>
        <v>9.0917219505612791E-4</v>
      </c>
      <c r="AA439" s="11">
        <f ca="1">AVEDEV(Q439*$Q$3,R439*$R$3,S439*$S$3,T439*$T$3,U439*$U$3)</f>
        <v>8.7916125341096799E-5</v>
      </c>
      <c r="AB439" s="11" cm="1">
        <f t="array" aca="1" ref="AB439" ca="1">MMULT(_xlfn.ANCHORARRAY(Q439),TRANSPOSE($Q$6:$U$6))</f>
        <v>-2.333633851349156E-2</v>
      </c>
      <c r="AD439" s="2" t="s">
        <v>430</v>
      </c>
      <c r="AE439" s="10" cm="1">
        <f t="array" aca="1" ref="AE439:AI439" ca="1">_xlfn.LET(_xlpm.array,_xlfn.RANDARRAY(1,COLUMNS(_xlfn.ANCHORARRAY(Q438)),-1,1,FALSE),_xlpm.array/SUM(_xlpm.array))</f>
        <v>-0.36343699295606252</v>
      </c>
      <c r="AF439" s="10">
        <f ca="1"/>
        <v>0.51755826358662305</v>
      </c>
      <c r="AG439" s="10">
        <f ca="1"/>
        <v>0.39727873528593688</v>
      </c>
      <c r="AH439" s="10">
        <f ca="1"/>
        <v>0.36251285266138333</v>
      </c>
      <c r="AI439" s="10">
        <f ca="1"/>
        <v>8.6087141422119207E-2</v>
      </c>
      <c r="AJ439" s="1"/>
      <c r="AK439" s="2" cm="1">
        <f t="array" aca="1" ref="AK439" ca="1">MMULT(MMULT(_xlfn.ANCHORARRAY(AE439),$Q$9:$U$13),TRANSPOSE(_xlfn.ANCHORARRAY(AE439)))</f>
        <v>4.6134245755182006E-4</v>
      </c>
      <c r="AL439" s="2">
        <f t="shared" ca="1" si="19"/>
        <v>2.1478883992233397E-2</v>
      </c>
      <c r="AM439" s="2" cm="1">
        <f t="array" aca="1" ref="AM439" ca="1">MMULT(_xlfn.ANCHORARRAY(AE440),TRANSPOSE($Q$3:$U$3))</f>
        <v>2.2461135661165951E-3</v>
      </c>
    </row>
    <row r="440" spans="1:39" x14ac:dyDescent="0.35">
      <c r="A440" s="3">
        <v>44467</v>
      </c>
      <c r="B440" s="4">
        <v>38.5814208984375</v>
      </c>
      <c r="C440" s="4">
        <v>86.1053466796875</v>
      </c>
      <c r="D440" s="4">
        <v>48.708126068115199</v>
      </c>
      <c r="E440" s="4">
        <v>17.5268440246582</v>
      </c>
      <c r="F440" s="4">
        <v>273.20462036132801</v>
      </c>
      <c r="I440" s="5">
        <f>B440/B439-1</f>
        <v>-2.3116558791350661E-3</v>
      </c>
      <c r="J440" s="5">
        <f>C440/C439-1</f>
        <v>3.7877288684500243E-3</v>
      </c>
      <c r="K440" s="5">
        <f>D440/D439-1</f>
        <v>4.004919163270948E-3</v>
      </c>
      <c r="L440" s="5">
        <f>E440/E439-1</f>
        <v>1.9035963350205742E-2</v>
      </c>
      <c r="M440" s="5">
        <f>F440/F439-1</f>
        <v>-3.6203223547711549E-2</v>
      </c>
      <c r="N440" s="5">
        <f>SUMPRODUCT(I440:M440,$AJ$13:$AN$13)</f>
        <v>-5.6914227385367576E-4</v>
      </c>
      <c r="P440" s="2" t="s">
        <v>431</v>
      </c>
      <c r="Q440" s="10" cm="1">
        <f t="array" aca="1" ref="Q440:U440" ca="1">_xlfn.LET(_xlpm.array,_xlfn.RANDARRAY(1,COLUMNS(_xlfn.ANCHORARRAY(Q439)),0,1,FALSE),_xlpm.array/SUM(_xlpm.array))</f>
        <v>0.11838094326185584</v>
      </c>
      <c r="R440" s="2">
        <f ca="1"/>
        <v>0.22331542390119838</v>
      </c>
      <c r="S440" s="2">
        <f ca="1"/>
        <v>6.2059557456578263E-2</v>
      </c>
      <c r="T440" s="2">
        <f ca="1"/>
        <v>0.242465910141903</v>
      </c>
      <c r="U440" s="2">
        <f ca="1"/>
        <v>0.35377816523846461</v>
      </c>
      <c r="V440" s="12"/>
      <c r="X440" s="2" cm="1">
        <f t="array" aca="1" ref="X440" ca="1">MMULT(MMULT(_xlfn.ANCHORARRAY(Q440),$Q$9:$U$13),TRANSPOSE(_xlfn.ANCHORARRAY(Q440)))</f>
        <v>2.5331099164056174E-4</v>
      </c>
      <c r="Y440" s="2">
        <f t="shared" ca="1" si="18"/>
        <v>1.5915746656709567E-2</v>
      </c>
      <c r="Z440" s="2" cm="1">
        <f t="array" aca="1" ref="Z440" ca="1">MMULT(_xlfn.ANCHORARRAY(Q440),TRANSPOSE($Q$3:$U$3))</f>
        <v>8.4232098914929169E-4</v>
      </c>
      <c r="AA440" s="11">
        <f ca="1">AVEDEV(Q440*$Q$3,R440*$R$3,S440*$S$3,T440*$T$3,U440*$U$3)</f>
        <v>7.2547004484559366E-5</v>
      </c>
      <c r="AB440" s="11" cm="1">
        <f t="array" aca="1" ref="AB440" ca="1">MMULT(_xlfn.ANCHORARRAY(Q440),TRANSPOSE($Q$6:$U$6))</f>
        <v>-2.2065516055628974E-2</v>
      </c>
      <c r="AD440" s="2" t="s">
        <v>431</v>
      </c>
      <c r="AE440" s="10" cm="1">
        <f t="array" aca="1" ref="AE440:AI440" ca="1">_xlfn.LET(_xlpm.array,_xlfn.RANDARRAY(1,COLUMNS(_xlfn.ANCHORARRAY(Q439)),-1,1,FALSE),_xlpm.array/SUM(_xlpm.array))</f>
        <v>-1.7015051041541651</v>
      </c>
      <c r="AF440" s="10">
        <f ca="1"/>
        <v>0.91790554823800852</v>
      </c>
      <c r="AG440" s="10">
        <f ca="1"/>
        <v>1.1406069337628022</v>
      </c>
      <c r="AH440" s="10">
        <f ca="1"/>
        <v>0.37569530952446806</v>
      </c>
      <c r="AI440" s="10">
        <f ca="1"/>
        <v>0.26729731262888629</v>
      </c>
      <c r="AJ440" s="1"/>
      <c r="AK440" s="2" cm="1">
        <f t="array" aca="1" ref="AK440" ca="1">MMULT(MMULT(_xlfn.ANCHORARRAY(AE440),$Q$9:$U$13),TRANSPOSE(_xlfn.ANCHORARRAY(AE440)))</f>
        <v>1.7879679399872023E-3</v>
      </c>
      <c r="AL440" s="2">
        <f t="shared" ca="1" si="19"/>
        <v>4.2284369925389718E-2</v>
      </c>
      <c r="AM440" s="2" cm="1">
        <f t="array" aca="1" ref="AM440" ca="1">MMULT(_xlfn.ANCHORARRAY(AE441),TRANSPOSE($Q$3:$U$3))</f>
        <v>3.9997937739352383E-4</v>
      </c>
    </row>
    <row r="441" spans="1:39" x14ac:dyDescent="0.35">
      <c r="A441" s="3">
        <v>44468</v>
      </c>
      <c r="B441" s="4">
        <v>38.500972747802699</v>
      </c>
      <c r="C441" s="4">
        <v>86.080352783203097</v>
      </c>
      <c r="D441" s="4">
        <v>48.749759674072202</v>
      </c>
      <c r="E441" s="4">
        <v>17.303928375244102</v>
      </c>
      <c r="F441" s="4">
        <v>273.66711425781199</v>
      </c>
      <c r="I441" s="5">
        <f>B441/B440-1</f>
        <v>-2.0851526139116228E-3</v>
      </c>
      <c r="J441" s="5">
        <f>C441/C440-1</f>
        <v>-2.9027113237667379E-4</v>
      </c>
      <c r="K441" s="5">
        <f>D441/D440-1</f>
        <v>8.5475688181446685E-4</v>
      </c>
      <c r="L441" s="5">
        <f>E441/E440-1</f>
        <v>-1.2718527596895512E-2</v>
      </c>
      <c r="M441" s="5">
        <f>F441/F440-1</f>
        <v>1.6928480048115091E-3</v>
      </c>
      <c r="N441" s="5">
        <f>SUMPRODUCT(I441:M441,$AJ$13:$AN$13)</f>
        <v>-4.3197131884715962E-3</v>
      </c>
      <c r="P441" s="2" t="s">
        <v>432</v>
      </c>
      <c r="Q441" s="10" cm="1">
        <f t="array" aca="1" ref="Q441:U441" ca="1">_xlfn.LET(_xlpm.array,_xlfn.RANDARRAY(1,COLUMNS(_xlfn.ANCHORARRAY(Q440)),0,1,FALSE),_xlpm.array/SUM(_xlpm.array))</f>
        <v>1.2791479658547664E-2</v>
      </c>
      <c r="R441" s="2">
        <f ca="1"/>
        <v>0.13119824444800748</v>
      </c>
      <c r="S441" s="2">
        <f ca="1"/>
        <v>0.32898279300599909</v>
      </c>
      <c r="T441" s="2">
        <f ca="1"/>
        <v>0.26140585229729307</v>
      </c>
      <c r="U441" s="2">
        <f ca="1"/>
        <v>0.2656216305901527</v>
      </c>
      <c r="V441" s="12"/>
      <c r="X441" s="2" cm="1">
        <f t="array" aca="1" ref="X441" ca="1">MMULT(MMULT(_xlfn.ANCHORARRAY(Q441),$Q$9:$U$13),TRANSPOSE(_xlfn.ANCHORARRAY(Q441)))</f>
        <v>3.0986464788451353E-4</v>
      </c>
      <c r="Y441" s="2">
        <f t="shared" ca="1" si="18"/>
        <v>1.7602972700214971E-2</v>
      </c>
      <c r="Z441" s="2" cm="1">
        <f t="array" aca="1" ref="Z441" ca="1">MMULT(_xlfn.ANCHORARRAY(Q441),TRANSPOSE($Q$3:$U$3))</f>
        <v>1.106794027082399E-3</v>
      </c>
      <c r="AA441" s="11">
        <f ca="1">AVEDEV(Q441*$Q$3,R441*$R$3,S441*$S$3,T441*$T$3,U441*$U$3)</f>
        <v>1.4344295806072697E-4</v>
      </c>
      <c r="AB441" s="11" cm="1">
        <f t="array" aca="1" ref="AB441" ca="1">MMULT(_xlfn.ANCHORARRAY(Q441),TRANSPOSE($Q$6:$U$6))</f>
        <v>-2.3835643975396864E-2</v>
      </c>
      <c r="AD441" s="2" t="s">
        <v>432</v>
      </c>
      <c r="AE441" s="10" cm="1">
        <f t="array" aca="1" ref="AE441:AI441" ca="1">_xlfn.LET(_xlpm.array,_xlfn.RANDARRAY(1,COLUMNS(_xlfn.ANCHORARRAY(Q440)),-1,1,FALSE),_xlpm.array/SUM(_xlpm.array))</f>
        <v>0.56019123800057047</v>
      </c>
      <c r="AF441" s="10">
        <f ca="1"/>
        <v>0.47924016060733265</v>
      </c>
      <c r="AG441" s="10">
        <f ca="1"/>
        <v>-3.8800430787058075E-2</v>
      </c>
      <c r="AH441" s="10">
        <f ca="1"/>
        <v>-0.66676609368809792</v>
      </c>
      <c r="AI441" s="10">
        <f ca="1"/>
        <v>0.66613512586725299</v>
      </c>
      <c r="AJ441" s="1"/>
      <c r="AK441" s="2" cm="1">
        <f t="array" aca="1" ref="AK441" ca="1">MMULT(MMULT(_xlfn.ANCHORARRAY(AE441),$Q$9:$U$13),TRANSPOSE(_xlfn.ANCHORARRAY(AE441)))</f>
        <v>4.9278679946086203E-4</v>
      </c>
      <c r="AL441" s="2">
        <f t="shared" ca="1" si="19"/>
        <v>2.2198801757321543E-2</v>
      </c>
      <c r="AM441" s="2" cm="1">
        <f t="array" aca="1" ref="AM441" ca="1">MMULT(_xlfn.ANCHORARRAY(AE442),TRANSPOSE($Q$3:$U$3))</f>
        <v>4.1867866547184232E-3</v>
      </c>
    </row>
    <row r="442" spans="1:39" x14ac:dyDescent="0.35">
      <c r="A442" s="3">
        <v>44469</v>
      </c>
      <c r="B442" s="4">
        <v>37.946754455566399</v>
      </c>
      <c r="C442" s="4">
        <v>84.514205932617102</v>
      </c>
      <c r="D442" s="4">
        <v>48.129856109619098</v>
      </c>
      <c r="E442" s="4">
        <v>17.763696670532202</v>
      </c>
      <c r="F442" s="4">
        <v>271.662841796875</v>
      </c>
      <c r="I442" s="5">
        <f>B442/B441-1</f>
        <v>-1.4394916613319375E-2</v>
      </c>
      <c r="J442" s="5">
        <f>C442/C441-1</f>
        <v>-1.8194010595314336E-2</v>
      </c>
      <c r="K442" s="5">
        <f>D442/D441-1</f>
        <v>-1.2716033239909552E-2</v>
      </c>
      <c r="L442" s="5">
        <f>E442/E441-1</f>
        <v>2.6570168652909398E-2</v>
      </c>
      <c r="M442" s="5">
        <f>F442/F441-1</f>
        <v>-7.323760717003247E-3</v>
      </c>
      <c r="N442" s="5">
        <f>SUMPRODUCT(I442:M442,$AJ$13:$AN$13)</f>
        <v>8.1069893891212649E-3</v>
      </c>
      <c r="P442" s="2" t="s">
        <v>433</v>
      </c>
      <c r="Q442" s="10" cm="1">
        <f t="array" aca="1" ref="Q442:U442" ca="1">_xlfn.LET(_xlpm.array,_xlfn.RANDARRAY(1,COLUMNS(_xlfn.ANCHORARRAY(Q441)),0,1,FALSE),_xlpm.array/SUM(_xlpm.array))</f>
        <v>0.25424776083246564</v>
      </c>
      <c r="R442" s="2">
        <f ca="1"/>
        <v>0.27721716902521359</v>
      </c>
      <c r="S442" s="2">
        <f ca="1"/>
        <v>9.3101310784154095E-2</v>
      </c>
      <c r="T442" s="2">
        <f ca="1"/>
        <v>8.4772177429506698E-2</v>
      </c>
      <c r="U442" s="2">
        <f ca="1"/>
        <v>0.29066158192865998</v>
      </c>
      <c r="V442" s="12"/>
      <c r="X442" s="2" cm="1">
        <f t="array" aca="1" ref="X442" ca="1">MMULT(MMULT(_xlfn.ANCHORARRAY(Q442),$Q$9:$U$13),TRANSPOSE(_xlfn.ANCHORARRAY(Q442)))</f>
        <v>2.5817165292927918E-4</v>
      </c>
      <c r="Y442" s="2">
        <f t="shared" ca="1" si="18"/>
        <v>1.6067720838042934E-2</v>
      </c>
      <c r="Z442" s="2" cm="1">
        <f t="array" aca="1" ref="Z442" ca="1">MMULT(_xlfn.ANCHORARRAY(Q442),TRANSPOSE($Q$3:$U$3))</f>
        <v>7.9177020195450956E-4</v>
      </c>
      <c r="AA442" s="11">
        <f ca="1">AVEDEV(Q442*$Q$3,R442*$R$3,S442*$S$3,T442*$T$3,U442*$U$3)</f>
        <v>4.3216136727348296E-5</v>
      </c>
      <c r="AB442" s="11" cm="1">
        <f t="array" aca="1" ref="AB442" ca="1">MMULT(_xlfn.ANCHORARRAY(Q442),TRANSPOSE($Q$6:$U$6))</f>
        <v>-2.1715943332146378E-2</v>
      </c>
      <c r="AD442" s="2" t="s">
        <v>433</v>
      </c>
      <c r="AE442" s="10" cm="1">
        <f t="array" aca="1" ref="AE442:AI442" ca="1">_xlfn.LET(_xlpm.array,_xlfn.RANDARRAY(1,COLUMNS(_xlfn.ANCHORARRAY(Q441)),-1,1,FALSE),_xlpm.array/SUM(_xlpm.array))</f>
        <v>-5.8104117167228848</v>
      </c>
      <c r="AF442" s="10">
        <f ca="1"/>
        <v>1.0880179585444816</v>
      </c>
      <c r="AG442" s="10">
        <f ca="1"/>
        <v>3.2133150349487485</v>
      </c>
      <c r="AH442" s="10">
        <f ca="1"/>
        <v>-3.084985702163801</v>
      </c>
      <c r="AI442" s="10">
        <f ca="1"/>
        <v>5.5940644253934559</v>
      </c>
      <c r="AJ442" s="1"/>
      <c r="AK442" s="2" cm="1">
        <f t="array" aca="1" ref="AK442" ca="1">MMULT(MMULT(_xlfn.ANCHORARRAY(AE442),$Q$9:$U$13),TRANSPOSE(_xlfn.ANCHORARRAY(AE442)))</f>
        <v>2.8379753641907084E-2</v>
      </c>
      <c r="AL442" s="2">
        <f t="shared" ca="1" si="19"/>
        <v>0.16846291473765698</v>
      </c>
      <c r="AM442" s="2" cm="1">
        <f t="array" aca="1" ref="AM442" ca="1">MMULT(_xlfn.ANCHORARRAY(AE443),TRANSPOSE($Q$3:$U$3))</f>
        <v>7.238627750291101E-3</v>
      </c>
    </row>
    <row r="443" spans="1:39" x14ac:dyDescent="0.35">
      <c r="A443" s="3">
        <v>44470</v>
      </c>
      <c r="B443" s="4">
        <v>38.509910583496001</v>
      </c>
      <c r="C443" s="4">
        <v>86.913421630859304</v>
      </c>
      <c r="D443" s="4">
        <v>48.934799194335902</v>
      </c>
      <c r="E443" s="4">
        <v>18.327953338623001</v>
      </c>
      <c r="F443" s="4">
        <v>278.58157348632801</v>
      </c>
      <c r="I443" s="5">
        <f>B443/B442-1</f>
        <v>1.4840692860545568E-2</v>
      </c>
      <c r="J443" s="5">
        <f>C443/C442-1</f>
        <v>2.8388312612853461E-2</v>
      </c>
      <c r="K443" s="5">
        <f>D443/D442-1</f>
        <v>1.6724402476572697E-2</v>
      </c>
      <c r="L443" s="5">
        <f>E443/E442-1</f>
        <v>3.176459711940649E-2</v>
      </c>
      <c r="M443" s="5">
        <f>F443/F442-1</f>
        <v>2.546808258240274E-2</v>
      </c>
      <c r="N443" s="5">
        <f>SUMPRODUCT(I443:M443,$AJ$13:$AN$13)</f>
        <v>2.6835486080446749E-2</v>
      </c>
      <c r="P443" s="2" t="s">
        <v>434</v>
      </c>
      <c r="Q443" s="10" cm="1">
        <f t="array" aca="1" ref="Q443:U443" ca="1">_xlfn.LET(_xlpm.array,_xlfn.RANDARRAY(1,COLUMNS(_xlfn.ANCHORARRAY(Q442)),0,1,FALSE),_xlpm.array/SUM(_xlpm.array))</f>
        <v>0.45282876357036095</v>
      </c>
      <c r="R443" s="2">
        <f ca="1"/>
        <v>3.3965779707787462E-2</v>
      </c>
      <c r="S443" s="2">
        <f ca="1"/>
        <v>0.2283415995811188</v>
      </c>
      <c r="T443" s="2">
        <f ca="1"/>
        <v>0.15049651576932876</v>
      </c>
      <c r="U443" s="2">
        <f ca="1"/>
        <v>0.13436734137140399</v>
      </c>
      <c r="V443" s="12"/>
      <c r="X443" s="2" cm="1">
        <f t="array" aca="1" ref="X443" ca="1">MMULT(MMULT(_xlfn.ANCHORARRAY(Q443),$Q$9:$U$13),TRANSPOSE(_xlfn.ANCHORARRAY(Q443)))</f>
        <v>3.084134087565328E-4</v>
      </c>
      <c r="Y443" s="2">
        <f t="shared" ca="1" si="18"/>
        <v>1.7561702900246685E-2</v>
      </c>
      <c r="Z443" s="2" cm="1">
        <f t="array" aca="1" ref="Z443" ca="1">MMULT(_xlfn.ANCHORARRAY(Q443),TRANSPOSE($Q$3:$U$3))</f>
        <v>8.8229978477165805E-4</v>
      </c>
      <c r="AA443" s="11">
        <f ca="1">AVEDEV(Q443*$Q$3,R443*$R$3,S443*$S$3,T443*$T$3,U443*$U$3)</f>
        <v>9.9222216032316188E-5</v>
      </c>
      <c r="AB443" s="11" cm="1">
        <f t="array" aca="1" ref="AB443" ca="1">MMULT(_xlfn.ANCHORARRAY(Q443),TRANSPOSE($Q$6:$U$6))</f>
        <v>-2.3175943877372825E-2</v>
      </c>
      <c r="AD443" s="2" t="s">
        <v>434</v>
      </c>
      <c r="AE443" s="10" cm="1">
        <f t="array" aca="1" ref="AE443:AI443" ca="1">_xlfn.LET(_xlpm.array,_xlfn.RANDARRAY(1,COLUMNS(_xlfn.ANCHORARRAY(Q442)),-1,1,FALSE),_xlpm.array/SUM(_xlpm.array))</f>
        <v>8.1193556401322784</v>
      </c>
      <c r="AF443" s="10">
        <f ca="1"/>
        <v>25.32515586959768</v>
      </c>
      <c r="AG443" s="10">
        <f ca="1"/>
        <v>33.332364854979019</v>
      </c>
      <c r="AH443" s="10">
        <f ca="1"/>
        <v>-74.790722165849104</v>
      </c>
      <c r="AI443" s="10">
        <f ca="1"/>
        <v>9.0138458011401266</v>
      </c>
      <c r="AJ443" s="1"/>
      <c r="AK443" s="2" cm="1">
        <f t="array" aca="1" ref="AK443" ca="1">MMULT(MMULT(_xlfn.ANCHORARRAY(AE443),$Q$9:$U$13),TRANSPOSE(_xlfn.ANCHORARRAY(AE443)))</f>
        <v>2.5972010037158686</v>
      </c>
      <c r="AL443" s="2">
        <f t="shared" ca="1" si="19"/>
        <v>1.6115833840406362</v>
      </c>
      <c r="AM443" s="2" cm="1">
        <f t="array" aca="1" ref="AM443" ca="1">MMULT(_xlfn.ANCHORARRAY(AE444),TRANSPOSE($Q$3:$U$3))</f>
        <v>1.0190345475099732E-3</v>
      </c>
    </row>
    <row r="444" spans="1:39" x14ac:dyDescent="0.35">
      <c r="A444" s="3">
        <v>44473</v>
      </c>
      <c r="B444" s="4">
        <v>38.742324829101499</v>
      </c>
      <c r="C444" s="4">
        <v>87.238311767578097</v>
      </c>
      <c r="D444" s="4">
        <v>48.684993743896399</v>
      </c>
      <c r="E444" s="4">
        <v>18.460309982299801</v>
      </c>
      <c r="F444" s="4">
        <v>272.809478759765</v>
      </c>
      <c r="I444" s="5">
        <f>B444/B443-1</f>
        <v>6.0351800895923624E-3</v>
      </c>
      <c r="J444" s="5">
        <f>C444/C443-1</f>
        <v>3.7380893609122445E-3</v>
      </c>
      <c r="K444" s="5">
        <f>D444/D443-1</f>
        <v>-5.1048630944094953E-3</v>
      </c>
      <c r="L444" s="5">
        <f>E444/E443-1</f>
        <v>7.2215724926514291E-3</v>
      </c>
      <c r="M444" s="5">
        <f>F444/F443-1</f>
        <v>-2.0719585485600267E-2</v>
      </c>
      <c r="N444" s="5">
        <f>SUMPRODUCT(I444:M444,$AJ$13:$AN$13)</f>
        <v>-8.0728503742188776E-3</v>
      </c>
      <c r="P444" s="2" t="s">
        <v>435</v>
      </c>
      <c r="Q444" s="10" cm="1">
        <f t="array" aca="1" ref="Q444:U444" ca="1">_xlfn.LET(_xlpm.array,_xlfn.RANDARRAY(1,COLUMNS(_xlfn.ANCHORARRAY(Q443)),0,1,FALSE),_xlpm.array/SUM(_xlpm.array))</f>
        <v>0.23810628063832795</v>
      </c>
      <c r="R444" s="2">
        <f ca="1"/>
        <v>0.24106154832604773</v>
      </c>
      <c r="S444" s="2">
        <f ca="1"/>
        <v>6.4947142921667381E-2</v>
      </c>
      <c r="T444" s="2">
        <f ca="1"/>
        <v>0.32737635777947766</v>
      </c>
      <c r="U444" s="2">
        <f ca="1"/>
        <v>0.12850867033447927</v>
      </c>
      <c r="V444" s="12"/>
      <c r="X444" s="2" cm="1">
        <f t="array" aca="1" ref="X444" ca="1">MMULT(MMULT(_xlfn.ANCHORARRAY(Q444),$Q$9:$U$13),TRANSPOSE(_xlfn.ANCHORARRAY(Q444)))</f>
        <v>3.0120450152274414E-4</v>
      </c>
      <c r="Y444" s="2">
        <f t="shared" ca="1" si="18"/>
        <v>1.7355244208098718E-2</v>
      </c>
      <c r="Z444" s="2" cm="1">
        <f t="array" aca="1" ref="Z444" ca="1">MMULT(_xlfn.ANCHORARRAY(Q444),TRANSPOSE($Q$3:$U$3))</f>
        <v>8.3526703094849561E-4</v>
      </c>
      <c r="AA444" s="11">
        <f ca="1">AVEDEV(Q444*$Q$3,R444*$R$3,S444*$S$3,T444*$T$3,U444*$U$3)</f>
        <v>7.0551615012947398E-5</v>
      </c>
      <c r="AB444" s="11" cm="1">
        <f t="array" aca="1" ref="AB444" ca="1">MMULT(_xlfn.ANCHORARRAY(Q444),TRANSPOSE($Q$6:$U$6))</f>
        <v>-2.2698665988770614E-2</v>
      </c>
      <c r="AD444" s="2" t="s">
        <v>435</v>
      </c>
      <c r="AE444" s="10" cm="1">
        <f t="array" aca="1" ref="AE444:AI444" ca="1">_xlfn.LET(_xlpm.array,_xlfn.RANDARRAY(1,COLUMNS(_xlfn.ANCHORARRAY(Q443)),-1,1,FALSE),_xlpm.array/SUM(_xlpm.array))</f>
        <v>7.3012168819615836E-2</v>
      </c>
      <c r="AF444" s="10">
        <f ca="1"/>
        <v>4.9035509641180995E-2</v>
      </c>
      <c r="AG444" s="10">
        <f ca="1"/>
        <v>1.5584474696332496E-2</v>
      </c>
      <c r="AH444" s="10">
        <f ca="1"/>
        <v>1.0173735675948985</v>
      </c>
      <c r="AI444" s="10">
        <f ca="1"/>
        <v>-0.15500572075202787</v>
      </c>
      <c r="AJ444" s="1"/>
      <c r="AK444" s="2" cm="1">
        <f t="array" aca="1" ref="AK444" ca="1">MMULT(MMULT(_xlfn.ANCHORARRAY(AE444),$Q$9:$U$13),TRANSPOSE(_xlfn.ANCHORARRAY(AE444)))</f>
        <v>6.515015724602209E-4</v>
      </c>
      <c r="AL444" s="2">
        <f t="shared" ca="1" si="19"/>
        <v>2.5524528839142573E-2</v>
      </c>
      <c r="AM444" s="2" cm="1">
        <f t="array" aca="1" ref="AM444" ca="1">MMULT(_xlfn.ANCHORARRAY(AE445),TRANSPOSE($Q$3:$U$3))</f>
        <v>9.9375092753140634E-4</v>
      </c>
    </row>
    <row r="445" spans="1:39" x14ac:dyDescent="0.35">
      <c r="A445" s="3">
        <v>44474</v>
      </c>
      <c r="B445" s="4">
        <v>39.528984069824197</v>
      </c>
      <c r="C445" s="4">
        <v>88.187995910644503</v>
      </c>
      <c r="D445" s="4">
        <v>49.004196166992102</v>
      </c>
      <c r="E445" s="4">
        <v>18.690189361572202</v>
      </c>
      <c r="F445" s="4">
        <v>278.25393676757801</v>
      </c>
      <c r="I445" s="5">
        <f>B445/B444-1</f>
        <v>2.0304905402367401E-2</v>
      </c>
      <c r="J445" s="5">
        <f>C445/C444-1</f>
        <v>1.0886090340635812E-2</v>
      </c>
      <c r="K445" s="5">
        <f>D445/D444-1</f>
        <v>6.5564848333932169E-3</v>
      </c>
      <c r="L445" s="5">
        <f>E445/E444-1</f>
        <v>1.2452628341171668E-2</v>
      </c>
      <c r="M445" s="5">
        <f>F445/F444-1</f>
        <v>1.9956997214922279E-2</v>
      </c>
      <c r="N445" s="5">
        <f>SUMPRODUCT(I445:M445,$AJ$13:$AN$13)</f>
        <v>9.6698112314517245E-3</v>
      </c>
      <c r="P445" s="2" t="s">
        <v>436</v>
      </c>
      <c r="Q445" s="10" cm="1">
        <f t="array" aca="1" ref="Q445:U445" ca="1">_xlfn.LET(_xlpm.array,_xlfn.RANDARRAY(1,COLUMNS(_xlfn.ANCHORARRAY(Q444)),0,1,FALSE),_xlpm.array/SUM(_xlpm.array))</f>
        <v>8.3414683904986867E-2</v>
      </c>
      <c r="R445" s="2">
        <f ca="1"/>
        <v>0.25846088820220853</v>
      </c>
      <c r="S445" s="2">
        <f ca="1"/>
        <v>0.25317114418257325</v>
      </c>
      <c r="T445" s="2">
        <f ca="1"/>
        <v>9.1832107564383161E-2</v>
      </c>
      <c r="U445" s="2">
        <f ca="1"/>
        <v>0.31312117614584828</v>
      </c>
      <c r="V445" s="12"/>
      <c r="X445" s="2" cm="1">
        <f t="array" aca="1" ref="X445" ca="1">MMULT(MMULT(_xlfn.ANCHORARRAY(Q445),$Q$9:$U$13),TRANSPOSE(_xlfn.ANCHORARRAY(Q445)))</f>
        <v>2.7732299482194074E-4</v>
      </c>
      <c r="Y445" s="2">
        <f t="shared" ca="1" si="18"/>
        <v>1.6653017589071981E-2</v>
      </c>
      <c r="Z445" s="2" cm="1">
        <f t="array" aca="1" ref="Z445" ca="1">MMULT(_xlfn.ANCHORARRAY(Q445),TRANSPOSE($Q$3:$U$3))</f>
        <v>9.7559274815498518E-4</v>
      </c>
      <c r="AA445" s="11">
        <f ca="1">AVEDEV(Q445*$Q$3,R445*$R$3,S445*$S$3,T445*$T$3,U445*$U$3)</f>
        <v>1.0416198467207471E-4</v>
      </c>
      <c r="AB445" s="11" cm="1">
        <f t="array" aca="1" ref="AB445" ca="1">MMULT(_xlfn.ANCHORARRAY(Q445),TRANSPOSE($Q$6:$U$6))</f>
        <v>-2.2613917023752983E-2</v>
      </c>
      <c r="AD445" s="2" t="s">
        <v>436</v>
      </c>
      <c r="AE445" s="10" cm="1">
        <f t="array" aca="1" ref="AE445:AI445" ca="1">_xlfn.LET(_xlpm.array,_xlfn.RANDARRAY(1,COLUMNS(_xlfn.ANCHORARRAY(Q444)),-1,1,FALSE),_xlpm.array/SUM(_xlpm.array))</f>
        <v>0.19700351109754421</v>
      </c>
      <c r="AF445" s="10">
        <f ca="1"/>
        <v>0.2607208501667081</v>
      </c>
      <c r="AG445" s="10">
        <f ca="1"/>
        <v>0.2910114227845938</v>
      </c>
      <c r="AH445" s="10">
        <f ca="1"/>
        <v>0.14976016726484165</v>
      </c>
      <c r="AI445" s="10">
        <f ca="1"/>
        <v>0.10150404868631213</v>
      </c>
      <c r="AJ445" s="1"/>
      <c r="AK445" s="2" cm="1">
        <f t="array" aca="1" ref="AK445" ca="1">MMULT(MMULT(_xlfn.ANCHORARRAY(AE445),$Q$9:$U$13),TRANSPOSE(_xlfn.ANCHORARRAY(AE445)))</f>
        <v>3.1332126967977664E-4</v>
      </c>
      <c r="AL445" s="2">
        <f t="shared" ca="1" si="19"/>
        <v>1.7700883302247283E-2</v>
      </c>
      <c r="AM445" s="2" cm="1">
        <f t="array" aca="1" ref="AM445" ca="1">MMULT(_xlfn.ANCHORARRAY(AE446),TRANSPOSE($Q$3:$U$3))</f>
        <v>1.2296227600787856E-3</v>
      </c>
    </row>
    <row r="446" spans="1:39" x14ac:dyDescent="0.35">
      <c r="A446" s="3">
        <v>44475</v>
      </c>
      <c r="B446" s="4">
        <v>39.546855926513601</v>
      </c>
      <c r="C446" s="4">
        <v>87.413253784179602</v>
      </c>
      <c r="D446" s="4">
        <v>48.805271148681598</v>
      </c>
      <c r="E446" s="4">
        <v>18.0841369628906</v>
      </c>
      <c r="F446" s="4">
        <v>282.44561767578102</v>
      </c>
      <c r="I446" s="5">
        <f>B446/B445-1</f>
        <v>4.5212031399133323E-4</v>
      </c>
      <c r="J446" s="5">
        <f>C446/C445-1</f>
        <v>-8.7851199980766292E-3</v>
      </c>
      <c r="K446" s="5">
        <f>D446/D445-1</f>
        <v>-4.0593466247793586E-3</v>
      </c>
      <c r="L446" s="5">
        <f>E446/E445-1</f>
        <v>-3.2426231054013321E-2</v>
      </c>
      <c r="M446" s="5">
        <f>F446/F445-1</f>
        <v>1.5064228585215833E-2</v>
      </c>
      <c r="N446" s="5">
        <f>SUMPRODUCT(I446:M446,$AJ$13:$AN$13)</f>
        <v>-1.2075756161144466E-2</v>
      </c>
      <c r="P446" s="2" t="s">
        <v>437</v>
      </c>
      <c r="Q446" s="10" cm="1">
        <f t="array" aca="1" ref="Q446:U446" ca="1">_xlfn.LET(_xlpm.array,_xlfn.RANDARRAY(1,COLUMNS(_xlfn.ANCHORARRAY(Q445)),0,1,FALSE),_xlpm.array/SUM(_xlpm.array))</f>
        <v>0.14654586366276617</v>
      </c>
      <c r="R446" s="2">
        <f ca="1"/>
        <v>0.10620436304852203</v>
      </c>
      <c r="S446" s="2">
        <f ca="1"/>
        <v>9.9753318967339494E-2</v>
      </c>
      <c r="T446" s="2">
        <f ca="1"/>
        <v>0.41787881720303949</v>
      </c>
      <c r="U446" s="2">
        <f ca="1"/>
        <v>0.22961763711833283</v>
      </c>
      <c r="V446" s="12"/>
      <c r="X446" s="2" cm="1">
        <f t="array" aca="1" ref="X446" ca="1">MMULT(MMULT(_xlfn.ANCHORARRAY(Q446),$Q$9:$U$13),TRANSPOSE(_xlfn.ANCHORARRAY(Q446)))</f>
        <v>2.874448344839768E-4</v>
      </c>
      <c r="Y446" s="2">
        <f t="shared" ca="1" si="18"/>
        <v>1.695419813745188E-2</v>
      </c>
      <c r="Z446" s="2" cm="1">
        <f t="array" aca="1" ref="Z446" ca="1">MMULT(_xlfn.ANCHORARRAY(Q446),TRANSPOSE($Q$3:$U$3))</f>
        <v>9.1657150852031768E-4</v>
      </c>
      <c r="AA446" s="11">
        <f ca="1">AVEDEV(Q446*$Q$3,R446*$R$3,S446*$S$3,T446*$T$3,U446*$U$3)</f>
        <v>9.7439141970189375E-5</v>
      </c>
      <c r="AB446" s="11" cm="1">
        <f t="array" aca="1" ref="AB446" ca="1">MMULT(_xlfn.ANCHORARRAY(Q446),TRANSPOSE($Q$6:$U$6))</f>
        <v>-2.3199888273463833E-2</v>
      </c>
      <c r="AD446" s="2" t="s">
        <v>437</v>
      </c>
      <c r="AE446" s="10" cm="1">
        <f t="array" aca="1" ref="AE446:AI446" ca="1">_xlfn.LET(_xlpm.array,_xlfn.RANDARRAY(1,COLUMNS(_xlfn.ANCHORARRAY(Q445)),-1,1,FALSE),_xlpm.array/SUM(_xlpm.array))</f>
        <v>0.20687034213969874</v>
      </c>
      <c r="AF446" s="10">
        <f ca="1"/>
        <v>-0.23373160550664621</v>
      </c>
      <c r="AG446" s="10">
        <f ca="1"/>
        <v>0.52581133286192383</v>
      </c>
      <c r="AH446" s="10">
        <f ca="1"/>
        <v>0.22594220026233414</v>
      </c>
      <c r="AI446" s="10">
        <f ca="1"/>
        <v>0.27510773024268953</v>
      </c>
      <c r="AJ446" s="1"/>
      <c r="AK446" s="2" cm="1">
        <f t="array" aca="1" ref="AK446" ca="1">MMULT(MMULT(_xlfn.ANCHORARRAY(AE446),$Q$9:$U$13),TRANSPOSE(_xlfn.ANCHORARRAY(AE446)))</f>
        <v>4.2371909472015189E-4</v>
      </c>
      <c r="AL446" s="2">
        <f t="shared" ca="1" si="19"/>
        <v>2.0584438168678588E-2</v>
      </c>
      <c r="AM446" s="2" cm="1">
        <f t="array" aca="1" ref="AM446" ca="1">MMULT(_xlfn.ANCHORARRAY(AE447),TRANSPOSE($Q$3:$U$3))</f>
        <v>-2.22740282254006E-4</v>
      </c>
    </row>
    <row r="447" spans="1:39" x14ac:dyDescent="0.35">
      <c r="A447" s="3">
        <v>44476</v>
      </c>
      <c r="B447" s="4">
        <v>39.439582824707003</v>
      </c>
      <c r="C447" s="4">
        <v>88.038040161132798</v>
      </c>
      <c r="D447" s="4">
        <v>49.522327423095703</v>
      </c>
      <c r="E447" s="4">
        <v>17.916948318481399</v>
      </c>
      <c r="F447" s="4">
        <v>284.12237548828102</v>
      </c>
      <c r="I447" s="5">
        <f>B447/B446-1</f>
        <v>-2.712557023646478E-3</v>
      </c>
      <c r="J447" s="5">
        <f>C447/C446-1</f>
        <v>7.1475016648594458E-3</v>
      </c>
      <c r="K447" s="5">
        <f>D447/D446-1</f>
        <v>1.4692189133211686E-2</v>
      </c>
      <c r="L447" s="5">
        <f>E447/E446-1</f>
        <v>-9.2450441374271053E-3</v>
      </c>
      <c r="M447" s="5">
        <f>F447/F446-1</f>
        <v>5.9365686970040965E-3</v>
      </c>
      <c r="N447" s="5">
        <f>SUMPRODUCT(I447:M447,$AJ$13:$AN$13)</f>
        <v>5.8634437212683257E-3</v>
      </c>
      <c r="P447" s="2" t="s">
        <v>438</v>
      </c>
      <c r="Q447" s="10" cm="1">
        <f t="array" aca="1" ref="Q447:U447" ca="1">_xlfn.LET(_xlpm.array,_xlfn.RANDARRAY(1,COLUMNS(_xlfn.ANCHORARRAY(Q446)),0,1,FALSE),_xlpm.array/SUM(_xlpm.array))</f>
        <v>6.1047461681602827E-2</v>
      </c>
      <c r="R447" s="2">
        <f ca="1"/>
        <v>0.14872628946990088</v>
      </c>
      <c r="S447" s="2">
        <f ca="1"/>
        <v>5.3206852825200969E-2</v>
      </c>
      <c r="T447" s="2">
        <f ca="1"/>
        <v>0.41667705394763244</v>
      </c>
      <c r="U447" s="2">
        <f ca="1"/>
        <v>0.32034234207566292</v>
      </c>
      <c r="V447" s="12"/>
      <c r="X447" s="2" cm="1">
        <f t="array" aca="1" ref="X447" ca="1">MMULT(MMULT(_xlfn.ANCHORARRAY(Q447),$Q$9:$U$13),TRANSPOSE(_xlfn.ANCHORARRAY(Q447)))</f>
        <v>2.7931770815734403E-4</v>
      </c>
      <c r="Y447" s="2">
        <f t="shared" ca="1" si="18"/>
        <v>1.6712800727506565E-2</v>
      </c>
      <c r="Z447" s="2" cm="1">
        <f t="array" aca="1" ref="Z447" ca="1">MMULT(_xlfn.ANCHORARRAY(Q447),TRANSPOSE($Q$3:$U$3))</f>
        <v>8.9674033572915198E-4</v>
      </c>
      <c r="AA447" s="11">
        <f ca="1">AVEDEV(Q447*$Q$3,R447*$R$3,S447*$S$3,T447*$T$3,U447*$U$3)</f>
        <v>1.2480133751586108E-4</v>
      </c>
      <c r="AB447" s="11" cm="1">
        <f t="array" aca="1" ref="AB447" ca="1">MMULT(_xlfn.ANCHORARRAY(Q447),TRANSPOSE($Q$6:$U$6))</f>
        <v>-2.2760498023614045E-2</v>
      </c>
      <c r="AD447" s="2" t="s">
        <v>438</v>
      </c>
      <c r="AE447" s="10" cm="1">
        <f t="array" aca="1" ref="AE447:AI447" ca="1">_xlfn.LET(_xlpm.array,_xlfn.RANDARRAY(1,COLUMNS(_xlfn.ANCHORARRAY(Q446)),-1,1,FALSE),_xlpm.array/SUM(_xlpm.array))</f>
        <v>0.63420450907182413</v>
      </c>
      <c r="AF447" s="10">
        <f ca="1"/>
        <v>0.51837245023132827</v>
      </c>
      <c r="AG447" s="10">
        <f ca="1"/>
        <v>-0.87165510546256808</v>
      </c>
      <c r="AH447" s="10">
        <f ca="1"/>
        <v>-0.22600288825160122</v>
      </c>
      <c r="AI447" s="10">
        <f ca="1"/>
        <v>0.94508103441101698</v>
      </c>
      <c r="AJ447" s="1"/>
      <c r="AK447" s="2" cm="1">
        <f t="array" aca="1" ref="AK447" ca="1">MMULT(MMULT(_xlfn.ANCHORARRAY(AE447),$Q$9:$U$13),TRANSPOSE(_xlfn.ANCHORARRAY(AE447)))</f>
        <v>8.4660031926601855E-4</v>
      </c>
      <c r="AL447" s="2">
        <f t="shared" ca="1" si="19"/>
        <v>2.9096397015197922E-2</v>
      </c>
      <c r="AM447" s="2" cm="1">
        <f t="array" aca="1" ref="AM447" ca="1">MMULT(_xlfn.ANCHORARRAY(AE448),TRANSPOSE($Q$3:$U$3))</f>
        <v>1.8222023700365461E-3</v>
      </c>
    </row>
    <row r="448" spans="1:39" x14ac:dyDescent="0.35">
      <c r="A448" s="3">
        <v>44477</v>
      </c>
      <c r="B448" s="4">
        <v>39.636253356933501</v>
      </c>
      <c r="C448" s="4">
        <v>90.012405395507798</v>
      </c>
      <c r="D448" s="4">
        <v>48.601726531982401</v>
      </c>
      <c r="E448" s="4">
        <v>18.341884613037099</v>
      </c>
      <c r="F448" s="4">
        <v>284.12237548828102</v>
      </c>
      <c r="I448" s="5">
        <f>B448/B447-1</f>
        <v>4.9866281066059948E-3</v>
      </c>
      <c r="J448" s="5">
        <f>C448/C447-1</f>
        <v>2.2426274264640611E-2</v>
      </c>
      <c r="K448" s="5">
        <f>D448/D447-1</f>
        <v>-1.8589612787139775E-2</v>
      </c>
      <c r="L448" s="5">
        <f>E448/E447-1</f>
        <v>2.3717001746183408E-2</v>
      </c>
      <c r="M448" s="5">
        <f>F448/F447-1</f>
        <v>0</v>
      </c>
      <c r="N448" s="5">
        <f>SUMPRODUCT(I448:M448,$AJ$13:$AN$13)</f>
        <v>-7.7410208020514334E-4</v>
      </c>
      <c r="P448" s="2" t="s">
        <v>439</v>
      </c>
      <c r="Q448" s="10" cm="1">
        <f t="array" aca="1" ref="Q448:U448" ca="1">_xlfn.LET(_xlpm.array,_xlfn.RANDARRAY(1,COLUMNS(_xlfn.ANCHORARRAY(Q447)),0,1,FALSE),_xlpm.array/SUM(_xlpm.array))</f>
        <v>3.4388162260058468E-2</v>
      </c>
      <c r="R448" s="2">
        <f ca="1"/>
        <v>0.22318330102089104</v>
      </c>
      <c r="S448" s="2">
        <f ca="1"/>
        <v>0.25109152706557031</v>
      </c>
      <c r="T448" s="2">
        <f ca="1"/>
        <v>0.27601095252279989</v>
      </c>
      <c r="U448" s="2">
        <f ca="1"/>
        <v>0.21532605713068043</v>
      </c>
      <c r="V448" s="12"/>
      <c r="X448" s="2" cm="1">
        <f t="array" aca="1" ref="X448" ca="1">MMULT(MMULT(_xlfn.ANCHORARRAY(Q448),$Q$9:$U$13),TRANSPOSE(_xlfn.ANCHORARRAY(Q448)))</f>
        <v>2.961984469778509E-4</v>
      </c>
      <c r="Y448" s="2">
        <f t="shared" ca="1" si="18"/>
        <v>1.7210416815924327E-2</v>
      </c>
      <c r="Z448" s="2" cm="1">
        <f t="array" aca="1" ref="Z448" ca="1">MMULT(_xlfn.ANCHORARRAY(Q448),TRANSPOSE($Q$3:$U$3))</f>
        <v>1.0348981232584694E-3</v>
      </c>
      <c r="AA448" s="11">
        <f ca="1">AVEDEV(Q448*$Q$3,R448*$R$3,S448*$S$3,T448*$T$3,U448*$U$3)</f>
        <v>1.1031644044058258E-4</v>
      </c>
      <c r="AB448" s="11" cm="1">
        <f t="array" aca="1" ref="AB448" ca="1">MMULT(_xlfn.ANCHORARRAY(Q448),TRANSPOSE($Q$6:$U$6))</f>
        <v>-2.3437379898518271E-2</v>
      </c>
      <c r="AD448" s="2" t="s">
        <v>439</v>
      </c>
      <c r="AE448" s="10" cm="1">
        <f t="array" aca="1" ref="AE448:AI448" ca="1">_xlfn.LET(_xlpm.array,_xlfn.RANDARRAY(1,COLUMNS(_xlfn.ANCHORARRAY(Q447)),-1,1,FALSE),_xlpm.array/SUM(_xlpm.array))</f>
        <v>-0.58470380774377739</v>
      </c>
      <c r="AF448" s="10">
        <f ca="1"/>
        <v>0.17207712134686948</v>
      </c>
      <c r="AG448" s="10">
        <f ca="1"/>
        <v>0.72924815378685925</v>
      </c>
      <c r="AH448" s="10">
        <f ca="1"/>
        <v>1.1167257828216763</v>
      </c>
      <c r="AI448" s="10">
        <f ca="1"/>
        <v>-0.43334725021162773</v>
      </c>
      <c r="AJ448" s="1"/>
      <c r="AK448" s="2" cm="1">
        <f t="array" aca="1" ref="AK448" ca="1">MMULT(MMULT(_xlfn.ANCHORARRAY(AE448),$Q$9:$U$13),TRANSPOSE(_xlfn.ANCHORARRAY(AE448)))</f>
        <v>1.1739729966969532E-3</v>
      </c>
      <c r="AL448" s="2">
        <f t="shared" ca="1" si="19"/>
        <v>3.4263289344383635E-2</v>
      </c>
      <c r="AM448" s="2" cm="1">
        <f t="array" aca="1" ref="AM448" ca="1">MMULT(_xlfn.ANCHORARRAY(AE449),TRANSPOSE($Q$3:$U$3))</f>
        <v>-1.1896538790366515E-2</v>
      </c>
    </row>
    <row r="449" spans="1:39" x14ac:dyDescent="0.35">
      <c r="A449" s="3">
        <v>44480</v>
      </c>
      <c r="B449" s="4">
        <v>39.135658264160099</v>
      </c>
      <c r="C449" s="4">
        <v>89.245994567871094</v>
      </c>
      <c r="D449" s="4">
        <v>48.666496276855398</v>
      </c>
      <c r="E449" s="4">
        <v>18.432445526123001</v>
      </c>
      <c r="F449" s="4">
        <v>283.52496337890602</v>
      </c>
      <c r="I449" s="5">
        <f>B449/B448-1</f>
        <v>-1.2629727847014882E-2</v>
      </c>
      <c r="J449" s="5">
        <f>C449/C448-1</f>
        <v>-8.5145022429869988E-3</v>
      </c>
      <c r="K449" s="5">
        <f>D449/D448-1</f>
        <v>1.3326634565209439E-3</v>
      </c>
      <c r="L449" s="5">
        <f>E449/E448-1</f>
        <v>4.9373832076957669E-3</v>
      </c>
      <c r="M449" s="5">
        <f>F449/F448-1</f>
        <v>-2.1026577310158112E-3</v>
      </c>
      <c r="N449" s="5">
        <f>SUMPRODUCT(I449:M449,$AJ$13:$AN$13)</f>
        <v>6.2301567322114067E-3</v>
      </c>
      <c r="P449" s="2" t="s">
        <v>440</v>
      </c>
      <c r="Q449" s="10" cm="1">
        <f t="array" aca="1" ref="Q449:U449" ca="1">_xlfn.LET(_xlpm.array,_xlfn.RANDARRAY(1,COLUMNS(_xlfn.ANCHORARRAY(Q448)),0,1,FALSE),_xlpm.array/SUM(_xlpm.array))</f>
        <v>0.32009314958721996</v>
      </c>
      <c r="R449" s="2">
        <f ca="1"/>
        <v>0.1215485136713283</v>
      </c>
      <c r="S449" s="2">
        <f ca="1"/>
        <v>0.1092841723280473</v>
      </c>
      <c r="T449" s="2">
        <f ca="1"/>
        <v>0.22191161808286547</v>
      </c>
      <c r="U449" s="2">
        <f ca="1"/>
        <v>0.22716254633053901</v>
      </c>
      <c r="V449" s="12"/>
      <c r="X449" s="2" cm="1">
        <f t="array" aca="1" ref="X449" ca="1">MMULT(MMULT(_xlfn.ANCHORARRAY(Q449),$Q$9:$U$13),TRANSPOSE(_xlfn.ANCHORARRAY(Q449)))</f>
        <v>2.6915582761692327E-4</v>
      </c>
      <c r="Y449" s="2">
        <f t="shared" ca="1" si="18"/>
        <v>1.6405969267828197E-2</v>
      </c>
      <c r="Z449" s="2" cm="1">
        <f t="array" aca="1" ref="Z449" ca="1">MMULT(_xlfn.ANCHORARRAY(Q449),TRANSPOSE($Q$3:$U$3))</f>
        <v>8.2937804400019842E-4</v>
      </c>
      <c r="AA449" s="11">
        <f ca="1">AVEDEV(Q449*$Q$3,R449*$R$3,S449*$S$3,T449*$T$3,U449*$U$3)</f>
        <v>3.2122241799548058E-5</v>
      </c>
      <c r="AB449" s="11" cm="1">
        <f t="array" aca="1" ref="AB449" ca="1">MMULT(_xlfn.ANCHORARRAY(Q449),TRANSPOSE($Q$6:$U$6))</f>
        <v>-2.2544242436143329E-2</v>
      </c>
      <c r="AD449" s="2" t="s">
        <v>440</v>
      </c>
      <c r="AE449" s="10" cm="1">
        <f t="array" aca="1" ref="AE449:AI449" ca="1">_xlfn.LET(_xlpm.array,_xlfn.RANDARRAY(1,COLUMNS(_xlfn.ANCHORARRAY(Q448)),-1,1,FALSE),_xlpm.array/SUM(_xlpm.array))</f>
        <v>-0.67447815267999711</v>
      </c>
      <c r="AF449" s="10">
        <f ca="1"/>
        <v>14.766397242791852</v>
      </c>
      <c r="AG449" s="10">
        <f ca="1"/>
        <v>-14.239842229395178</v>
      </c>
      <c r="AH449" s="10">
        <f ca="1"/>
        <v>-0.3474651007369729</v>
      </c>
      <c r="AI449" s="10">
        <f ca="1"/>
        <v>1.4953882400202962</v>
      </c>
      <c r="AJ449" s="1"/>
      <c r="AK449" s="2" cm="1">
        <f t="array" aca="1" ref="AK449" ca="1">MMULT(MMULT(_xlfn.ANCHORARRAY(AE449),$Q$9:$U$13),TRANSPOSE(_xlfn.ANCHORARRAY(AE449)))</f>
        <v>0.17782770867106121</v>
      </c>
      <c r="AL449" s="2">
        <f t="shared" ca="1" si="19"/>
        <v>0.42169622795450901</v>
      </c>
      <c r="AM449" s="2" cm="1">
        <f t="array" aca="1" ref="AM449" ca="1">MMULT(_xlfn.ANCHORARRAY(AE450),TRANSPOSE($Q$3:$U$3))</f>
        <v>1.5164427128019243E-3</v>
      </c>
    </row>
    <row r="450" spans="1:39" x14ac:dyDescent="0.35">
      <c r="A450" s="3">
        <v>44481</v>
      </c>
      <c r="B450" s="4">
        <v>38.921108245849602</v>
      </c>
      <c r="C450" s="4">
        <v>89.262649536132798</v>
      </c>
      <c r="D450" s="4">
        <v>47.995704650878899</v>
      </c>
      <c r="E450" s="4">
        <v>18.509069442748999</v>
      </c>
      <c r="F450" s="4">
        <v>282.22406005859301</v>
      </c>
      <c r="I450" s="5">
        <f>B450/B449-1</f>
        <v>-5.4822130973833927E-3</v>
      </c>
      <c r="J450" s="5">
        <f>C450/C449-1</f>
        <v>1.8661866386660009E-4</v>
      </c>
      <c r="K450" s="5">
        <f>D450/D449-1</f>
        <v>-1.3783437832887713E-2</v>
      </c>
      <c r="L450" s="5">
        <f>E450/E449-1</f>
        <v>4.1570130516541681E-3</v>
      </c>
      <c r="M450" s="5">
        <f>F450/F449-1</f>
        <v>-4.5883202128289557E-3</v>
      </c>
      <c r="N450" s="5">
        <f>SUMPRODUCT(I450:M450,$AJ$13:$AN$13)</f>
        <v>-5.187561945687604E-3</v>
      </c>
      <c r="P450" s="2" t="s">
        <v>441</v>
      </c>
      <c r="Q450" s="10" cm="1">
        <f t="array" aca="1" ref="Q450:U450" ca="1">_xlfn.LET(_xlpm.array,_xlfn.RANDARRAY(1,COLUMNS(_xlfn.ANCHORARRAY(Q449)),0,1,FALSE),_xlpm.array/SUM(_xlpm.array))</f>
        <v>0.32573671974458313</v>
      </c>
      <c r="R450" s="2">
        <f ca="1"/>
        <v>0.18913092287193972</v>
      </c>
      <c r="S450" s="2">
        <f ca="1"/>
        <v>0.12870877534054082</v>
      </c>
      <c r="T450" s="2">
        <f ca="1"/>
        <v>0.18086193898175293</v>
      </c>
      <c r="U450" s="2">
        <f ca="1"/>
        <v>0.17556164306118349</v>
      </c>
      <c r="V450" s="12"/>
      <c r="X450" s="2" cm="1">
        <f t="array" aca="1" ref="X450" ca="1">MMULT(MMULT(_xlfn.ANCHORARRAY(Q450),$Q$9:$U$13),TRANSPOSE(_xlfn.ANCHORARRAY(Q450)))</f>
        <v>2.7826409256102294E-4</v>
      </c>
      <c r="Y450" s="2">
        <f t="shared" ca="1" si="18"/>
        <v>1.6681249730191767E-2</v>
      </c>
      <c r="Z450" s="2" cm="1">
        <f t="array" aca="1" ref="Z450" ca="1">MMULT(_xlfn.ANCHORARRAY(Q450),TRANSPOSE($Q$3:$U$3))</f>
        <v>8.3173904880690292E-4</v>
      </c>
      <c r="AA450" s="11">
        <f ca="1">AVEDEV(Q450*$Q$3,R450*$R$3,S450*$S$3,T450*$T$3,U450*$U$3)</f>
        <v>2.4439674246043377E-5</v>
      </c>
      <c r="AB450" s="11" cm="1">
        <f t="array" aca="1" ref="AB450" ca="1">MMULT(_xlfn.ANCHORARRAY(Q450),TRANSPOSE($Q$6:$U$6))</f>
        <v>-2.2514071001368392E-2</v>
      </c>
      <c r="AD450" s="2" t="s">
        <v>441</v>
      </c>
      <c r="AE450" s="10" cm="1">
        <f t="array" aca="1" ref="AE450:AI450" ca="1">_xlfn.LET(_xlpm.array,_xlfn.RANDARRAY(1,COLUMNS(_xlfn.ANCHORARRAY(Q449)),-1,1,FALSE),_xlpm.array/SUM(_xlpm.array))</f>
        <v>0.79325075725349625</v>
      </c>
      <c r="AF450" s="10">
        <f ca="1"/>
        <v>-0.90237883322677437</v>
      </c>
      <c r="AG450" s="10">
        <f ca="1"/>
        <v>1.0733381769423453</v>
      </c>
      <c r="AH450" s="10">
        <f ca="1"/>
        <v>6.8241190829492109E-3</v>
      </c>
      <c r="AI450" s="10">
        <f ca="1"/>
        <v>2.8965779947983456E-2</v>
      </c>
      <c r="AJ450" s="1"/>
      <c r="AK450" s="2" cm="1">
        <f t="array" aca="1" ref="AK450" ca="1">MMULT(MMULT(_xlfn.ANCHORARRAY(AE450),$Q$9:$U$13),TRANSPOSE(_xlfn.ANCHORARRAY(AE450)))</f>
        <v>1.2645629256431885E-3</v>
      </c>
      <c r="AL450" s="2">
        <f t="shared" ca="1" si="19"/>
        <v>3.5560693548399594E-2</v>
      </c>
      <c r="AM450" s="2" cm="1">
        <f t="array" aca="1" ref="AM450" ca="1">MMULT(_xlfn.ANCHORARRAY(AE451),TRANSPOSE($Q$3:$U$3))</f>
        <v>1.8888954153586093E-3</v>
      </c>
    </row>
    <row r="451" spans="1:39" x14ac:dyDescent="0.35">
      <c r="A451" s="3">
        <v>44482</v>
      </c>
      <c r="B451" s="4">
        <v>38.563549041747997</v>
      </c>
      <c r="C451" s="4">
        <v>89.795814514160099</v>
      </c>
      <c r="D451" s="4">
        <v>47.9633178710937</v>
      </c>
      <c r="E451" s="4">
        <v>18.808616638183501</v>
      </c>
      <c r="F451" s="4">
        <v>285.529205322265</v>
      </c>
      <c r="I451" s="5">
        <f>B451/B450-1</f>
        <v>-9.1867683171569237E-3</v>
      </c>
      <c r="J451" s="5">
        <f>C451/C450-1</f>
        <v>5.9729907279022498E-3</v>
      </c>
      <c r="K451" s="5">
        <f>D451/D450-1</f>
        <v>-6.7478496296247137E-4</v>
      </c>
      <c r="L451" s="5">
        <f>E451/E450-1</f>
        <v>1.6183806342130902E-2</v>
      </c>
      <c r="M451" s="5">
        <f>F451/F450-1</f>
        <v>1.1711068372362687E-2</v>
      </c>
      <c r="N451" s="5">
        <f>SUMPRODUCT(I451:M451,$AJ$13:$AN$13)</f>
        <v>1.3583931811801599E-2</v>
      </c>
      <c r="P451" s="2" t="s">
        <v>442</v>
      </c>
      <c r="Q451" s="10" cm="1">
        <f t="array" aca="1" ref="Q451:U451" ca="1">_xlfn.LET(_xlpm.array,_xlfn.RANDARRAY(1,COLUMNS(_xlfn.ANCHORARRAY(Q450)),0,1,FALSE),_xlpm.array/SUM(_xlpm.array))</f>
        <v>0.36513929144646351</v>
      </c>
      <c r="R451" s="2">
        <f ca="1"/>
        <v>7.7739375103835356E-2</v>
      </c>
      <c r="S451" s="2">
        <f ca="1"/>
        <v>0.10105285411904179</v>
      </c>
      <c r="T451" s="2">
        <f ca="1"/>
        <v>0.2588167539416843</v>
      </c>
      <c r="U451" s="2">
        <f ca="1"/>
        <v>0.19725172538897515</v>
      </c>
      <c r="V451" s="12"/>
      <c r="X451" s="2" cm="1">
        <f t="array" aca="1" ref="X451" ca="1">MMULT(MMULT(_xlfn.ANCHORARRAY(Q451),$Q$9:$U$13),TRANSPOSE(_xlfn.ANCHORARRAY(Q451)))</f>
        <v>2.7815502666274892E-4</v>
      </c>
      <c r="Y451" s="2">
        <f t="shared" ca="1" si="18"/>
        <v>1.6677980293271392E-2</v>
      </c>
      <c r="Z451" s="2" cm="1">
        <f t="array" aca="1" ref="Z451" ca="1">MMULT(_xlfn.ANCHORARRAY(Q451),TRANSPOSE($Q$3:$U$3))</f>
        <v>8.2173927899166098E-4</v>
      </c>
      <c r="AA451" s="11">
        <f ca="1">AVEDEV(Q451*$Q$3,R451*$R$3,S451*$S$3,T451*$T$3,U451*$U$3)</f>
        <v>4.8518636622587605E-5</v>
      </c>
      <c r="AB451" s="11" cm="1">
        <f t="array" aca="1" ref="AB451" ca="1">MMULT(_xlfn.ANCHORARRAY(Q451),TRANSPOSE($Q$6:$U$6))</f>
        <v>-2.2718290620109972E-2</v>
      </c>
      <c r="AD451" s="2" t="s">
        <v>442</v>
      </c>
      <c r="AE451" s="10" cm="1">
        <f t="array" aca="1" ref="AE451:AI451" ca="1">_xlfn.LET(_xlpm.array,_xlfn.RANDARRAY(1,COLUMNS(_xlfn.ANCHORARRAY(Q450)),-1,1,FALSE),_xlpm.array/SUM(_xlpm.array))</f>
        <v>1.765437243431019</v>
      </c>
      <c r="AF451" s="10">
        <f ca="1"/>
        <v>-1.3528746759631798</v>
      </c>
      <c r="AG451" s="10">
        <f ca="1"/>
        <v>2.5686224004441445</v>
      </c>
      <c r="AH451" s="10">
        <f ca="1"/>
        <v>-2.6350626242613062</v>
      </c>
      <c r="AI451" s="10">
        <f ca="1"/>
        <v>0.6538776563493226</v>
      </c>
      <c r="AJ451" s="1"/>
      <c r="AK451" s="2" cm="1">
        <f t="array" aca="1" ref="AK451" ca="1">MMULT(MMULT(_xlfn.ANCHORARRAY(AE451),$Q$9:$U$13),TRANSPOSE(_xlfn.ANCHORARRAY(AE451)))</f>
        <v>9.8152390152280063E-3</v>
      </c>
      <c r="AL451" s="2">
        <f t="shared" ca="1" si="19"/>
        <v>9.907188811781073E-2</v>
      </c>
      <c r="AM451" s="2" cm="1">
        <f t="array" aca="1" ref="AM451" ca="1">MMULT(_xlfn.ANCHORARRAY(AE452),TRANSPOSE($Q$3:$U$3))</f>
        <v>8.9381357143787751E-4</v>
      </c>
    </row>
    <row r="452" spans="1:39" x14ac:dyDescent="0.35">
      <c r="A452" s="3">
        <v>44483</v>
      </c>
      <c r="B452" s="4">
        <v>40.288806915283203</v>
      </c>
      <c r="C452" s="4">
        <v>90.645523071289006</v>
      </c>
      <c r="D452" s="4">
        <v>49.036575317382798</v>
      </c>
      <c r="E452" s="4">
        <v>19.094230651855401</v>
      </c>
      <c r="F452" s="4">
        <v>291.73492431640602</v>
      </c>
      <c r="I452" s="5">
        <f>B452/B451-1</f>
        <v>4.4738047104209366E-2</v>
      </c>
      <c r="J452" s="5">
        <f>C452/C451-1</f>
        <v>9.4626744211436797E-3</v>
      </c>
      <c r="K452" s="5">
        <f>D452/D451-1</f>
        <v>2.2376630598691882E-2</v>
      </c>
      <c r="L452" s="5">
        <f>E452/E451-1</f>
        <v>1.5185274875137544E-2</v>
      </c>
      <c r="M452" s="5">
        <f>F452/F451-1</f>
        <v>2.1734095421646504E-2</v>
      </c>
      <c r="N452" s="5">
        <f>SUMPRODUCT(I452:M452,$AJ$13:$AN$13)</f>
        <v>1.2757650351744421E-2</v>
      </c>
      <c r="P452" s="2" t="s">
        <v>443</v>
      </c>
      <c r="Q452" s="10" cm="1">
        <f t="array" aca="1" ref="Q452:U452" ca="1">_xlfn.LET(_xlpm.array,_xlfn.RANDARRAY(1,COLUMNS(_xlfn.ANCHORARRAY(Q451)),0,1,FALSE),_xlpm.array/SUM(_xlpm.array))</f>
        <v>0.21309557154015626</v>
      </c>
      <c r="R452" s="2">
        <f ca="1"/>
        <v>0.22759752237060712</v>
      </c>
      <c r="S452" s="2">
        <f ca="1"/>
        <v>0.22493422471204105</v>
      </c>
      <c r="T452" s="2">
        <f ca="1"/>
        <v>9.3027268634086058E-2</v>
      </c>
      <c r="U452" s="2">
        <f ca="1"/>
        <v>0.24134541274310944</v>
      </c>
      <c r="V452" s="12"/>
      <c r="X452" s="2" cm="1">
        <f t="array" aca="1" ref="X452" ca="1">MMULT(MMULT(_xlfn.ANCHORARRAY(Q452),$Q$9:$U$13),TRANSPOSE(_xlfn.ANCHORARRAY(Q452)))</f>
        <v>2.7655225476040342E-4</v>
      </c>
      <c r="Y452" s="2">
        <f t="shared" ca="1" si="18"/>
        <v>1.6629860334963834E-2</v>
      </c>
      <c r="Z452" s="2" cm="1">
        <f t="array" aca="1" ref="Z452" ca="1">MMULT(_xlfn.ANCHORARRAY(Q452),TRANSPOSE($Q$3:$U$3))</f>
        <v>9.194311890056866E-4</v>
      </c>
      <c r="AA452" s="11">
        <f ca="1">AVEDEV(Q452*$Q$3,R452*$R$3,S452*$S$3,T452*$T$3,U452*$U$3)</f>
        <v>7.2845935846201231E-5</v>
      </c>
      <c r="AB452" s="11" cm="1">
        <f t="array" aca="1" ref="AB452" ca="1">MMULT(_xlfn.ANCHORARRAY(Q452),TRANSPOSE($Q$6:$U$6))</f>
        <v>-2.2599005876461849E-2</v>
      </c>
      <c r="AD452" s="2" t="s">
        <v>443</v>
      </c>
      <c r="AE452" s="10" cm="1">
        <f t="array" aca="1" ref="AE452:AI452" ca="1">_xlfn.LET(_xlpm.array,_xlfn.RANDARRAY(1,COLUMNS(_xlfn.ANCHORARRAY(Q451)),-1,1,FALSE),_xlpm.array/SUM(_xlpm.array))</f>
        <v>0.43753106668135472</v>
      </c>
      <c r="AF452" s="10">
        <f ca="1"/>
        <v>0.19372801528414449</v>
      </c>
      <c r="AG452" s="10">
        <f ca="1"/>
        <v>0.28382697960810743</v>
      </c>
      <c r="AH452" s="10">
        <f ca="1"/>
        <v>1.5930246204693538E-2</v>
      </c>
      <c r="AI452" s="10">
        <f ca="1"/>
        <v>6.8983692221699686E-2</v>
      </c>
      <c r="AJ452" s="1"/>
      <c r="AK452" s="2" cm="1">
        <f t="array" aca="1" ref="AK452" ca="1">MMULT(MMULT(_xlfn.ANCHORARRAY(AE452),$Q$9:$U$13),TRANSPOSE(_xlfn.ANCHORARRAY(AE452)))</f>
        <v>3.3410177495604612E-4</v>
      </c>
      <c r="AL452" s="2">
        <f t="shared" ca="1" si="19"/>
        <v>1.8278451109326691E-2</v>
      </c>
      <c r="AM452" s="2" cm="1">
        <f t="array" aca="1" ref="AM452" ca="1">MMULT(_xlfn.ANCHORARRAY(AE453),TRANSPOSE($Q$3:$U$3))</f>
        <v>1.5351984565684133E-3</v>
      </c>
    </row>
    <row r="453" spans="1:39" x14ac:dyDescent="0.35">
      <c r="A453" s="3">
        <v>44484</v>
      </c>
      <c r="B453" s="4">
        <v>41.450893402099602</v>
      </c>
      <c r="C453" s="4">
        <v>91.311988830566406</v>
      </c>
      <c r="D453" s="4">
        <v>49.82763671875</v>
      </c>
      <c r="E453" s="4">
        <v>18.982769012451101</v>
      </c>
      <c r="F453" s="4">
        <v>293.14175415039</v>
      </c>
      <c r="I453" s="5">
        <f>B453/B452-1</f>
        <v>2.8843904195524184E-2</v>
      </c>
      <c r="J453" s="5">
        <f>C453/C452-1</f>
        <v>7.3524398855666639E-3</v>
      </c>
      <c r="K453" s="5">
        <f>D453/D452-1</f>
        <v>1.6132068690506207E-2</v>
      </c>
      <c r="L453" s="5">
        <f>E453/E452-1</f>
        <v>-5.8374511880880942E-3</v>
      </c>
      <c r="M453" s="5">
        <f>F453/F452-1</f>
        <v>4.822288031782529E-3</v>
      </c>
      <c r="N453" s="5">
        <f>SUMPRODUCT(I453:M453,$AJ$13:$AN$13)</f>
        <v>-1.3001149200158842E-3</v>
      </c>
      <c r="P453" s="2" t="s">
        <v>444</v>
      </c>
      <c r="Q453" s="10" cm="1">
        <f t="array" aca="1" ref="Q453:U453" ca="1">_xlfn.LET(_xlpm.array,_xlfn.RANDARRAY(1,COLUMNS(_xlfn.ANCHORARRAY(Q452)),0,1,FALSE),_xlpm.array/SUM(_xlpm.array))</f>
        <v>9.9439969877073806E-2</v>
      </c>
      <c r="R453" s="2">
        <f ca="1"/>
        <v>1.4765089332574232E-2</v>
      </c>
      <c r="S453" s="2">
        <f ca="1"/>
        <v>0.56916658701874401</v>
      </c>
      <c r="T453" s="2">
        <f ca="1"/>
        <v>6.8619311577980445E-3</v>
      </c>
      <c r="U453" s="2">
        <f ca="1"/>
        <v>0.30976642261380988</v>
      </c>
      <c r="V453" s="12"/>
      <c r="X453" s="2" cm="1">
        <f t="array" aca="1" ref="X453" ca="1">MMULT(MMULT(_xlfn.ANCHORARRAY(Q453),$Q$9:$U$13),TRANSPOSE(_xlfn.ANCHORARRAY(Q453)))</f>
        <v>4.4237584247190469E-4</v>
      </c>
      <c r="Y453" s="2">
        <f t="shared" ca="1" si="18"/>
        <v>2.1032732643950589E-2</v>
      </c>
      <c r="Z453" s="2" cm="1">
        <f t="array" aca="1" ref="Z453" ca="1">MMULT(_xlfn.ANCHORARRAY(Q453),TRANSPOSE($Q$3:$U$3))</f>
        <v>1.2295853110851796E-3</v>
      </c>
      <c r="AA453" s="11">
        <f ca="1">AVEDEV(Q453*$Q$3,R453*$R$3,S453*$S$3,T453*$T$3,U453*$U$3)</f>
        <v>2.7136396606607566E-4</v>
      </c>
      <c r="AB453" s="11" cm="1">
        <f t="array" aca="1" ref="AB453" ca="1">MMULT(_xlfn.ANCHORARRAY(Q453),TRANSPOSE($Q$6:$U$6))</f>
        <v>-2.43142604187194E-2</v>
      </c>
      <c r="AD453" s="2" t="s">
        <v>444</v>
      </c>
      <c r="AE453" s="10" cm="1">
        <f t="array" aca="1" ref="AE453:AI453" ca="1">_xlfn.LET(_xlpm.array,_xlfn.RANDARRAY(1,COLUMNS(_xlfn.ANCHORARRAY(Q452)),-1,1,FALSE),_xlpm.array/SUM(_xlpm.array))</f>
        <v>-0.4877850312306739</v>
      </c>
      <c r="AF453" s="10">
        <f ca="1"/>
        <v>0.12401879744775607</v>
      </c>
      <c r="AG453" s="10">
        <f ca="1"/>
        <v>0.71483041932834424</v>
      </c>
      <c r="AH453" s="10">
        <f ca="1"/>
        <v>0.13757343525880236</v>
      </c>
      <c r="AI453" s="10">
        <f ca="1"/>
        <v>0.51136237919577121</v>
      </c>
      <c r="AJ453" s="1"/>
      <c r="AK453" s="2" cm="1">
        <f t="array" aca="1" ref="AK453" ca="1">MMULT(MMULT(_xlfn.ANCHORARRAY(AE453),$Q$9:$U$13),TRANSPOSE(_xlfn.ANCHORARRAY(AE453)))</f>
        <v>6.3355282934457859E-4</v>
      </c>
      <c r="AL453" s="2">
        <f t="shared" ca="1" si="19"/>
        <v>2.517047534999247E-2</v>
      </c>
      <c r="AM453" s="2" cm="1">
        <f t="array" aca="1" ref="AM453" ca="1">MMULT(_xlfn.ANCHORARRAY(AE454),TRANSPOSE($Q$3:$U$3))</f>
        <v>7.6240480472228853E-4</v>
      </c>
    </row>
    <row r="454" spans="1:39" x14ac:dyDescent="0.35">
      <c r="A454" s="3">
        <v>44487</v>
      </c>
      <c r="B454" s="4">
        <v>41.370452880859297</v>
      </c>
      <c r="C454" s="4">
        <v>91.270332336425696</v>
      </c>
      <c r="D454" s="4">
        <v>50.262489318847599</v>
      </c>
      <c r="E454" s="4">
        <v>19.087265014648398</v>
      </c>
      <c r="F454" s="4">
        <v>296.10971069335898</v>
      </c>
      <c r="I454" s="5">
        <f>B454/B453-1</f>
        <v>-1.9406221347265662E-3</v>
      </c>
      <c r="J454" s="5">
        <f>C454/C453-1</f>
        <v>-4.5619961490495076E-4</v>
      </c>
      <c r="K454" s="5">
        <f>D454/D453-1</f>
        <v>8.7271367605110672E-3</v>
      </c>
      <c r="L454" s="5">
        <f>E454/E453-1</f>
        <v>5.5047818434053042E-3</v>
      </c>
      <c r="M454" s="5">
        <f>F454/F453-1</f>
        <v>1.0124646185498243E-2</v>
      </c>
      <c r="N454" s="5">
        <f>SUMPRODUCT(I454:M454,$AJ$13:$AN$13)</f>
        <v>1.1074422876555391E-2</v>
      </c>
      <c r="P454" s="2" t="s">
        <v>445</v>
      </c>
      <c r="Q454" s="10" cm="1">
        <f t="array" aca="1" ref="Q454:U454" ca="1">_xlfn.LET(_xlpm.array,_xlfn.RANDARRAY(1,COLUMNS(_xlfn.ANCHORARRAY(Q453)),0,1,FALSE),_xlpm.array/SUM(_xlpm.array))</f>
        <v>7.5280570612700118E-2</v>
      </c>
      <c r="R454" s="2">
        <f ca="1"/>
        <v>0.17438446908121719</v>
      </c>
      <c r="S454" s="2">
        <f ca="1"/>
        <v>0.29645376772295651</v>
      </c>
      <c r="T454" s="2">
        <f ca="1"/>
        <v>0.15810681905977603</v>
      </c>
      <c r="U454" s="2">
        <f ca="1"/>
        <v>0.29577437352335012</v>
      </c>
      <c r="V454" s="12"/>
      <c r="X454" s="2" cm="1">
        <f t="array" aca="1" ref="X454" ca="1">MMULT(MMULT(_xlfn.ANCHORARRAY(Q454),$Q$9:$U$13),TRANSPOSE(_xlfn.ANCHORARRAY(Q454)))</f>
        <v>2.899265393366793E-4</v>
      </c>
      <c r="Y454" s="2">
        <f t="shared" ca="1" si="18"/>
        <v>1.7027229349975859E-2</v>
      </c>
      <c r="Z454" s="2" cm="1">
        <f t="array" aca="1" ref="Z454" ca="1">MMULT(_xlfn.ANCHORARRAY(Q454),TRANSPOSE($Q$3:$U$3))</f>
        <v>1.0347933574625821E-3</v>
      </c>
      <c r="AA454" s="11">
        <f ca="1">AVEDEV(Q454*$Q$3,R454*$R$3,S454*$S$3,T454*$T$3,U454*$U$3)</f>
        <v>1.1749918553489529E-4</v>
      </c>
      <c r="AB454" s="11" cm="1">
        <f t="array" aca="1" ref="AB454" ca="1">MMULT(_xlfn.ANCHORARRAY(Q454),TRANSPOSE($Q$6:$U$6))</f>
        <v>-2.3199947727073993E-2</v>
      </c>
      <c r="AD454" s="2" t="s">
        <v>445</v>
      </c>
      <c r="AE454" s="10" cm="1">
        <f t="array" aca="1" ref="AE454:AI454" ca="1">_xlfn.LET(_xlpm.array,_xlfn.RANDARRAY(1,COLUMNS(_xlfn.ANCHORARRAY(Q453)),-1,1,FALSE),_xlpm.array/SUM(_xlpm.array))</f>
        <v>-1.520906354114155E-2</v>
      </c>
      <c r="AF454" s="10">
        <f ca="1"/>
        <v>0.25037751467899183</v>
      </c>
      <c r="AG454" s="10">
        <f ca="1"/>
        <v>-0.14272659631316106</v>
      </c>
      <c r="AH454" s="10">
        <f ca="1"/>
        <v>0.48658862847741791</v>
      </c>
      <c r="AI454" s="10">
        <f ca="1"/>
        <v>0.42096951669789284</v>
      </c>
      <c r="AJ454" s="1"/>
      <c r="AK454" s="2" cm="1">
        <f t="array" aca="1" ref="AK454" ca="1">MMULT(MMULT(_xlfn.ANCHORARRAY(AE454),$Q$9:$U$13),TRANSPOSE(_xlfn.ANCHORARRAY(AE454)))</f>
        <v>3.2479421033153766E-4</v>
      </c>
      <c r="AL454" s="2">
        <f t="shared" ca="1" si="19"/>
        <v>1.8022047895051706E-2</v>
      </c>
      <c r="AM454" s="2" cm="1">
        <f t="array" aca="1" ref="AM454" ca="1">MMULT(_xlfn.ANCHORARRAY(AE455),TRANSPOSE($Q$3:$U$3))</f>
        <v>8.4783119990177868E-4</v>
      </c>
    </row>
    <row r="455" spans="1:39" x14ac:dyDescent="0.35">
      <c r="A455" s="3">
        <v>44488</v>
      </c>
      <c r="B455" s="4">
        <v>41.549236297607401</v>
      </c>
      <c r="C455" s="4">
        <v>93.053085327148395</v>
      </c>
      <c r="D455" s="4">
        <v>51.261726379394503</v>
      </c>
      <c r="E455" s="4">
        <v>19.386806488037099</v>
      </c>
      <c r="F455" s="4">
        <v>297.015533447265</v>
      </c>
      <c r="I455" s="5">
        <f>B455/B454-1</f>
        <v>4.3215242835985546E-3</v>
      </c>
      <c r="J455" s="5">
        <f>C455/C454-1</f>
        <v>1.9532666805149868E-2</v>
      </c>
      <c r="K455" s="5">
        <f>D455/D454-1</f>
        <v>1.9880373496984793E-2</v>
      </c>
      <c r="L455" s="5">
        <f>E455/E454-1</f>
        <v>1.5693263186675521E-2</v>
      </c>
      <c r="M455" s="5">
        <f>F455/F454-1</f>
        <v>3.0590781767507735E-3</v>
      </c>
      <c r="N455" s="5">
        <f>SUMPRODUCT(I455:M455,$AJ$13:$AN$13)</f>
        <v>1.6816051488231093E-2</v>
      </c>
      <c r="P455" s="2" t="s">
        <v>446</v>
      </c>
      <c r="Q455" s="10" cm="1">
        <f t="array" aca="1" ref="Q455:U455" ca="1">_xlfn.LET(_xlpm.array,_xlfn.RANDARRAY(1,COLUMNS(_xlfn.ANCHORARRAY(Q454)),0,1,FALSE),_xlpm.array/SUM(_xlpm.array))</f>
        <v>9.0261340574569499E-2</v>
      </c>
      <c r="R455" s="2">
        <f ca="1"/>
        <v>0.22883110283880437</v>
      </c>
      <c r="S455" s="2">
        <f ca="1"/>
        <v>0.51622950683401236</v>
      </c>
      <c r="T455" s="2">
        <f ca="1"/>
        <v>0.10843938550548921</v>
      </c>
      <c r="U455" s="2">
        <f ca="1"/>
        <v>5.6238664247124578E-2</v>
      </c>
      <c r="V455" s="12"/>
      <c r="X455" s="2" cm="1">
        <f t="array" aca="1" ref="X455" ca="1">MMULT(MMULT(_xlfn.ANCHORARRAY(Q455),$Q$9:$U$13),TRANSPOSE(_xlfn.ANCHORARRAY(Q455)))</f>
        <v>4.0973862959071662E-4</v>
      </c>
      <c r="Y455" s="2">
        <f t="shared" ca="1" si="18"/>
        <v>2.0242001620163867E-2</v>
      </c>
      <c r="Z455" s="2" cm="1">
        <f t="array" aca="1" ref="Z455" ca="1">MMULT(_xlfn.ANCHORARRAY(Q455),TRANSPOSE($Q$3:$U$3))</f>
        <v>1.205131403350909E-3</v>
      </c>
      <c r="AA455" s="11">
        <f ca="1">AVEDEV(Q455*$Q$3,R455*$R$3,S455*$S$3,T455*$T$3,U455*$U$3)</f>
        <v>2.3893233502502402E-4</v>
      </c>
      <c r="AB455" s="11" cm="1">
        <f t="array" aca="1" ref="AB455" ca="1">MMULT(_xlfn.ANCHORARRAY(Q455),TRANSPOSE($Q$6:$U$6))</f>
        <v>-2.4540826401201331E-2</v>
      </c>
      <c r="AD455" s="2" t="s">
        <v>446</v>
      </c>
      <c r="AE455" s="10" cm="1">
        <f t="array" aca="1" ref="AE455:AI455" ca="1">_xlfn.LET(_xlpm.array,_xlfn.RANDARRAY(1,COLUMNS(_xlfn.ANCHORARRAY(Q454)),-1,1,FALSE),_xlpm.array/SUM(_xlpm.array))</f>
        <v>0.55603903302717128</v>
      </c>
      <c r="AF455" s="10">
        <f ca="1"/>
        <v>0.42954673133253252</v>
      </c>
      <c r="AG455" s="10">
        <f ca="1"/>
        <v>0.47738997880996026</v>
      </c>
      <c r="AH455" s="10">
        <f ca="1"/>
        <v>-0.66060170055415468</v>
      </c>
      <c r="AI455" s="10">
        <f ca="1"/>
        <v>0.19762595738449054</v>
      </c>
      <c r="AJ455" s="1"/>
      <c r="AK455" s="2" cm="1">
        <f t="array" aca="1" ref="AK455" ca="1">MMULT(MMULT(_xlfn.ANCHORARRAY(AE455),$Q$9:$U$13),TRANSPOSE(_xlfn.ANCHORARRAY(AE455)))</f>
        <v>6.0441947436892557E-4</v>
      </c>
      <c r="AL455" s="2">
        <f t="shared" ca="1" si="19"/>
        <v>2.4584944058690179E-2</v>
      </c>
      <c r="AM455" s="2" cm="1">
        <f t="array" aca="1" ref="AM455" ca="1">MMULT(_xlfn.ANCHORARRAY(AE456),TRANSPOSE($Q$3:$U$3))</f>
        <v>1.3897165043166098E-3</v>
      </c>
    </row>
    <row r="456" spans="1:39" x14ac:dyDescent="0.35">
      <c r="A456" s="3">
        <v>44489</v>
      </c>
      <c r="B456" s="4">
        <v>42.094516754150298</v>
      </c>
      <c r="C456" s="4">
        <v>94.269355773925696</v>
      </c>
      <c r="D456" s="4">
        <v>51.64107131958</v>
      </c>
      <c r="E456" s="4">
        <v>19.6863498687744</v>
      </c>
      <c r="F456" s="4">
        <v>296.225341796875</v>
      </c>
      <c r="I456" s="5">
        <f>B456/B455-1</f>
        <v>1.312371790993172E-2</v>
      </c>
      <c r="J456" s="5">
        <f>C456/C455-1</f>
        <v>1.3070715952095968E-2</v>
      </c>
      <c r="K456" s="5">
        <f>D456/D455-1</f>
        <v>7.4001592801988814E-3</v>
      </c>
      <c r="L456" s="5">
        <f>E456/E455-1</f>
        <v>1.5450888258576212E-2</v>
      </c>
      <c r="M456" s="5">
        <f>F456/F455-1</f>
        <v>-2.6604388033809601E-3</v>
      </c>
      <c r="N456" s="5">
        <f>SUMPRODUCT(I456:M456,$AJ$13:$AN$13)</f>
        <v>5.9601058239641255E-3</v>
      </c>
      <c r="P456" s="2" t="s">
        <v>447</v>
      </c>
      <c r="Q456" s="10" cm="1">
        <f t="array" aca="1" ref="Q456:U456" ca="1">_xlfn.LET(_xlpm.array,_xlfn.RANDARRAY(1,COLUMNS(_xlfn.ANCHORARRAY(Q455)),0,1,FALSE),_xlpm.array/SUM(_xlpm.array))</f>
        <v>0.35083444167352906</v>
      </c>
      <c r="R456" s="2">
        <f ca="1"/>
        <v>0.21546886235097967</v>
      </c>
      <c r="S456" s="2">
        <f ca="1"/>
        <v>0.13343151850055016</v>
      </c>
      <c r="T456" s="2">
        <f ca="1"/>
        <v>0.11171157124232704</v>
      </c>
      <c r="U456" s="2">
        <f ca="1"/>
        <v>0.18855360623261405</v>
      </c>
      <c r="V456" s="12"/>
      <c r="X456" s="2" cm="1">
        <f t="array" aca="1" ref="X456" ca="1">MMULT(MMULT(_xlfn.ANCHORARRAY(Q456),$Q$9:$U$13),TRANSPOSE(_xlfn.ANCHORARRAY(Q456)))</f>
        <v>2.7769000438345793E-4</v>
      </c>
      <c r="Y456" s="2">
        <f t="shared" ca="1" si="18"/>
        <v>1.6664033256791645E-2</v>
      </c>
      <c r="Z456" s="2" cm="1">
        <f t="array" aca="1" ref="Z456" ca="1">MMULT(_xlfn.ANCHORARRAY(Q456),TRANSPOSE($Q$3:$U$3))</f>
        <v>8.1068935483750288E-4</v>
      </c>
      <c r="AA456" s="11">
        <f ca="1">AVEDEV(Q456*$Q$3,R456*$R$3,S456*$S$3,T456*$T$3,U456*$U$3)</f>
        <v>2.8290974261984444E-5</v>
      </c>
      <c r="AB456" s="11" cm="1">
        <f t="array" aca="1" ref="AB456" ca="1">MMULT(_xlfn.ANCHORARRAY(Q456),TRANSPOSE($Q$6:$U$6))</f>
        <v>-2.2248623329500158E-2</v>
      </c>
      <c r="AD456" s="2" t="s">
        <v>447</v>
      </c>
      <c r="AE456" s="10" cm="1">
        <f t="array" aca="1" ref="AE456:AI456" ca="1">_xlfn.LET(_xlpm.array,_xlfn.RANDARRAY(1,COLUMNS(_xlfn.ANCHORARRAY(Q455)),-1,1,FALSE),_xlpm.array/SUM(_xlpm.array))</f>
        <v>2.1196447010766306</v>
      </c>
      <c r="AF456" s="10">
        <f ca="1"/>
        <v>-0.29277560289804405</v>
      </c>
      <c r="AG456" s="10">
        <f ca="1"/>
        <v>1.1884803196368579</v>
      </c>
      <c r="AH456" s="10">
        <f ca="1"/>
        <v>0.53576952495805963</v>
      </c>
      <c r="AI456" s="10">
        <f ca="1"/>
        <v>-2.5511189427735039</v>
      </c>
      <c r="AJ456" s="1"/>
      <c r="AK456" s="2" cm="1">
        <f t="array" aca="1" ref="AK456" ca="1">MMULT(MMULT(_xlfn.ANCHORARRAY(AE456),$Q$9:$U$13),TRANSPOSE(_xlfn.ANCHORARRAY(AE456)))</f>
        <v>3.8454896911961525E-3</v>
      </c>
      <c r="AL456" s="2">
        <f t="shared" ca="1" si="19"/>
        <v>6.201201247497256E-2</v>
      </c>
      <c r="AM456" s="2" cm="1">
        <f t="array" aca="1" ref="AM456" ca="1">MMULT(_xlfn.ANCHORARRAY(AE457),TRANSPOSE($Q$3:$U$3))</f>
        <v>1.3489734666171762E-3</v>
      </c>
    </row>
    <row r="457" spans="1:39" x14ac:dyDescent="0.35">
      <c r="A457" s="3">
        <v>44490</v>
      </c>
      <c r="B457" s="4">
        <v>41.862106323242102</v>
      </c>
      <c r="C457" s="4">
        <v>93.086410522460895</v>
      </c>
      <c r="D457" s="4">
        <v>52.265579223632798</v>
      </c>
      <c r="E457" s="4">
        <v>19.331081390380799</v>
      </c>
      <c r="F457" s="4">
        <v>299.45349121093699</v>
      </c>
      <c r="I457" s="5">
        <f>B457/B456-1</f>
        <v>-5.521156882868361E-3</v>
      </c>
      <c r="J457" s="5">
        <f>C457/C456-1</f>
        <v>-1.2548566198985256E-2</v>
      </c>
      <c r="K457" s="5">
        <f>D457/D456-1</f>
        <v>1.209324067248807E-2</v>
      </c>
      <c r="L457" s="5">
        <f>E457/E456-1</f>
        <v>-1.8046437290902384E-2</v>
      </c>
      <c r="M457" s="5">
        <f>F457/F456-1</f>
        <v>1.0897613939713446E-2</v>
      </c>
      <c r="N457" s="5">
        <f>SUMPRODUCT(I457:M457,$AJ$13:$AN$13)</f>
        <v>3.5125130696448187E-3</v>
      </c>
      <c r="P457" s="2" t="s">
        <v>448</v>
      </c>
      <c r="Q457" s="10" cm="1">
        <f t="array" aca="1" ref="Q457:U457" ca="1">_xlfn.LET(_xlpm.array,_xlfn.RANDARRAY(1,COLUMNS(_xlfn.ANCHORARRAY(Q456)),0,1,FALSE),_xlpm.array/SUM(_xlpm.array))</f>
        <v>0.31236645115872319</v>
      </c>
      <c r="R457" s="2">
        <f ca="1"/>
        <v>0.18836302481851638</v>
      </c>
      <c r="S457" s="2">
        <f ca="1"/>
        <v>0.15812414052651366</v>
      </c>
      <c r="T457" s="2">
        <f ca="1"/>
        <v>0.14323329854420067</v>
      </c>
      <c r="U457" s="2">
        <f ca="1"/>
        <v>0.19791308495204621</v>
      </c>
      <c r="V457" s="12"/>
      <c r="X457" s="2" cm="1">
        <f t="array" aca="1" ref="X457" ca="1">MMULT(MMULT(_xlfn.ANCHORARRAY(Q457),$Q$9:$U$13),TRANSPOSE(_xlfn.ANCHORARRAY(Q457)))</f>
        <v>2.7527735761765786E-4</v>
      </c>
      <c r="Y457" s="2">
        <f t="shared" ca="1" si="18"/>
        <v>1.659148449107728E-2</v>
      </c>
      <c r="Z457" s="2" cm="1">
        <f t="array" aca="1" ref="Z457" ca="1">MMULT(_xlfn.ANCHORARRAY(Q457),TRANSPOSE($Q$3:$U$3))</f>
        <v>8.5080700876698505E-4</v>
      </c>
      <c r="AA457" s="11">
        <f ca="1">AVEDEV(Q457*$Q$3,R457*$R$3,S457*$S$3,T457*$T$3,U457*$U$3)</f>
        <v>3.4652929887540605E-5</v>
      </c>
      <c r="AB457" s="11" cm="1">
        <f t="array" aca="1" ref="AB457" ca="1">MMULT(_xlfn.ANCHORARRAY(Q457),TRANSPOSE($Q$6:$U$6))</f>
        <v>-2.2511053821868833E-2</v>
      </c>
      <c r="AD457" s="2" t="s">
        <v>448</v>
      </c>
      <c r="AE457" s="10" cm="1">
        <f t="array" aca="1" ref="AE457:AI457" ca="1">_xlfn.LET(_xlpm.array,_xlfn.RANDARRAY(1,COLUMNS(_xlfn.ANCHORARRAY(Q456)),-1,1,FALSE),_xlpm.array/SUM(_xlpm.array))</f>
        <v>-0.27632143689703964</v>
      </c>
      <c r="AF457" s="10">
        <f ca="1"/>
        <v>0.17839593308313448</v>
      </c>
      <c r="AG457" s="10">
        <f ca="1"/>
        <v>0.58507234220913684</v>
      </c>
      <c r="AH457" s="10">
        <f ca="1"/>
        <v>6.513971431530749E-2</v>
      </c>
      <c r="AI457" s="10">
        <f ca="1"/>
        <v>0.44771344728946089</v>
      </c>
      <c r="AJ457" s="1"/>
      <c r="AK457" s="2" cm="1">
        <f t="array" aca="1" ref="AK457" ca="1">MMULT(MMULT(_xlfn.ANCHORARRAY(AE457),$Q$9:$U$13),TRANSPOSE(_xlfn.ANCHORARRAY(AE457)))</f>
        <v>4.7706138890593153E-4</v>
      </c>
      <c r="AL457" s="2">
        <f t="shared" ca="1" si="19"/>
        <v>2.1841735025082864E-2</v>
      </c>
      <c r="AM457" s="2" cm="1">
        <f t="array" aca="1" ref="AM457" ca="1">MMULT(_xlfn.ANCHORARRAY(AE458),TRANSPOSE($Q$3:$U$3))</f>
        <v>1.3445812642603329E-3</v>
      </c>
    </row>
    <row r="458" spans="1:39" x14ac:dyDescent="0.35">
      <c r="A458" s="3">
        <v>44491</v>
      </c>
      <c r="B458" s="4">
        <v>42.523597717285099</v>
      </c>
      <c r="C458" s="4">
        <v>93.969467163085895</v>
      </c>
      <c r="D458" s="4">
        <v>52.987258911132798</v>
      </c>
      <c r="E458" s="4">
        <v>19.226587295532202</v>
      </c>
      <c r="F458" s="4">
        <v>297.91171264648398</v>
      </c>
      <c r="I458" s="5">
        <f>B458/B457-1</f>
        <v>1.5801674883132444E-2</v>
      </c>
      <c r="J458" s="5">
        <f>C458/C457-1</f>
        <v>9.4864184328165013E-3</v>
      </c>
      <c r="K458" s="5">
        <f>D458/D457-1</f>
        <v>1.3807934365600127E-2</v>
      </c>
      <c r="L458" s="5">
        <f>E458/E457-1</f>
        <v>-5.4054966061336529E-3</v>
      </c>
      <c r="M458" s="5">
        <f>F458/F457-1</f>
        <v>-5.1486411402930088E-3</v>
      </c>
      <c r="N458" s="5">
        <f>SUMPRODUCT(I458:M458,$AJ$13:$AN$13)</f>
        <v>-1.9370692041279346E-3</v>
      </c>
      <c r="P458" s="2" t="s">
        <v>449</v>
      </c>
      <c r="Q458" s="10" cm="1">
        <f t="array" aca="1" ref="Q458:U458" ca="1">_xlfn.LET(_xlpm.array,_xlfn.RANDARRAY(1,COLUMNS(_xlfn.ANCHORARRAY(Q457)),0,1,FALSE),_xlpm.array/SUM(_xlpm.array))</f>
        <v>6.4541668677123132E-2</v>
      </c>
      <c r="R458" s="2">
        <f ca="1"/>
        <v>0.18617428620567375</v>
      </c>
      <c r="S458" s="2">
        <f ca="1"/>
        <v>0.5868299136807682</v>
      </c>
      <c r="T458" s="2">
        <f ca="1"/>
        <v>1.1731745647953717E-2</v>
      </c>
      <c r="U458" s="2">
        <f ca="1"/>
        <v>0.15072238578848118</v>
      </c>
      <c r="V458" s="12"/>
      <c r="X458" s="2" cm="1">
        <f t="array" aca="1" ref="X458" ca="1">MMULT(MMULT(_xlfn.ANCHORARRAY(Q458),$Q$9:$U$13),TRANSPOSE(_xlfn.ANCHORARRAY(Q458)))</f>
        <v>4.4668583773467134E-4</v>
      </c>
      <c r="Y458" s="2">
        <f t="shared" ca="1" si="18"/>
        <v>2.1134943523337633E-2</v>
      </c>
      <c r="Z458" s="2" cm="1">
        <f t="array" aca="1" ref="Z458" ca="1">MMULT(_xlfn.ANCHORARRAY(Q458),TRANSPOSE($Q$3:$U$3))</f>
        <v>1.2490329726824274E-3</v>
      </c>
      <c r="AA458" s="11">
        <f ca="1">AVEDEV(Q458*$Q$3,R458*$R$3,S458*$S$3,T458*$T$3,U458*$U$3)</f>
        <v>2.8128225560066411E-4</v>
      </c>
      <c r="AB458" s="11" cm="1">
        <f t="array" aca="1" ref="AB458" ca="1">MMULT(_xlfn.ANCHORARRAY(Q458),TRANSPOSE($Q$6:$U$6))</f>
        <v>-2.4491656439562245E-2</v>
      </c>
      <c r="AD458" s="2" t="s">
        <v>449</v>
      </c>
      <c r="AE458" s="10" cm="1">
        <f t="array" aca="1" ref="AE458:AI458" ca="1">_xlfn.LET(_xlpm.array,_xlfn.RANDARRAY(1,COLUMNS(_xlfn.ANCHORARRAY(Q457)),-1,1,FALSE),_xlpm.array/SUM(_xlpm.array))</f>
        <v>2.1007616416667645</v>
      </c>
      <c r="AF458" s="10">
        <f ca="1"/>
        <v>-1.316934760409147</v>
      </c>
      <c r="AG458" s="10">
        <f ca="1"/>
        <v>0.9200242152853213</v>
      </c>
      <c r="AH458" s="10">
        <f ca="1"/>
        <v>1.101315423456384</v>
      </c>
      <c r="AI458" s="10">
        <f ca="1"/>
        <v>-1.8051665199993225</v>
      </c>
      <c r="AJ458" s="1"/>
      <c r="AK458" s="2" cm="1">
        <f t="array" aca="1" ref="AK458" ca="1">MMULT(MMULT(_xlfn.ANCHORARRAY(AE458),$Q$9:$U$13),TRANSPOSE(_xlfn.ANCHORARRAY(AE458)))</f>
        <v>2.849115632337482E-3</v>
      </c>
      <c r="AL458" s="2">
        <f t="shared" ca="1" si="19"/>
        <v>5.3377107755455261E-2</v>
      </c>
      <c r="AM458" s="2" cm="1">
        <f t="array" aca="1" ref="AM458" ca="1">MMULT(_xlfn.ANCHORARRAY(AE459),TRANSPOSE($Q$3:$U$3))</f>
        <v>-1.4033399091618552E-3</v>
      </c>
    </row>
    <row r="459" spans="1:39" x14ac:dyDescent="0.35">
      <c r="A459" s="3">
        <v>44494</v>
      </c>
      <c r="B459" s="4">
        <v>42.469959259033203</v>
      </c>
      <c r="C459" s="4">
        <v>94.844169616699205</v>
      </c>
      <c r="D459" s="4">
        <v>51.946384429931598</v>
      </c>
      <c r="E459" s="4">
        <v>19.567928314208899</v>
      </c>
      <c r="F459" s="4">
        <v>296.919189453125</v>
      </c>
      <c r="I459" s="5">
        <f>B459/B458-1</f>
        <v>-1.2613810009328708E-3</v>
      </c>
      <c r="J459" s="5">
        <f>C459/C458-1</f>
        <v>9.3083687714781149E-3</v>
      </c>
      <c r="K459" s="5">
        <f>D459/D458-1</f>
        <v>-1.9643863498334468E-2</v>
      </c>
      <c r="L459" s="5">
        <f>E459/E458-1</f>
        <v>1.7753593678895729E-2</v>
      </c>
      <c r="M459" s="5">
        <f>F459/F458-1</f>
        <v>-3.3316017841056311E-3</v>
      </c>
      <c r="N459" s="5">
        <f>SUMPRODUCT(I459:M459,$AJ$13:$AN$13)</f>
        <v>-2.985598083337186E-3</v>
      </c>
      <c r="P459" s="2" t="s">
        <v>450</v>
      </c>
      <c r="Q459" s="10" cm="1">
        <f t="array" aca="1" ref="Q459:U459" ca="1">_xlfn.LET(_xlpm.array,_xlfn.RANDARRAY(1,COLUMNS(_xlfn.ANCHORARRAY(Q458)),0,1,FALSE),_xlpm.array/SUM(_xlpm.array))</f>
        <v>0.23919126913323349</v>
      </c>
      <c r="R459" s="2">
        <f ca="1"/>
        <v>0.33104702353051407</v>
      </c>
      <c r="S459" s="2">
        <f ca="1"/>
        <v>0.24502230319259319</v>
      </c>
      <c r="T459" s="2">
        <f ca="1"/>
        <v>0.15993845143550878</v>
      </c>
      <c r="U459" s="2">
        <f ca="1"/>
        <v>2.4800952708150463E-2</v>
      </c>
      <c r="V459" s="12"/>
      <c r="X459" s="2" cm="1">
        <f t="array" aca="1" ref="X459" ca="1">MMULT(MMULT(_xlfn.ANCHORARRAY(Q459),$Q$9:$U$13),TRANSPOSE(_xlfn.ANCHORARRAY(Q459)))</f>
        <v>3.2610315997024192E-4</v>
      </c>
      <c r="Y459" s="2">
        <f t="shared" ca="1" si="18"/>
        <v>1.8058326610465376E-2</v>
      </c>
      <c r="Z459" s="2" cm="1">
        <f t="array" aca="1" ref="Z459" ca="1">MMULT(_xlfn.ANCHORARRAY(Q459),TRANSPOSE($Q$3:$U$3))</f>
        <v>9.4359290305749948E-4</v>
      </c>
      <c r="AA459" s="11">
        <f ca="1">AVEDEV(Q459*$Q$3,R459*$R$3,S459*$S$3,T459*$T$3,U459*$U$3)</f>
        <v>1.0488908492877051E-4</v>
      </c>
      <c r="AB459" s="11" cm="1">
        <f t="array" aca="1" ref="AB459" ca="1">MMULT(_xlfn.ANCHORARRAY(Q459),TRANSPOSE($Q$6:$U$6))</f>
        <v>-2.3164059856257496E-2</v>
      </c>
      <c r="AD459" s="2" t="s">
        <v>450</v>
      </c>
      <c r="AE459" s="10" cm="1">
        <f t="array" aca="1" ref="AE459:AI459" ca="1">_xlfn.LET(_xlpm.array,_xlfn.RANDARRAY(1,COLUMNS(_xlfn.ANCHORARRAY(Q458)),-1,1,FALSE),_xlpm.array/SUM(_xlpm.array))</f>
        <v>4.9980458116458557</v>
      </c>
      <c r="AF459" s="10">
        <f ca="1"/>
        <v>-3.0971670200672761</v>
      </c>
      <c r="AG459" s="10">
        <f ca="1"/>
        <v>-2.589419038026572</v>
      </c>
      <c r="AH459" s="10">
        <f ca="1"/>
        <v>4.7975173480461759</v>
      </c>
      <c r="AI459" s="10">
        <f ca="1"/>
        <v>-3.108977101598184</v>
      </c>
      <c r="AJ459" s="1"/>
      <c r="AK459" s="2" cm="1">
        <f t="array" aca="1" ref="AK459" ca="1">MMULT(MMULT(_xlfn.ANCHORARRAY(AE459),$Q$9:$U$13),TRANSPOSE(_xlfn.ANCHORARRAY(AE459)))</f>
        <v>2.0682317355140416E-2</v>
      </c>
      <c r="AL459" s="2">
        <f t="shared" ca="1" si="19"/>
        <v>0.14381348113143083</v>
      </c>
      <c r="AM459" s="2" cm="1">
        <f t="array" aca="1" ref="AM459" ca="1">MMULT(_xlfn.ANCHORARRAY(AE460),TRANSPOSE($Q$3:$U$3))</f>
        <v>9.1207446097438336E-3</v>
      </c>
    </row>
    <row r="460" spans="1:39" x14ac:dyDescent="0.35">
      <c r="A460" s="3">
        <v>44495</v>
      </c>
      <c r="B460" s="4">
        <v>42.872230529785099</v>
      </c>
      <c r="C460" s="4">
        <v>95.052444458007798</v>
      </c>
      <c r="D460" s="4">
        <v>50.984161376953097</v>
      </c>
      <c r="E460" s="4">
        <v>19.519166946411101</v>
      </c>
      <c r="F460" s="4">
        <v>298.82711791992102</v>
      </c>
      <c r="I460" s="5">
        <f>B460/B459-1</f>
        <v>9.4719014986184291E-3</v>
      </c>
      <c r="J460" s="5">
        <f>C460/C459-1</f>
        <v>2.195968841841367E-3</v>
      </c>
      <c r="K460" s="5">
        <f>D460/D459-1</f>
        <v>-1.8523388365486837E-2</v>
      </c>
      <c r="L460" s="5">
        <f>E460/E459-1</f>
        <v>-2.4919024137262102E-3</v>
      </c>
      <c r="M460" s="5">
        <f>F460/F459-1</f>
        <v>6.4257499500457449E-3</v>
      </c>
      <c r="N460" s="5">
        <f>SUMPRODUCT(I460:M460,$AJ$13:$AN$13)</f>
        <v>-1.1473826683181653E-2</v>
      </c>
      <c r="P460" s="2" t="s">
        <v>451</v>
      </c>
      <c r="Q460" s="10" cm="1">
        <f t="array" aca="1" ref="Q460:U460" ca="1">_xlfn.LET(_xlpm.array,_xlfn.RANDARRAY(1,COLUMNS(_xlfn.ANCHORARRAY(Q459)),0,1,FALSE),_xlpm.array/SUM(_xlpm.array))</f>
        <v>0.11276902452326179</v>
      </c>
      <c r="R460" s="2">
        <f ca="1"/>
        <v>0.21822083556150487</v>
      </c>
      <c r="S460" s="2">
        <f ca="1"/>
        <v>0.23890595106365811</v>
      </c>
      <c r="T460" s="2">
        <f ca="1"/>
        <v>0.23787374805190592</v>
      </c>
      <c r="U460" s="2">
        <f ca="1"/>
        <v>0.19223044079966933</v>
      </c>
      <c r="V460" s="12"/>
      <c r="X460" s="2" cm="1">
        <f t="array" aca="1" ref="X460" ca="1">MMULT(MMULT(_xlfn.ANCHORARRAY(Q460),$Q$9:$U$13),TRANSPOSE(_xlfn.ANCHORARRAY(Q460)))</f>
        <v>2.9002797631713683E-4</v>
      </c>
      <c r="Y460" s="2">
        <f t="shared" ca="1" si="18"/>
        <v>1.7030207759071433E-2</v>
      </c>
      <c r="Z460" s="2" cm="1">
        <f t="array" aca="1" ref="Z460" ca="1">MMULT(_xlfn.ANCHORARRAY(Q460),TRANSPOSE($Q$3:$U$3))</f>
        <v>9.9469533986282568E-4</v>
      </c>
      <c r="AA460" s="11">
        <f ca="1">AVEDEV(Q460*$Q$3,R460*$R$3,S460*$S$3,T460*$T$3,U460*$U$3)</f>
        <v>9.3248483340376687E-5</v>
      </c>
      <c r="AB460" s="11" cm="1">
        <f t="array" aca="1" ref="AB460" ca="1">MMULT(_xlfn.ANCHORARRAY(Q460),TRANSPOSE($Q$6:$U$6))</f>
        <v>-2.327345166744698E-2</v>
      </c>
      <c r="AD460" s="2" t="s">
        <v>451</v>
      </c>
      <c r="AE460" s="10" cm="1">
        <f t="array" aca="1" ref="AE460:AI460" ca="1">_xlfn.LET(_xlpm.array,_xlfn.RANDARRAY(1,COLUMNS(_xlfn.ANCHORARRAY(Q459)),-1,1,FALSE),_xlpm.array/SUM(_xlpm.array))</f>
        <v>6.7343828287947396</v>
      </c>
      <c r="AF460" s="10">
        <f ca="1"/>
        <v>-11.192322771702962</v>
      </c>
      <c r="AG460" s="10">
        <f ca="1"/>
        <v>7.9449128829134361</v>
      </c>
      <c r="AH460" s="10">
        <f ca="1"/>
        <v>11.180402074993566</v>
      </c>
      <c r="AI460" s="10">
        <f ca="1"/>
        <v>-13.667375014998781</v>
      </c>
      <c r="AJ460" s="1"/>
      <c r="AK460" s="2" cm="1">
        <f t="array" aca="1" ref="AK460" ca="1">MMULT(MMULT(_xlfn.ANCHORARRAY(AE460),$Q$9:$U$13),TRANSPOSE(_xlfn.ANCHORARRAY(AE460)))</f>
        <v>0.11999079984818457</v>
      </c>
      <c r="AL460" s="2">
        <f t="shared" ca="1" si="19"/>
        <v>0.34639688198392399</v>
      </c>
      <c r="AM460" s="2" cm="1">
        <f t="array" aca="1" ref="AM460" ca="1">MMULT(_xlfn.ANCHORARRAY(AE461),TRANSPOSE($Q$3:$U$3))</f>
        <v>1.483980028431379E-3</v>
      </c>
    </row>
    <row r="461" spans="1:39" x14ac:dyDescent="0.35">
      <c r="A461" s="3">
        <v>44496</v>
      </c>
      <c r="B461" s="4">
        <v>42.0498237609863</v>
      </c>
      <c r="C461" s="4">
        <v>93.361328125</v>
      </c>
      <c r="D461" s="4">
        <v>50.142223358154297</v>
      </c>
      <c r="E461" s="4">
        <v>18.139867782592699</v>
      </c>
      <c r="F461" s="4">
        <v>311.41195678710898</v>
      </c>
      <c r="I461" s="5">
        <f>B461/B460-1</f>
        <v>-1.9182738071615857E-2</v>
      </c>
      <c r="J461" s="5">
        <f>C461/C460-1</f>
        <v>-1.779140286870684E-2</v>
      </c>
      <c r="K461" s="5">
        <f>D461/D460-1</f>
        <v>-1.6513717124302607E-2</v>
      </c>
      <c r="L461" s="5">
        <f>E461/E460-1</f>
        <v>-7.0663833533736287E-2</v>
      </c>
      <c r="M461" s="5">
        <f>F461/F460-1</f>
        <v>4.2114112516924873E-2</v>
      </c>
      <c r="N461" s="5">
        <f>SUMPRODUCT(I461:M461,$AJ$13:$AN$13)</f>
        <v>-2.1417544874254818E-2</v>
      </c>
      <c r="P461" s="2" t="s">
        <v>452</v>
      </c>
      <c r="Q461" s="10" cm="1">
        <f t="array" aca="1" ref="Q461:U461" ca="1">_xlfn.LET(_xlpm.array,_xlfn.RANDARRAY(1,COLUMNS(_xlfn.ANCHORARRAY(Q460)),0,1,FALSE),_xlpm.array/SUM(_xlpm.array))</f>
        <v>0.34826730955398999</v>
      </c>
      <c r="R461" s="2">
        <f ca="1"/>
        <v>0.34966016855819149</v>
      </c>
      <c r="S461" s="2">
        <f ca="1"/>
        <v>4.1839931205243902E-2</v>
      </c>
      <c r="T461" s="2">
        <f ca="1"/>
        <v>0.2409770345441396</v>
      </c>
      <c r="U461" s="2">
        <f ca="1"/>
        <v>1.9255556138435114E-2</v>
      </c>
      <c r="V461" s="12"/>
      <c r="X461" s="2" cm="1">
        <f t="array" aca="1" ref="X461" ca="1">MMULT(MMULT(_xlfn.ANCHORARRAY(Q461),$Q$9:$U$13),TRANSPOSE(_xlfn.ANCHORARRAY(Q461)))</f>
        <v>3.3567723016580822E-4</v>
      </c>
      <c r="Y461" s="2">
        <f t="shared" ca="1" si="18"/>
        <v>1.8321496395376887E-2</v>
      </c>
      <c r="Z461" s="2" cm="1">
        <f t="array" aca="1" ref="Z461" ca="1">MMULT(_xlfn.ANCHORARRAY(Q461),TRANSPOSE($Q$3:$U$3))</f>
        <v>7.6120309409643584E-4</v>
      </c>
      <c r="AA461" s="11">
        <f ca="1">AVEDEV(Q461*$Q$3,R461*$R$3,S461*$S$3,T461*$T$3,U461*$U$3)</f>
        <v>8.872218855330083E-5</v>
      </c>
      <c r="AB461" s="11" cm="1">
        <f t="array" aca="1" ref="AB461" ca="1">MMULT(_xlfn.ANCHORARRAY(Q461),TRANSPOSE($Q$6:$U$6))</f>
        <v>-2.2315430548340818E-2</v>
      </c>
      <c r="AD461" s="2" t="s">
        <v>452</v>
      </c>
      <c r="AE461" s="10" cm="1">
        <f t="array" aca="1" ref="AE461:AI461" ca="1">_xlfn.LET(_xlpm.array,_xlfn.RANDARRAY(1,COLUMNS(_xlfn.ANCHORARRAY(Q460)),-1,1,FALSE),_xlpm.array/SUM(_xlpm.array))</f>
        <v>2.0118314285468752</v>
      </c>
      <c r="AF461" s="10">
        <f ca="1"/>
        <v>-0.6425124636262266</v>
      </c>
      <c r="AG461" s="10">
        <f ca="1"/>
        <v>1.2452487359004116</v>
      </c>
      <c r="AH461" s="10">
        <f ca="1"/>
        <v>0.558044318292921</v>
      </c>
      <c r="AI461" s="10">
        <f ca="1"/>
        <v>-2.1726120191139811</v>
      </c>
      <c r="AJ461" s="1"/>
      <c r="AK461" s="2" cm="1">
        <f t="array" aca="1" ref="AK461" ca="1">MMULT(MMULT(_xlfn.ANCHORARRAY(AE461),$Q$9:$U$13),TRANSPOSE(_xlfn.ANCHORARRAY(AE461)))</f>
        <v>3.2821400580127814E-3</v>
      </c>
      <c r="AL461" s="2">
        <f t="shared" ca="1" si="19"/>
        <v>5.7289964723438093E-2</v>
      </c>
      <c r="AM461" s="2" cm="1">
        <f t="array" aca="1" ref="AM461" ca="1">MMULT(_xlfn.ANCHORARRAY(AE462),TRANSPOSE($Q$3:$U$3))</f>
        <v>1.4845460456475758E-3</v>
      </c>
    </row>
    <row r="462" spans="1:39" x14ac:dyDescent="0.35">
      <c r="A462" s="3">
        <v>44497</v>
      </c>
      <c r="B462" s="4">
        <v>42.7113227844238</v>
      </c>
      <c r="C462" s="4">
        <v>94.236030578613196</v>
      </c>
      <c r="D462" s="4">
        <v>50.924030303955</v>
      </c>
      <c r="E462" s="4">
        <v>18.063240051269499</v>
      </c>
      <c r="F462" s="4">
        <v>312.54904174804602</v>
      </c>
      <c r="I462" s="5">
        <f>B462/B461-1</f>
        <v>1.5731315003779889E-2</v>
      </c>
      <c r="J462" s="5">
        <f>C462/C461-1</f>
        <v>9.3690018252747809E-3</v>
      </c>
      <c r="K462" s="5">
        <f>D462/D461-1</f>
        <v>1.5591788585369137E-2</v>
      </c>
      <c r="L462" s="5">
        <f>E462/E461-1</f>
        <v>-4.22427176656337E-3</v>
      </c>
      <c r="M462" s="5">
        <f>F462/F461-1</f>
        <v>3.6513850420791805E-3</v>
      </c>
      <c r="N462" s="5">
        <f>SUMPRODUCT(I462:M462,$AJ$13:$AN$13)</f>
        <v>2.5074787381594516E-3</v>
      </c>
      <c r="P462" s="2" t="s">
        <v>453</v>
      </c>
      <c r="Q462" s="10" cm="1">
        <f t="array" aca="1" ref="Q462:U462" ca="1">_xlfn.LET(_xlpm.array,_xlfn.RANDARRAY(1,COLUMNS(_xlfn.ANCHORARRAY(Q461)),0,1,FALSE),_xlpm.array/SUM(_xlpm.array))</f>
        <v>0.52980950467062859</v>
      </c>
      <c r="R462" s="2">
        <f ca="1"/>
        <v>0.21375073360122412</v>
      </c>
      <c r="S462" s="2">
        <f ca="1"/>
        <v>3.1541756466653324E-2</v>
      </c>
      <c r="T462" s="2">
        <f ca="1"/>
        <v>5.0156213165845884E-2</v>
      </c>
      <c r="U462" s="2">
        <f ca="1"/>
        <v>0.17474179209564805</v>
      </c>
      <c r="V462" s="12"/>
      <c r="X462" s="2" cm="1">
        <f t="array" aca="1" ref="X462" ca="1">MMULT(MMULT(_xlfn.ANCHORARRAY(Q462),$Q$9:$U$13),TRANSPOSE(_xlfn.ANCHORARRAY(Q462)))</f>
        <v>3.0127978818395181E-4</v>
      </c>
      <c r="Y462" s="2">
        <f t="shared" ca="1" si="18"/>
        <v>1.7357413061396904E-2</v>
      </c>
      <c r="Z462" s="2" cm="1">
        <f t="array" aca="1" ref="Z462" ca="1">MMULT(_xlfn.ANCHORARRAY(Q462),TRANSPOSE($Q$3:$U$3))</f>
        <v>6.6147903508814222E-4</v>
      </c>
      <c r="AA462" s="11">
        <f ca="1">AVEDEV(Q462*$Q$3,R462*$R$3,S462*$S$3,T462*$T$3,U462*$U$3)</f>
        <v>6.48509323019133E-5</v>
      </c>
      <c r="AB462" s="11" cm="1">
        <f t="array" aca="1" ref="AB462" ca="1">MMULT(_xlfn.ANCHORARRAY(Q462),TRANSPOSE($Q$6:$U$6))</f>
        <v>-2.1487269573881387E-2</v>
      </c>
      <c r="AD462" s="2" t="s">
        <v>453</v>
      </c>
      <c r="AE462" s="10" cm="1">
        <f t="array" aca="1" ref="AE462:AI462" ca="1">_xlfn.LET(_xlpm.array,_xlfn.RANDARRAY(1,COLUMNS(_xlfn.ANCHORARRAY(Q461)),-1,1,FALSE),_xlpm.array/SUM(_xlpm.array))</f>
        <v>0.2044722061583161</v>
      </c>
      <c r="AF462" s="10">
        <f ca="1"/>
        <v>-0.67167612807018728</v>
      </c>
      <c r="AG462" s="10">
        <f ca="1"/>
        <v>0.6875008344429786</v>
      </c>
      <c r="AH462" s="10">
        <f ca="1"/>
        <v>0.61631539956428272</v>
      </c>
      <c r="AI462" s="10">
        <f ca="1"/>
        <v>0.16338768790460997</v>
      </c>
      <c r="AJ462" s="1"/>
      <c r="AK462" s="2" cm="1">
        <f t="array" aca="1" ref="AK462" ca="1">MMULT(MMULT(_xlfn.ANCHORARRAY(AE462),$Q$9:$U$13),TRANSPOSE(_xlfn.ANCHORARRAY(AE462)))</f>
        <v>6.3679422899111859E-4</v>
      </c>
      <c r="AL462" s="2">
        <f t="shared" ca="1" si="19"/>
        <v>2.5234782126880323E-2</v>
      </c>
      <c r="AM462" s="2" cm="1">
        <f t="array" aca="1" ref="AM462" ca="1">MMULT(_xlfn.ANCHORARRAY(AE463),TRANSPOSE($Q$3:$U$3))</f>
        <v>1.1669336143542868E-3</v>
      </c>
    </row>
    <row r="463" spans="1:39" x14ac:dyDescent="0.35">
      <c r="A463" s="3">
        <v>44498</v>
      </c>
      <c r="B463" s="4">
        <v>42.7113227844238</v>
      </c>
      <c r="C463" s="4">
        <v>95.3773193359375</v>
      </c>
      <c r="D463" s="4">
        <v>50.882389068603501</v>
      </c>
      <c r="E463" s="4">
        <v>17.7149333953857</v>
      </c>
      <c r="F463" s="4">
        <v>319.55456542968699</v>
      </c>
      <c r="I463" s="5">
        <f>B463/B462-1</f>
        <v>0</v>
      </c>
      <c r="J463" s="5">
        <f>C463/C462-1</f>
        <v>1.211095958007502E-2</v>
      </c>
      <c r="K463" s="5">
        <f>D463/D462-1</f>
        <v>-8.177128774559117E-4</v>
      </c>
      <c r="L463" s="5">
        <f>E463/E462-1</f>
        <v>-1.928262343273901E-2</v>
      </c>
      <c r="M463" s="5">
        <f>F463/F462-1</f>
        <v>2.2414158246846672E-2</v>
      </c>
      <c r="N463" s="5">
        <f>SUMPRODUCT(I463:M463,$AJ$13:$AN$13)</f>
        <v>-2.3451083497689658E-3</v>
      </c>
      <c r="P463" s="2" t="s">
        <v>454</v>
      </c>
      <c r="Q463" s="10" cm="1">
        <f t="array" aca="1" ref="Q463:U463" ca="1">_xlfn.LET(_xlpm.array,_xlfn.RANDARRAY(1,COLUMNS(_xlfn.ANCHORARRAY(Q462)),0,1,FALSE),_xlpm.array/SUM(_xlpm.array))</f>
        <v>8.2871381600670022E-2</v>
      </c>
      <c r="R463" s="2">
        <f ca="1"/>
        <v>0.24216849196999221</v>
      </c>
      <c r="S463" s="2">
        <f ca="1"/>
        <v>0.26120716383135545</v>
      </c>
      <c r="T463" s="2">
        <f ca="1"/>
        <v>0.10462814092874607</v>
      </c>
      <c r="U463" s="2">
        <f ca="1"/>
        <v>0.30912482166923627</v>
      </c>
      <c r="V463" s="12"/>
      <c r="X463" s="2" cm="1">
        <f t="array" aca="1" ref="X463" ca="1">MMULT(MMULT(_xlfn.ANCHORARRAY(Q463),$Q$9:$U$13),TRANSPOSE(_xlfn.ANCHORARRAY(Q463)))</f>
        <v>2.7924737361909301E-4</v>
      </c>
      <c r="Y463" s="2">
        <f t="shared" ca="1" si="18"/>
        <v>1.6710696383427384E-2</v>
      </c>
      <c r="Z463" s="2" cm="1">
        <f t="array" aca="1" ref="Z463" ca="1">MMULT(_xlfn.ANCHORARRAY(Q463),TRANSPOSE($Q$3:$U$3))</f>
        <v>9.864857948485785E-4</v>
      </c>
      <c r="AA463" s="11">
        <f ca="1">AVEDEV(Q463*$Q$3,R463*$R$3,S463*$S$3,T463*$T$3,U463*$U$3)</f>
        <v>1.0641664725857015E-4</v>
      </c>
      <c r="AB463" s="11" cm="1">
        <f t="array" aca="1" ref="AB463" ca="1">MMULT(_xlfn.ANCHORARRAY(Q463),TRANSPOSE($Q$6:$U$6))</f>
        <v>-2.2726304402580673E-2</v>
      </c>
      <c r="AD463" s="2" t="s">
        <v>454</v>
      </c>
      <c r="AE463" s="10" cm="1">
        <f t="array" aca="1" ref="AE463:AI463" ca="1">_xlfn.LET(_xlpm.array,_xlfn.RANDARRAY(1,COLUMNS(_xlfn.ANCHORARRAY(Q462)),-1,1,FALSE),_xlpm.array/SUM(_xlpm.array))</f>
        <v>0.48578193574508499</v>
      </c>
      <c r="AF463" s="10">
        <f ca="1"/>
        <v>-5.7829690586329578E-2</v>
      </c>
      <c r="AG463" s="10">
        <f ca="1"/>
        <v>0.68600680794182989</v>
      </c>
      <c r="AH463" s="10">
        <f ca="1"/>
        <v>-0.25177780692009161</v>
      </c>
      <c r="AI463" s="10">
        <f ca="1"/>
        <v>0.13781875381950637</v>
      </c>
      <c r="AJ463" s="1"/>
      <c r="AK463" s="2" cm="1">
        <f t="array" aca="1" ref="AK463" ca="1">MMULT(MMULT(_xlfn.ANCHORARRAY(AE463),$Q$9:$U$13),TRANSPOSE(_xlfn.ANCHORARRAY(AE463)))</f>
        <v>6.2525193684350897E-4</v>
      </c>
      <c r="AL463" s="2">
        <f t="shared" ca="1" si="19"/>
        <v>2.5005038229195111E-2</v>
      </c>
      <c r="AM463" s="2" cm="1">
        <f t="array" aca="1" ref="AM463" ca="1">MMULT(_xlfn.ANCHORARRAY(AE464),TRANSPOSE($Q$3:$U$3))</f>
        <v>1.3077104535437177E-3</v>
      </c>
    </row>
    <row r="464" spans="1:39" x14ac:dyDescent="0.35">
      <c r="A464" s="3">
        <v>44501</v>
      </c>
      <c r="B464" s="4">
        <v>42.773895263671797</v>
      </c>
      <c r="C464" s="4">
        <v>95.410652160644503</v>
      </c>
      <c r="D464" s="4">
        <v>51.585556030273402</v>
      </c>
      <c r="E464" s="4">
        <v>18.279191970825099</v>
      </c>
      <c r="F464" s="4">
        <v>317.38638305664</v>
      </c>
      <c r="I464" s="5">
        <f>B464/B463-1</f>
        <v>1.4650091631163153E-3</v>
      </c>
      <c r="J464" s="5">
        <f>C464/C463-1</f>
        <v>3.4948376552290661E-4</v>
      </c>
      <c r="K464" s="5">
        <f>D464/D463-1</f>
        <v>1.3819456486640957E-2</v>
      </c>
      <c r="L464" s="5">
        <f>E464/E463-1</f>
        <v>3.1852142079539236E-2</v>
      </c>
      <c r="M464" s="5">
        <f>F464/F463-1</f>
        <v>-6.7850145408862028E-3</v>
      </c>
      <c r="N464" s="5">
        <f>SUMPRODUCT(I464:M464,$AJ$13:$AN$13)</f>
        <v>1.9376875759128744E-2</v>
      </c>
      <c r="P464" s="2" t="s">
        <v>455</v>
      </c>
      <c r="Q464" s="10" cm="1">
        <f t="array" aca="1" ref="Q464:U464" ca="1">_xlfn.LET(_xlpm.array,_xlfn.RANDARRAY(1,COLUMNS(_xlfn.ANCHORARRAY(Q463)),0,1,FALSE),_xlpm.array/SUM(_xlpm.array))</f>
        <v>0.26220299067047881</v>
      </c>
      <c r="R464" s="2">
        <f ca="1"/>
        <v>0.20632446887833716</v>
      </c>
      <c r="S464" s="2">
        <f ca="1"/>
        <v>0.2512538334361013</v>
      </c>
      <c r="T464" s="2">
        <f ca="1"/>
        <v>0.19800236157238155</v>
      </c>
      <c r="U464" s="2">
        <f ca="1"/>
        <v>8.2216345442701247E-2</v>
      </c>
      <c r="V464" s="12"/>
      <c r="X464" s="2" cm="1">
        <f t="array" aca="1" ref="X464" ca="1">MMULT(MMULT(_xlfn.ANCHORARRAY(Q464),$Q$9:$U$13),TRANSPOSE(_xlfn.ANCHORARRAY(Q464)))</f>
        <v>3.0976180598289542E-4</v>
      </c>
      <c r="Y464" s="2">
        <f t="shared" ca="1" si="18"/>
        <v>1.7600051306257473E-2</v>
      </c>
      <c r="Z464" s="2" cm="1">
        <f t="array" aca="1" ref="Z464" ca="1">MMULT(_xlfn.ANCHORARRAY(Q464),TRANSPOSE($Q$3:$U$3))</f>
        <v>9.5713237923018043E-4</v>
      </c>
      <c r="AA464" s="11">
        <f ca="1">AVEDEV(Q464*$Q$3,R464*$R$3,S464*$S$3,T464*$T$3,U464*$U$3)</f>
        <v>9.0986428729025818E-5</v>
      </c>
      <c r="AB464" s="11" cm="1">
        <f t="array" aca="1" ref="AB464" ca="1">MMULT(_xlfn.ANCHORARRAY(Q464),TRANSPOSE($Q$6:$U$6))</f>
        <v>-2.3374908466852362E-2</v>
      </c>
      <c r="AD464" s="2" t="s">
        <v>455</v>
      </c>
      <c r="AE464" s="10" cm="1">
        <f t="array" aca="1" ref="AE464:AI464" ca="1">_xlfn.LET(_xlpm.array,_xlfn.RANDARRAY(1,COLUMNS(_xlfn.ANCHORARRAY(Q463)),-1,1,FALSE),_xlpm.array/SUM(_xlpm.array))</f>
        <v>0.13575074782302207</v>
      </c>
      <c r="AF464" s="10">
        <f ca="1"/>
        <v>-0.48842875049093631</v>
      </c>
      <c r="AG464" s="10">
        <f ca="1"/>
        <v>0.3816318220079446</v>
      </c>
      <c r="AH464" s="10">
        <f ca="1"/>
        <v>0.90708691998237712</v>
      </c>
      <c r="AI464" s="10">
        <f ca="1"/>
        <v>6.3959260677592555E-2</v>
      </c>
      <c r="AJ464" s="1"/>
      <c r="AK464" s="2" cm="1">
        <f t="array" aca="1" ref="AK464" ca="1">MMULT(MMULT(_xlfn.ANCHORARRAY(AE464),$Q$9:$U$13),TRANSPOSE(_xlfn.ANCHORARRAY(AE464)))</f>
        <v>5.1960792002615894E-4</v>
      </c>
      <c r="AL464" s="2">
        <f t="shared" ca="1" si="19"/>
        <v>2.2794909958720147E-2</v>
      </c>
      <c r="AM464" s="2" cm="1">
        <f t="array" aca="1" ref="AM464" ca="1">MMULT(_xlfn.ANCHORARRAY(AE465),TRANSPOSE($Q$3:$U$3))</f>
        <v>7.9605613820206325E-4</v>
      </c>
    </row>
    <row r="465" spans="1:39" x14ac:dyDescent="0.35">
      <c r="A465" s="3">
        <v>44502</v>
      </c>
      <c r="B465" s="4">
        <v>42.800712585449197</v>
      </c>
      <c r="C465" s="4">
        <v>94.827499389648395</v>
      </c>
      <c r="D465" s="4">
        <v>49.8440742492675</v>
      </c>
      <c r="E465" s="4">
        <v>18.112001419067301</v>
      </c>
      <c r="F465" s="4">
        <v>321.00955200195301</v>
      </c>
      <c r="I465" s="5">
        <f>B465/B464-1</f>
        <v>6.2695533366996514E-4</v>
      </c>
      <c r="J465" s="5">
        <f>C465/C464-1</f>
        <v>-6.112030027991433E-3</v>
      </c>
      <c r="K465" s="5">
        <f>D465/D464-1</f>
        <v>-3.3759096829040658E-2</v>
      </c>
      <c r="L465" s="5">
        <f>E465/E464-1</f>
        <v>-9.1464957545522863E-3</v>
      </c>
      <c r="M465" s="5">
        <f>F465/F464-1</f>
        <v>1.1415640804811833E-2</v>
      </c>
      <c r="N465" s="5">
        <f>SUMPRODUCT(I465:M465,$AJ$13:$AN$13)</f>
        <v>-1.8018931156241102E-2</v>
      </c>
      <c r="P465" s="2" t="s">
        <v>456</v>
      </c>
      <c r="Q465" s="10" cm="1">
        <f t="array" aca="1" ref="Q465:U465" ca="1">_xlfn.LET(_xlpm.array,_xlfn.RANDARRAY(1,COLUMNS(_xlfn.ANCHORARRAY(Q464)),0,1,FALSE),_xlpm.array/SUM(_xlpm.array))</f>
        <v>0.39842087320559794</v>
      </c>
      <c r="R465" s="2">
        <f ca="1"/>
        <v>5.6753884945642263E-2</v>
      </c>
      <c r="S465" s="2">
        <f ca="1"/>
        <v>7.1420005273620218E-2</v>
      </c>
      <c r="T465" s="2">
        <f ca="1"/>
        <v>0.23143937016599356</v>
      </c>
      <c r="U465" s="2">
        <f ca="1"/>
        <v>0.24196586640914591</v>
      </c>
      <c r="V465" s="12"/>
      <c r="X465" s="2" cm="1">
        <f t="array" aca="1" ref="X465" ca="1">MMULT(MMULT(_xlfn.ANCHORARRAY(Q465),$Q$9:$U$13),TRANSPOSE(_xlfn.ANCHORARRAY(Q465)))</f>
        <v>2.7223423770263047E-4</v>
      </c>
      <c r="Y465" s="2">
        <f t="shared" ca="1" si="18"/>
        <v>1.6499522347711477E-2</v>
      </c>
      <c r="Z465" s="2" cm="1">
        <f t="array" aca="1" ref="Z465" ca="1">MMULT(_xlfn.ANCHORARRAY(Q465),TRANSPOSE($Q$3:$U$3))</f>
        <v>7.8143690152410205E-4</v>
      </c>
      <c r="AA465" s="11">
        <f ca="1">AVEDEV(Q465*$Q$3,R465*$R$3,S465*$S$3,T465*$T$3,U465*$U$3)</f>
        <v>6.2057885536838674E-5</v>
      </c>
      <c r="AB465" s="11" cm="1">
        <f t="array" aca="1" ref="AB465" ca="1">MMULT(_xlfn.ANCHORARRAY(Q465),TRANSPOSE($Q$6:$U$6))</f>
        <v>-2.2411782354197631E-2</v>
      </c>
      <c r="AD465" s="2" t="s">
        <v>456</v>
      </c>
      <c r="AE465" s="10" cm="1">
        <f t="array" aca="1" ref="AE465:AI465" ca="1">_xlfn.LET(_xlpm.array,_xlfn.RANDARRAY(1,COLUMNS(_xlfn.ANCHORARRAY(Q464)),-1,1,FALSE),_xlpm.array/SUM(_xlpm.array))</f>
        <v>0.20606823982532524</v>
      </c>
      <c r="AF465" s="10">
        <f ca="1"/>
        <v>0.21193074872221992</v>
      </c>
      <c r="AG465" s="10">
        <f ca="1"/>
        <v>4.7514480453380761E-2</v>
      </c>
      <c r="AH465" s="10">
        <f ca="1"/>
        <v>0.19704919496526352</v>
      </c>
      <c r="AI465" s="10">
        <f ca="1"/>
        <v>0.33743733603381049</v>
      </c>
      <c r="AJ465" s="1"/>
      <c r="AK465" s="2" cm="1">
        <f t="array" aca="1" ref="AK465" ca="1">MMULT(MMULT(_xlfn.ANCHORARRAY(AE465),$Q$9:$U$13),TRANSPOSE(_xlfn.ANCHORARRAY(AE465)))</f>
        <v>2.5141240531008807E-4</v>
      </c>
      <c r="AL465" s="2">
        <f t="shared" ca="1" si="19"/>
        <v>1.5855989572085626E-2</v>
      </c>
      <c r="AM465" s="2" cm="1">
        <f t="array" aca="1" ref="AM465" ca="1">MMULT(_xlfn.ANCHORARRAY(AE466),TRANSPOSE($Q$3:$U$3))</f>
        <v>1.0271573979466532E-3</v>
      </c>
    </row>
    <row r="466" spans="1:39" x14ac:dyDescent="0.35">
      <c r="A466" s="3">
        <v>44503</v>
      </c>
      <c r="B466" s="4">
        <v>43.238731384277301</v>
      </c>
      <c r="C466" s="4">
        <v>94.144393920898395</v>
      </c>
      <c r="D466" s="4">
        <v>50.3825874328613</v>
      </c>
      <c r="E466" s="4">
        <v>18.042341232299801</v>
      </c>
      <c r="F466" s="4">
        <v>321.84793090820301</v>
      </c>
      <c r="I466" s="5">
        <f>B466/B465-1</f>
        <v>1.0233913698367125E-2</v>
      </c>
      <c r="J466" s="5">
        <f>C466/C465-1</f>
        <v>-7.2036642656061467E-3</v>
      </c>
      <c r="K466" s="5">
        <f>D466/D465-1</f>
        <v>1.0803955970788426E-2</v>
      </c>
      <c r="L466" s="5">
        <f>E466/E465-1</f>
        <v>-3.8460789150648322E-3</v>
      </c>
      <c r="M466" s="5">
        <f>F466/F465-1</f>
        <v>2.6116945773779765E-3</v>
      </c>
      <c r="N466" s="5">
        <f>SUMPRODUCT(I466:M466,$AJ$13:$AN$13)</f>
        <v>1.9768648241617888E-3</v>
      </c>
      <c r="P466" s="2" t="s">
        <v>457</v>
      </c>
      <c r="Q466" s="10" cm="1">
        <f t="array" aca="1" ref="Q466:U466" ca="1">_xlfn.LET(_xlpm.array,_xlfn.RANDARRAY(1,COLUMNS(_xlfn.ANCHORARRAY(Q465)),0,1,FALSE),_xlpm.array/SUM(_xlpm.array))</f>
        <v>1.8592748498700594E-2</v>
      </c>
      <c r="R466" s="2">
        <f ca="1"/>
        <v>0.42193273112245122</v>
      </c>
      <c r="S466" s="2">
        <f ca="1"/>
        <v>0.18796285591147457</v>
      </c>
      <c r="T466" s="2">
        <f ca="1"/>
        <v>0.17023275350875927</v>
      </c>
      <c r="U466" s="2">
        <f ca="1"/>
        <v>0.20127891095861436</v>
      </c>
      <c r="V466" s="12"/>
      <c r="X466" s="2" cm="1">
        <f t="array" aca="1" ref="X466" ca="1">MMULT(MMULT(_xlfn.ANCHORARRAY(Q466),$Q$9:$U$13),TRANSPOSE(_xlfn.ANCHORARRAY(Q466)))</f>
        <v>2.927628833488123E-4</v>
      </c>
      <c r="Y466" s="2">
        <f t="shared" ca="1" si="18"/>
        <v>1.7110315115415387E-2</v>
      </c>
      <c r="Z466" s="2" cm="1">
        <f t="array" aca="1" ref="Z466" ca="1">MMULT(_xlfn.ANCHORARRAY(Q466),TRANSPOSE($Q$3:$U$3))</f>
        <v>9.5067491445358023E-4</v>
      </c>
      <c r="AA466" s="11">
        <f ca="1">AVEDEV(Q466*$Q$3,R466*$R$3,S466*$S$3,T466*$T$3,U466*$U$3)</f>
        <v>9.3237445585345167E-5</v>
      </c>
      <c r="AB466" s="11" cm="1">
        <f t="array" aca="1" ref="AB466" ca="1">MMULT(_xlfn.ANCHORARRAY(Q466),TRANSPOSE($Q$6:$U$6))</f>
        <v>-2.2531581840104953E-2</v>
      </c>
      <c r="AD466" s="2" t="s">
        <v>457</v>
      </c>
      <c r="AE466" s="10" cm="1">
        <f t="array" aca="1" ref="AE466:AI466" ca="1">_xlfn.LET(_xlpm.array,_xlfn.RANDARRAY(1,COLUMNS(_xlfn.ANCHORARRAY(Q465)),-1,1,FALSE),_xlpm.array/SUM(_xlpm.array))</f>
        <v>0.19636163536491741</v>
      </c>
      <c r="AF466" s="10">
        <f ca="1"/>
        <v>1.1014773198543732E-2</v>
      </c>
      <c r="AG466" s="10">
        <f ca="1"/>
        <v>0.29708654062359441</v>
      </c>
      <c r="AH466" s="10">
        <f ca="1"/>
        <v>0.22523365774372112</v>
      </c>
      <c r="AI466" s="10">
        <f ca="1"/>
        <v>0.27030339306922324</v>
      </c>
      <c r="AJ466" s="1"/>
      <c r="AK466" s="2" cm="1">
        <f t="array" aca="1" ref="AK466" ca="1">MMULT(MMULT(_xlfn.ANCHORARRAY(AE466),$Q$9:$U$13),TRANSPOSE(_xlfn.ANCHORARRAY(AE466)))</f>
        <v>2.9506607317210458E-4</v>
      </c>
      <c r="AL466" s="2">
        <f t="shared" ca="1" si="19"/>
        <v>1.7177487394031309E-2</v>
      </c>
      <c r="AM466" s="2" cm="1">
        <f t="array" aca="1" ref="AM466" ca="1">MMULT(_xlfn.ANCHORARRAY(AE467),TRANSPOSE($Q$3:$U$3))</f>
        <v>-4.8285738889849322E-4</v>
      </c>
    </row>
    <row r="467" spans="1:39" x14ac:dyDescent="0.35">
      <c r="A467" s="3">
        <v>44504</v>
      </c>
      <c r="B467" s="4">
        <v>42.309062957763601</v>
      </c>
      <c r="C467" s="4">
        <v>94.560905456542898</v>
      </c>
      <c r="D467" s="4">
        <v>49.807559967041001</v>
      </c>
      <c r="E467" s="4">
        <v>18.042341232299801</v>
      </c>
      <c r="F467" s="4">
        <v>324.19909667968699</v>
      </c>
      <c r="I467" s="5">
        <f>B467/B466-1</f>
        <v>-2.1500825689158676E-2</v>
      </c>
      <c r="J467" s="5">
        <f>C467/C466-1</f>
        <v>4.4241777794487014E-3</v>
      </c>
      <c r="K467" s="5">
        <f>D467/D466-1</f>
        <v>-1.1413218239070488E-2</v>
      </c>
      <c r="L467" s="5">
        <f>E467/E466-1</f>
        <v>0</v>
      </c>
      <c r="M467" s="5">
        <f>F467/F466-1</f>
        <v>7.3052070424979298E-3</v>
      </c>
      <c r="N467" s="5">
        <f>SUMPRODUCT(I467:M467,$AJ$13:$AN$13)</f>
        <v>2.5711064951898588E-3</v>
      </c>
      <c r="P467" s="2" t="s">
        <v>458</v>
      </c>
      <c r="Q467" s="10" cm="1">
        <f t="array" aca="1" ref="Q467:U467" ca="1">_xlfn.LET(_xlpm.array,_xlfn.RANDARRAY(1,COLUMNS(_xlfn.ANCHORARRAY(Q466)),0,1,FALSE),_xlpm.array/SUM(_xlpm.array))</f>
        <v>9.0737430449539816E-2</v>
      </c>
      <c r="R467" s="2">
        <f ca="1"/>
        <v>4.1915450640376752E-2</v>
      </c>
      <c r="S467" s="2">
        <f ca="1"/>
        <v>0.32625091432236192</v>
      </c>
      <c r="T467" s="2">
        <f ca="1"/>
        <v>0.14439090038320071</v>
      </c>
      <c r="U467" s="2">
        <f ca="1"/>
        <v>0.39670530420452077</v>
      </c>
      <c r="V467" s="12"/>
      <c r="X467" s="2" cm="1">
        <f t="array" aca="1" ref="X467" ca="1">MMULT(MMULT(_xlfn.ANCHORARRAY(Q467),$Q$9:$U$13),TRANSPOSE(_xlfn.ANCHORARRAY(Q467)))</f>
        <v>3.0139179306289425E-4</v>
      </c>
      <c r="Y467" s="2">
        <f t="shared" ca="1" si="18"/>
        <v>1.7360639189352857E-2</v>
      </c>
      <c r="Z467" s="2" cm="1">
        <f t="array" aca="1" ref="Z467" ca="1">MMULT(_xlfn.ANCHORARRAY(Q467),TRANSPOSE($Q$3:$U$3))</f>
        <v>1.0574907777504703E-3</v>
      </c>
      <c r="AA467" s="11">
        <f ca="1">AVEDEV(Q467*$Q$3,R467*$R$3,S467*$S$3,T467*$T$3,U467*$U$3)</f>
        <v>1.6410279700596899E-4</v>
      </c>
      <c r="AB467" s="11" cm="1">
        <f t="array" aca="1" ref="AB467" ca="1">MMULT(_xlfn.ANCHORARRAY(Q467),TRANSPOSE($Q$6:$U$6))</f>
        <v>-2.3300793708186895E-2</v>
      </c>
      <c r="AD467" s="2" t="s">
        <v>458</v>
      </c>
      <c r="AE467" s="10" cm="1">
        <f t="array" aca="1" ref="AE467:AI467" ca="1">_xlfn.LET(_xlpm.array,_xlfn.RANDARRAY(1,COLUMNS(_xlfn.ANCHORARRAY(Q466)),-1,1,FALSE),_xlpm.array/SUM(_xlpm.array))</f>
        <v>1.3689360661626808</v>
      </c>
      <c r="AF467" s="10">
        <f ca="1"/>
        <v>2.9471118057455237</v>
      </c>
      <c r="AG467" s="10">
        <f ca="1"/>
        <v>-8.0419839193090703E-2</v>
      </c>
      <c r="AH467" s="10">
        <f ca="1"/>
        <v>-2.8248810076074129</v>
      </c>
      <c r="AI467" s="10">
        <f ca="1"/>
        <v>-0.41074702510770073</v>
      </c>
      <c r="AJ467" s="1"/>
      <c r="AK467" s="2" cm="1">
        <f t="array" aca="1" ref="AK467" ca="1">MMULT(MMULT(_xlfn.ANCHORARRAY(AE467),$Q$9:$U$13),TRANSPOSE(_xlfn.ANCHORARRAY(AE467)))</f>
        <v>3.5854658889117688E-3</v>
      </c>
      <c r="AL467" s="2">
        <f t="shared" ca="1" si="19"/>
        <v>5.9878759914612202E-2</v>
      </c>
      <c r="AM467" s="2" cm="1">
        <f t="array" aca="1" ref="AM467" ca="1">MMULT(_xlfn.ANCHORARRAY(AE468),TRANSPOSE($Q$3:$U$3))</f>
        <v>1.8058255987289124E-2</v>
      </c>
    </row>
    <row r="468" spans="1:39" x14ac:dyDescent="0.35">
      <c r="A468" s="3">
        <v>44505</v>
      </c>
      <c r="B468" s="4">
        <v>41.987251281738203</v>
      </c>
      <c r="C468" s="4">
        <v>95.585594177246094</v>
      </c>
      <c r="D468" s="4">
        <v>51.441349029541001</v>
      </c>
      <c r="E468" s="4">
        <v>18.3070564270019</v>
      </c>
      <c r="F468" s="4">
        <v>323.8330078125</v>
      </c>
      <c r="I468" s="5">
        <f>B468/B467-1</f>
        <v>-7.6062113771382389E-3</v>
      </c>
      <c r="J468" s="5">
        <f>C468/C467-1</f>
        <v>1.0836282877749293E-2</v>
      </c>
      <c r="K468" s="5">
        <f>D468/D467-1</f>
        <v>3.2802029723622672E-2</v>
      </c>
      <c r="L468" s="5">
        <f>E468/E467-1</f>
        <v>1.4671887162193809E-2</v>
      </c>
      <c r="M468" s="5">
        <f>F468/F467-1</f>
        <v>-1.1292100161176544E-3</v>
      </c>
      <c r="N468" s="5">
        <f>SUMPRODUCT(I468:M468,$AJ$13:$AN$13)</f>
        <v>2.5402247336514101E-2</v>
      </c>
      <c r="P468" s="2" t="s">
        <v>459</v>
      </c>
      <c r="Q468" s="10" cm="1">
        <f t="array" aca="1" ref="Q468:U468" ca="1">_xlfn.LET(_xlpm.array,_xlfn.RANDARRAY(1,COLUMNS(_xlfn.ANCHORARRAY(Q467)),0,1,FALSE),_xlpm.array/SUM(_xlpm.array))</f>
        <v>0.11386377546135674</v>
      </c>
      <c r="R468" s="2">
        <f ca="1"/>
        <v>0.16621951765122867</v>
      </c>
      <c r="S468" s="2">
        <f ca="1"/>
        <v>0.5357047317490562</v>
      </c>
      <c r="T468" s="2">
        <f ca="1"/>
        <v>0.14480917175859201</v>
      </c>
      <c r="U468" s="2">
        <f ca="1"/>
        <v>3.9402803379766344E-2</v>
      </c>
      <c r="V468" s="12"/>
      <c r="X468" s="2" cm="1">
        <f t="array" aca="1" ref="X468" ca="1">MMULT(MMULT(_xlfn.ANCHORARRAY(Q468),$Q$9:$U$13),TRANSPOSE(_xlfn.ANCHORARRAY(Q468)))</f>
        <v>4.2231149790363757E-4</v>
      </c>
      <c r="Y468" s="2">
        <f t="shared" ca="1" si="18"/>
        <v>2.0550218925929658E-2</v>
      </c>
      <c r="Z468" s="2" cm="1">
        <f t="array" aca="1" ref="Z468" ca="1">MMULT(_xlfn.ANCHORARRAY(Q468),TRANSPOSE($Q$3:$U$3))</f>
        <v>1.227312632264868E-3</v>
      </c>
      <c r="AA468" s="11">
        <f ca="1">AVEDEV(Q468*$Q$3,R468*$R$3,S468*$S$3,T468*$T$3,U468*$U$3)</f>
        <v>2.4980894883980091E-4</v>
      </c>
      <c r="AB468" s="11" cm="1">
        <f t="array" aca="1" ref="AB468" ca="1">MMULT(_xlfn.ANCHORARRAY(Q468),TRANSPOSE($Q$6:$U$6))</f>
        <v>-2.4866175106364553E-2</v>
      </c>
      <c r="AD468" s="2" t="s">
        <v>459</v>
      </c>
      <c r="AE468" s="10" cm="1">
        <f t="array" aca="1" ref="AE468:AI468" ca="1">_xlfn.LET(_xlpm.array,_xlfn.RANDARRAY(1,COLUMNS(_xlfn.ANCHORARRAY(Q467)),-1,1,FALSE),_xlpm.array/SUM(_xlpm.array))</f>
        <v>-8.9694850424246013</v>
      </c>
      <c r="AF468" s="10">
        <f ca="1"/>
        <v>22.665499893511079</v>
      </c>
      <c r="AG468" s="10">
        <f ca="1"/>
        <v>22.082709437323985</v>
      </c>
      <c r="AH468" s="10">
        <f ca="1"/>
        <v>-12.447133320032254</v>
      </c>
      <c r="AI468" s="10">
        <f ca="1"/>
        <v>-22.331590968378208</v>
      </c>
      <c r="AJ468" s="1"/>
      <c r="AK468" s="2" cm="1">
        <f t="array" aca="1" ref="AK468" ca="1">MMULT(MMULT(_xlfn.ANCHORARRAY(AE468),$Q$9:$U$13),TRANSPOSE(_xlfn.ANCHORARRAY(AE468)))</f>
        <v>0.46814752490481132</v>
      </c>
      <c r="AL468" s="2">
        <f t="shared" ca="1" si="19"/>
        <v>0.68421306981437535</v>
      </c>
      <c r="AM468" s="2" cm="1">
        <f t="array" aca="1" ref="AM468" ca="1">MMULT(_xlfn.ANCHORARRAY(AE469),TRANSPOSE($Q$3:$U$3))</f>
        <v>7.7147360647675158E-4</v>
      </c>
    </row>
    <row r="469" spans="1:39" x14ac:dyDescent="0.35">
      <c r="A469" s="3">
        <v>44508</v>
      </c>
      <c r="B469" s="4">
        <v>42.317996978759702</v>
      </c>
      <c r="C469" s="4">
        <v>95.927139282226506</v>
      </c>
      <c r="D469" s="4">
        <v>50.683784484863203</v>
      </c>
      <c r="E469" s="4">
        <v>18.871309280395501</v>
      </c>
      <c r="F469" s="4">
        <v>324.72909545898398</v>
      </c>
      <c r="I469" s="5">
        <f>B469/B468-1</f>
        <v>7.8772886274971476E-3</v>
      </c>
      <c r="J469" s="5">
        <f>C469/C468-1</f>
        <v>3.5731859797520915E-3</v>
      </c>
      <c r="K469" s="5">
        <f>D469/D468-1</f>
        <v>-1.4726762788486614E-2</v>
      </c>
      <c r="L469" s="5">
        <f>E469/E468-1</f>
        <v>3.0821604535033797E-2</v>
      </c>
      <c r="M469" s="5">
        <f>F469/F468-1</f>
        <v>2.7671288128936489E-3</v>
      </c>
      <c r="N469" s="5">
        <f>SUMPRODUCT(I469:M469,$AJ$13:$AN$13)</f>
        <v>5.2628399723155328E-3</v>
      </c>
      <c r="P469" s="2" t="s">
        <v>460</v>
      </c>
      <c r="Q469" s="10" cm="1">
        <f t="array" aca="1" ref="Q469:U469" ca="1">_xlfn.LET(_xlpm.array,_xlfn.RANDARRAY(1,COLUMNS(_xlfn.ANCHORARRAY(Q468)),0,1,FALSE),_xlpm.array/SUM(_xlpm.array))</f>
        <v>9.951125165951473E-2</v>
      </c>
      <c r="R469" s="2">
        <f ca="1"/>
        <v>4.3002246336330437E-3</v>
      </c>
      <c r="S469" s="2">
        <f ca="1"/>
        <v>0.41871804909358068</v>
      </c>
      <c r="T469" s="2">
        <f ca="1"/>
        <v>0.278801384470238</v>
      </c>
      <c r="U469" s="2">
        <f ca="1"/>
        <v>0.19866909014303366</v>
      </c>
      <c r="V469" s="12"/>
      <c r="X469" s="2" cm="1">
        <f t="array" aca="1" ref="X469" ca="1">MMULT(MMULT(_xlfn.ANCHORARRAY(Q469),$Q$9:$U$13),TRANSPOSE(_xlfn.ANCHORARRAY(Q469)))</f>
        <v>3.5009291457157839E-4</v>
      </c>
      <c r="Y469" s="2">
        <f t="shared" ca="1" si="18"/>
        <v>1.8710770015463778E-2</v>
      </c>
      <c r="Z469" s="2" cm="1">
        <f t="array" aca="1" ref="Z469" ca="1">MMULT(_xlfn.ANCHORARRAY(Q469),TRANSPOSE($Q$3:$U$3))</f>
        <v>1.1704959291098977E-3</v>
      </c>
      <c r="AA469" s="11">
        <f ca="1">AVEDEV(Q469*$Q$3,R469*$R$3,S469*$S$3,T469*$T$3,U469*$U$3)</f>
        <v>1.9865133328301386E-4</v>
      </c>
      <c r="AB469" s="11" cm="1">
        <f t="array" aca="1" ref="AB469" ca="1">MMULT(_xlfn.ANCHORARRAY(Q469),TRANSPOSE($Q$6:$U$6))</f>
        <v>-2.4621998338452938E-2</v>
      </c>
      <c r="AD469" s="2" t="s">
        <v>460</v>
      </c>
      <c r="AE469" s="10" cm="1">
        <f t="array" aca="1" ref="AE469:AI469" ca="1">_xlfn.LET(_xlpm.array,_xlfn.RANDARRAY(1,COLUMNS(_xlfn.ANCHORARRAY(Q468)),-1,1,FALSE),_xlpm.array/SUM(_xlpm.array))</f>
        <v>-0.37667727665406209</v>
      </c>
      <c r="AF469" s="10">
        <f ca="1"/>
        <v>1.0428137678012694</v>
      </c>
      <c r="AG469" s="10">
        <f ca="1"/>
        <v>-0.1434756151169157</v>
      </c>
      <c r="AH469" s="10">
        <f ca="1"/>
        <v>0.2699955190847762</v>
      </c>
      <c r="AI469" s="10">
        <f ca="1"/>
        <v>0.20734360488493217</v>
      </c>
      <c r="AJ469" s="1"/>
      <c r="AK469" s="2" cm="1">
        <f t="array" aca="1" ref="AK469" ca="1">MMULT(MMULT(_xlfn.ANCHORARRAY(AE469),$Q$9:$U$13),TRANSPOSE(_xlfn.ANCHORARRAY(AE469)))</f>
        <v>5.4164108003487579E-4</v>
      </c>
      <c r="AL469" s="2">
        <f t="shared" ca="1" si="19"/>
        <v>2.3273183710761959E-2</v>
      </c>
      <c r="AM469" s="2" cm="1">
        <f t="array" aca="1" ref="AM469" ca="1">MMULT(_xlfn.ANCHORARRAY(AE470),TRANSPOSE($Q$3:$U$3))</f>
        <v>1.2361385758474627E-3</v>
      </c>
    </row>
    <row r="470" spans="1:39" x14ac:dyDescent="0.35">
      <c r="A470" s="3">
        <v>44509</v>
      </c>
      <c r="B470" s="4">
        <v>41.906803131103501</v>
      </c>
      <c r="C470" s="4">
        <v>96.635246276855398</v>
      </c>
      <c r="D470" s="4">
        <v>51.185791015625</v>
      </c>
      <c r="E470" s="4">
        <v>18.6762599945068</v>
      </c>
      <c r="F470" s="4">
        <v>323.72702026367102</v>
      </c>
      <c r="I470" s="5">
        <f>B470/B469-1</f>
        <v>-9.7167606458922196E-3</v>
      </c>
      <c r="J470" s="5">
        <f>C470/C469-1</f>
        <v>7.3817169982060005E-3</v>
      </c>
      <c r="K470" s="5">
        <f>D470/D469-1</f>
        <v>9.9046773216338035E-3</v>
      </c>
      <c r="L470" s="5">
        <f>E470/E469-1</f>
        <v>-1.0335758001238871E-2</v>
      </c>
      <c r="M470" s="5">
        <f>F470/F469-1</f>
        <v>-3.0858805365024944E-3</v>
      </c>
      <c r="N470" s="5">
        <f>SUMPRODUCT(I470:M470,$AJ$13:$AN$13)</f>
        <v>1.8651974093534794E-3</v>
      </c>
      <c r="P470" s="2" t="s">
        <v>461</v>
      </c>
      <c r="Q470" s="10" cm="1">
        <f t="array" aca="1" ref="Q470:U470" ca="1">_xlfn.LET(_xlpm.array,_xlfn.RANDARRAY(1,COLUMNS(_xlfn.ANCHORARRAY(Q469)),0,1,FALSE),_xlpm.array/SUM(_xlpm.array))</f>
        <v>0.28834595417044662</v>
      </c>
      <c r="R470" s="2">
        <f ca="1"/>
        <v>0.3007985653849094</v>
      </c>
      <c r="S470" s="2">
        <f ca="1"/>
        <v>0.16628532642436347</v>
      </c>
      <c r="T470" s="2">
        <f ca="1"/>
        <v>0.20207588205094759</v>
      </c>
      <c r="U470" s="2">
        <f ca="1"/>
        <v>4.2494271969332899E-2</v>
      </c>
      <c r="V470" s="12"/>
      <c r="X470" s="2" cm="1">
        <f t="array" aca="1" ref="X470" ca="1">MMULT(MMULT(_xlfn.ANCHORARRAY(Q470),$Q$9:$U$13),TRANSPOSE(_xlfn.ANCHORARRAY(Q470)))</f>
        <v>3.1470277421262271E-4</v>
      </c>
      <c r="Y470" s="2">
        <f t="shared" ca="1" si="18"/>
        <v>1.7739863985178204E-2</v>
      </c>
      <c r="Z470" s="2" cm="1">
        <f t="array" aca="1" ref="Z470" ca="1">MMULT(_xlfn.ANCHORARRAY(Q470),TRANSPOSE($Q$3:$U$3))</f>
        <v>8.7519919438484059E-4</v>
      </c>
      <c r="AA470" s="11">
        <f ca="1">AVEDEV(Q470*$Q$3,R470*$R$3,S470*$S$3,T470*$T$3,U470*$U$3)</f>
        <v>6.8410808995082774E-5</v>
      </c>
      <c r="AB470" s="11" cm="1">
        <f t="array" aca="1" ref="AB470" ca="1">MMULT(_xlfn.ANCHORARRAY(Q470),TRANSPOSE($Q$6:$U$6))</f>
        <v>-2.2881828865505077E-2</v>
      </c>
      <c r="AD470" s="2" t="s">
        <v>461</v>
      </c>
      <c r="AE470" s="10" cm="1">
        <f t="array" aca="1" ref="AE470:AI470" ca="1">_xlfn.LET(_xlpm.array,_xlfn.RANDARRAY(1,COLUMNS(_xlfn.ANCHORARRAY(Q469)),-1,1,FALSE),_xlpm.array/SUM(_xlpm.array))</f>
        <v>-0.15835893981874932</v>
      </c>
      <c r="AF470" s="10">
        <f ca="1"/>
        <v>0.26212564478884887</v>
      </c>
      <c r="AG470" s="10">
        <f ca="1"/>
        <v>0.40645071722251847</v>
      </c>
      <c r="AH470" s="10">
        <f ca="1"/>
        <v>0.35254716819597481</v>
      </c>
      <c r="AI470" s="10">
        <f ca="1"/>
        <v>0.13723540961140707</v>
      </c>
      <c r="AJ470" s="1"/>
      <c r="AK470" s="2" cm="1">
        <f t="array" aca="1" ref="AK470" ca="1">MMULT(MMULT(_xlfn.ANCHORARRAY(AE470),$Q$9:$U$13),TRANSPOSE(_xlfn.ANCHORARRAY(AE470)))</f>
        <v>3.8706573180485149E-4</v>
      </c>
      <c r="AL470" s="2">
        <f t="shared" ca="1" si="19"/>
        <v>1.9673986169682328E-2</v>
      </c>
      <c r="AM470" s="2" cm="1">
        <f t="array" aca="1" ref="AM470" ca="1">MMULT(_xlfn.ANCHORARRAY(AE471),TRANSPOSE($Q$3:$U$3))</f>
        <v>9.9446349555222784E-4</v>
      </c>
    </row>
    <row r="471" spans="1:39" x14ac:dyDescent="0.35">
      <c r="A471" s="3">
        <v>44510</v>
      </c>
      <c r="B471" s="4">
        <v>42.219669342041001</v>
      </c>
      <c r="C471" s="4">
        <v>95.094078063964801</v>
      </c>
      <c r="D471" s="4">
        <v>51.678653717041001</v>
      </c>
      <c r="E471" s="4">
        <v>18.073123931884702</v>
      </c>
      <c r="F471" s="4">
        <v>318.76431274414</v>
      </c>
      <c r="I471" s="5">
        <f>B471/B470-1</f>
        <v>7.4657618229363454E-3</v>
      </c>
      <c r="J471" s="5">
        <f>C471/C470-1</f>
        <v>-1.5948303256507645E-2</v>
      </c>
      <c r="K471" s="5">
        <f>D471/D470-1</f>
        <v>9.6288968410305209E-3</v>
      </c>
      <c r="L471" s="5">
        <f>E471/E470-1</f>
        <v>-3.2294263562377967E-2</v>
      </c>
      <c r="M471" s="5">
        <f>F471/F470-1</f>
        <v>-1.5329914430648905E-2</v>
      </c>
      <c r="N471" s="5">
        <f>SUMPRODUCT(I471:M471,$AJ$13:$AN$13)</f>
        <v>-1.6833801023287749E-2</v>
      </c>
      <c r="P471" s="2" t="s">
        <v>462</v>
      </c>
      <c r="Q471" s="10" cm="1">
        <f t="array" aca="1" ref="Q471:U471" ca="1">_xlfn.LET(_xlpm.array,_xlfn.RANDARRAY(1,COLUMNS(_xlfn.ANCHORARRAY(Q470)),0,1,FALSE),_xlpm.array/SUM(_xlpm.array))</f>
        <v>3.1686774835786809E-2</v>
      </c>
      <c r="R471" s="2">
        <f ca="1"/>
        <v>0.24573031891528863</v>
      </c>
      <c r="S471" s="2">
        <f ca="1"/>
        <v>0.20909128714035333</v>
      </c>
      <c r="T471" s="2">
        <f ca="1"/>
        <v>0.23601507351796105</v>
      </c>
      <c r="U471" s="2">
        <f ca="1"/>
        <v>0.27747654559061014</v>
      </c>
      <c r="V471" s="12"/>
      <c r="X471" s="2" cm="1">
        <f t="array" aca="1" ref="X471" ca="1">MMULT(MMULT(_xlfn.ANCHORARRAY(Q471),$Q$9:$U$13),TRANSPOSE(_xlfn.ANCHORARRAY(Q471)))</f>
        <v>2.7758255183648006E-4</v>
      </c>
      <c r="Y471" s="2">
        <f t="shared" ca="1" si="18"/>
        <v>1.6660808859010418E-2</v>
      </c>
      <c r="Z471" s="2" cm="1">
        <f t="array" aca="1" ref="Z471" ca="1">MMULT(_xlfn.ANCHORARRAY(Q471),TRANSPOSE($Q$3:$U$3))</f>
        <v>9.8845700742256157E-4</v>
      </c>
      <c r="AA471" s="11">
        <f ca="1">AVEDEV(Q471*$Q$3,R471*$R$3,S471*$S$3,T471*$T$3,U471*$U$3)</f>
        <v>7.9934497647388762E-5</v>
      </c>
      <c r="AB471" s="11" cm="1">
        <f t="array" aca="1" ref="AB471" ca="1">MMULT(_xlfn.ANCHORARRAY(Q471),TRANSPOSE($Q$6:$U$6))</f>
        <v>-2.2947722673621308E-2</v>
      </c>
      <c r="AD471" s="2" t="s">
        <v>462</v>
      </c>
      <c r="AE471" s="10" cm="1">
        <f t="array" aca="1" ref="AE471:AI471" ca="1">_xlfn.LET(_xlpm.array,_xlfn.RANDARRAY(1,COLUMNS(_xlfn.ANCHORARRAY(Q470)),-1,1,FALSE),_xlpm.array/SUM(_xlpm.array))</f>
        <v>0.48225413489911295</v>
      </c>
      <c r="AF471" s="10">
        <f ca="1"/>
        <v>0.3068042370325248</v>
      </c>
      <c r="AG471" s="10">
        <f ca="1"/>
        <v>0.34715556230674316</v>
      </c>
      <c r="AH471" s="10">
        <f ca="1"/>
        <v>0.2559635690937101</v>
      </c>
      <c r="AI471" s="10">
        <f ca="1"/>
        <v>-0.39217750333209089</v>
      </c>
      <c r="AJ471" s="1"/>
      <c r="AK471" s="2" cm="1">
        <f t="array" aca="1" ref="AK471" ca="1">MMULT(MMULT(_xlfn.ANCHORARRAY(AE471),$Q$9:$U$13),TRANSPOSE(_xlfn.ANCHORARRAY(AE471)))</f>
        <v>5.2275817553418616E-4</v>
      </c>
      <c r="AL471" s="2">
        <f t="shared" ca="1" si="19"/>
        <v>2.2863905517959658E-2</v>
      </c>
      <c r="AM471" s="2" cm="1">
        <f t="array" aca="1" ref="AM471" ca="1">MMULT(_xlfn.ANCHORARRAY(AE472),TRANSPOSE($Q$3:$U$3))</f>
        <v>-9.1083943754060204E-4</v>
      </c>
    </row>
    <row r="472" spans="1:39" x14ac:dyDescent="0.35">
      <c r="A472" s="3">
        <v>44511</v>
      </c>
      <c r="B472" s="4">
        <v>42.452091217041001</v>
      </c>
      <c r="C472" s="4">
        <v>95.1024169921875</v>
      </c>
      <c r="D472" s="4">
        <v>51.286190032958899</v>
      </c>
      <c r="E472" s="4">
        <v>18.325599670410099</v>
      </c>
      <c r="F472" s="4">
        <v>320.33505249023398</v>
      </c>
      <c r="I472" s="5">
        <f>B472/B471-1</f>
        <v>5.5050614706866341E-3</v>
      </c>
      <c r="J472" s="5">
        <f>C472/C471-1</f>
        <v>8.7691351474905588E-5</v>
      </c>
      <c r="K472" s="5">
        <f>D472/D471-1</f>
        <v>-7.594309368641472E-3</v>
      </c>
      <c r="L472" s="5">
        <f>E472/E471-1</f>
        <v>1.3969678926396334E-2</v>
      </c>
      <c r="M472" s="5">
        <f>F472/F471-1</f>
        <v>4.9275897059239959E-3</v>
      </c>
      <c r="N472" s="5">
        <f>SUMPRODUCT(I472:M472,$AJ$13:$AN$13)</f>
        <v>2.6243054228780541E-3</v>
      </c>
      <c r="P472" s="2" t="s">
        <v>463</v>
      </c>
      <c r="Q472" s="10" cm="1">
        <f t="array" aca="1" ref="Q472:U472" ca="1">_xlfn.LET(_xlpm.array,_xlfn.RANDARRAY(1,COLUMNS(_xlfn.ANCHORARRAY(Q471)),0,1,FALSE),_xlpm.array/SUM(_xlpm.array))</f>
        <v>4.4035489804805282E-2</v>
      </c>
      <c r="R472" s="2">
        <f ca="1"/>
        <v>0.32321040333039613</v>
      </c>
      <c r="S472" s="2">
        <f ca="1"/>
        <v>0.25739481676557824</v>
      </c>
      <c r="T472" s="2">
        <f ca="1"/>
        <v>0.28408926131671086</v>
      </c>
      <c r="U472" s="2">
        <f ca="1"/>
        <v>9.1270028782509505E-2</v>
      </c>
      <c r="V472" s="12"/>
      <c r="X472" s="2" cm="1">
        <f t="array" aca="1" ref="X472" ca="1">MMULT(MMULT(_xlfn.ANCHORARRAY(Q472),$Q$9:$U$13),TRANSPOSE(_xlfn.ANCHORARRAY(Q472)))</f>
        <v>3.2721211339291269E-4</v>
      </c>
      <c r="Y472" s="2">
        <f t="shared" ca="1" si="18"/>
        <v>1.8089005317952468E-2</v>
      </c>
      <c r="Z472" s="2" cm="1">
        <f t="array" aca="1" ref="Z472" ca="1">MMULT(_xlfn.ANCHORARRAY(Q472),TRANSPOSE($Q$3:$U$3))</f>
        <v>1.036449796416721E-3</v>
      </c>
      <c r="AA472" s="11">
        <f ca="1">AVEDEV(Q472*$Q$3,R472*$R$3,S472*$S$3,T472*$T$3,U472*$U$3)</f>
        <v>1.2895632646122893E-4</v>
      </c>
      <c r="AB472" s="11" cm="1">
        <f t="array" aca="1" ref="AB472" ca="1">MMULT(_xlfn.ANCHORARRAY(Q472),TRANSPOSE($Q$6:$U$6))</f>
        <v>-2.3583540920010113E-2</v>
      </c>
      <c r="AD472" s="2" t="s">
        <v>463</v>
      </c>
      <c r="AE472" s="10" cm="1">
        <f t="array" aca="1" ref="AE472:AI472" ca="1">_xlfn.LET(_xlpm.array,_xlfn.RANDARRAY(1,COLUMNS(_xlfn.ANCHORARRAY(Q471)),-1,1,FALSE),_xlpm.array/SUM(_xlpm.array))</f>
        <v>0.74052292339419123</v>
      </c>
      <c r="AF472" s="10">
        <f ca="1"/>
        <v>1.4948795008493212</v>
      </c>
      <c r="AG472" s="10">
        <f ca="1"/>
        <v>-1.5249562859679417</v>
      </c>
      <c r="AH472" s="10">
        <f ca="1"/>
        <v>-0.48201204998879921</v>
      </c>
      <c r="AI472" s="10">
        <f ca="1"/>
        <v>0.77156591171322864</v>
      </c>
      <c r="AJ472" s="1"/>
      <c r="AK472" s="2" cm="1">
        <f t="array" aca="1" ref="AK472" ca="1">MMULT(MMULT(_xlfn.ANCHORARRAY(AE472),$Q$9:$U$13),TRANSPOSE(_xlfn.ANCHORARRAY(AE472)))</f>
        <v>2.1663068722567792E-3</v>
      </c>
      <c r="AL472" s="2">
        <f t="shared" ca="1" si="19"/>
        <v>4.6543601840175405E-2</v>
      </c>
      <c r="AM472" s="2" cm="1">
        <f t="array" aca="1" ref="AM472" ca="1">MMULT(_xlfn.ANCHORARRAY(AE473),TRANSPOSE($Q$3:$U$3))</f>
        <v>1.6975503340841101E-3</v>
      </c>
    </row>
    <row r="473" spans="1:39" x14ac:dyDescent="0.35">
      <c r="A473" s="3">
        <v>44512</v>
      </c>
      <c r="B473" s="4">
        <v>41.9336128234863</v>
      </c>
      <c r="C473" s="4">
        <v>95.160728454589801</v>
      </c>
      <c r="D473" s="4">
        <v>51.112773895263601</v>
      </c>
      <c r="E473" s="4">
        <v>17.953895568847599</v>
      </c>
      <c r="F473" s="4">
        <v>324.46896362304602</v>
      </c>
      <c r="I473" s="5">
        <f>B473/B472-1</f>
        <v>-1.2213259198561643E-2</v>
      </c>
      <c r="J473" s="5">
        <f>C473/C472-1</f>
        <v>6.1314385319022335E-4</v>
      </c>
      <c r="K473" s="5">
        <f>D473/D472-1</f>
        <v>-3.3813417916958022E-3</v>
      </c>
      <c r="L473" s="5">
        <f>E473/E472-1</f>
        <v>-2.0283325416230791E-2</v>
      </c>
      <c r="M473" s="5">
        <f>F473/F472-1</f>
        <v>1.2904960292904777E-2</v>
      </c>
      <c r="N473" s="5">
        <f>SUMPRODUCT(I473:M473,$AJ$13:$AN$13)</f>
        <v>-3.4150877547270038E-3</v>
      </c>
      <c r="P473" s="2" t="s">
        <v>464</v>
      </c>
      <c r="Q473" s="10" cm="1">
        <f t="array" aca="1" ref="Q473:U473" ca="1">_xlfn.LET(_xlpm.array,_xlfn.RANDARRAY(1,COLUMNS(_xlfn.ANCHORARRAY(Q472)),0,1,FALSE),_xlpm.array/SUM(_xlpm.array))</f>
        <v>0.22646635919546435</v>
      </c>
      <c r="R473" s="2">
        <f ca="1"/>
        <v>7.6513369811434861E-2</v>
      </c>
      <c r="S473" s="2">
        <f ca="1"/>
        <v>0.36089925227375741</v>
      </c>
      <c r="T473" s="2">
        <f ca="1"/>
        <v>0.18497823070134076</v>
      </c>
      <c r="U473" s="2">
        <f ca="1"/>
        <v>0.15114278801800246</v>
      </c>
      <c r="V473" s="12"/>
      <c r="X473" s="2" cm="1">
        <f t="array" aca="1" ref="X473" ca="1">MMULT(MMULT(_xlfn.ANCHORARRAY(Q473),$Q$9:$U$13),TRANSPOSE(_xlfn.ANCHORARRAY(Q473)))</f>
        <v>3.2617596222380335E-4</v>
      </c>
      <c r="Y473" s="2">
        <f t="shared" ca="1" si="18"/>
        <v>1.806034225101516E-2</v>
      </c>
      <c r="Z473" s="2" cm="1">
        <f t="array" aca="1" ref="Z473" ca="1">MMULT(_xlfn.ANCHORARRAY(Q473),TRANSPOSE($Q$3:$U$3))</f>
        <v>1.0616534593963617E-3</v>
      </c>
      <c r="AA473" s="11">
        <f ca="1">AVEDEV(Q473*$Q$3,R473*$R$3,S473*$S$3,T473*$T$3,U473*$U$3)</f>
        <v>1.495079891402321E-4</v>
      </c>
      <c r="AB473" s="11" cm="1">
        <f t="array" aca="1" ref="AB473" ca="1">MMULT(_xlfn.ANCHORARRAY(Q473),TRANSPOSE($Q$6:$U$6))</f>
        <v>-2.3965419477117715E-2</v>
      </c>
      <c r="AD473" s="2" t="s">
        <v>464</v>
      </c>
      <c r="AE473" s="10" cm="1">
        <f t="array" aca="1" ref="AE473:AI473" ca="1">_xlfn.LET(_xlpm.array,_xlfn.RANDARRAY(1,COLUMNS(_xlfn.ANCHORARRAY(Q472)),-1,1,FALSE),_xlpm.array/SUM(_xlpm.array))</f>
        <v>9.3251461744430451</v>
      </c>
      <c r="AF473" s="10">
        <f ca="1"/>
        <v>-0.77403159655805442</v>
      </c>
      <c r="AG473" s="10">
        <f ca="1"/>
        <v>-0.56581163487241271</v>
      </c>
      <c r="AH473" s="10">
        <f ca="1"/>
        <v>14.740899140453029</v>
      </c>
      <c r="AI473" s="10">
        <f ca="1"/>
        <v>-21.726202083465608</v>
      </c>
      <c r="AJ473" s="1"/>
      <c r="AK473" s="2" cm="1">
        <f t="array" aca="1" ref="AK473" ca="1">MMULT(MMULT(_xlfn.ANCHORARRAY(AE473),$Q$9:$U$13),TRANSPOSE(_xlfn.ANCHORARRAY(AE473)))</f>
        <v>0.25507277147416646</v>
      </c>
      <c r="AL473" s="2">
        <f t="shared" ca="1" si="19"/>
        <v>0.50504729627448408</v>
      </c>
      <c r="AM473" s="2" cm="1">
        <f t="array" aca="1" ref="AM473" ca="1">MMULT(_xlfn.ANCHORARRAY(AE474),TRANSPOSE($Q$3:$U$3))</f>
        <v>9.1242165739551461E-4</v>
      </c>
    </row>
    <row r="474" spans="1:39" x14ac:dyDescent="0.35">
      <c r="A474" s="3">
        <v>44515</v>
      </c>
      <c r="B474" s="4">
        <v>42.058761596679602</v>
      </c>
      <c r="C474" s="4">
        <v>97.318351745605398</v>
      </c>
      <c r="D474" s="4">
        <v>51.751674652099602</v>
      </c>
      <c r="E474" s="4">
        <v>18.374692916870099</v>
      </c>
      <c r="F474" s="4">
        <v>323.84262084960898</v>
      </c>
      <c r="I474" s="5">
        <f>B474/B473-1</f>
        <v>2.9844500572868693E-3</v>
      </c>
      <c r="J474" s="5">
        <f>C474/C473-1</f>
        <v>2.2673463371449598E-2</v>
      </c>
      <c r="K474" s="5">
        <f>D474/D473-1</f>
        <v>1.2499825545472909E-2</v>
      </c>
      <c r="L474" s="5">
        <f>E474/E473-1</f>
        <v>2.3437662673756465E-2</v>
      </c>
      <c r="M474" s="5">
        <f>F474/F473-1</f>
        <v>-1.9303626653324191E-3</v>
      </c>
      <c r="N474" s="5">
        <f>SUMPRODUCT(I474:M474,$AJ$13:$AN$13)</f>
        <v>1.5208922415339915E-2</v>
      </c>
      <c r="P474" s="2" t="s">
        <v>465</v>
      </c>
      <c r="Q474" s="10" cm="1">
        <f t="array" aca="1" ref="Q474:U474" ca="1">_xlfn.LET(_xlpm.array,_xlfn.RANDARRAY(1,COLUMNS(_xlfn.ANCHORARRAY(Q473)),0,1,FALSE),_xlpm.array/SUM(_xlpm.array))</f>
        <v>3.8358458789276795E-2</v>
      </c>
      <c r="R474" s="2">
        <f ca="1"/>
        <v>0.14498269264769137</v>
      </c>
      <c r="S474" s="2">
        <f ca="1"/>
        <v>0.27373412541129644</v>
      </c>
      <c r="T474" s="2">
        <f ca="1"/>
        <v>0.19546841161300027</v>
      </c>
      <c r="U474" s="2">
        <f ca="1"/>
        <v>0.34745631153873513</v>
      </c>
      <c r="V474" s="12"/>
      <c r="X474" s="2" cm="1">
        <f t="array" aca="1" ref="X474" ca="1">MMULT(MMULT(_xlfn.ANCHORARRAY(Q474),$Q$9:$U$13),TRANSPOSE(_xlfn.ANCHORARRAY(Q474)))</f>
        <v>2.8288702782321466E-4</v>
      </c>
      <c r="Y474" s="2">
        <f t="shared" ref="Y474:Y537" ca="1" si="20">SQRT(X474)</f>
        <v>1.6819245756668599E-2</v>
      </c>
      <c r="Z474" s="2" cm="1">
        <f t="array" aca="1" ref="Z474" ca="1">MMULT(_xlfn.ANCHORARRAY(Q474),TRANSPOSE($Q$3:$U$3))</f>
        <v>1.0353591611889303E-3</v>
      </c>
      <c r="AA474" s="11">
        <f ca="1">AVEDEV(Q474*$Q$3,R474*$R$3,S474*$S$3,T474*$T$3,U474*$U$3)</f>
        <v>1.1846162130984602E-4</v>
      </c>
      <c r="AB474" s="11" cm="1">
        <f t="array" aca="1" ref="AB474" ca="1">MMULT(_xlfn.ANCHORARRAY(Q474),TRANSPOSE($Q$6:$U$6))</f>
        <v>-2.3160074415307871E-2</v>
      </c>
      <c r="AD474" s="2" t="s">
        <v>465</v>
      </c>
      <c r="AE474" s="10" cm="1">
        <f t="array" aca="1" ref="AE474:AI474" ca="1">_xlfn.LET(_xlpm.array,_xlfn.RANDARRAY(1,COLUMNS(_xlfn.ANCHORARRAY(Q473)),-1,1,FALSE),_xlpm.array/SUM(_xlpm.array))</f>
        <v>0.12802845565110929</v>
      </c>
      <c r="AF474" s="10">
        <f ca="1"/>
        <v>0.41223134325620575</v>
      </c>
      <c r="AG474" s="10">
        <f ca="1"/>
        <v>0.1677663982142662</v>
      </c>
      <c r="AH474" s="10">
        <f ca="1"/>
        <v>0.19689033074498402</v>
      </c>
      <c r="AI474" s="10">
        <f ca="1"/>
        <v>9.5083472133434835E-2</v>
      </c>
      <c r="AJ474" s="1"/>
      <c r="AK474" s="2" cm="1">
        <f t="array" aca="1" ref="AK474" ca="1">MMULT(MMULT(_xlfn.ANCHORARRAY(AE474),$Q$9:$U$13),TRANSPOSE(_xlfn.ANCHORARRAY(AE474)))</f>
        <v>3.0973189696968889E-4</v>
      </c>
      <c r="AL474" s="2">
        <f t="shared" ref="AL474:AL537" ca="1" si="21">SQRT(AK474)</f>
        <v>1.7599201600347922E-2</v>
      </c>
      <c r="AM474" s="2" cm="1">
        <f t="array" aca="1" ref="AM474" ca="1">MMULT(_xlfn.ANCHORARRAY(AE475),TRANSPOSE($Q$3:$U$3))</f>
        <v>1.1046512623749932E-3</v>
      </c>
    </row>
    <row r="475" spans="1:39" x14ac:dyDescent="0.35">
      <c r="A475" s="3">
        <v>44516</v>
      </c>
      <c r="B475" s="4">
        <v>42.0855903625488</v>
      </c>
      <c r="C475" s="4">
        <v>97.701576232910099</v>
      </c>
      <c r="D475" s="4">
        <v>51.751674652099602</v>
      </c>
      <c r="E475" s="4">
        <v>18.935749053955</v>
      </c>
      <c r="F475" s="4">
        <v>327.157470703125</v>
      </c>
      <c r="I475" s="5">
        <f>B475/B474-1</f>
        <v>6.378876802524136E-4</v>
      </c>
      <c r="J475" s="5">
        <f>C475/C474-1</f>
        <v>3.9378439978767776E-3</v>
      </c>
      <c r="K475" s="5">
        <f>D475/D474-1</f>
        <v>0</v>
      </c>
      <c r="L475" s="5">
        <f>E475/E474-1</f>
        <v>3.0534177611740487E-2</v>
      </c>
      <c r="M475" s="5">
        <f>F475/F474-1</f>
        <v>1.0235990076968404E-2</v>
      </c>
      <c r="N475" s="5">
        <f>SUMPRODUCT(I475:M475,$AJ$13:$AN$13)</f>
        <v>1.7373087287603374E-2</v>
      </c>
      <c r="P475" s="2" t="s">
        <v>466</v>
      </c>
      <c r="Q475" s="10" cm="1">
        <f t="array" aca="1" ref="Q475:U475" ca="1">_xlfn.LET(_xlpm.array,_xlfn.RANDARRAY(1,COLUMNS(_xlfn.ANCHORARRAY(Q474)),0,1,FALSE),_xlpm.array/SUM(_xlpm.array))</f>
        <v>6.1037756644621709E-2</v>
      </c>
      <c r="R475" s="2">
        <f ca="1"/>
        <v>0.31753292902315899</v>
      </c>
      <c r="S475" s="2">
        <f ca="1"/>
        <v>3.6717440231642015E-2</v>
      </c>
      <c r="T475" s="2">
        <f ca="1"/>
        <v>0.28262912251710776</v>
      </c>
      <c r="U475" s="2">
        <f ca="1"/>
        <v>0.30208275158346959</v>
      </c>
      <c r="V475" s="12"/>
      <c r="X475" s="2" cm="1">
        <f t="array" aca="1" ref="X475" ca="1">MMULT(MMULT(_xlfn.ANCHORARRAY(Q475),$Q$9:$U$13),TRANSPOSE(_xlfn.ANCHORARRAY(Q475)))</f>
        <v>2.7221498706346439E-4</v>
      </c>
      <c r="Y475" s="2">
        <f t="shared" ca="1" si="20"/>
        <v>1.6498938967808335E-2</v>
      </c>
      <c r="Z475" s="2" cm="1">
        <f t="array" aca="1" ref="Z475" ca="1">MMULT(_xlfn.ANCHORARRAY(Q475),TRANSPOSE($Q$3:$U$3))</f>
        <v>8.4231420427330187E-4</v>
      </c>
      <c r="AA475" s="11">
        <f ca="1">AVEDEV(Q475*$Q$3,R475*$R$3,S475*$S$3,T475*$T$3,U475*$U$3)</f>
        <v>9.8509727852110466E-5</v>
      </c>
      <c r="AB475" s="11" cm="1">
        <f t="array" aca="1" ref="AB475" ca="1">MMULT(_xlfn.ANCHORARRAY(Q475),TRANSPOSE($Q$6:$U$6))</f>
        <v>-2.2049165812803362E-2</v>
      </c>
      <c r="AD475" s="2" t="s">
        <v>466</v>
      </c>
      <c r="AE475" s="10" cm="1">
        <f t="array" aca="1" ref="AE475:AI475" ca="1">_xlfn.LET(_xlpm.array,_xlfn.RANDARRAY(1,COLUMNS(_xlfn.ANCHORARRAY(Q474)),-1,1,FALSE),_xlpm.array/SUM(_xlpm.array))</f>
        <v>0.7237764492128641</v>
      </c>
      <c r="AF475" s="10">
        <f ca="1"/>
        <v>-0.22793425155613181</v>
      </c>
      <c r="AG475" s="10">
        <f ca="1"/>
        <v>0.37290116437470805</v>
      </c>
      <c r="AH475" s="10">
        <f ca="1"/>
        <v>0.76824516011840183</v>
      </c>
      <c r="AI475" s="10">
        <f ca="1"/>
        <v>-0.63698852214984225</v>
      </c>
      <c r="AJ475" s="1"/>
      <c r="AK475" s="2" cm="1">
        <f t="array" aca="1" ref="AK475" ca="1">MMULT(MMULT(_xlfn.ANCHORARRAY(AE475),$Q$9:$U$13),TRANSPOSE(_xlfn.ANCHORARRAY(AE475)))</f>
        <v>7.8613427723721655E-4</v>
      </c>
      <c r="AL475" s="2">
        <f t="shared" ca="1" si="21"/>
        <v>2.8038086190701684E-2</v>
      </c>
      <c r="AM475" s="2" cm="1">
        <f t="array" aca="1" ref="AM475" ca="1">MMULT(_xlfn.ANCHORARRAY(AE476),TRANSPOSE($Q$3:$U$3))</f>
        <v>1.6586339466451302E-4</v>
      </c>
    </row>
    <row r="476" spans="1:39" x14ac:dyDescent="0.35">
      <c r="A476" s="3">
        <v>44517</v>
      </c>
      <c r="B476" s="4">
        <v>41.5760498046875</v>
      </c>
      <c r="C476" s="4">
        <v>97.263374328613196</v>
      </c>
      <c r="D476" s="4">
        <v>51.112773895263601</v>
      </c>
      <c r="E476" s="4">
        <v>18.7884712219238</v>
      </c>
      <c r="F476" s="4">
        <v>327.37948608398398</v>
      </c>
      <c r="I476" s="5">
        <f>B476/B475-1</f>
        <v>-1.2107245103890274E-2</v>
      </c>
      <c r="J476" s="5">
        <f>C476/C475-1</f>
        <v>-4.485105780200227E-3</v>
      </c>
      <c r="K476" s="5">
        <f>D476/D475-1</f>
        <v>-1.2345508838718877E-2</v>
      </c>
      <c r="L476" s="5">
        <f>E476/E475-1</f>
        <v>-7.7777663620040016E-3</v>
      </c>
      <c r="M476" s="5">
        <f>F476/F475-1</f>
        <v>6.7861932170409922E-4</v>
      </c>
      <c r="N476" s="5">
        <f>SUMPRODUCT(I476:M476,$AJ$13:$AN$13)</f>
        <v>-6.1869735694693173E-3</v>
      </c>
      <c r="P476" s="2" t="s">
        <v>467</v>
      </c>
      <c r="Q476" s="10" cm="1">
        <f t="array" aca="1" ref="Q476:U476" ca="1">_xlfn.LET(_xlpm.array,_xlfn.RANDARRAY(1,COLUMNS(_xlfn.ANCHORARRAY(Q475)),0,1,FALSE),_xlpm.array/SUM(_xlpm.array))</f>
        <v>0.24002839873405782</v>
      </c>
      <c r="R476" s="2">
        <f ca="1"/>
        <v>4.434052312248446E-2</v>
      </c>
      <c r="S476" s="2">
        <f ca="1"/>
        <v>0.17296789709541108</v>
      </c>
      <c r="T476" s="2">
        <f ca="1"/>
        <v>0.2217116151184465</v>
      </c>
      <c r="U476" s="2">
        <f ca="1"/>
        <v>0.32095156592960011</v>
      </c>
      <c r="V476" s="12"/>
      <c r="X476" s="2" cm="1">
        <f t="array" aca="1" ref="X476" ca="1">MMULT(MMULT(_xlfn.ANCHORARRAY(Q476),$Q$9:$U$13),TRANSPOSE(_xlfn.ANCHORARRAY(Q476)))</f>
        <v>2.6262707962741103E-4</v>
      </c>
      <c r="Y476" s="2">
        <f t="shared" ca="1" si="20"/>
        <v>1.6205773033934882E-2</v>
      </c>
      <c r="Z476" s="2" cm="1">
        <f t="array" aca="1" ref="Z476" ca="1">MMULT(_xlfn.ANCHORARRAY(Q476),TRANSPOSE($Q$3:$U$3))</f>
        <v>9.0725812675731838E-4</v>
      </c>
      <c r="AA476" s="11">
        <f ca="1">AVEDEV(Q476*$Q$3,R476*$R$3,S476*$S$3,T476*$T$3,U476*$U$3)</f>
        <v>8.3412214548050516E-5</v>
      </c>
      <c r="AB476" s="11" cm="1">
        <f t="array" aca="1" ref="AB476" ca="1">MMULT(_xlfn.ANCHORARRAY(Q476),TRANSPOSE($Q$6:$U$6))</f>
        <v>-2.2835710195335611E-2</v>
      </c>
      <c r="AD476" s="2" t="s">
        <v>467</v>
      </c>
      <c r="AE476" s="10" cm="1">
        <f t="array" aca="1" ref="AE476:AI476" ca="1">_xlfn.LET(_xlpm.array,_xlfn.RANDARRAY(1,COLUMNS(_xlfn.ANCHORARRAY(Q475)),-1,1,FALSE),_xlpm.array/SUM(_xlpm.array))</f>
        <v>0.45558763002190905</v>
      </c>
      <c r="AF476" s="10">
        <f ca="1"/>
        <v>0.92611705451371606</v>
      </c>
      <c r="AG476" s="10">
        <f ca="1"/>
        <v>-0.80605385293387877</v>
      </c>
      <c r="AH476" s="10">
        <f ca="1"/>
        <v>0.94442174701537862</v>
      </c>
      <c r="AI476" s="10">
        <f ca="1"/>
        <v>-0.52007257861712497</v>
      </c>
      <c r="AJ476" s="1"/>
      <c r="AK476" s="2" cm="1">
        <f t="array" aca="1" ref="AK476" ca="1">MMULT(MMULT(_xlfn.ANCHORARRAY(AE476),$Q$9:$U$13),TRANSPOSE(_xlfn.ANCHORARRAY(AE476)))</f>
        <v>1.8345351180621109E-3</v>
      </c>
      <c r="AL476" s="2">
        <f t="shared" ca="1" si="21"/>
        <v>4.2831473451915132E-2</v>
      </c>
      <c r="AM476" s="2" cm="1">
        <f t="array" aca="1" ref="AM476" ca="1">MMULT(_xlfn.ANCHORARRAY(AE477),TRANSPOSE($Q$3:$U$3))</f>
        <v>1.1275450450122506E-3</v>
      </c>
    </row>
    <row r="477" spans="1:39" x14ac:dyDescent="0.35">
      <c r="A477" s="3">
        <v>44518</v>
      </c>
      <c r="B477" s="4">
        <v>41.406200408935497</v>
      </c>
      <c r="C477" s="4">
        <v>96.445945739746094</v>
      </c>
      <c r="D477" s="4">
        <v>51.021495819091797</v>
      </c>
      <c r="E477" s="4">
        <v>18.269493103027301</v>
      </c>
      <c r="F477" s="4">
        <v>329.45504760742102</v>
      </c>
      <c r="I477" s="5">
        <f>B477/B476-1</f>
        <v>-4.0852701627477339E-3</v>
      </c>
      <c r="J477" s="5">
        <f>C477/C476-1</f>
        <v>-8.4042795606221743E-3</v>
      </c>
      <c r="K477" s="5">
        <f>D477/D476-1</f>
        <v>-1.7858173058430404E-3</v>
      </c>
      <c r="L477" s="5">
        <f>E477/E476-1</f>
        <v>-2.7622157905583977E-2</v>
      </c>
      <c r="M477" s="5">
        <f>F477/F476-1</f>
        <v>6.3399254127505245E-3</v>
      </c>
      <c r="N477" s="5">
        <f>SUMPRODUCT(I477:M477,$AJ$13:$AN$13)</f>
        <v>-1.0261778764292009E-2</v>
      </c>
      <c r="P477" s="2" t="s">
        <v>468</v>
      </c>
      <c r="Q477" s="10" cm="1">
        <f t="array" aca="1" ref="Q477:U477" ca="1">_xlfn.LET(_xlpm.array,_xlfn.RANDARRAY(1,COLUMNS(_xlfn.ANCHORARRAY(Q476)),0,1,FALSE),_xlpm.array/SUM(_xlpm.array))</f>
        <v>9.0871329914788065E-2</v>
      </c>
      <c r="R477" s="2">
        <f ca="1"/>
        <v>0.25276412457434427</v>
      </c>
      <c r="S477" s="2">
        <f ca="1"/>
        <v>0.28426261260027086</v>
      </c>
      <c r="T477" s="2">
        <f ca="1"/>
        <v>0.18026313106619316</v>
      </c>
      <c r="U477" s="2">
        <f ca="1"/>
        <v>0.19183880184440349</v>
      </c>
      <c r="V477" s="12"/>
      <c r="X477" s="2" cm="1">
        <f t="array" aca="1" ref="X477" ca="1">MMULT(MMULT(_xlfn.ANCHORARRAY(Q477),$Q$9:$U$13),TRANSPOSE(_xlfn.ANCHORARRAY(Q477)))</f>
        <v>2.9865062147957301E-4</v>
      </c>
      <c r="Y477" s="2">
        <f t="shared" ca="1" si="20"/>
        <v>1.7281510972121997E-2</v>
      </c>
      <c r="Z477" s="2" cm="1">
        <f t="array" aca="1" ref="Z477" ca="1">MMULT(_xlfn.ANCHORARRAY(Q477),TRANSPOSE($Q$3:$U$3))</f>
        <v>1.0232944911304019E-3</v>
      </c>
      <c r="AA477" s="11">
        <f ca="1">AVEDEV(Q477*$Q$3,R477*$R$3,S477*$S$3,T477*$T$3,U477*$U$3)</f>
        <v>1.0279352176828418E-4</v>
      </c>
      <c r="AB477" s="11" cm="1">
        <f t="array" aca="1" ref="AB477" ca="1">MMULT(_xlfn.ANCHORARRAY(Q477),TRANSPOSE($Q$6:$U$6))</f>
        <v>-2.3285744293312451E-2</v>
      </c>
      <c r="AD477" s="2" t="s">
        <v>468</v>
      </c>
      <c r="AE477" s="10" cm="1">
        <f t="array" aca="1" ref="AE477:AI477" ca="1">_xlfn.LET(_xlpm.array,_xlfn.RANDARRAY(1,COLUMNS(_xlfn.ANCHORARRAY(Q476)),-1,1,FALSE),_xlpm.array/SUM(_xlpm.array))</f>
        <v>-2.6227918786688648E-2</v>
      </c>
      <c r="AF477" s="10">
        <f ca="1"/>
        <v>0.20159842863052271</v>
      </c>
      <c r="AG477" s="10">
        <f ca="1"/>
        <v>0.62133914546306546</v>
      </c>
      <c r="AH477" s="10">
        <f ca="1"/>
        <v>-0.66552502429227389</v>
      </c>
      <c r="AI477" s="10">
        <f ca="1"/>
        <v>0.86881536898537448</v>
      </c>
      <c r="AJ477" s="1"/>
      <c r="AK477" s="2" cm="1">
        <f t="array" aca="1" ref="AK477" ca="1">MMULT(MMULT(_xlfn.ANCHORARRAY(AE477),$Q$9:$U$13),TRANSPOSE(_xlfn.ANCHORARRAY(AE477)))</f>
        <v>8.2928396688539368E-4</v>
      </c>
      <c r="AL477" s="2">
        <f t="shared" ca="1" si="21"/>
        <v>2.8797290964349298E-2</v>
      </c>
      <c r="AM477" s="2" cm="1">
        <f t="array" aca="1" ref="AM477" ca="1">MMULT(_xlfn.ANCHORARRAY(AE478),TRANSPOSE($Q$3:$U$3))</f>
        <v>1.2508756843906624E-3</v>
      </c>
    </row>
    <row r="478" spans="1:39" x14ac:dyDescent="0.35">
      <c r="A478" s="3">
        <v>44519</v>
      </c>
      <c r="B478" s="4">
        <v>40.583793640136697</v>
      </c>
      <c r="C478" s="4">
        <v>94.305549621582003</v>
      </c>
      <c r="D478" s="4">
        <v>50.218292236328097</v>
      </c>
      <c r="E478" s="4">
        <v>17.315694808959901</v>
      </c>
      <c r="F478" s="4">
        <v>331.231353759765</v>
      </c>
      <c r="I478" s="5">
        <f>B478/B477-1</f>
        <v>-1.9861923109982471E-2</v>
      </c>
      <c r="J478" s="5">
        <f>C478/C477-1</f>
        <v>-2.2192701847103313E-2</v>
      </c>
      <c r="K478" s="5">
        <f>D478/D477-1</f>
        <v>-1.5742454623667634E-2</v>
      </c>
      <c r="L478" s="5">
        <f>E478/E477-1</f>
        <v>-5.2207156963175572E-2</v>
      </c>
      <c r="M478" s="5">
        <f>F478/F477-1</f>
        <v>5.391649529257192E-3</v>
      </c>
      <c r="N478" s="5">
        <f>SUMPRODUCT(I478:M478,$AJ$13:$AN$13)</f>
        <v>-2.4318334670866706E-2</v>
      </c>
      <c r="P478" s="2" t="s">
        <v>469</v>
      </c>
      <c r="Q478" s="10" cm="1">
        <f t="array" aca="1" ref="Q478:U478" ca="1">_xlfn.LET(_xlpm.array,_xlfn.RANDARRAY(1,COLUMNS(_xlfn.ANCHORARRAY(Q477)),0,1,FALSE),_xlpm.array/SUM(_xlpm.array))</f>
        <v>0.39926684930501743</v>
      </c>
      <c r="R478" s="2">
        <f ca="1"/>
        <v>0.1987528291398678</v>
      </c>
      <c r="S478" s="2">
        <f ca="1"/>
        <v>0.2973457109341332</v>
      </c>
      <c r="T478" s="2">
        <f ca="1"/>
        <v>0.10364143019370077</v>
      </c>
      <c r="U478" s="2">
        <f ca="1"/>
        <v>9.9318042728076565E-4</v>
      </c>
      <c r="V478" s="12"/>
      <c r="X478" s="2" cm="1">
        <f t="array" aca="1" ref="X478" ca="1">MMULT(MMULT(_xlfn.ANCHORARRAY(Q478),$Q$9:$U$13),TRANSPOSE(_xlfn.ANCHORARRAY(Q478)))</f>
        <v>3.4422372135522208E-4</v>
      </c>
      <c r="Y478" s="2">
        <f t="shared" ca="1" si="20"/>
        <v>1.8553267134260264E-2</v>
      </c>
      <c r="Z478" s="2" cm="1">
        <f t="array" aca="1" ref="Z478" ca="1">MMULT(_xlfn.ANCHORARRAY(Q478),TRANSPOSE($Q$3:$U$3))</f>
        <v>9.3759411722881751E-4</v>
      </c>
      <c r="AA478" s="11">
        <f ca="1">AVEDEV(Q478*$Q$3,R478*$R$3,S478*$S$3,T478*$T$3,U478*$U$3)</f>
        <v>1.2431115814699148E-4</v>
      </c>
      <c r="AB478" s="11" cm="1">
        <f t="array" aca="1" ref="AB478" ca="1">MMULT(_xlfn.ANCHORARRAY(Q478),TRANSPOSE($Q$6:$U$6))</f>
        <v>-2.3422735244564789E-2</v>
      </c>
      <c r="AD478" s="2" t="s">
        <v>469</v>
      </c>
      <c r="AE478" s="10" cm="1">
        <f t="array" aca="1" ref="AE478:AI478" ca="1">_xlfn.LET(_xlpm.array,_xlfn.RANDARRAY(1,COLUMNS(_xlfn.ANCHORARRAY(Q477)),-1,1,FALSE),_xlpm.array/SUM(_xlpm.array))</f>
        <v>-0.18194255670548753</v>
      </c>
      <c r="AF478" s="10">
        <f ca="1"/>
        <v>0.5986173214409759</v>
      </c>
      <c r="AG478" s="10">
        <f ca="1"/>
        <v>0.41577950745604164</v>
      </c>
      <c r="AH478" s="10">
        <f ca="1"/>
        <v>0.40052191107258522</v>
      </c>
      <c r="AI478" s="10">
        <f ca="1"/>
        <v>-0.23297618326411515</v>
      </c>
      <c r="AJ478" s="1"/>
      <c r="AK478" s="2" cm="1">
        <f t="array" aca="1" ref="AK478" ca="1">MMULT(MMULT(_xlfn.ANCHORARRAY(AE478),$Q$9:$U$13),TRANSPOSE(_xlfn.ANCHORARRAY(AE478)))</f>
        <v>5.6276166568044843E-4</v>
      </c>
      <c r="AL478" s="2">
        <f t="shared" ca="1" si="21"/>
        <v>2.3722598206782672E-2</v>
      </c>
      <c r="AM478" s="2" cm="1">
        <f t="array" aca="1" ref="AM478" ca="1">MMULT(_xlfn.ANCHORARRAY(AE479),TRANSPOSE($Q$3:$U$3))</f>
        <v>9.8459031903183158E-4</v>
      </c>
    </row>
    <row r="479" spans="1:39" x14ac:dyDescent="0.35">
      <c r="A479" s="3">
        <v>44522</v>
      </c>
      <c r="B479" s="4">
        <v>41.370452880859297</v>
      </c>
      <c r="C479" s="4">
        <v>95.990928649902301</v>
      </c>
      <c r="D479" s="4">
        <v>50.318687438964801</v>
      </c>
      <c r="E479" s="4">
        <v>17.4629707336425</v>
      </c>
      <c r="F479" s="4">
        <v>328.06491088867102</v>
      </c>
      <c r="I479" s="5">
        <f>B479/B478-1</f>
        <v>1.9383580739100958E-2</v>
      </c>
      <c r="J479" s="5">
        <f>C479/C478-1</f>
        <v>1.787147241157272E-2</v>
      </c>
      <c r="K479" s="5">
        <f>D479/D478-1</f>
        <v>1.9991759609077064E-3</v>
      </c>
      <c r="L479" s="5">
        <f>E479/E478-1</f>
        <v>8.5053430605852576E-3</v>
      </c>
      <c r="M479" s="5">
        <f>F479/F478-1</f>
        <v>-9.5596109340256863E-3</v>
      </c>
      <c r="N479" s="5">
        <f>SUMPRODUCT(I479:M479,$AJ$13:$AN$13)</f>
        <v>-4.3697466321519704E-3</v>
      </c>
      <c r="P479" s="2" t="s">
        <v>470</v>
      </c>
      <c r="Q479" s="10" cm="1">
        <f t="array" aca="1" ref="Q479:U479" ca="1">_xlfn.LET(_xlpm.array,_xlfn.RANDARRAY(1,COLUMNS(_xlfn.ANCHORARRAY(Q478)),0,1,FALSE),_xlpm.array/SUM(_xlpm.array))</f>
        <v>0.18671776514396821</v>
      </c>
      <c r="R479" s="2">
        <f ca="1"/>
        <v>0.29038775140495221</v>
      </c>
      <c r="S479" s="2">
        <f ca="1"/>
        <v>0.22361592327147486</v>
      </c>
      <c r="T479" s="2">
        <f ca="1"/>
        <v>2.4993751452523291E-2</v>
      </c>
      <c r="U479" s="2">
        <f ca="1"/>
        <v>0.27428480872708144</v>
      </c>
      <c r="V479" s="12"/>
      <c r="X479" s="2" cm="1">
        <f t="array" aca="1" ref="X479" ca="1">MMULT(MMULT(_xlfn.ANCHORARRAY(Q479),$Q$9:$U$13),TRANSPOSE(_xlfn.ANCHORARRAY(Q479)))</f>
        <v>2.7599209736329985E-4</v>
      </c>
      <c r="Y479" s="2">
        <f t="shared" ca="1" si="20"/>
        <v>1.6613009882718417E-2</v>
      </c>
      <c r="Z479" s="2" cm="1">
        <f t="array" aca="1" ref="Z479" ca="1">MMULT(_xlfn.ANCHORARRAY(Q479),TRANSPOSE($Q$3:$U$3))</f>
        <v>9.054253389085159E-4</v>
      </c>
      <c r="AA479" s="11">
        <f ca="1">AVEDEV(Q479*$Q$3,R479*$R$3,S479*$S$3,T479*$T$3,U479*$U$3)</f>
        <v>9.6694995035240895E-5</v>
      </c>
      <c r="AB479" s="11" cm="1">
        <f t="array" aca="1" ref="AB479" ca="1">MMULT(_xlfn.ANCHORARRAY(Q479),TRANSPOSE($Q$6:$U$6))</f>
        <v>-2.2237731892151599E-2</v>
      </c>
      <c r="AD479" s="2" t="s">
        <v>470</v>
      </c>
      <c r="AE479" s="10" cm="1">
        <f t="array" aca="1" ref="AE479:AI479" ca="1">_xlfn.LET(_xlpm.array,_xlfn.RANDARRAY(1,COLUMNS(_xlfn.ANCHORARRAY(Q478)),-1,1,FALSE),_xlpm.array/SUM(_xlpm.array))</f>
        <v>0.32029027378093666</v>
      </c>
      <c r="AF479" s="10">
        <f ca="1"/>
        <v>-0.3591680813619475</v>
      </c>
      <c r="AG479" s="10">
        <f ca="1"/>
        <v>0.22454410268681951</v>
      </c>
      <c r="AH479" s="10">
        <f ca="1"/>
        <v>0.37613048517511183</v>
      </c>
      <c r="AI479" s="10">
        <f ca="1"/>
        <v>0.4382032197190795</v>
      </c>
      <c r="AJ479" s="1"/>
      <c r="AK479" s="2" cm="1">
        <f t="array" aca="1" ref="AK479" ca="1">MMULT(MMULT(_xlfn.ANCHORARRAY(AE479),$Q$9:$U$13),TRANSPOSE(_xlfn.ANCHORARRAY(AE479)))</f>
        <v>3.1450571512024554E-4</v>
      </c>
      <c r="AL479" s="2">
        <f t="shared" ca="1" si="21"/>
        <v>1.7734308983443522E-2</v>
      </c>
      <c r="AM479" s="2" cm="1">
        <f t="array" aca="1" ref="AM479" ca="1">MMULT(_xlfn.ANCHORARRAY(AE480),TRANSPOSE($Q$3:$U$3))</f>
        <v>5.4758212927310276E-4</v>
      </c>
    </row>
    <row r="480" spans="1:39" x14ac:dyDescent="0.35">
      <c r="A480" s="3">
        <v>44523</v>
      </c>
      <c r="B480" s="4">
        <v>42.461013793945298</v>
      </c>
      <c r="C480" s="4">
        <v>98.004943847656193</v>
      </c>
      <c r="D480" s="4">
        <v>49.898830413818303</v>
      </c>
      <c r="E480" s="4">
        <v>18.0801391601562</v>
      </c>
      <c r="F480" s="4">
        <v>325.98931884765602</v>
      </c>
      <c r="I480" s="5">
        <f>B480/B479-1</f>
        <v>2.6360864751146185E-2</v>
      </c>
      <c r="J480" s="5">
        <f>C480/C479-1</f>
        <v>2.098130756812866E-2</v>
      </c>
      <c r="K480" s="5">
        <f>D480/D479-1</f>
        <v>-8.3439582094778642E-3</v>
      </c>
      <c r="L480" s="5">
        <f>E480/E479-1</f>
        <v>3.5341548464301153E-2</v>
      </c>
      <c r="M480" s="5">
        <f>F480/F479-1</f>
        <v>-6.3267724530263747E-3</v>
      </c>
      <c r="N480" s="5">
        <f>SUMPRODUCT(I480:M480,$AJ$13:$AN$13)</f>
        <v>1.7443670703650958E-3</v>
      </c>
      <c r="P480" s="2" t="s">
        <v>471</v>
      </c>
      <c r="Q480" s="10" cm="1">
        <f t="array" aca="1" ref="Q480:U480" ca="1">_xlfn.LET(_xlpm.array,_xlfn.RANDARRAY(1,COLUMNS(_xlfn.ANCHORARRAY(Q479)),0,1,FALSE),_xlpm.array/SUM(_xlpm.array))</f>
        <v>9.9353645584926764E-2</v>
      </c>
      <c r="R480" s="2">
        <f ca="1"/>
        <v>0.33031429975474064</v>
      </c>
      <c r="S480" s="2">
        <f ca="1"/>
        <v>7.1261457914100129E-2</v>
      </c>
      <c r="T480" s="2">
        <f ca="1"/>
        <v>0.19968698876748806</v>
      </c>
      <c r="U480" s="2">
        <f ca="1"/>
        <v>0.29938360797874441</v>
      </c>
      <c r="V480" s="12"/>
      <c r="X480" s="2" cm="1">
        <f t="array" aca="1" ref="X480" ca="1">MMULT(MMULT(_xlfn.ANCHORARRAY(Q480),$Q$9:$U$13),TRANSPOSE(_xlfn.ANCHORARRAY(Q480)))</f>
        <v>2.6232313038463773E-4</v>
      </c>
      <c r="Y480" s="2">
        <f t="shared" ca="1" si="20"/>
        <v>1.6196392511440248E-2</v>
      </c>
      <c r="Z480" s="2" cm="1">
        <f t="array" aca="1" ref="Z480" ca="1">MMULT(_xlfn.ANCHORARRAY(Q480),TRANSPOSE($Q$3:$U$3))</f>
        <v>8.4042152379960595E-4</v>
      </c>
      <c r="AA480" s="11">
        <f ca="1">AVEDEV(Q480*$Q$3,R480*$R$3,S480*$S$3,T480*$T$3,U480*$U$3)</f>
        <v>6.7977531701131301E-5</v>
      </c>
      <c r="AB480" s="11" cm="1">
        <f t="array" aca="1" ref="AB480" ca="1">MMULT(_xlfn.ANCHORARRAY(Q480),TRANSPOSE($Q$6:$U$6))</f>
        <v>-2.1936872047745925E-2</v>
      </c>
      <c r="AD480" s="2" t="s">
        <v>471</v>
      </c>
      <c r="AE480" s="10" cm="1">
        <f t="array" aca="1" ref="AE480:AI480" ca="1">_xlfn.LET(_xlpm.array,_xlfn.RANDARRAY(1,COLUMNS(_xlfn.ANCHORARRAY(Q479)),-1,1,FALSE),_xlpm.array/SUM(_xlpm.array))</f>
        <v>1.1709894995195032</v>
      </c>
      <c r="AF480" s="10">
        <f ca="1"/>
        <v>-0.40532778582834939</v>
      </c>
      <c r="AG480" s="10">
        <f ca="1"/>
        <v>1.9521330952069017E-2</v>
      </c>
      <c r="AH480" s="10">
        <f ca="1"/>
        <v>0.20412208713421667</v>
      </c>
      <c r="AI480" s="10">
        <f ca="1"/>
        <v>1.069486822256055E-2</v>
      </c>
      <c r="AJ480" s="1"/>
      <c r="AK480" s="2" cm="1">
        <f t="array" aca="1" ref="AK480" ca="1">MMULT(MMULT(_xlfn.ANCHORARRAY(AE480),$Q$9:$U$13),TRANSPOSE(_xlfn.ANCHORARRAY(AE480)))</f>
        <v>5.3644131366604596E-4</v>
      </c>
      <c r="AL480" s="2">
        <f t="shared" ca="1" si="21"/>
        <v>2.3161202768121648E-2</v>
      </c>
      <c r="AM480" s="2" cm="1">
        <f t="array" aca="1" ref="AM480" ca="1">MMULT(_xlfn.ANCHORARRAY(AE481),TRANSPOSE($Q$3:$U$3))</f>
        <v>2.0897103192258747E-5</v>
      </c>
    </row>
    <row r="481" spans="1:39" x14ac:dyDescent="0.35">
      <c r="A481" s="3">
        <v>44524</v>
      </c>
      <c r="B481" s="4">
        <v>42.577236175537102</v>
      </c>
      <c r="C481" s="4">
        <v>98.754943847656193</v>
      </c>
      <c r="D481" s="4">
        <v>52.299320220947202</v>
      </c>
      <c r="E481" s="4">
        <v>18.031044006347599</v>
      </c>
      <c r="F481" s="4">
        <v>326.21139526367102</v>
      </c>
      <c r="I481" s="5">
        <f>B481/B480-1</f>
        <v>2.7371551267194594E-3</v>
      </c>
      <c r="J481" s="5">
        <f>C481/C480-1</f>
        <v>7.6526751667327364E-3</v>
      </c>
      <c r="K481" s="5">
        <f>D481/D480-1</f>
        <v>4.8107135722847305E-2</v>
      </c>
      <c r="L481" s="5">
        <f>E481/E480-1</f>
        <v>-2.7154190227027808E-3</v>
      </c>
      <c r="M481" s="5">
        <f>F481/F480-1</f>
        <v>6.8123832032296328E-4</v>
      </c>
      <c r="N481" s="5">
        <f>SUMPRODUCT(I481:M481,$AJ$13:$AN$13)</f>
        <v>2.2964499288960199E-2</v>
      </c>
      <c r="P481" s="2" t="s">
        <v>472</v>
      </c>
      <c r="Q481" s="10" cm="1">
        <f t="array" aca="1" ref="Q481:U481" ca="1">_xlfn.LET(_xlpm.array,_xlfn.RANDARRAY(1,COLUMNS(_xlfn.ANCHORARRAY(Q480)),0,1,FALSE),_xlpm.array/SUM(_xlpm.array))</f>
        <v>9.8684203220466629E-2</v>
      </c>
      <c r="R481" s="2">
        <f ca="1"/>
        <v>0.40506117549281123</v>
      </c>
      <c r="S481" s="2">
        <f ca="1"/>
        <v>0.15334149053059001</v>
      </c>
      <c r="T481" s="2">
        <f ca="1"/>
        <v>0.1503278846016477</v>
      </c>
      <c r="U481" s="2">
        <f ca="1"/>
        <v>0.19258524615448444</v>
      </c>
      <c r="V481" s="12"/>
      <c r="X481" s="2" cm="1">
        <f t="array" aca="1" ref="X481" ca="1">MMULT(MMULT(_xlfn.ANCHORARRAY(Q481),$Q$9:$U$13),TRANSPOSE(_xlfn.ANCHORARRAY(Q481)))</f>
        <v>2.8435964984513271E-4</v>
      </c>
      <c r="Y481" s="2">
        <f t="shared" ca="1" si="20"/>
        <v>1.6862966816225806E-2</v>
      </c>
      <c r="Z481" s="2" cm="1">
        <f t="array" aca="1" ref="Z481" ca="1">MMULT(_xlfn.ANCHORARRAY(Q481),TRANSPOSE($Q$3:$U$3))</f>
        <v>8.9585116516051702E-4</v>
      </c>
      <c r="AA481" s="11">
        <f ca="1">AVEDEV(Q481*$Q$3,R481*$R$3,S481*$S$3,T481*$T$3,U481*$U$3)</f>
        <v>7.4591088316645573E-5</v>
      </c>
      <c r="AB481" s="11" cm="1">
        <f t="array" aca="1" ref="AB481" ca="1">MMULT(_xlfn.ANCHORARRAY(Q481),TRANSPOSE($Q$6:$U$6))</f>
        <v>-2.2298838274416137E-2</v>
      </c>
      <c r="AD481" s="2" t="s">
        <v>472</v>
      </c>
      <c r="AE481" s="10" cm="1">
        <f t="array" aca="1" ref="AE481:AI481" ca="1">_xlfn.LET(_xlpm.array,_xlfn.RANDARRAY(1,COLUMNS(_xlfn.ANCHORARRAY(Q480)),-1,1,FALSE),_xlpm.array/SUM(_xlpm.array))</f>
        <v>-0.32759499153687932</v>
      </c>
      <c r="AF481" s="10">
        <f ca="1"/>
        <v>0.84187842767878807</v>
      </c>
      <c r="AG481" s="10">
        <f ca="1"/>
        <v>-1.3155743543907219</v>
      </c>
      <c r="AH481" s="10">
        <f ca="1"/>
        <v>1.2906558169859212</v>
      </c>
      <c r="AI481" s="10">
        <f ca="1"/>
        <v>0.51063510126289191</v>
      </c>
      <c r="AJ481" s="1"/>
      <c r="AK481" s="2" cm="1">
        <f t="array" aca="1" ref="AK481" ca="1">MMULT(MMULT(_xlfn.ANCHORARRAY(AE481),$Q$9:$U$13),TRANSPOSE(_xlfn.ANCHORARRAY(AE481)))</f>
        <v>2.3008480668103362E-3</v>
      </c>
      <c r="AL481" s="2">
        <f t="shared" ca="1" si="21"/>
        <v>4.7967156125940345E-2</v>
      </c>
      <c r="AM481" s="2" cm="1">
        <f t="array" aca="1" ref="AM481" ca="1">MMULT(_xlfn.ANCHORARRAY(AE482),TRANSPOSE($Q$3:$U$3))</f>
        <v>-7.4199398462878969E-3</v>
      </c>
    </row>
    <row r="482" spans="1:39" x14ac:dyDescent="0.35">
      <c r="A482" s="3">
        <v>44526</v>
      </c>
      <c r="B482" s="4">
        <v>40.905605316162102</v>
      </c>
      <c r="C482" s="4">
        <v>96.496528625488196</v>
      </c>
      <c r="D482" s="4">
        <v>51.277053833007798</v>
      </c>
      <c r="E482" s="4">
        <v>17.343744277954102</v>
      </c>
      <c r="F482" s="4">
        <v>318.26638793945301</v>
      </c>
      <c r="I482" s="5">
        <f>B482/B481-1</f>
        <v>-3.9261140682857243E-2</v>
      </c>
      <c r="J482" s="5">
        <f>C482/C481-1</f>
        <v>-2.2868882652112399E-2</v>
      </c>
      <c r="K482" s="5">
        <f>D482/D481-1</f>
        <v>-1.9546456504992205E-2</v>
      </c>
      <c r="L482" s="5">
        <f>E482/E481-1</f>
        <v>-3.8117578114253536E-2</v>
      </c>
      <c r="M482" s="5">
        <f>F482/F481-1</f>
        <v>-2.4355394813219799E-2</v>
      </c>
      <c r="N482" s="5">
        <f>SUMPRODUCT(I482:M482,$AJ$13:$AN$13)</f>
        <v>-2.4019741922826993E-2</v>
      </c>
      <c r="P482" s="2" t="s">
        <v>473</v>
      </c>
      <c r="Q482" s="10" cm="1">
        <f t="array" aca="1" ref="Q482:U482" ca="1">_xlfn.LET(_xlpm.array,_xlfn.RANDARRAY(1,COLUMNS(_xlfn.ANCHORARRAY(Q481)),0,1,FALSE),_xlpm.array/SUM(_xlpm.array))</f>
        <v>0.29557859504805151</v>
      </c>
      <c r="R482" s="2">
        <f ca="1"/>
        <v>0.18218269358888511</v>
      </c>
      <c r="S482" s="2">
        <f ca="1"/>
        <v>0.17168319847931343</v>
      </c>
      <c r="T482" s="2">
        <f ca="1"/>
        <v>0.17421219948223135</v>
      </c>
      <c r="U482" s="2">
        <f ca="1"/>
        <v>0.17634331340151857</v>
      </c>
      <c r="V482" s="12"/>
      <c r="X482" s="2" cm="1">
        <f t="array" aca="1" ref="X482" ca="1">MMULT(MMULT(_xlfn.ANCHORARRAY(Q482),$Q$9:$U$13),TRANSPOSE(_xlfn.ANCHORARRAY(Q482)))</f>
        <v>2.7970733297491812E-4</v>
      </c>
      <c r="Y482" s="2">
        <f t="shared" ca="1" si="20"/>
        <v>1.6724453144271061E-2</v>
      </c>
      <c r="Z482" s="2" cm="1">
        <f t="array" aca="1" ref="Z482" ca="1">MMULT(_xlfn.ANCHORARRAY(Q482),TRANSPOSE($Q$3:$U$3))</f>
        <v>8.7493229894678132E-4</v>
      </c>
      <c r="AA482" s="11">
        <f ca="1">AVEDEV(Q482*$Q$3,R482*$R$3,S482*$S$3,T482*$T$3,U482*$U$3)</f>
        <v>4.272755768036801E-5</v>
      </c>
      <c r="AB482" s="11" cm="1">
        <f t="array" aca="1" ref="AB482" ca="1">MMULT(_xlfn.ANCHORARRAY(Q482),TRANSPOSE($Q$6:$U$6))</f>
        <v>-2.2734471795301789E-2</v>
      </c>
      <c r="AD482" s="2" t="s">
        <v>473</v>
      </c>
      <c r="AE482" s="10" cm="1">
        <f t="array" aca="1" ref="AE482:AI482" ca="1">_xlfn.LET(_xlpm.array,_xlfn.RANDARRAY(1,COLUMNS(_xlfn.ANCHORARRAY(Q481)),-1,1,FALSE),_xlpm.array/SUM(_xlpm.array))</f>
        <v>5.2411366992620261</v>
      </c>
      <c r="AF482" s="10">
        <f ca="1"/>
        <v>1.1122255934397622</v>
      </c>
      <c r="AG482" s="10">
        <f ca="1"/>
        <v>-8.863488151676659</v>
      </c>
      <c r="AH482" s="10">
        <f ca="1"/>
        <v>3.1689106403073288</v>
      </c>
      <c r="AI482" s="10">
        <f ca="1"/>
        <v>0.34121521866754162</v>
      </c>
      <c r="AJ482" s="1"/>
      <c r="AK482" s="2" cm="1">
        <f t="array" aca="1" ref="AK482" ca="1">MMULT(MMULT(_xlfn.ANCHORARRAY(AE482),$Q$9:$U$13),TRANSPOSE(_xlfn.ANCHORARRAY(AE482)))</f>
        <v>6.2691673067029288E-2</v>
      </c>
      <c r="AL482" s="2">
        <f t="shared" ca="1" si="21"/>
        <v>0.25038305267535438</v>
      </c>
      <c r="AM482" s="2" cm="1">
        <f t="array" aca="1" ref="AM482" ca="1">MMULT(_xlfn.ANCHORARRAY(AE483),TRANSPOSE($Q$3:$U$3))</f>
        <v>6.8441363387645006E-4</v>
      </c>
    </row>
    <row r="483" spans="1:39" x14ac:dyDescent="0.35">
      <c r="A483" s="3">
        <v>44529</v>
      </c>
      <c r="B483" s="4">
        <v>40.753639221191399</v>
      </c>
      <c r="C483" s="4">
        <v>96.783027648925696</v>
      </c>
      <c r="D483" s="4">
        <v>52.545753479003899</v>
      </c>
      <c r="E483" s="4">
        <v>17.526088714599599</v>
      </c>
      <c r="F483" s="4">
        <v>324.97564697265602</v>
      </c>
      <c r="I483" s="5">
        <f>B483/B482-1</f>
        <v>-3.7150433002065553E-3</v>
      </c>
      <c r="J483" s="5">
        <f>C483/C482-1</f>
        <v>2.9690086008111738E-3</v>
      </c>
      <c r="K483" s="5">
        <f>D483/D482-1</f>
        <v>2.4742054216450038E-2</v>
      </c>
      <c r="L483" s="5">
        <f>E483/E482-1</f>
        <v>1.0513556572514515E-2</v>
      </c>
      <c r="M483" s="5">
        <f>F483/F482-1</f>
        <v>2.1080639638513698E-2</v>
      </c>
      <c r="N483" s="5">
        <f>SUMPRODUCT(I483:M483,$AJ$13:$AN$13)</f>
        <v>2.5814110104139691E-2</v>
      </c>
      <c r="P483" s="2" t="s">
        <v>474</v>
      </c>
      <c r="Q483" s="10" cm="1">
        <f t="array" aca="1" ref="Q483:U483" ca="1">_xlfn.LET(_xlpm.array,_xlfn.RANDARRAY(1,COLUMNS(_xlfn.ANCHORARRAY(Q482)),0,1,FALSE),_xlpm.array/SUM(_xlpm.array))</f>
        <v>2.7326369904260739E-2</v>
      </c>
      <c r="R483" s="2">
        <f ca="1"/>
        <v>5.6135638465517154E-2</v>
      </c>
      <c r="S483" s="2">
        <f ca="1"/>
        <v>7.3743718597766642E-3</v>
      </c>
      <c r="T483" s="2">
        <f ca="1"/>
        <v>0.41670053992419043</v>
      </c>
      <c r="U483" s="2">
        <f ca="1"/>
        <v>0.49246307984625498</v>
      </c>
      <c r="V483" s="12"/>
      <c r="X483" s="2" cm="1">
        <f t="array" aca="1" ref="X483" ca="1">MMULT(MMULT(_xlfn.ANCHORARRAY(Q483),$Q$9:$U$13),TRANSPOSE(_xlfn.ANCHORARRAY(Q483)))</f>
        <v>2.6738466694024409E-4</v>
      </c>
      <c r="Y483" s="2">
        <f t="shared" ca="1" si="20"/>
        <v>1.6351901019155055E-2</v>
      </c>
      <c r="Z483" s="2" cm="1">
        <f t="array" aca="1" ref="Z483" ca="1">MMULT(_xlfn.ANCHORARRAY(Q483),TRANSPOSE($Q$3:$U$3))</f>
        <v>8.6922762100074429E-4</v>
      </c>
      <c r="AA483" s="11">
        <f ca="1">AVEDEV(Q483*$Q$3,R483*$R$3,S483*$S$3,T483*$T$3,U483*$U$3)</f>
        <v>1.8187185071315013E-4</v>
      </c>
      <c r="AB483" s="11" cm="1">
        <f t="array" aca="1" ref="AB483" ca="1">MMULT(_xlfn.ANCHORARRAY(Q483),TRANSPOSE($Q$6:$U$6))</f>
        <v>-2.2345442940090908E-2</v>
      </c>
      <c r="AD483" s="2" t="s">
        <v>474</v>
      </c>
      <c r="AE483" s="10" cm="1">
        <f t="array" aca="1" ref="AE483:AI483" ca="1">_xlfn.LET(_xlpm.array,_xlfn.RANDARRAY(1,COLUMNS(_xlfn.ANCHORARRAY(Q482)),-1,1,FALSE),_xlpm.array/SUM(_xlpm.array))</f>
        <v>0.22847372361503498</v>
      </c>
      <c r="AF483" s="10">
        <f ca="1"/>
        <v>6.9791282207945407E-2</v>
      </c>
      <c r="AG483" s="10">
        <f ca="1"/>
        <v>0.1788183547427685</v>
      </c>
      <c r="AH483" s="10">
        <f ca="1"/>
        <v>-0.67387950973510002</v>
      </c>
      <c r="AI483" s="10">
        <f ca="1"/>
        <v>1.1967961491693511</v>
      </c>
      <c r="AJ483" s="1"/>
      <c r="AK483" s="2" cm="1">
        <f t="array" aca="1" ref="AK483" ca="1">MMULT(MMULT(_xlfn.ANCHORARRAY(AE483),$Q$9:$U$13),TRANSPOSE(_xlfn.ANCHORARRAY(AE483)))</f>
        <v>7.4018377787187981E-4</v>
      </c>
      <c r="AL483" s="2">
        <f t="shared" ca="1" si="21"/>
        <v>2.7206318712238151E-2</v>
      </c>
      <c r="AM483" s="2" cm="1">
        <f t="array" aca="1" ref="AM483" ca="1">MMULT(_xlfn.ANCHORARRAY(AE484),TRANSPOSE($Q$3:$U$3))</f>
        <v>-2.5137605315130387E-3</v>
      </c>
    </row>
    <row r="484" spans="1:39" x14ac:dyDescent="0.35">
      <c r="A484" s="3">
        <v>44530</v>
      </c>
      <c r="B484" s="4">
        <v>39.7524604797363</v>
      </c>
      <c r="C484" s="4">
        <v>95.114517211914006</v>
      </c>
      <c r="D484" s="4">
        <v>51.541751861572202</v>
      </c>
      <c r="E484" s="4">
        <v>17.5751838684082</v>
      </c>
      <c r="F484" s="4">
        <v>319.144775390625</v>
      </c>
      <c r="I484" s="5">
        <f>B484/B483-1</f>
        <v>-2.4566609524640848E-2</v>
      </c>
      <c r="J484" s="5">
        <f>C484/C483-1</f>
        <v>-1.7239700777538225E-2</v>
      </c>
      <c r="K484" s="5">
        <f>D484/D483-1</f>
        <v>-1.9107188515868789E-2</v>
      </c>
      <c r="L484" s="5">
        <f>E484/E483-1</f>
        <v>2.8012612858512309E-3</v>
      </c>
      <c r="M484" s="5">
        <f>F484/F483-1</f>
        <v>-1.794248780285268E-2</v>
      </c>
      <c r="N484" s="5">
        <f>SUMPRODUCT(I484:M484,$AJ$13:$AN$13)</f>
        <v>-6.9635045815844001E-3</v>
      </c>
      <c r="P484" s="2" t="s">
        <v>475</v>
      </c>
      <c r="Q484" s="10" cm="1">
        <f t="array" aca="1" ref="Q484:U484" ca="1">_xlfn.LET(_xlpm.array,_xlfn.RANDARRAY(1,COLUMNS(_xlfn.ANCHORARRAY(Q483)),0,1,FALSE),_xlpm.array/SUM(_xlpm.array))</f>
        <v>0.19974859956545907</v>
      </c>
      <c r="R484" s="2">
        <f ca="1"/>
        <v>0.10821161697152522</v>
      </c>
      <c r="S484" s="2">
        <f ca="1"/>
        <v>0.29208847191322845</v>
      </c>
      <c r="T484" s="2">
        <f ca="1"/>
        <v>0.11664767882544996</v>
      </c>
      <c r="U484" s="2">
        <f ca="1"/>
        <v>0.2833036327243374</v>
      </c>
      <c r="V484" s="12"/>
      <c r="X484" s="2" cm="1">
        <f t="array" aca="1" ref="X484" ca="1">MMULT(MMULT(_xlfn.ANCHORARRAY(Q484),$Q$9:$U$13),TRANSPOSE(_xlfn.ANCHORARRAY(Q484)))</f>
        <v>2.8997236720814361E-4</v>
      </c>
      <c r="Y484" s="2">
        <f t="shared" ca="1" si="20"/>
        <v>1.702857501989358E-2</v>
      </c>
      <c r="Z484" s="2" cm="1">
        <f t="array" aca="1" ref="Z484" ca="1">MMULT(_xlfn.ANCHORARRAY(Q484),TRANSPOSE($Q$3:$U$3))</f>
        <v>9.9074886025500358E-4</v>
      </c>
      <c r="AA484" s="11">
        <f ca="1">AVEDEV(Q484*$Q$3,R484*$R$3,S484*$S$3,T484*$T$3,U484*$U$3)</f>
        <v>1.1789529009512337E-4</v>
      </c>
      <c r="AB484" s="11" cm="1">
        <f t="array" aca="1" ref="AB484" ca="1">MMULT(_xlfn.ANCHORARRAY(Q484),TRANSPOSE($Q$6:$U$6))</f>
        <v>-2.3113643303131481E-2</v>
      </c>
      <c r="AD484" s="2" t="s">
        <v>475</v>
      </c>
      <c r="AE484" s="10" cm="1">
        <f t="array" aca="1" ref="AE484:AI484" ca="1">_xlfn.LET(_xlpm.array,_xlfn.RANDARRAY(1,COLUMNS(_xlfn.ANCHORARRAY(Q483)),-1,1,FALSE),_xlpm.array/SUM(_xlpm.array))</f>
        <v>6.1692928278749104</v>
      </c>
      <c r="AF484" s="10">
        <f ca="1"/>
        <v>0.93835013258945077</v>
      </c>
      <c r="AG484" s="10">
        <f ca="1"/>
        <v>-1.3229869172886988</v>
      </c>
      <c r="AH484" s="10">
        <f ca="1"/>
        <v>-2.0501611054290287</v>
      </c>
      <c r="AI484" s="10">
        <f ca="1"/>
        <v>-2.7344949377466339</v>
      </c>
      <c r="AJ484" s="1"/>
      <c r="AK484" s="2" cm="1">
        <f t="array" aca="1" ref="AK484" ca="1">MMULT(MMULT(_xlfn.ANCHORARRAY(AE484),$Q$9:$U$13),TRANSPOSE(_xlfn.ANCHORARRAY(AE484)))</f>
        <v>1.3781477958696366E-2</v>
      </c>
      <c r="AL484" s="2">
        <f t="shared" ca="1" si="21"/>
        <v>0.11739453973118326</v>
      </c>
      <c r="AM484" s="2" cm="1">
        <f t="array" aca="1" ref="AM484" ca="1">MMULT(_xlfn.ANCHORARRAY(AE485),TRANSPOSE($Q$3:$U$3))</f>
        <v>5.5373372618689788E-4</v>
      </c>
    </row>
    <row r="485" spans="1:39" x14ac:dyDescent="0.35">
      <c r="A485" s="3">
        <v>44531</v>
      </c>
      <c r="B485" s="4">
        <v>39.1892890930175</v>
      </c>
      <c r="C485" s="4">
        <v>94.465637207031193</v>
      </c>
      <c r="D485" s="4">
        <v>50.8389472961425</v>
      </c>
      <c r="E485" s="4">
        <v>17.2736091613769</v>
      </c>
      <c r="F485" s="4">
        <v>318.65243530273398</v>
      </c>
      <c r="I485" s="5">
        <f>B485/B484-1</f>
        <v>-1.4166956709657619E-2</v>
      </c>
      <c r="J485" s="5">
        <f>C485/C484-1</f>
        <v>-6.8220921884838415E-3</v>
      </c>
      <c r="K485" s="5">
        <f>D485/D484-1</f>
        <v>-1.3635635965910775E-2</v>
      </c>
      <c r="L485" s="5">
        <f>E485/E484-1</f>
        <v>-1.7159121024809765E-2</v>
      </c>
      <c r="M485" s="5">
        <f>F485/F484-1</f>
        <v>-1.542685720887671E-3</v>
      </c>
      <c r="N485" s="5">
        <f>SUMPRODUCT(I485:M485,$AJ$13:$AN$13)</f>
        <v>-1.1311964411238723E-2</v>
      </c>
      <c r="P485" s="2" t="s">
        <v>476</v>
      </c>
      <c r="Q485" s="10" cm="1">
        <f t="array" aca="1" ref="Q485:U485" ca="1">_xlfn.LET(_xlpm.array,_xlfn.RANDARRAY(1,COLUMNS(_xlfn.ANCHORARRAY(Q484)),0,1,FALSE),_xlpm.array/SUM(_xlpm.array))</f>
        <v>0.12238809669554743</v>
      </c>
      <c r="R485" s="2">
        <f ca="1"/>
        <v>0.26793884654548528</v>
      </c>
      <c r="S485" s="2">
        <f ca="1"/>
        <v>0.15694495904421132</v>
      </c>
      <c r="T485" s="2">
        <f ca="1"/>
        <v>0.27280454298817386</v>
      </c>
      <c r="U485" s="2">
        <f ca="1"/>
        <v>0.17992355472658211</v>
      </c>
      <c r="V485" s="12"/>
      <c r="X485" s="2" cm="1">
        <f t="array" aca="1" ref="X485" ca="1">MMULT(MMULT(_xlfn.ANCHORARRAY(Q485),$Q$9:$U$13),TRANSPOSE(_xlfn.ANCHORARRAY(Q485)))</f>
        <v>2.8660764054900644E-4</v>
      </c>
      <c r="Y485" s="2">
        <f t="shared" ca="1" si="20"/>
        <v>1.6929490262527293E-2</v>
      </c>
      <c r="Z485" s="2" cm="1">
        <f t="array" aca="1" ref="Z485" ca="1">MMULT(_xlfn.ANCHORARRAY(Q485),TRANSPOSE($Q$3:$U$3))</f>
        <v>9.2905844542159649E-4</v>
      </c>
      <c r="AA485" s="11">
        <f ca="1">AVEDEV(Q485*$Q$3,R485*$R$3,S485*$S$3,T485*$T$3,U485*$U$3)</f>
        <v>6.8721947820917667E-5</v>
      </c>
      <c r="AB485" s="11" cm="1">
        <f t="array" aca="1" ref="AB485" ca="1">MMULT(_xlfn.ANCHORARRAY(Q485),TRANSPOSE($Q$6:$U$6))</f>
        <v>-2.2911367314102118E-2</v>
      </c>
      <c r="AD485" s="2" t="s">
        <v>476</v>
      </c>
      <c r="AE485" s="10" cm="1">
        <f t="array" aca="1" ref="AE485:AI485" ca="1">_xlfn.LET(_xlpm.array,_xlfn.RANDARRAY(1,COLUMNS(_xlfn.ANCHORARRAY(Q484)),-1,1,FALSE),_xlpm.array/SUM(_xlpm.array))</f>
        <v>0.56670781941038728</v>
      </c>
      <c r="AF485" s="10">
        <f ca="1"/>
        <v>0.52254161710684688</v>
      </c>
      <c r="AG485" s="10">
        <f ca="1"/>
        <v>-9.8349035941788551E-2</v>
      </c>
      <c r="AH485" s="10">
        <f ca="1"/>
        <v>0.14365509318749642</v>
      </c>
      <c r="AI485" s="10">
        <f ca="1"/>
        <v>-0.13455549376294199</v>
      </c>
      <c r="AJ485" s="1"/>
      <c r="AK485" s="2" cm="1">
        <f t="array" aca="1" ref="AK485" ca="1">MMULT(MMULT(_xlfn.ANCHORARRAY(AE485),$Q$9:$U$13),TRANSPOSE(_xlfn.ANCHORARRAY(AE485)))</f>
        <v>4.604590628020797E-4</v>
      </c>
      <c r="AL485" s="2">
        <f t="shared" ca="1" si="21"/>
        <v>2.1458309877576093E-2</v>
      </c>
      <c r="AM485" s="2" cm="1">
        <f t="array" aca="1" ref="AM485" ca="1">MMULT(_xlfn.ANCHORARRAY(AE486),TRANSPOSE($Q$3:$U$3))</f>
        <v>1.0948397904064289E-3</v>
      </c>
    </row>
    <row r="486" spans="1:39" x14ac:dyDescent="0.35">
      <c r="A486" s="3">
        <v>44532</v>
      </c>
      <c r="B486" s="4">
        <v>40.321044921875</v>
      </c>
      <c r="C486" s="4">
        <v>97.027420043945298</v>
      </c>
      <c r="D486" s="4">
        <v>52.162410736083899</v>
      </c>
      <c r="E486" s="4">
        <v>17.855714797973601</v>
      </c>
      <c r="F486" s="4">
        <v>318.082916259765</v>
      </c>
      <c r="I486" s="5">
        <f>B486/B485-1</f>
        <v>2.8879213046483887E-2</v>
      </c>
      <c r="J486" s="5">
        <f>C486/C485-1</f>
        <v>2.7118674183075564E-2</v>
      </c>
      <c r="K486" s="5">
        <f>D486/D485-1</f>
        <v>2.603247136948128E-2</v>
      </c>
      <c r="L486" s="5">
        <f>E486/E485-1</f>
        <v>3.3699132078214733E-2</v>
      </c>
      <c r="M486" s="5">
        <f>F486/F485-1</f>
        <v>-1.7872734674941881E-3</v>
      </c>
      <c r="N486" s="5">
        <f>SUMPRODUCT(I486:M486,$AJ$13:$AN$13)</f>
        <v>1.9462793486958924E-2</v>
      </c>
      <c r="P486" s="2" t="s">
        <v>477</v>
      </c>
      <c r="Q486" s="10" cm="1">
        <f t="array" aca="1" ref="Q486:U486" ca="1">_xlfn.LET(_xlpm.array,_xlfn.RANDARRAY(1,COLUMNS(_xlfn.ANCHORARRAY(Q485)),0,1,FALSE),_xlpm.array/SUM(_xlpm.array))</f>
        <v>0.10397104955864886</v>
      </c>
      <c r="R486" s="2">
        <f ca="1"/>
        <v>0.30145906704197728</v>
      </c>
      <c r="S486" s="2">
        <f ca="1"/>
        <v>0.19965149748893915</v>
      </c>
      <c r="T486" s="2">
        <f ca="1"/>
        <v>0.2620918823825103</v>
      </c>
      <c r="U486" s="2">
        <f ca="1"/>
        <v>0.13282650352792436</v>
      </c>
      <c r="V486" s="12"/>
      <c r="X486" s="2" cm="1">
        <f t="array" aca="1" ref="X486" ca="1">MMULT(MMULT(_xlfn.ANCHORARRAY(Q486),$Q$9:$U$13),TRANSPOSE(_xlfn.ANCHORARRAY(Q486)))</f>
        <v>3.0190584053884175E-4</v>
      </c>
      <c r="Y486" s="2">
        <f t="shared" ca="1" si="20"/>
        <v>1.7375437851715903E-2</v>
      </c>
      <c r="Z486" s="2" cm="1">
        <f t="array" aca="1" ref="Z486" ca="1">MMULT(_xlfn.ANCHORARRAY(Q486),TRANSPOSE($Q$3:$U$3))</f>
        <v>9.6656467875719557E-4</v>
      </c>
      <c r="AA486" s="11">
        <f ca="1">AVEDEV(Q486*$Q$3,R486*$R$3,S486*$S$3,T486*$T$3,U486*$U$3)</f>
        <v>9.2876046960275359E-5</v>
      </c>
      <c r="AB486" s="11" cm="1">
        <f t="array" aca="1" ref="AB486" ca="1">MMULT(_xlfn.ANCHORARRAY(Q486),TRANSPOSE($Q$6:$U$6))</f>
        <v>-2.3145803414066295E-2</v>
      </c>
      <c r="AD486" s="2" t="s">
        <v>477</v>
      </c>
      <c r="AE486" s="10" cm="1">
        <f t="array" aca="1" ref="AE486:AI486" ca="1">_xlfn.LET(_xlpm.array,_xlfn.RANDARRAY(1,COLUMNS(_xlfn.ANCHORARRAY(Q485)),-1,1,FALSE),_xlpm.array/SUM(_xlpm.array))</f>
        <v>1.2857286865512296</v>
      </c>
      <c r="AF486" s="10">
        <f ca="1"/>
        <v>0.69680982004634873</v>
      </c>
      <c r="AG486" s="10">
        <f ca="1"/>
        <v>1.1997464361864403</v>
      </c>
      <c r="AH486" s="10">
        <f ca="1"/>
        <v>-1.3503677805093743</v>
      </c>
      <c r="AI486" s="10">
        <f ca="1"/>
        <v>-0.83191716227464452</v>
      </c>
      <c r="AJ486" s="1"/>
      <c r="AK486" s="2" cm="1">
        <f t="array" aca="1" ref="AK486" ca="1">MMULT(MMULT(_xlfn.ANCHORARRAY(AE486),$Q$9:$U$13),TRANSPOSE(_xlfn.ANCHORARRAY(AE486)))</f>
        <v>2.2408630252867606E-3</v>
      </c>
      <c r="AL486" s="2">
        <f t="shared" ca="1" si="21"/>
        <v>4.7337754755446111E-2</v>
      </c>
      <c r="AM486" s="2" cm="1">
        <f t="array" aca="1" ref="AM486" ca="1">MMULT(_xlfn.ANCHORARRAY(AE487),TRANSPOSE($Q$3:$U$3))</f>
        <v>1.621039886217934E-3</v>
      </c>
    </row>
    <row r="487" spans="1:39" x14ac:dyDescent="0.35">
      <c r="A487" s="3">
        <v>44533</v>
      </c>
      <c r="B487" s="4">
        <v>39.4048652648925</v>
      </c>
      <c r="C487" s="4">
        <v>96.412269592285099</v>
      </c>
      <c r="D487" s="4">
        <v>53.376335144042898</v>
      </c>
      <c r="E487" s="4">
        <v>17.533105850219702</v>
      </c>
      <c r="F487" s="4">
        <v>311.82720947265602</v>
      </c>
      <c r="I487" s="5">
        <f>B487/B486-1</f>
        <v>-2.2722120886441988E-2</v>
      </c>
      <c r="J487" s="5">
        <f>C487/C486-1</f>
        <v>-6.3399650468041191E-3</v>
      </c>
      <c r="K487" s="5">
        <f>D487/D486-1</f>
        <v>2.3272015055072037E-2</v>
      </c>
      <c r="L487" s="5">
        <f>E487/E486-1</f>
        <v>-1.8067545959600029E-2</v>
      </c>
      <c r="M487" s="5">
        <f>F487/F486-1</f>
        <v>-1.9666905914557886E-2</v>
      </c>
      <c r="N487" s="5">
        <f>SUMPRODUCT(I487:M487,$AJ$13:$AN$13)</f>
        <v>3.8845209995672066E-3</v>
      </c>
      <c r="P487" s="2" t="s">
        <v>478</v>
      </c>
      <c r="Q487" s="10" cm="1">
        <f t="array" aca="1" ref="Q487:U487" ca="1">_xlfn.LET(_xlpm.array,_xlfn.RANDARRAY(1,COLUMNS(_xlfn.ANCHORARRAY(Q486)),0,1,FALSE),_xlpm.array/SUM(_xlpm.array))</f>
        <v>0.21994067892183869</v>
      </c>
      <c r="R487" s="2">
        <f ca="1"/>
        <v>0.14376369870260336</v>
      </c>
      <c r="S487" s="2">
        <f ca="1"/>
        <v>0.24729544154854438</v>
      </c>
      <c r="T487" s="2">
        <f ca="1"/>
        <v>0.15696519032499939</v>
      </c>
      <c r="U487" s="2">
        <f ca="1"/>
        <v>0.23203499050201418</v>
      </c>
      <c r="V487" s="12"/>
      <c r="X487" s="2" cm="1">
        <f t="array" aca="1" ref="X487" ca="1">MMULT(MMULT(_xlfn.ANCHORARRAY(Q487),$Q$9:$U$13),TRANSPOSE(_xlfn.ANCHORARRAY(Q487)))</f>
        <v>2.8166185662370329E-4</v>
      </c>
      <c r="Y487" s="2">
        <f t="shared" ca="1" si="20"/>
        <v>1.6782784531289893E-2</v>
      </c>
      <c r="Z487" s="2" cm="1">
        <f t="array" aca="1" ref="Z487" ca="1">MMULT(_xlfn.ANCHORARRAY(Q487),TRANSPOSE($Q$3:$U$3))</f>
        <v>9.5620505474790967E-4</v>
      </c>
      <c r="AA487" s="11">
        <f ca="1">AVEDEV(Q487*$Q$3,R487*$R$3,S487*$S$3,T487*$T$3,U487*$U$3)</f>
        <v>8.4146790930886354E-5</v>
      </c>
      <c r="AB487" s="11" cm="1">
        <f t="array" aca="1" ref="AB487" ca="1">MMULT(_xlfn.ANCHORARRAY(Q487),TRANSPOSE($Q$6:$U$6))</f>
        <v>-2.3048643427988971E-2</v>
      </c>
      <c r="AD487" s="2" t="s">
        <v>478</v>
      </c>
      <c r="AE487" s="10" cm="1">
        <f t="array" aca="1" ref="AE487:AI487" ca="1">_xlfn.LET(_xlpm.array,_xlfn.RANDARRAY(1,COLUMNS(_xlfn.ANCHORARRAY(Q486)),-1,1,FALSE),_xlpm.array/SUM(_xlpm.array))</f>
        <v>0.66105309248063715</v>
      </c>
      <c r="AF487" s="10">
        <f ca="1"/>
        <v>-0.55351676841360453</v>
      </c>
      <c r="AG487" s="10">
        <f ca="1"/>
        <v>0.86999199063044586</v>
      </c>
      <c r="AH487" s="10">
        <f ca="1"/>
        <v>1.00951523300015</v>
      </c>
      <c r="AI487" s="10">
        <f ca="1"/>
        <v>-0.98704354769762837</v>
      </c>
      <c r="AJ487" s="1"/>
      <c r="AK487" s="2" cm="1">
        <f t="array" aca="1" ref="AK487" ca="1">MMULT(MMULT(_xlfn.ANCHORARRAY(AE487),$Q$9:$U$13),TRANSPOSE(_xlfn.ANCHORARRAY(AE487)))</f>
        <v>1.3494315846789161E-3</v>
      </c>
      <c r="AL487" s="2">
        <f t="shared" ca="1" si="21"/>
        <v>3.6734610174587616E-2</v>
      </c>
      <c r="AM487" s="2" cm="1">
        <f t="array" aca="1" ref="AM487" ca="1">MMULT(_xlfn.ANCHORARRAY(AE488),TRANSPOSE($Q$3:$U$3))</f>
        <v>1.114806737264529E-3</v>
      </c>
    </row>
    <row r="488" spans="1:39" x14ac:dyDescent="0.35">
      <c r="A488" s="3">
        <v>44536</v>
      </c>
      <c r="B488" s="4">
        <v>39.656368255615199</v>
      </c>
      <c r="C488" s="4">
        <v>97.920684814453097</v>
      </c>
      <c r="D488" s="4">
        <v>53.622760772705</v>
      </c>
      <c r="E488" s="4">
        <v>17.9258422851562</v>
      </c>
      <c r="F488" s="4">
        <v>314.89712524414</v>
      </c>
      <c r="I488" s="5">
        <f>B488/B487-1</f>
        <v>6.3825364972576182E-3</v>
      </c>
      <c r="J488" s="5">
        <f>C488/C487-1</f>
        <v>1.5645469487928221E-2</v>
      </c>
      <c r="K488" s="5">
        <f>D488/D487-1</f>
        <v>4.6167581194380691E-3</v>
      </c>
      <c r="L488" s="5">
        <f>E488/E487-1</f>
        <v>2.23997070622588E-2</v>
      </c>
      <c r="M488" s="5">
        <f>F488/F487-1</f>
        <v>9.8449259019943725E-3</v>
      </c>
      <c r="N488" s="5">
        <f>SUMPRODUCT(I488:M488,$AJ$13:$AN$13)</f>
        <v>1.3800398385915518E-2</v>
      </c>
      <c r="P488" s="2" t="s">
        <v>479</v>
      </c>
      <c r="Q488" s="10" cm="1">
        <f t="array" aca="1" ref="Q488:U488" ca="1">_xlfn.LET(_xlpm.array,_xlfn.RANDARRAY(1,COLUMNS(_xlfn.ANCHORARRAY(Q487)),0,1,FALSE),_xlpm.array/SUM(_xlpm.array))</f>
        <v>0.27689851887617822</v>
      </c>
      <c r="R488" s="2">
        <f ca="1"/>
        <v>0.2222622939090034</v>
      </c>
      <c r="S488" s="2">
        <f ca="1"/>
        <v>0.22455844034899852</v>
      </c>
      <c r="T488" s="2">
        <f ca="1"/>
        <v>0.25126326080189709</v>
      </c>
      <c r="U488" s="2">
        <f ca="1"/>
        <v>2.5017486063922796E-2</v>
      </c>
      <c r="V488" s="12"/>
      <c r="X488" s="2" cm="1">
        <f t="array" aca="1" ref="X488" ca="1">MMULT(MMULT(_xlfn.ANCHORARRAY(Q488),$Q$9:$U$13),TRANSPOSE(_xlfn.ANCHORARRAY(Q488)))</f>
        <v>3.2388556098936579E-4</v>
      </c>
      <c r="Y488" s="2">
        <f t="shared" ca="1" si="20"/>
        <v>1.7996820857845028E-2</v>
      </c>
      <c r="Z488" s="2" cm="1">
        <f t="array" aca="1" ref="Z488" ca="1">MMULT(_xlfn.ANCHORARRAY(Q488),TRANSPOSE($Q$3:$U$3))</f>
        <v>9.4354989034708655E-4</v>
      </c>
      <c r="AA488" s="11">
        <f ca="1">AVEDEV(Q488*$Q$3,R488*$R$3,S488*$S$3,T488*$T$3,U488*$U$3)</f>
        <v>9.7583190083987684E-5</v>
      </c>
      <c r="AB488" s="11" cm="1">
        <f t="array" aca="1" ref="AB488" ca="1">MMULT(_xlfn.ANCHORARRAY(Q488),TRANSPOSE($Q$6:$U$6))</f>
        <v>-2.348479964085198E-2</v>
      </c>
      <c r="AD488" s="2" t="s">
        <v>479</v>
      </c>
      <c r="AE488" s="10" cm="1">
        <f t="array" aca="1" ref="AE488:AI488" ca="1">_xlfn.LET(_xlpm.array,_xlfn.RANDARRAY(1,COLUMNS(_xlfn.ANCHORARRAY(Q487)),-1,1,FALSE),_xlpm.array/SUM(_xlpm.array))</f>
        <v>6.3542182497723962E-2</v>
      </c>
      <c r="AF488" s="10">
        <f ca="1"/>
        <v>0.19394437876610116</v>
      </c>
      <c r="AG488" s="10">
        <f ca="1"/>
        <v>0.3280964717832297</v>
      </c>
      <c r="AH488" s="10">
        <f ca="1"/>
        <v>0.35475699326106513</v>
      </c>
      <c r="AI488" s="10">
        <f ca="1"/>
        <v>5.965997369188001E-2</v>
      </c>
      <c r="AJ488" s="1"/>
      <c r="AK488" s="2" cm="1">
        <f t="array" aca="1" ref="AK488" ca="1">MMULT(MMULT(_xlfn.ANCHORARRAY(AE488),$Q$9:$U$13),TRANSPOSE(_xlfn.ANCHORARRAY(AE488)))</f>
        <v>3.5086469286317265E-4</v>
      </c>
      <c r="AL488" s="2">
        <f t="shared" ca="1" si="21"/>
        <v>1.8731382566782747E-2</v>
      </c>
      <c r="AM488" s="2" cm="1">
        <f t="array" aca="1" ref="AM488" ca="1">MMULT(_xlfn.ANCHORARRAY(AE489),TRANSPOSE($Q$3:$U$3))</f>
        <v>4.3463474388757972E-5</v>
      </c>
    </row>
    <row r="489" spans="1:39" x14ac:dyDescent="0.35">
      <c r="A489" s="3">
        <v>44537</v>
      </c>
      <c r="B489" s="4">
        <v>40.159370422363203</v>
      </c>
      <c r="C489" s="4">
        <v>99.370101928710895</v>
      </c>
      <c r="D489" s="4">
        <v>53.768802642822202</v>
      </c>
      <c r="E489" s="4">
        <v>18.479890823364201</v>
      </c>
      <c r="F489" s="4">
        <v>323.32492065429602</v>
      </c>
      <c r="I489" s="5">
        <f>B489/B488-1</f>
        <v>1.2684019966371585E-2</v>
      </c>
      <c r="J489" s="5">
        <f>C489/C488-1</f>
        <v>1.4801950343834358E-2</v>
      </c>
      <c r="K489" s="5">
        <f>D489/D488-1</f>
        <v>2.7235052431604512E-3</v>
      </c>
      <c r="L489" s="5">
        <f>E489/E488-1</f>
        <v>3.0907810600720786E-2</v>
      </c>
      <c r="M489" s="5">
        <f>F489/F488-1</f>
        <v>2.6763646710403988E-2</v>
      </c>
      <c r="N489" s="5">
        <f>SUMPRODUCT(I489:M489,$AJ$13:$AN$13)</f>
        <v>2.0646892345718686E-2</v>
      </c>
      <c r="P489" s="2" t="s">
        <v>480</v>
      </c>
      <c r="Q489" s="10" cm="1">
        <f t="array" aca="1" ref="Q489:U489" ca="1">_xlfn.LET(_xlpm.array,_xlfn.RANDARRAY(1,COLUMNS(_xlfn.ANCHORARRAY(Q488)),0,1,FALSE),_xlpm.array/SUM(_xlpm.array))</f>
        <v>7.8867873882008582E-2</v>
      </c>
      <c r="R489" s="2">
        <f ca="1"/>
        <v>0.11896968009729832</v>
      </c>
      <c r="S489" s="2">
        <f ca="1"/>
        <v>0.42687687314200823</v>
      </c>
      <c r="T489" s="2">
        <f ca="1"/>
        <v>0.11233142624130669</v>
      </c>
      <c r="U489" s="2">
        <f ca="1"/>
        <v>0.26295414663737809</v>
      </c>
      <c r="V489" s="12"/>
      <c r="X489" s="2" cm="1">
        <f t="array" aca="1" ref="X489" ca="1">MMULT(MMULT(_xlfn.ANCHORARRAY(Q489),$Q$9:$U$13),TRANSPOSE(_xlfn.ANCHORARRAY(Q489)))</f>
        <v>3.4414144490641722E-4</v>
      </c>
      <c r="Y489" s="2">
        <f t="shared" ca="1" si="20"/>
        <v>1.8551049698235872E-2</v>
      </c>
      <c r="Z489" s="2" cm="1">
        <f t="array" aca="1" ref="Z489" ca="1">MMULT(_xlfn.ANCHORARRAY(Q489),TRANSPOSE($Q$3:$U$3))</f>
        <v>1.1360901709725143E-3</v>
      </c>
      <c r="AA489" s="11">
        <f ca="1">AVEDEV(Q489*$Q$3,R489*$R$3,S489*$S$3,T489*$T$3,U489*$U$3)</f>
        <v>1.8641213513498063E-4</v>
      </c>
      <c r="AB489" s="11" cm="1">
        <f t="array" aca="1" ref="AB489" ca="1">MMULT(_xlfn.ANCHORARRAY(Q489),TRANSPOSE($Q$6:$U$6))</f>
        <v>-2.3864583509726194E-2</v>
      </c>
      <c r="AD489" s="2" t="s">
        <v>480</v>
      </c>
      <c r="AE489" s="10" cm="1">
        <f t="array" aca="1" ref="AE489:AI489" ca="1">_xlfn.LET(_xlpm.array,_xlfn.RANDARRAY(1,COLUMNS(_xlfn.ANCHORARRAY(Q488)),-1,1,FALSE),_xlpm.array/SUM(_xlpm.array))</f>
        <v>-1.7271906041763492E-2</v>
      </c>
      <c r="AF489" s="10">
        <f ca="1"/>
        <v>1.0369676049331105</v>
      </c>
      <c r="AG489" s="10">
        <f ca="1"/>
        <v>-0.7593773913702061</v>
      </c>
      <c r="AH489" s="10">
        <f ca="1"/>
        <v>-0.14609282791879588</v>
      </c>
      <c r="AI489" s="10">
        <f ca="1"/>
        <v>0.88577452039765503</v>
      </c>
      <c r="AJ489" s="1"/>
      <c r="AK489" s="2" cm="1">
        <f t="array" aca="1" ref="AK489" ca="1">MMULT(MMULT(_xlfn.ANCHORARRAY(AE489),$Q$9:$U$13),TRANSPOSE(_xlfn.ANCHORARRAY(AE489)))</f>
        <v>7.4787052846499646E-4</v>
      </c>
      <c r="AL489" s="2">
        <f t="shared" ca="1" si="21"/>
        <v>2.7347221585839326E-2</v>
      </c>
      <c r="AM489" s="2" cm="1">
        <f t="array" aca="1" ref="AM489" ca="1">MMULT(_xlfn.ANCHORARRAY(AE490),TRANSPOSE($Q$3:$U$3))</f>
        <v>9.8778588445316839E-4</v>
      </c>
    </row>
    <row r="490" spans="1:39" x14ac:dyDescent="0.35">
      <c r="A490" s="3">
        <v>44538</v>
      </c>
      <c r="B490" s="4">
        <v>39.6653442382812</v>
      </c>
      <c r="C490" s="4">
        <v>99.816734313964801</v>
      </c>
      <c r="D490" s="4">
        <v>53.303321838378899</v>
      </c>
      <c r="E490" s="4">
        <v>18.879644393920898</v>
      </c>
      <c r="F490" s="4">
        <v>323.37322998046801</v>
      </c>
      <c r="I490" s="5">
        <f>B490/B489-1</f>
        <v>-1.2301641656386586E-2</v>
      </c>
      <c r="J490" s="5">
        <f>C490/C489-1</f>
        <v>4.4946354747057438E-3</v>
      </c>
      <c r="K490" s="5">
        <f>D490/D489-1</f>
        <v>-8.6570795993993199E-3</v>
      </c>
      <c r="L490" s="5">
        <f>E490/E489-1</f>
        <v>2.1631814515445491E-2</v>
      </c>
      <c r="M490" s="5">
        <f>F490/F489-1</f>
        <v>1.494141746767319E-4</v>
      </c>
      <c r="N490" s="5">
        <f>SUMPRODUCT(I490:M490,$AJ$13:$AN$13)</f>
        <v>9.0605592521947088E-3</v>
      </c>
      <c r="P490" s="2" t="s">
        <v>481</v>
      </c>
      <c r="Q490" s="10" cm="1">
        <f t="array" aca="1" ref="Q490:U490" ca="1">_xlfn.LET(_xlpm.array,_xlfn.RANDARRAY(1,COLUMNS(_xlfn.ANCHORARRAY(Q489)),0,1,FALSE),_xlpm.array/SUM(_xlpm.array))</f>
        <v>0.14869349662056094</v>
      </c>
      <c r="R490" s="2">
        <f ca="1"/>
        <v>4.7907886710884043E-2</v>
      </c>
      <c r="S490" s="2">
        <f ca="1"/>
        <v>0.21688032229324955</v>
      </c>
      <c r="T490" s="2">
        <f ca="1"/>
        <v>0.35045780225897938</v>
      </c>
      <c r="U490" s="2">
        <f ca="1"/>
        <v>0.2360604921163261</v>
      </c>
      <c r="V490" s="12"/>
      <c r="X490" s="2" cm="1">
        <f t="array" aca="1" ref="X490" ca="1">MMULT(MMULT(_xlfn.ANCHORARRAY(Q490),$Q$9:$U$13),TRANSPOSE(_xlfn.ANCHORARRAY(Q490)))</f>
        <v>2.8685618073418797E-4</v>
      </c>
      <c r="Y490" s="2">
        <f t="shared" ca="1" si="20"/>
        <v>1.6936829122778205E-2</v>
      </c>
      <c r="Z490" s="2" cm="1">
        <f t="array" aca="1" ref="Z490" ca="1">MMULT(_xlfn.ANCHORARRAY(Q490),TRANSPOSE($Q$3:$U$3))</f>
        <v>1.001356394080138E-3</v>
      </c>
      <c r="AA490" s="11">
        <f ca="1">AVEDEV(Q490*$Q$3,R490*$R$3,S490*$S$3,T490*$T$3,U490*$U$3)</f>
        <v>1.2388197860268934E-4</v>
      </c>
      <c r="AB490" s="11" cm="1">
        <f t="array" aca="1" ref="AB490" ca="1">MMULT(_xlfn.ANCHORARRAY(Q490),TRANSPOSE($Q$6:$U$6))</f>
        <v>-2.3658717852451702E-2</v>
      </c>
      <c r="AD490" s="2" t="s">
        <v>481</v>
      </c>
      <c r="AE490" s="10" cm="1">
        <f t="array" aca="1" ref="AE490:AI490" ca="1">_xlfn.LET(_xlpm.array,_xlfn.RANDARRAY(1,COLUMNS(_xlfn.ANCHORARRAY(Q489)),-1,1,FALSE),_xlpm.array/SUM(_xlpm.array))</f>
        <v>-8.3143823804529407E-2</v>
      </c>
      <c r="AF490" s="10">
        <f ca="1"/>
        <v>0.85778761144990745</v>
      </c>
      <c r="AG490" s="10">
        <f ca="1"/>
        <v>0.43300462654611044</v>
      </c>
      <c r="AH490" s="10">
        <f ca="1"/>
        <v>-0.54807579563397235</v>
      </c>
      <c r="AI490" s="10">
        <f ca="1"/>
        <v>0.34042738144248386</v>
      </c>
      <c r="AJ490" s="1"/>
      <c r="AK490" s="2" cm="1">
        <f t="array" aca="1" ref="AK490" ca="1">MMULT(MMULT(_xlfn.ANCHORARRAY(AE490),$Q$9:$U$13),TRANSPOSE(_xlfn.ANCHORARRAY(AE490)))</f>
        <v>4.906536160692134E-4</v>
      </c>
      <c r="AL490" s="2">
        <f t="shared" ca="1" si="21"/>
        <v>2.2150702383202513E-2</v>
      </c>
      <c r="AM490" s="2" cm="1">
        <f t="array" aca="1" ref="AM490" ca="1">MMULT(_xlfn.ANCHORARRAY(AE491),TRANSPOSE($Q$3:$U$3))</f>
        <v>1.4207286234663127E-3</v>
      </c>
    </row>
    <row r="491" spans="1:39" x14ac:dyDescent="0.35">
      <c r="A491" s="3">
        <v>44539</v>
      </c>
      <c r="B491" s="4">
        <v>39.961757659912102</v>
      </c>
      <c r="C491" s="4">
        <v>99.555480957031193</v>
      </c>
      <c r="D491" s="4">
        <v>52.618778228759702</v>
      </c>
      <c r="E491" s="4">
        <v>18.465864181518501</v>
      </c>
      <c r="F491" s="4">
        <v>321.56793212890602</v>
      </c>
      <c r="I491" s="5">
        <f>B491/B490-1</f>
        <v>7.4728564020587473E-3</v>
      </c>
      <c r="J491" s="5">
        <f>C491/C490-1</f>
        <v>-2.6173302375517293E-3</v>
      </c>
      <c r="K491" s="5">
        <f>D491/D490-1</f>
        <v>-1.2842419309153086E-2</v>
      </c>
      <c r="L491" s="5">
        <f>E491/E490-1</f>
        <v>-2.1916737612686754E-2</v>
      </c>
      <c r="M491" s="5">
        <f>F491/F490-1</f>
        <v>-5.5827065575929646E-3</v>
      </c>
      <c r="N491" s="5">
        <f>SUMPRODUCT(I491:M491,$AJ$13:$AN$13)</f>
        <v>-2.0867815700823661E-2</v>
      </c>
      <c r="P491" s="2" t="s">
        <v>482</v>
      </c>
      <c r="Q491" s="10" cm="1">
        <f t="array" aca="1" ref="Q491:U491" ca="1">_xlfn.LET(_xlpm.array,_xlfn.RANDARRAY(1,COLUMNS(_xlfn.ANCHORARRAY(Q490)),0,1,FALSE),_xlpm.array/SUM(_xlpm.array))</f>
        <v>4.4509635382099386E-2</v>
      </c>
      <c r="R491" s="2">
        <f ca="1"/>
        <v>0.20819692436671725</v>
      </c>
      <c r="S491" s="2">
        <f ca="1"/>
        <v>0.37878486782530146</v>
      </c>
      <c r="T491" s="2">
        <f ca="1"/>
        <v>0.28288833199465646</v>
      </c>
      <c r="U491" s="2">
        <f ca="1"/>
        <v>8.5620240431225417E-2</v>
      </c>
      <c r="V491" s="12"/>
      <c r="X491" s="2" cm="1">
        <f t="array" aca="1" ref="X491" ca="1">MMULT(MMULT(_xlfn.ANCHORARRAY(Q491),$Q$9:$U$13),TRANSPOSE(_xlfn.ANCHORARRAY(Q491)))</f>
        <v>3.5353788198191595E-4</v>
      </c>
      <c r="Y491" s="2">
        <f t="shared" ca="1" si="20"/>
        <v>1.8802603063988666E-2</v>
      </c>
      <c r="Z491" s="2" cm="1">
        <f t="array" aca="1" ref="Z491" ca="1">MMULT(_xlfn.ANCHORARRAY(Q491),TRANSPOSE($Q$3:$U$3))</f>
        <v>1.1442928302210194E-3</v>
      </c>
      <c r="AA491" s="11">
        <f ca="1">AVEDEV(Q491*$Q$3,R491*$R$3,S491*$S$3,T491*$T$3,U491*$U$3)</f>
        <v>1.7857334043836916E-4</v>
      </c>
      <c r="AB491" s="11" cm="1">
        <f t="array" aca="1" ref="AB491" ca="1">MMULT(_xlfn.ANCHORARRAY(Q491),TRANSPOSE($Q$6:$U$6))</f>
        <v>-2.4376548861150614E-2</v>
      </c>
      <c r="AD491" s="2" t="s">
        <v>482</v>
      </c>
      <c r="AE491" s="10" cm="1">
        <f t="array" aca="1" ref="AE491:AI491" ca="1">_xlfn.LET(_xlpm.array,_xlfn.RANDARRAY(1,COLUMNS(_xlfn.ANCHORARRAY(Q490)),-1,1,FALSE),_xlpm.array/SUM(_xlpm.array))</f>
        <v>-0.42848430105864671</v>
      </c>
      <c r="AF491" s="10">
        <f ca="1"/>
        <v>5.092950306898808E-2</v>
      </c>
      <c r="AG491" s="10">
        <f ca="1"/>
        <v>0.49325832768276695</v>
      </c>
      <c r="AH491" s="10">
        <f ca="1"/>
        <v>0.48256120801197294</v>
      </c>
      <c r="AI491" s="10">
        <f ca="1"/>
        <v>0.40173526229491874</v>
      </c>
      <c r="AJ491" s="1"/>
      <c r="AK491" s="2" cm="1">
        <f t="array" aca="1" ref="AK491" ca="1">MMULT(MMULT(_xlfn.ANCHORARRAY(AE491),$Q$9:$U$13),TRANSPOSE(_xlfn.ANCHORARRAY(AE491)))</f>
        <v>4.7814584821014559E-4</v>
      </c>
      <c r="AL491" s="2">
        <f t="shared" ca="1" si="21"/>
        <v>2.1866546325612229E-2</v>
      </c>
      <c r="AM491" s="2" cm="1">
        <f t="array" aca="1" ref="AM491" ca="1">MMULT(_xlfn.ANCHORARRAY(AE492),TRANSPOSE($Q$3:$U$3))</f>
        <v>6.1321995023346659E-4</v>
      </c>
    </row>
    <row r="492" spans="1:39" x14ac:dyDescent="0.35">
      <c r="A492" s="3">
        <v>44540</v>
      </c>
      <c r="B492" s="4">
        <v>39.988704681396399</v>
      </c>
      <c r="C492" s="4">
        <v>99.724029541015597</v>
      </c>
      <c r="D492" s="4">
        <v>52.5731391906738</v>
      </c>
      <c r="E492" s="4">
        <v>18.514957427978501</v>
      </c>
      <c r="F492" s="4">
        <v>330.681060791015</v>
      </c>
      <c r="I492" s="5">
        <f>B492/B491-1</f>
        <v>6.7432022669344782E-4</v>
      </c>
      <c r="J492" s="5">
        <f>C492/C491-1</f>
        <v>1.6930115988003092E-3</v>
      </c>
      <c r="K492" s="5">
        <f>D492/D491-1</f>
        <v>-8.6735267564530538E-4</v>
      </c>
      <c r="L492" s="5">
        <f>E492/E491-1</f>
        <v>2.6585945817327872E-3</v>
      </c>
      <c r="M492" s="5">
        <f>F492/F491-1</f>
        <v>2.8339668703208254E-2</v>
      </c>
      <c r="N492" s="5">
        <f>SUMPRODUCT(I492:M492,$AJ$13:$AN$13)</f>
        <v>1.0006902123772645E-2</v>
      </c>
      <c r="P492" s="2" t="s">
        <v>483</v>
      </c>
      <c r="Q492" s="10" cm="1">
        <f t="array" aca="1" ref="Q492:U492" ca="1">_xlfn.LET(_xlpm.array,_xlfn.RANDARRAY(1,COLUMNS(_xlfn.ANCHORARRAY(Q491)),0,1,FALSE),_xlpm.array/SUM(_xlpm.array))</f>
        <v>0.15863805643583401</v>
      </c>
      <c r="R492" s="2">
        <f ca="1"/>
        <v>0.16180999645594005</v>
      </c>
      <c r="S492" s="2">
        <f ca="1"/>
        <v>0.25635509421078634</v>
      </c>
      <c r="T492" s="2">
        <f ca="1"/>
        <v>0.31566900791187424</v>
      </c>
      <c r="U492" s="2">
        <f ca="1"/>
        <v>0.10752784498556535</v>
      </c>
      <c r="V492" s="12"/>
      <c r="X492" s="2" cm="1">
        <f t="array" aca="1" ref="X492" ca="1">MMULT(MMULT(_xlfn.ANCHORARRAY(Q492),$Q$9:$U$13),TRANSPOSE(_xlfn.ANCHORARRAY(Q492)))</f>
        <v>3.1331071388815212E-4</v>
      </c>
      <c r="Y492" s="2">
        <f t="shared" ca="1" si="20"/>
        <v>1.7700585128411776E-2</v>
      </c>
      <c r="Z492" s="2" cm="1">
        <f t="array" aca="1" ref="Z492" ca="1">MMULT(_xlfn.ANCHORARRAY(Q492),TRANSPOSE($Q$3:$U$3))</f>
        <v>1.0198439937135757E-3</v>
      </c>
      <c r="AA492" s="11">
        <f ca="1">AVEDEV(Q492*$Q$3,R492*$R$3,S492*$S$3,T492*$T$3,U492*$U$3)</f>
        <v>1.3235045545540158E-4</v>
      </c>
      <c r="AB492" s="11" cm="1">
        <f t="array" aca="1" ref="AB492" ca="1">MMULT(_xlfn.ANCHORARRAY(Q492),TRANSPOSE($Q$6:$U$6))</f>
        <v>-2.3828958353572547E-2</v>
      </c>
      <c r="AD492" s="2" t="s">
        <v>483</v>
      </c>
      <c r="AE492" s="10" cm="1">
        <f t="array" aca="1" ref="AE492:AI492" ca="1">_xlfn.LET(_xlpm.array,_xlfn.RANDARRAY(1,COLUMNS(_xlfn.ANCHORARRAY(Q491)),-1,1,FALSE),_xlpm.array/SUM(_xlpm.array))</f>
        <v>0.41564685860771694</v>
      </c>
      <c r="AF492" s="10">
        <f ca="1"/>
        <v>0.20503840369682949</v>
      </c>
      <c r="AG492" s="10">
        <f ca="1"/>
        <v>-0.11459621759313833</v>
      </c>
      <c r="AH492" s="10">
        <f ca="1"/>
        <v>0.23592393924271449</v>
      </c>
      <c r="AI492" s="10">
        <f ca="1"/>
        <v>0.25798701604587743</v>
      </c>
      <c r="AJ492" s="1"/>
      <c r="AK492" s="2" cm="1">
        <f t="array" aca="1" ref="AK492" ca="1">MMULT(MMULT(_xlfn.ANCHORARRAY(AE492),$Q$9:$U$13),TRANSPOSE(_xlfn.ANCHORARRAY(AE492)))</f>
        <v>2.9800943558643971E-4</v>
      </c>
      <c r="AL492" s="2">
        <f t="shared" ca="1" si="21"/>
        <v>1.7262949793892111E-2</v>
      </c>
      <c r="AM492" s="2" cm="1">
        <f t="array" aca="1" ref="AM492" ca="1">MMULT(_xlfn.ANCHORARRAY(AE493),TRANSPOSE($Q$3:$U$3))</f>
        <v>1.2211056791695E-3</v>
      </c>
    </row>
    <row r="493" spans="1:39" x14ac:dyDescent="0.35">
      <c r="A493" s="3">
        <v>44543</v>
      </c>
      <c r="B493" s="4">
        <v>39.144378662109297</v>
      </c>
      <c r="C493" s="4">
        <v>97.6510009765625</v>
      </c>
      <c r="D493" s="4">
        <v>50.8571968078613</v>
      </c>
      <c r="E493" s="4">
        <v>18.0590915679931</v>
      </c>
      <c r="F493" s="4">
        <v>327.649810791015</v>
      </c>
      <c r="I493" s="5">
        <f>B493/B492-1</f>
        <v>-2.1114112747940617E-2</v>
      </c>
      <c r="J493" s="5">
        <f>C493/C492-1</f>
        <v>-2.0787653427105868E-2</v>
      </c>
      <c r="K493" s="5">
        <f>D493/D492-1</f>
        <v>-3.2639146325066704E-2</v>
      </c>
      <c r="L493" s="5">
        <f>E493/E492-1</f>
        <v>-2.4621491124604433E-2</v>
      </c>
      <c r="M493" s="5">
        <f>F493/F492-1</f>
        <v>-9.1666876619695969E-3</v>
      </c>
      <c r="N493" s="5">
        <f>SUMPRODUCT(I493:M493,$AJ$13:$AN$13)</f>
        <v>-2.4773433697487149E-2</v>
      </c>
      <c r="P493" s="2" t="s">
        <v>484</v>
      </c>
      <c r="Q493" s="10" cm="1">
        <f t="array" aca="1" ref="Q493:U493" ca="1">_xlfn.LET(_xlpm.array,_xlfn.RANDARRAY(1,COLUMNS(_xlfn.ANCHORARRAY(Q492)),0,1,FALSE),_xlpm.array/SUM(_xlpm.array))</f>
        <v>0.15543623986134944</v>
      </c>
      <c r="R493" s="2">
        <f ca="1"/>
        <v>0.29478310497421556</v>
      </c>
      <c r="S493" s="2">
        <f ca="1"/>
        <v>0.13598730494157374</v>
      </c>
      <c r="T493" s="2">
        <f ca="1"/>
        <v>0.18913052416559051</v>
      </c>
      <c r="U493" s="2">
        <f ca="1"/>
        <v>0.22466282605727067</v>
      </c>
      <c r="V493" s="12"/>
      <c r="X493" s="2" cm="1">
        <f t="array" aca="1" ref="X493" ca="1">MMULT(MMULT(_xlfn.ANCHORARRAY(Q493),$Q$9:$U$13),TRANSPOSE(_xlfn.ANCHORARRAY(Q493)))</f>
        <v>2.7100385332253657E-4</v>
      </c>
      <c r="Y493" s="2">
        <f t="shared" ca="1" si="20"/>
        <v>1.6462194669075461E-2</v>
      </c>
      <c r="Z493" s="2" cm="1">
        <f t="array" aca="1" ref="Z493" ca="1">MMULT(_xlfn.ANCHORARRAY(Q493),TRANSPOSE($Q$3:$U$3))</f>
        <v>8.8015871123045238E-4</v>
      </c>
      <c r="AA493" s="11">
        <f ca="1">AVEDEV(Q493*$Q$3,R493*$R$3,S493*$S$3,T493*$T$3,U493*$U$3)</f>
        <v>4.0491751458379831E-5</v>
      </c>
      <c r="AB493" s="11" cm="1">
        <f t="array" aca="1" ref="AB493" ca="1">MMULT(_xlfn.ANCHORARRAY(Q493),TRANSPOSE($Q$6:$U$6))</f>
        <v>-2.2404488753821838E-2</v>
      </c>
      <c r="AD493" s="2" t="s">
        <v>484</v>
      </c>
      <c r="AE493" s="10" cm="1">
        <f t="array" aca="1" ref="AE493:AI493" ca="1">_xlfn.LET(_xlpm.array,_xlfn.RANDARRAY(1,COLUMNS(_xlfn.ANCHORARRAY(Q492)),-1,1,FALSE),_xlpm.array/SUM(_xlpm.array))</f>
        <v>-4.602510217475328E-2</v>
      </c>
      <c r="AF493" s="10">
        <f ca="1"/>
        <v>0.17593793537075969</v>
      </c>
      <c r="AG493" s="10">
        <f ca="1"/>
        <v>0.33493809632911237</v>
      </c>
      <c r="AH493" s="10">
        <f ca="1"/>
        <v>0.63393199558972502</v>
      </c>
      <c r="AI493" s="10">
        <f ca="1"/>
        <v>-9.8782925114843781E-2</v>
      </c>
      <c r="AJ493" s="1"/>
      <c r="AK493" s="2" cm="1">
        <f t="array" aca="1" ref="AK493" ca="1">MMULT(MMULT(_xlfn.ANCHORARRAY(AE493),$Q$9:$U$13),TRANSPOSE(_xlfn.ANCHORARRAY(AE493)))</f>
        <v>4.7724562753640755E-4</v>
      </c>
      <c r="AL493" s="2">
        <f t="shared" ca="1" si="21"/>
        <v>2.1845952200268304E-2</v>
      </c>
      <c r="AM493" s="2" cm="1">
        <f t="array" aca="1" ref="AM493" ca="1">MMULT(_xlfn.ANCHORARRAY(AE494),TRANSPOSE($Q$3:$U$3))</f>
        <v>-1.2472384044315743E-3</v>
      </c>
    </row>
    <row r="494" spans="1:39" x14ac:dyDescent="0.35">
      <c r="A494" s="3">
        <v>44544</v>
      </c>
      <c r="B494" s="4">
        <v>39.638401031494098</v>
      </c>
      <c r="C494" s="4">
        <v>97.937507629394503</v>
      </c>
      <c r="D494" s="4">
        <v>49.862335205078097</v>
      </c>
      <c r="E494" s="4">
        <v>17.911821365356399</v>
      </c>
      <c r="F494" s="4">
        <v>316.97265625</v>
      </c>
      <c r="I494" s="5">
        <f>B494/B493-1</f>
        <v>1.2620518865535058E-2</v>
      </c>
      <c r="J494" s="5">
        <f>C494/C493-1</f>
        <v>2.9339858267378727E-3</v>
      </c>
      <c r="K494" s="5">
        <f>D494/D493-1</f>
        <v>-1.9561864696196141E-2</v>
      </c>
      <c r="L494" s="5">
        <f>E494/E493-1</f>
        <v>-8.1549064681478711E-3</v>
      </c>
      <c r="M494" s="5">
        <f>F494/F493-1</f>
        <v>-3.2587092039632615E-2</v>
      </c>
      <c r="N494" s="5">
        <f>SUMPRODUCT(I494:M494,$AJ$13:$AN$13)</f>
        <v>-2.8627491133669442E-2</v>
      </c>
      <c r="P494" s="2" t="s">
        <v>485</v>
      </c>
      <c r="Q494" s="10" cm="1">
        <f t="array" aca="1" ref="Q494:U494" ca="1">_xlfn.LET(_xlpm.array,_xlfn.RANDARRAY(1,COLUMNS(_xlfn.ANCHORARRAY(Q493)),0,1,FALSE),_xlpm.array/SUM(_xlpm.array))</f>
        <v>0.16322622507463996</v>
      </c>
      <c r="R494" s="2">
        <f ca="1"/>
        <v>0.2934585001654384</v>
      </c>
      <c r="S494" s="2">
        <f ca="1"/>
        <v>0.2265117703683675</v>
      </c>
      <c r="T494" s="2">
        <f ca="1"/>
        <v>0.2144694354070214</v>
      </c>
      <c r="U494" s="2">
        <f ca="1"/>
        <v>0.10233406898453278</v>
      </c>
      <c r="V494" s="12"/>
      <c r="X494" s="2" cm="1">
        <f t="array" aca="1" ref="X494" ca="1">MMULT(MMULT(_xlfn.ANCHORARRAY(Q494),$Q$9:$U$13),TRANSPOSE(_xlfn.ANCHORARRAY(Q494)))</f>
        <v>3.0551963411456676E-4</v>
      </c>
      <c r="Y494" s="2">
        <f t="shared" ca="1" si="20"/>
        <v>1.7479119946798429E-2</v>
      </c>
      <c r="Z494" s="2" cm="1">
        <f t="array" aca="1" ref="Z494" ca="1">MMULT(_xlfn.ANCHORARRAY(Q494),TRANSPOSE($Q$3:$U$3))</f>
        <v>9.6248551448291548E-4</v>
      </c>
      <c r="AA494" s="11">
        <f ca="1">AVEDEV(Q494*$Q$3,R494*$R$3,S494*$S$3,T494*$T$3,U494*$U$3)</f>
        <v>8.9505794433611754E-5</v>
      </c>
      <c r="AB494" s="11" cm="1">
        <f t="array" aca="1" ref="AB494" ca="1">MMULT(_xlfn.ANCHORARRAY(Q494),TRANSPOSE($Q$6:$U$6))</f>
        <v>-2.3178572973401149E-2</v>
      </c>
      <c r="AD494" s="2" t="s">
        <v>485</v>
      </c>
      <c r="AE494" s="10" cm="1">
        <f t="array" aca="1" ref="AE494:AI494" ca="1">_xlfn.LET(_xlpm.array,_xlfn.RANDARRAY(1,COLUMNS(_xlfn.ANCHORARRAY(Q493)),-1,1,FALSE),_xlpm.array/SUM(_xlpm.array))</f>
        <v>2.641979115840142</v>
      </c>
      <c r="AF494" s="10">
        <f ca="1"/>
        <v>-2.269732055922129</v>
      </c>
      <c r="AG494" s="10">
        <f ca="1"/>
        <v>-2.7383531907235508</v>
      </c>
      <c r="AH494" s="10">
        <f ca="1"/>
        <v>3.6607301104812331</v>
      </c>
      <c r="AI494" s="10">
        <f ca="1"/>
        <v>-0.29462397967569537</v>
      </c>
      <c r="AJ494" s="1"/>
      <c r="AK494" s="2" cm="1">
        <f t="array" aca="1" ref="AK494" ca="1">MMULT(MMULT(_xlfn.ANCHORARRAY(AE494),$Q$9:$U$13),TRANSPOSE(_xlfn.ANCHORARRAY(AE494)))</f>
        <v>1.0388316833431745E-2</v>
      </c>
      <c r="AL494" s="2">
        <f t="shared" ca="1" si="21"/>
        <v>0.10192309273874957</v>
      </c>
      <c r="AM494" s="2" cm="1">
        <f t="array" aca="1" ref="AM494" ca="1">MMULT(_xlfn.ANCHORARRAY(AE495),TRANSPOSE($Q$3:$U$3))</f>
        <v>9.6951556761830523E-4</v>
      </c>
    </row>
    <row r="495" spans="1:39" x14ac:dyDescent="0.35">
      <c r="A495" s="3">
        <v>44545</v>
      </c>
      <c r="B495" s="4">
        <v>39.467742919921797</v>
      </c>
      <c r="C495" s="4">
        <v>97.381355285644503</v>
      </c>
      <c r="D495" s="4">
        <v>51.149276733398402</v>
      </c>
      <c r="E495" s="4">
        <v>18.332612991333001</v>
      </c>
      <c r="F495" s="4">
        <v>323.064208984375</v>
      </c>
      <c r="I495" s="5">
        <f>B495/B494-1</f>
        <v>-4.3053732524858113E-3</v>
      </c>
      <c r="J495" s="5">
        <f>C495/C494-1</f>
        <v>-5.6786450585871728E-3</v>
      </c>
      <c r="K495" s="5">
        <f>D495/D494-1</f>
        <v>2.580989283849755E-2</v>
      </c>
      <c r="L495" s="5">
        <f>E495/E494-1</f>
        <v>2.3492397416962962E-2</v>
      </c>
      <c r="M495" s="5">
        <f>F495/F494-1</f>
        <v>1.9217912379074553E-2</v>
      </c>
      <c r="N495" s="5">
        <f>SUMPRODUCT(I495:M495,$AJ$13:$AN$13)</f>
        <v>3.2266358676378989E-2</v>
      </c>
      <c r="P495" s="2" t="s">
        <v>486</v>
      </c>
      <c r="Q495" s="10" cm="1">
        <f t="array" aca="1" ref="Q495:U495" ca="1">_xlfn.LET(_xlpm.array,_xlfn.RANDARRAY(1,COLUMNS(_xlfn.ANCHORARRAY(Q494)),0,1,FALSE),_xlpm.array/SUM(_xlpm.array))</f>
        <v>0.18991992472183616</v>
      </c>
      <c r="R495" s="2">
        <f ca="1"/>
        <v>9.2684963593392358E-2</v>
      </c>
      <c r="S495" s="2">
        <f ca="1"/>
        <v>0.28743136222236976</v>
      </c>
      <c r="T495" s="2">
        <f ca="1"/>
        <v>0.1171072357874169</v>
      </c>
      <c r="U495" s="2">
        <f ca="1"/>
        <v>0.31285651367498479</v>
      </c>
      <c r="V495" s="12"/>
      <c r="X495" s="2" cm="1">
        <f t="array" aca="1" ref="X495" ca="1">MMULT(MMULT(_xlfn.ANCHORARRAY(Q495),$Q$9:$U$13),TRANSPOSE(_xlfn.ANCHORARRAY(Q495)))</f>
        <v>2.8734811484428175E-4</v>
      </c>
      <c r="Y495" s="2">
        <f t="shared" ca="1" si="20"/>
        <v>1.695134551722316E-2</v>
      </c>
      <c r="Z495" s="2" cm="1">
        <f t="array" aca="1" ref="Z495" ca="1">MMULT(_xlfn.ANCHORARRAY(Q495),TRANSPOSE($Q$3:$U$3))</f>
        <v>9.8992527989969609E-4</v>
      </c>
      <c r="AA495" s="11">
        <f ca="1">AVEDEV(Q495*$Q$3,R495*$R$3,S495*$S$3,T495*$T$3,U495*$U$3)</f>
        <v>1.240432565866727E-4</v>
      </c>
      <c r="AB495" s="11" cm="1">
        <f t="array" aca="1" ref="AB495" ca="1">MMULT(_xlfn.ANCHORARRAY(Q495),TRANSPOSE($Q$6:$U$6))</f>
        <v>-2.3061427024158122E-2</v>
      </c>
      <c r="AD495" s="2" t="s">
        <v>486</v>
      </c>
      <c r="AE495" s="10" cm="1">
        <f t="array" aca="1" ref="AE495:AI495" ca="1">_xlfn.LET(_xlpm.array,_xlfn.RANDARRAY(1,COLUMNS(_xlfn.ANCHORARRAY(Q494)),-1,1,FALSE),_xlpm.array/SUM(_xlpm.array))</f>
        <v>0.28347859652609741</v>
      </c>
      <c r="AF495" s="10">
        <f ca="1"/>
        <v>5.5503224369932568E-2</v>
      </c>
      <c r="AG495" s="10">
        <f ca="1"/>
        <v>0.24165274672644996</v>
      </c>
      <c r="AH495" s="10">
        <f ca="1"/>
        <v>0.27928645129049651</v>
      </c>
      <c r="AI495" s="10">
        <f ca="1"/>
        <v>0.14007898108702366</v>
      </c>
      <c r="AJ495" s="1"/>
      <c r="AK495" s="2" cm="1">
        <f t="array" aca="1" ref="AK495" ca="1">MMULT(MMULT(_xlfn.ANCHORARRAY(AE495),$Q$9:$U$13),TRANSPOSE(_xlfn.ANCHORARRAY(AE495)))</f>
        <v>3.0036551741715906E-4</v>
      </c>
      <c r="AL495" s="2">
        <f t="shared" ca="1" si="21"/>
        <v>1.7331056442616503E-2</v>
      </c>
      <c r="AM495" s="2" cm="1">
        <f t="array" aca="1" ref="AM495" ca="1">MMULT(_xlfn.ANCHORARRAY(AE496),TRANSPOSE($Q$3:$U$3))</f>
        <v>1.8015263612015959E-3</v>
      </c>
    </row>
    <row r="496" spans="1:39" x14ac:dyDescent="0.35">
      <c r="A496" s="3">
        <v>44546</v>
      </c>
      <c r="B496" s="4">
        <v>40.419845581054602</v>
      </c>
      <c r="C496" s="4">
        <v>98.291473388671804</v>
      </c>
      <c r="D496" s="4">
        <v>50.190906524658203</v>
      </c>
      <c r="E496" s="4">
        <v>18.725358963012599</v>
      </c>
      <c r="F496" s="4">
        <v>313.65185546875</v>
      </c>
      <c r="I496" s="5">
        <f>B496/B495-1</f>
        <v>2.4123564984817492E-2</v>
      </c>
      <c r="J496" s="5">
        <f>C496/C495-1</f>
        <v>9.345917402337367E-3</v>
      </c>
      <c r="K496" s="5">
        <f>D496/D495-1</f>
        <v>-1.8736730408436486E-2</v>
      </c>
      <c r="L496" s="5">
        <f>E496/E495-1</f>
        <v>2.1423349299157346E-2</v>
      </c>
      <c r="M496" s="5">
        <f>F496/F495-1</f>
        <v>-2.9134621706362496E-2</v>
      </c>
      <c r="N496" s="5">
        <f>SUMPRODUCT(I496:M496,$AJ$13:$AN$13)</f>
        <v>-1.6760851067595256E-2</v>
      </c>
      <c r="P496" s="2" t="s">
        <v>487</v>
      </c>
      <c r="Q496" s="10" cm="1">
        <f t="array" aca="1" ref="Q496:U496" ca="1">_xlfn.LET(_xlpm.array,_xlfn.RANDARRAY(1,COLUMNS(_xlfn.ANCHORARRAY(Q495)),0,1,FALSE),_xlpm.array/SUM(_xlpm.array))</f>
        <v>0.19369849206469358</v>
      </c>
      <c r="R496" s="2">
        <f ca="1"/>
        <v>0.26403792947318688</v>
      </c>
      <c r="S496" s="2">
        <f ca="1"/>
        <v>7.9257430726928715E-2</v>
      </c>
      <c r="T496" s="2">
        <f ca="1"/>
        <v>0.21951080034494064</v>
      </c>
      <c r="U496" s="2">
        <f ca="1"/>
        <v>0.24349534739025025</v>
      </c>
      <c r="V496" s="12"/>
      <c r="X496" s="2" cm="1">
        <f t="array" aca="1" ref="X496" ca="1">MMULT(MMULT(_xlfn.ANCHORARRAY(Q496),$Q$9:$U$13),TRANSPOSE(_xlfn.ANCHORARRAY(Q496)))</f>
        <v>2.6664918910585818E-4</v>
      </c>
      <c r="Y496" s="2">
        <f t="shared" ca="1" si="20"/>
        <v>1.6329396470961755E-2</v>
      </c>
      <c r="Z496" s="2" cm="1">
        <f t="array" aca="1" ref="Z496" ca="1">MMULT(_xlfn.ANCHORARRAY(Q496),TRANSPOSE($Q$3:$U$3))</f>
        <v>8.3046580631801275E-4</v>
      </c>
      <c r="AA496" s="11">
        <f ca="1">AVEDEV(Q496*$Q$3,R496*$R$3,S496*$S$3,T496*$T$3,U496*$U$3)</f>
        <v>4.2010264824432782E-5</v>
      </c>
      <c r="AB496" s="11" cm="1">
        <f t="array" aca="1" ref="AB496" ca="1">MMULT(_xlfn.ANCHORARRAY(Q496),TRANSPOSE($Q$6:$U$6))</f>
        <v>-2.2201251790170771E-2</v>
      </c>
      <c r="AD496" s="2" t="s">
        <v>487</v>
      </c>
      <c r="AE496" s="10" cm="1">
        <f t="array" aca="1" ref="AE496:AI496" ca="1">_xlfn.LET(_xlpm.array,_xlfn.RANDARRAY(1,COLUMNS(_xlfn.ANCHORARRAY(Q495)),-1,1,FALSE),_xlpm.array/SUM(_xlpm.array))</f>
        <v>-1.33579985841136</v>
      </c>
      <c r="AF496" s="10">
        <f ca="1"/>
        <v>0.82945655881499059</v>
      </c>
      <c r="AG496" s="10">
        <f ca="1"/>
        <v>0.81986641500244006</v>
      </c>
      <c r="AH496" s="10">
        <f ca="1"/>
        <v>7.0967692052489428E-2</v>
      </c>
      <c r="AI496" s="10">
        <f ca="1"/>
        <v>0.61550919254143976</v>
      </c>
      <c r="AJ496" s="1"/>
      <c r="AK496" s="2" cm="1">
        <f t="array" aca="1" ref="AK496" ca="1">MMULT(MMULT(_xlfn.ANCHORARRAY(AE496),$Q$9:$U$13),TRANSPOSE(_xlfn.ANCHORARRAY(AE496)))</f>
        <v>1.121720220001786E-3</v>
      </c>
      <c r="AL496" s="2">
        <f t="shared" ca="1" si="21"/>
        <v>3.3492091902444461E-2</v>
      </c>
      <c r="AM496" s="2" cm="1">
        <f t="array" aca="1" ref="AM496" ca="1">MMULT(_xlfn.ANCHORARRAY(AE497),TRANSPOSE($Q$3:$U$3))</f>
        <v>3.2703902456997452E-4</v>
      </c>
    </row>
    <row r="497" spans="1:39" x14ac:dyDescent="0.35">
      <c r="A497" s="3">
        <v>44547</v>
      </c>
      <c r="B497" s="4">
        <v>39.4138374328613</v>
      </c>
      <c r="C497" s="4">
        <v>95.729667663574205</v>
      </c>
      <c r="D497" s="4">
        <v>49.880588531494098</v>
      </c>
      <c r="E497" s="4">
        <v>18.578075408935501</v>
      </c>
      <c r="F497" s="4">
        <v>312.58978271484301</v>
      </c>
      <c r="I497" s="5">
        <f>B497/B496-1</f>
        <v>-2.4888965648716677E-2</v>
      </c>
      <c r="J497" s="5">
        <f>C497/C496-1</f>
        <v>-2.6063356634888457E-2</v>
      </c>
      <c r="K497" s="5">
        <f>D497/D496-1</f>
        <v>-6.1827533043590233E-3</v>
      </c>
      <c r="L497" s="5">
        <f>E497/E496-1</f>
        <v>-7.8654595817373441E-3</v>
      </c>
      <c r="M497" s="5">
        <f>F497/F496-1</f>
        <v>-3.3861516690846249E-3</v>
      </c>
      <c r="N497" s="5">
        <f>SUMPRODUCT(I497:M497,$AJ$13:$AN$13)</f>
        <v>2.6593444782257785E-5</v>
      </c>
      <c r="P497" s="2" t="s">
        <v>488</v>
      </c>
      <c r="Q497" s="10" cm="1">
        <f t="array" aca="1" ref="Q497:U497" ca="1">_xlfn.LET(_xlpm.array,_xlfn.RANDARRAY(1,COLUMNS(_xlfn.ANCHORARRAY(Q496)),0,1,FALSE),_xlpm.array/SUM(_xlpm.array))</f>
        <v>2.6766833493335803E-2</v>
      </c>
      <c r="R497" s="2">
        <f ca="1"/>
        <v>0.42799220798555404</v>
      </c>
      <c r="S497" s="2">
        <f ca="1"/>
        <v>3.0144785512546166E-2</v>
      </c>
      <c r="T497" s="2">
        <f ca="1"/>
        <v>0.48978599342997492</v>
      </c>
      <c r="U497" s="2">
        <f ca="1"/>
        <v>2.5310179578589029E-2</v>
      </c>
      <c r="V497" s="12"/>
      <c r="X497" s="2" cm="1">
        <f t="array" aca="1" ref="X497" ca="1">MMULT(MMULT(_xlfn.ANCHORARRAY(Q497),$Q$9:$U$13),TRANSPOSE(_xlfn.ANCHORARRAY(Q497)))</f>
        <v>4.0338364928043958E-4</v>
      </c>
      <c r="Y497" s="2">
        <f t="shared" ca="1" si="20"/>
        <v>2.0084413092755278E-2</v>
      </c>
      <c r="Z497" s="2" cm="1">
        <f t="array" aca="1" ref="Z497" ca="1">MMULT(_xlfn.ANCHORARRAY(Q497),TRANSPOSE($Q$3:$U$3))</f>
        <v>8.9482826758681216E-4</v>
      </c>
      <c r="AA497" s="11">
        <f ca="1">AVEDEV(Q497*$Q$3,R497*$R$3,S497*$S$3,T497*$T$3,U497*$U$3)</f>
        <v>1.8199163016664947E-4</v>
      </c>
      <c r="AB497" s="11" cm="1">
        <f t="array" aca="1" ref="AB497" ca="1">MMULT(_xlfn.ANCHORARRAY(Q497),TRANSPOSE($Q$6:$U$6))</f>
        <v>-2.3047005129068501E-2</v>
      </c>
      <c r="AD497" s="2" t="s">
        <v>488</v>
      </c>
      <c r="AE497" s="10" cm="1">
        <f t="array" aca="1" ref="AE497:AI497" ca="1">_xlfn.LET(_xlpm.array,_xlfn.RANDARRAY(1,COLUMNS(_xlfn.ANCHORARRAY(Q496)),-1,1,FALSE),_xlpm.array/SUM(_xlpm.array))</f>
        <v>0.57770003162439776</v>
      </c>
      <c r="AF497" s="10">
        <f ca="1"/>
        <v>0.58785529702846129</v>
      </c>
      <c r="AG497" s="10">
        <f ca="1"/>
        <v>-0.2820305684668245</v>
      </c>
      <c r="AH497" s="10">
        <f ca="1"/>
        <v>-0.10483745687531096</v>
      </c>
      <c r="AI497" s="10">
        <f ca="1"/>
        <v>0.22131269668927636</v>
      </c>
      <c r="AJ497" s="1"/>
      <c r="AK497" s="2" cm="1">
        <f t="array" aca="1" ref="AK497" ca="1">MMULT(MMULT(_xlfn.ANCHORARRAY(AE497),$Q$9:$U$13),TRANSPOSE(_xlfn.ANCHORARRAY(AE497)))</f>
        <v>4.2160505913680887E-4</v>
      </c>
      <c r="AL497" s="2">
        <f t="shared" ca="1" si="21"/>
        <v>2.0533023623831168E-2</v>
      </c>
      <c r="AM497" s="2" cm="1">
        <f t="array" aca="1" ref="AM497" ca="1">MMULT(_xlfn.ANCHORARRAY(AE498),TRANSPOSE($Q$3:$U$3))</f>
        <v>-9.3456199272878393E-4</v>
      </c>
    </row>
    <row r="498" spans="1:39" x14ac:dyDescent="0.35">
      <c r="A498" s="3">
        <v>44550</v>
      </c>
      <c r="B498" s="4">
        <v>38.767124176025298</v>
      </c>
      <c r="C498" s="4">
        <v>95.771812438964801</v>
      </c>
      <c r="D498" s="4">
        <v>48.922222137451101</v>
      </c>
      <c r="E498" s="4">
        <v>18.486900329589801</v>
      </c>
      <c r="F498" s="4">
        <v>308.83456420898398</v>
      </c>
      <c r="I498" s="5">
        <f>B498/B497-1</f>
        <v>-1.6408279400290104E-2</v>
      </c>
      <c r="J498" s="5">
        <f>C498/C497-1</f>
        <v>4.4024779798368385E-4</v>
      </c>
      <c r="K498" s="5">
        <f>D498/D497-1</f>
        <v>-1.9213213441495292E-2</v>
      </c>
      <c r="L498" s="5">
        <f>E498/E497-1</f>
        <v>-4.907670861420188E-3</v>
      </c>
      <c r="M498" s="5">
        <f>F498/F497-1</f>
        <v>-1.2013247756356482E-2</v>
      </c>
      <c r="N498" s="5">
        <f>SUMPRODUCT(I498:M498,$AJ$13:$AN$13)</f>
        <v>-1.1578841997378912E-2</v>
      </c>
      <c r="P498" s="2" t="s">
        <v>489</v>
      </c>
      <c r="Q498" s="10" cm="1">
        <f t="array" aca="1" ref="Q498:U498" ca="1">_xlfn.LET(_xlpm.array,_xlfn.RANDARRAY(1,COLUMNS(_xlfn.ANCHORARRAY(Q497)),0,1,FALSE),_xlpm.array/SUM(_xlpm.array))</f>
        <v>0.26960249182579327</v>
      </c>
      <c r="R498" s="2">
        <f ca="1"/>
        <v>0.14678242731360655</v>
      </c>
      <c r="S498" s="2">
        <f ca="1"/>
        <v>0.3481943164399483</v>
      </c>
      <c r="T498" s="2">
        <f ca="1"/>
        <v>0.16964285920301231</v>
      </c>
      <c r="U498" s="2">
        <f ca="1"/>
        <v>6.5777905217639571E-2</v>
      </c>
      <c r="V498" s="12"/>
      <c r="X498" s="2" cm="1">
        <f t="array" aca="1" ref="X498" ca="1">MMULT(MMULT(_xlfn.ANCHORARRAY(Q498),$Q$9:$U$13),TRANSPOSE(_xlfn.ANCHORARRAY(Q498)))</f>
        <v>3.3602111099724903E-4</v>
      </c>
      <c r="Y498" s="2">
        <f t="shared" ca="1" si="20"/>
        <v>1.8330878620438494E-2</v>
      </c>
      <c r="Z498" s="2" cm="1">
        <f t="array" aca="1" ref="Z498" ca="1">MMULT(_xlfn.ANCHORARRAY(Q498),TRANSPOSE($Q$3:$U$3))</f>
        <v>1.0332990863537921E-3</v>
      </c>
      <c r="AA498" s="11">
        <f ca="1">AVEDEV(Q498*$Q$3,R498*$R$3,S498*$S$3,T498*$T$3,U498*$U$3)</f>
        <v>1.4352320873675396E-4</v>
      </c>
      <c r="AB498" s="11" cm="1">
        <f t="array" aca="1" ref="AB498" ca="1">MMULT(_xlfn.ANCHORARRAY(Q498),TRANSPOSE($Q$6:$U$6))</f>
        <v>-2.3895814988957518E-2</v>
      </c>
      <c r="AD498" s="2" t="s">
        <v>489</v>
      </c>
      <c r="AE498" s="10" cm="1">
        <f t="array" aca="1" ref="AE498:AI498" ca="1">_xlfn.LET(_xlpm.array,_xlfn.RANDARRAY(1,COLUMNS(_xlfn.ANCHORARRAY(Q497)),-1,1,FALSE),_xlpm.array/SUM(_xlpm.array))</f>
        <v>2.1740889071221945</v>
      </c>
      <c r="AF498" s="10">
        <f ca="1"/>
        <v>-1.2216271269470909</v>
      </c>
      <c r="AG498" s="10">
        <f ca="1"/>
        <v>-0.92420794780837279</v>
      </c>
      <c r="AH498" s="10">
        <f ca="1"/>
        <v>-1.518067496771246</v>
      </c>
      <c r="AI498" s="10">
        <f ca="1"/>
        <v>2.4898136644045148</v>
      </c>
      <c r="AJ498" s="1"/>
      <c r="AK498" s="2" cm="1">
        <f t="array" aca="1" ref="AK498" ca="1">MMULT(MMULT(_xlfn.ANCHORARRAY(AE498),$Q$9:$U$13),TRANSPOSE(_xlfn.ANCHORARRAY(AE498)))</f>
        <v>4.6622773202984105E-3</v>
      </c>
      <c r="AL498" s="2">
        <f t="shared" ca="1" si="21"/>
        <v>6.8280870822642642E-2</v>
      </c>
      <c r="AM498" s="2" cm="1">
        <f t="array" aca="1" ref="AM498" ca="1">MMULT(_xlfn.ANCHORARRAY(AE499),TRANSPOSE($Q$3:$U$3))</f>
        <v>-7.1301892117571855E-4</v>
      </c>
    </row>
    <row r="499" spans="1:39" x14ac:dyDescent="0.35">
      <c r="A499" s="3">
        <v>44551</v>
      </c>
      <c r="B499" s="4">
        <v>39.692287445068303</v>
      </c>
      <c r="C499" s="4">
        <v>97.305519104003906</v>
      </c>
      <c r="D499" s="4">
        <v>50.610767364501903</v>
      </c>
      <c r="E499" s="4">
        <v>19.580968856811499</v>
      </c>
      <c r="F499" s="4">
        <v>315.95907592773398</v>
      </c>
      <c r="I499" s="5">
        <f>B499/B498-1</f>
        <v>2.3864635015025115E-2</v>
      </c>
      <c r="J499" s="5">
        <f>C499/C498-1</f>
        <v>1.6014176050145545E-2</v>
      </c>
      <c r="K499" s="5">
        <f>D499/D498-1</f>
        <v>3.4514892277515363E-2</v>
      </c>
      <c r="L499" s="5">
        <f>E499/E498-1</f>
        <v>5.9180744620045855E-2</v>
      </c>
      <c r="M499" s="5">
        <f>F499/F498-1</f>
        <v>2.3069023174261405E-2</v>
      </c>
      <c r="N499" s="5">
        <f>SUMPRODUCT(I499:M499,$AJ$13:$AN$13)</f>
        <v>4.5903036938199422E-2</v>
      </c>
      <c r="P499" s="2" t="s">
        <v>490</v>
      </c>
      <c r="Q499" s="10" cm="1">
        <f t="array" aca="1" ref="Q499:U499" ca="1">_xlfn.LET(_xlpm.array,_xlfn.RANDARRAY(1,COLUMNS(_xlfn.ANCHORARRAY(Q498)),0,1,FALSE),_xlpm.array/SUM(_xlpm.array))</f>
        <v>0.51895624503070825</v>
      </c>
      <c r="R499" s="2">
        <f ca="1"/>
        <v>4.1940018280663717E-2</v>
      </c>
      <c r="S499" s="2">
        <f ca="1"/>
        <v>7.1185119103127761E-2</v>
      </c>
      <c r="T499" s="2">
        <f ca="1"/>
        <v>0.3174504240180252</v>
      </c>
      <c r="U499" s="2">
        <f ca="1"/>
        <v>5.0468193567475075E-2</v>
      </c>
      <c r="V499" s="12"/>
      <c r="X499" s="2" cm="1">
        <f t="array" aca="1" ref="X499" ca="1">MMULT(MMULT(_xlfn.ANCHORARRAY(Q499),$Q$9:$U$13),TRANSPOSE(_xlfn.ANCHORARRAY(Q499)))</f>
        <v>3.2942456290654308E-4</v>
      </c>
      <c r="Y499" s="2">
        <f t="shared" ca="1" si="20"/>
        <v>1.8150056829292383E-2</v>
      </c>
      <c r="Z499" s="2" cm="1">
        <f t="array" aca="1" ref="Z499" ca="1">MMULT(_xlfn.ANCHORARRAY(Q499),TRANSPOSE($Q$3:$U$3))</f>
        <v>7.7290207220589622E-4</v>
      </c>
      <c r="AA499" s="11">
        <f ca="1">AVEDEV(Q499*$Q$3,R499*$R$3,S499*$S$3,T499*$T$3,U499*$U$3)</f>
        <v>1.1156381010165939E-4</v>
      </c>
      <c r="AB499" s="11" cm="1">
        <f t="array" aca="1" ref="AB499" ca="1">MMULT(_xlfn.ANCHORARRAY(Q499),TRANSPOSE($Q$6:$U$6))</f>
        <v>-2.3014458583537355E-2</v>
      </c>
      <c r="AD499" s="2" t="s">
        <v>490</v>
      </c>
      <c r="AE499" s="10" cm="1">
        <f t="array" aca="1" ref="AE499:AI499" ca="1">_xlfn.LET(_xlpm.array,_xlfn.RANDARRAY(1,COLUMNS(_xlfn.ANCHORARRAY(Q498)),-1,1,FALSE),_xlpm.array/SUM(_xlpm.array))</f>
        <v>0.83016106632489961</v>
      </c>
      <c r="AF499" s="10">
        <f ca="1"/>
        <v>0.85695146372292086</v>
      </c>
      <c r="AG499" s="10">
        <f ca="1"/>
        <v>-2.0094382437611031</v>
      </c>
      <c r="AH499" s="10">
        <f ca="1"/>
        <v>1.913119140420348</v>
      </c>
      <c r="AI499" s="10">
        <f ca="1"/>
        <v>-0.59079342670706514</v>
      </c>
      <c r="AJ499" s="1"/>
      <c r="AK499" s="2" cm="1">
        <f t="array" aca="1" ref="AK499" ca="1">MMULT(MMULT(_xlfn.ANCHORARRAY(AE499),$Q$9:$U$13),TRANSPOSE(_xlfn.ANCHORARRAY(AE499)))</f>
        <v>5.7161436500386964E-3</v>
      </c>
      <c r="AL499" s="2">
        <f t="shared" ca="1" si="21"/>
        <v>7.5605182692978765E-2</v>
      </c>
      <c r="AM499" s="2" cm="1">
        <f t="array" aca="1" ref="AM499" ca="1">MMULT(_xlfn.ANCHORARRAY(AE500),TRANSPOSE($Q$3:$U$3))</f>
        <v>5.81794687238424E-6</v>
      </c>
    </row>
    <row r="500" spans="1:39" x14ac:dyDescent="0.35">
      <c r="A500" s="3">
        <v>44552</v>
      </c>
      <c r="B500" s="4">
        <v>39.773136138916001</v>
      </c>
      <c r="C500" s="4">
        <v>97.861686706542898</v>
      </c>
      <c r="D500" s="4">
        <v>50.537742614746001</v>
      </c>
      <c r="E500" s="4">
        <v>19.545902252197202</v>
      </c>
      <c r="F500" s="4">
        <v>321.66448974609301</v>
      </c>
      <c r="I500" s="5">
        <f>B500/B499-1</f>
        <v>2.0368867367390742E-3</v>
      </c>
      <c r="J500" s="5">
        <f>C500/C499-1</f>
        <v>5.7156840399210651E-3</v>
      </c>
      <c r="K500" s="5">
        <f>D500/D499-1</f>
        <v>-1.442869838941041E-3</v>
      </c>
      <c r="L500" s="5">
        <f>E500/E499-1</f>
        <v>-1.7908513552483685E-3</v>
      </c>
      <c r="M500" s="5">
        <f>F500/F499-1</f>
        <v>1.8057445577743136E-2</v>
      </c>
      <c r="N500" s="5">
        <f>SUMPRODUCT(I500:M500,$AJ$13:$AN$13)</f>
        <v>3.6676165435042627E-3</v>
      </c>
      <c r="P500" s="2" t="s">
        <v>491</v>
      </c>
      <c r="Q500" s="10" cm="1">
        <f t="array" aca="1" ref="Q500:U500" ca="1">_xlfn.LET(_xlpm.array,_xlfn.RANDARRAY(1,COLUMNS(_xlfn.ANCHORARRAY(Q499)),0,1,FALSE),_xlpm.array/SUM(_xlpm.array))</f>
        <v>0.31568757204643433</v>
      </c>
      <c r="R500" s="2">
        <f ca="1"/>
        <v>0.10054632562725203</v>
      </c>
      <c r="S500" s="2">
        <f ca="1"/>
        <v>0.19533138434369127</v>
      </c>
      <c r="T500" s="2">
        <f ca="1"/>
        <v>0.25802826720107574</v>
      </c>
      <c r="U500" s="2">
        <f ca="1"/>
        <v>0.1304064507815465</v>
      </c>
      <c r="V500" s="12"/>
      <c r="X500" s="2" cm="1">
        <f t="array" aca="1" ref="X500" ca="1">MMULT(MMULT(_xlfn.ANCHORARRAY(Q500),$Q$9:$U$13),TRANSPOSE(_xlfn.ANCHORARRAY(Q500)))</f>
        <v>2.9453052102858756E-4</v>
      </c>
      <c r="Y500" s="2">
        <f t="shared" ca="1" si="20"/>
        <v>1.7161891534110907E-2</v>
      </c>
      <c r="Z500" s="2" cm="1">
        <f t="array" aca="1" ref="Z500" ca="1">MMULT(_xlfn.ANCHORARRAY(Q500),TRANSPOSE($Q$3:$U$3))</f>
        <v>9.144361649805903E-4</v>
      </c>
      <c r="AA500" s="11">
        <f ca="1">AVEDEV(Q500*$Q$3,R500*$R$3,S500*$S$3,T500*$T$3,U500*$U$3)</f>
        <v>8.6019980082996332E-5</v>
      </c>
      <c r="AB500" s="11" cm="1">
        <f t="array" aca="1" ref="AB500" ca="1">MMULT(_xlfn.ANCHORARRAY(Q500),TRANSPOSE($Q$6:$U$6))</f>
        <v>-2.3313864528628797E-2</v>
      </c>
      <c r="AD500" s="2" t="s">
        <v>491</v>
      </c>
      <c r="AE500" s="10" cm="1">
        <f t="array" aca="1" ref="AE500:AI500" ca="1">_xlfn.LET(_xlpm.array,_xlfn.RANDARRAY(1,COLUMNS(_xlfn.ANCHORARRAY(Q499)),-1,1,FALSE),_xlpm.array/SUM(_xlpm.array))</f>
        <v>0.56616511761233512</v>
      </c>
      <c r="AF500" s="10">
        <f ca="1"/>
        <v>0.8045437242766541</v>
      </c>
      <c r="AG500" s="10">
        <f ca="1"/>
        <v>-0.71250026122232357</v>
      </c>
      <c r="AH500" s="10">
        <f ca="1"/>
        <v>0.10218714446879487</v>
      </c>
      <c r="AI500" s="10">
        <f ca="1"/>
        <v>0.23960427486453947</v>
      </c>
      <c r="AJ500" s="1"/>
      <c r="AK500" s="2" cm="1">
        <f t="array" aca="1" ref="AK500" ca="1">MMULT(MMULT(_xlfn.ANCHORARRAY(AE500),$Q$9:$U$13),TRANSPOSE(_xlfn.ANCHORARRAY(AE500)))</f>
        <v>7.9911434493934062E-4</v>
      </c>
      <c r="AL500" s="2">
        <f t="shared" ca="1" si="21"/>
        <v>2.8268610594426827E-2</v>
      </c>
      <c r="AM500" s="2" cm="1">
        <f t="array" aca="1" ref="AM500" ca="1">MMULT(_xlfn.ANCHORARRAY(AE501),TRANSPOSE($Q$3:$U$3))</f>
        <v>7.5223198837558452E-4</v>
      </c>
    </row>
    <row r="501" spans="1:39" x14ac:dyDescent="0.35">
      <c r="A501" s="3">
        <v>44553</v>
      </c>
      <c r="B501" s="4">
        <v>39.898876190185497</v>
      </c>
      <c r="C501" s="4">
        <v>98.097640991210895</v>
      </c>
      <c r="D501" s="4">
        <v>51.003242492675703</v>
      </c>
      <c r="E501" s="4">
        <v>19.244337081909102</v>
      </c>
      <c r="F501" s="4">
        <v>323.10290527343699</v>
      </c>
      <c r="I501" s="5">
        <f>B501/B500-1</f>
        <v>3.1614316464843029E-3</v>
      </c>
      <c r="J501" s="5">
        <f>C501/C500-1</f>
        <v>2.411099712347653E-3</v>
      </c>
      <c r="K501" s="5">
        <f>D501/D500-1</f>
        <v>9.2109353098386304E-3</v>
      </c>
      <c r="L501" s="5">
        <f>E501/E500-1</f>
        <v>-1.5428562283646974E-2</v>
      </c>
      <c r="M501" s="5">
        <f>F501/F500-1</f>
        <v>4.4717883794986868E-3</v>
      </c>
      <c r="N501" s="5">
        <f>SUMPRODUCT(I501:M501,$AJ$13:$AN$13)</f>
        <v>-1.9127510699746186E-3</v>
      </c>
      <c r="P501" s="2" t="s">
        <v>492</v>
      </c>
      <c r="Q501" s="10" cm="1">
        <f t="array" aca="1" ref="Q501:U501" ca="1">_xlfn.LET(_xlpm.array,_xlfn.RANDARRAY(1,COLUMNS(_xlfn.ANCHORARRAY(Q500)),0,1,FALSE),_xlpm.array/SUM(_xlpm.array))</f>
        <v>0.22737203761834496</v>
      </c>
      <c r="R501" s="2">
        <f ca="1"/>
        <v>0.31634559319074607</v>
      </c>
      <c r="S501" s="2">
        <f ca="1"/>
        <v>2.6171469207906958E-2</v>
      </c>
      <c r="T501" s="2">
        <f ca="1"/>
        <v>0.30305447646118333</v>
      </c>
      <c r="U501" s="2">
        <f ca="1"/>
        <v>0.12705642352181876</v>
      </c>
      <c r="V501" s="12"/>
      <c r="X501" s="2" cm="1">
        <f t="array" aca="1" ref="X501" ca="1">MMULT(MMULT(_xlfn.ANCHORARRAY(Q501),$Q$9:$U$13),TRANSPOSE(_xlfn.ANCHORARRAY(Q501)))</f>
        <v>3.0763870628669081E-4</v>
      </c>
      <c r="Y501" s="2">
        <f t="shared" ca="1" si="20"/>
        <v>1.7539632444458202E-2</v>
      </c>
      <c r="Z501" s="2" cm="1">
        <f t="array" aca="1" ref="Z501" ca="1">MMULT(_xlfn.ANCHORARRAY(Q501),TRANSPOSE($Q$3:$U$3))</f>
        <v>7.9585661043726742E-4</v>
      </c>
      <c r="AA501" s="11">
        <f ca="1">AVEDEV(Q501*$Q$3,R501*$R$3,S501*$S$3,T501*$T$3,U501*$U$3)</f>
        <v>8.8908361827210754E-5</v>
      </c>
      <c r="AB501" s="11" cm="1">
        <f t="array" aca="1" ref="AB501" ca="1">MMULT(_xlfn.ANCHORARRAY(Q501),TRANSPOSE($Q$6:$U$6))</f>
        <v>-2.2323431384149033E-2</v>
      </c>
      <c r="AD501" s="2" t="s">
        <v>492</v>
      </c>
      <c r="AE501" s="10" cm="1">
        <f t="array" aca="1" ref="AE501:AI501" ca="1">_xlfn.LET(_xlpm.array,_xlfn.RANDARRAY(1,COLUMNS(_xlfn.ANCHORARRAY(Q500)),-1,1,FALSE),_xlpm.array/SUM(_xlpm.array))</f>
        <v>0.36970932177244026</v>
      </c>
      <c r="AF501" s="10">
        <f ca="1"/>
        <v>-0.10538749806797669</v>
      </c>
      <c r="AG501" s="10">
        <f ca="1"/>
        <v>-4.2589719221133165E-2</v>
      </c>
      <c r="AH501" s="10">
        <f ca="1"/>
        <v>0.44862813754952019</v>
      </c>
      <c r="AI501" s="10">
        <f ca="1"/>
        <v>0.32963975796714939</v>
      </c>
      <c r="AJ501" s="1"/>
      <c r="AK501" s="2" cm="1">
        <f t="array" aca="1" ref="AK501" ca="1">MMULT(MMULT(_xlfn.ANCHORARRAY(AE501),$Q$9:$U$13),TRANSPOSE(_xlfn.ANCHORARRAY(AE501)))</f>
        <v>2.8975552015887002E-4</v>
      </c>
      <c r="AL501" s="2">
        <f t="shared" ca="1" si="21"/>
        <v>1.7022206677128261E-2</v>
      </c>
      <c r="AM501" s="2" cm="1">
        <f t="array" aca="1" ref="AM501" ca="1">MMULT(_xlfn.ANCHORARRAY(AE502),TRANSPOSE($Q$3:$U$3))</f>
        <v>9.9357195907824234E-4</v>
      </c>
    </row>
    <row r="502" spans="1:39" x14ac:dyDescent="0.35">
      <c r="A502" s="3">
        <v>44557</v>
      </c>
      <c r="B502" s="4">
        <v>40.096488952636697</v>
      </c>
      <c r="C502" s="4">
        <v>100.103225708007</v>
      </c>
      <c r="D502" s="4">
        <v>51.660404205322202</v>
      </c>
      <c r="E502" s="4">
        <v>19.244337081909102</v>
      </c>
      <c r="F502" s="4">
        <v>330.59423828125</v>
      </c>
      <c r="I502" s="5">
        <f>B502/B501-1</f>
        <v>4.9528403133272114E-3</v>
      </c>
      <c r="J502" s="5">
        <f>C502/C501-1</f>
        <v>2.0444780287589115E-2</v>
      </c>
      <c r="K502" s="5">
        <f>D502/D501-1</f>
        <v>1.2884704589926299E-2</v>
      </c>
      <c r="L502" s="5">
        <f>E502/E501-1</f>
        <v>0</v>
      </c>
      <c r="M502" s="5">
        <f>F502/F501-1</f>
        <v>2.3185594699228096E-2</v>
      </c>
      <c r="N502" s="5">
        <f>SUMPRODUCT(I502:M502,$AJ$13:$AN$13)</f>
        <v>1.2351533405914619E-2</v>
      </c>
      <c r="P502" s="2" t="s">
        <v>493</v>
      </c>
      <c r="Q502" s="10" cm="1">
        <f t="array" aca="1" ref="Q502:U502" ca="1">_xlfn.LET(_xlpm.array,_xlfn.RANDARRAY(1,COLUMNS(_xlfn.ANCHORARRAY(Q501)),0,1,FALSE),_xlpm.array/SUM(_xlpm.array))</f>
        <v>0.32846722472362011</v>
      </c>
      <c r="R502" s="2">
        <f ca="1"/>
        <v>0.31147046061972228</v>
      </c>
      <c r="S502" s="2">
        <f ca="1"/>
        <v>0.14882013017584025</v>
      </c>
      <c r="T502" s="2">
        <f ca="1"/>
        <v>6.4179171482382821E-2</v>
      </c>
      <c r="U502" s="2">
        <f ca="1"/>
        <v>0.14706301299843455</v>
      </c>
      <c r="V502" s="12"/>
      <c r="X502" s="2" cm="1">
        <f t="array" aca="1" ref="X502" ca="1">MMULT(MMULT(_xlfn.ANCHORARRAY(Q502),$Q$9:$U$13),TRANSPOSE(_xlfn.ANCHORARRAY(Q502)))</f>
        <v>2.8840233707781222E-4</v>
      </c>
      <c r="Y502" s="2">
        <f t="shared" ca="1" si="20"/>
        <v>1.6982412581191524E-2</v>
      </c>
      <c r="Z502" s="2" cm="1">
        <f t="array" aca="1" ref="Z502" ca="1">MMULT(_xlfn.ANCHORARRAY(Q502),TRANSPOSE($Q$3:$U$3))</f>
        <v>8.1412238154468205E-4</v>
      </c>
      <c r="AA502" s="11">
        <f ca="1">AVEDEV(Q502*$Q$3,R502*$R$3,S502*$S$3,T502*$T$3,U502*$U$3)</f>
        <v>5.904028194980691E-5</v>
      </c>
      <c r="AB502" s="11" cm="1">
        <f t="array" aca="1" ref="AB502" ca="1">MMULT(_xlfn.ANCHORARRAY(Q502),TRANSPOSE($Q$6:$U$6))</f>
        <v>-2.2129387013238303E-2</v>
      </c>
      <c r="AD502" s="2" t="s">
        <v>493</v>
      </c>
      <c r="AE502" s="10" cm="1">
        <f t="array" aca="1" ref="AE502:AI502" ca="1">_xlfn.LET(_xlpm.array,_xlfn.RANDARRAY(1,COLUMNS(_xlfn.ANCHORARRAY(Q501)),-1,1,FALSE),_xlpm.array/SUM(_xlpm.array))</f>
        <v>0.154639542295124</v>
      </c>
      <c r="AF502" s="10">
        <f ca="1"/>
        <v>-0.10443052489373386</v>
      </c>
      <c r="AG502" s="10">
        <f ca="1"/>
        <v>0.26578810313309392</v>
      </c>
      <c r="AH502" s="10">
        <f ca="1"/>
        <v>0.1418969889957829</v>
      </c>
      <c r="AI502" s="10">
        <f ca="1"/>
        <v>0.54210589046973301</v>
      </c>
      <c r="AJ502" s="1"/>
      <c r="AK502" s="2" cm="1">
        <f t="array" aca="1" ref="AK502" ca="1">MMULT(MMULT(_xlfn.ANCHORARRAY(AE502),$Q$9:$U$13),TRANSPOSE(_xlfn.ANCHORARRAY(AE502)))</f>
        <v>3.0092473188309985E-4</v>
      </c>
      <c r="AL502" s="2">
        <f t="shared" ca="1" si="21"/>
        <v>1.734718224620644E-2</v>
      </c>
      <c r="AM502" s="2" cm="1">
        <f t="array" aca="1" ref="AM502" ca="1">MMULT(_xlfn.ANCHORARRAY(AE503),TRANSPOSE($Q$3:$U$3))</f>
        <v>5.2248047784025876E-4</v>
      </c>
    </row>
    <row r="503" spans="1:39" x14ac:dyDescent="0.35">
      <c r="A503" s="3">
        <v>44558</v>
      </c>
      <c r="B503" s="4">
        <v>40.150386810302699</v>
      </c>
      <c r="C503" s="4">
        <v>99.909416198730398</v>
      </c>
      <c r="D503" s="4">
        <v>51.979866027832003</v>
      </c>
      <c r="E503" s="4">
        <v>19.0760192871093</v>
      </c>
      <c r="F503" s="4">
        <v>329.43569946289</v>
      </c>
      <c r="I503" s="5">
        <f>B503/B502-1</f>
        <v>1.3442039209385914E-3</v>
      </c>
      <c r="J503" s="5">
        <f>C503/C502-1</f>
        <v>-1.9360965434014332E-3</v>
      </c>
      <c r="K503" s="5">
        <f>D503/D502-1</f>
        <v>6.1838815902428568E-3</v>
      </c>
      <c r="L503" s="5">
        <f>E503/E502-1</f>
        <v>-8.7463545293036127E-3</v>
      </c>
      <c r="M503" s="5">
        <f>F503/F502-1</f>
        <v>-3.504413217795932E-3</v>
      </c>
      <c r="N503" s="5">
        <f>SUMPRODUCT(I503:M503,$AJ$13:$AN$13)</f>
        <v>-2.3629799576889857E-3</v>
      </c>
      <c r="P503" s="2" t="s">
        <v>494</v>
      </c>
      <c r="Q503" s="10" cm="1">
        <f t="array" aca="1" ref="Q503:U503" ca="1">_xlfn.LET(_xlpm.array,_xlfn.RANDARRAY(1,COLUMNS(_xlfn.ANCHORARRAY(Q502)),0,1,FALSE),_xlpm.array/SUM(_xlpm.array))</f>
        <v>0.17929254952962201</v>
      </c>
      <c r="R503" s="2">
        <f ca="1"/>
        <v>0.23243651997664386</v>
      </c>
      <c r="S503" s="2">
        <f ca="1"/>
        <v>0.22127131889019341</v>
      </c>
      <c r="T503" s="2">
        <f ca="1"/>
        <v>0.19483572203226568</v>
      </c>
      <c r="U503" s="2">
        <f ca="1"/>
        <v>0.1721638895712749</v>
      </c>
      <c r="V503" s="12"/>
      <c r="X503" s="2" cm="1">
        <f t="array" aca="1" ref="X503" ca="1">MMULT(MMULT(_xlfn.ANCHORARRAY(Q503),$Q$9:$U$13),TRANSPOSE(_xlfn.ANCHORARRAY(Q503)))</f>
        <v>2.8683049575551814E-4</v>
      </c>
      <c r="Y503" s="2">
        <f t="shared" ca="1" si="20"/>
        <v>1.6936070847617463E-2</v>
      </c>
      <c r="Z503" s="2" cm="1">
        <f t="array" aca="1" ref="Z503" ca="1">MMULT(_xlfn.ANCHORARRAY(Q503),TRANSPOSE($Q$3:$U$3))</f>
        <v>9.5093150057738826E-4</v>
      </c>
      <c r="AA503" s="11">
        <f ca="1">AVEDEV(Q503*$Q$3,R503*$R$3,S503*$S$3,T503*$T$3,U503*$U$3)</f>
        <v>7.1207881316212823E-5</v>
      </c>
      <c r="AB503" s="11" cm="1">
        <f t="array" aca="1" ref="AB503" ca="1">MMULT(_xlfn.ANCHORARRAY(Q503),TRANSPOSE($Q$6:$U$6))</f>
        <v>-2.3038056129570501E-2</v>
      </c>
      <c r="AD503" s="2" t="s">
        <v>494</v>
      </c>
      <c r="AE503" s="10" cm="1">
        <f t="array" aca="1" ref="AE503:AI503" ca="1">_xlfn.LET(_xlpm.array,_xlfn.RANDARRAY(1,COLUMNS(_xlfn.ANCHORARRAY(Q502)),-1,1,FALSE),_xlpm.array/SUM(_xlpm.array))</f>
        <v>0.50419675101316486</v>
      </c>
      <c r="AF503" s="10">
        <f ca="1"/>
        <v>0.32398003333697173</v>
      </c>
      <c r="AG503" s="10">
        <f ca="1"/>
        <v>-0.14470367600140091</v>
      </c>
      <c r="AH503" s="10">
        <f ca="1"/>
        <v>8.7799070667655257E-2</v>
      </c>
      <c r="AI503" s="10">
        <f ca="1"/>
        <v>0.22872782098360903</v>
      </c>
      <c r="AJ503" s="1"/>
      <c r="AK503" s="2" cm="1">
        <f t="array" aca="1" ref="AK503" ca="1">MMULT(MMULT(_xlfn.ANCHORARRAY(AE503),$Q$9:$U$13),TRANSPOSE(_xlfn.ANCHORARRAY(AE503)))</f>
        <v>3.2295516637011515E-4</v>
      </c>
      <c r="AL503" s="2">
        <f t="shared" ca="1" si="21"/>
        <v>1.7970953407377005E-2</v>
      </c>
      <c r="AM503" s="2" cm="1">
        <f t="array" aca="1" ref="AM503" ca="1">MMULT(_xlfn.ANCHORARRAY(AE504),TRANSPOSE($Q$3:$U$3))</f>
        <v>1.1312363179889671E-3</v>
      </c>
    </row>
    <row r="504" spans="1:39" x14ac:dyDescent="0.35">
      <c r="A504" s="3">
        <v>44559</v>
      </c>
      <c r="B504" s="4">
        <v>40.087505340576101</v>
      </c>
      <c r="C504" s="4">
        <v>99.395362854003906</v>
      </c>
      <c r="D504" s="4">
        <v>52.071132659912102</v>
      </c>
      <c r="E504" s="4">
        <v>18.914714813232401</v>
      </c>
      <c r="F504" s="4">
        <v>330.11148071289</v>
      </c>
      <c r="I504" s="5">
        <f>B504/B503-1</f>
        <v>-1.5661485410761733E-3</v>
      </c>
      <c r="J504" s="5">
        <f>C504/C503-1</f>
        <v>-5.1451941597174811E-3</v>
      </c>
      <c r="K504" s="5">
        <f>D504/D503-1</f>
        <v>1.7558073741712477E-3</v>
      </c>
      <c r="L504" s="5">
        <f>E504/E503-1</f>
        <v>-8.4558770595237753E-3</v>
      </c>
      <c r="M504" s="5">
        <f>F504/F503-1</f>
        <v>2.051329746902919E-3</v>
      </c>
      <c r="N504" s="5">
        <f>SUMPRODUCT(I504:M504,$AJ$13:$AN$13)</f>
        <v>-1.7301076988899223E-3</v>
      </c>
      <c r="P504" s="2" t="s">
        <v>495</v>
      </c>
      <c r="Q504" s="10" cm="1">
        <f t="array" aca="1" ref="Q504:U504" ca="1">_xlfn.LET(_xlpm.array,_xlfn.RANDARRAY(1,COLUMNS(_xlfn.ANCHORARRAY(Q503)),0,1,FALSE),_xlpm.array/SUM(_xlpm.array))</f>
        <v>0.15743247534975327</v>
      </c>
      <c r="R504" s="2">
        <f ca="1"/>
        <v>0.22107092675868115</v>
      </c>
      <c r="S504" s="2">
        <f ca="1"/>
        <v>0.17834964057488079</v>
      </c>
      <c r="T504" s="2">
        <f ca="1"/>
        <v>0.19807961846823677</v>
      </c>
      <c r="U504" s="2">
        <f ca="1"/>
        <v>0.24506733884844809</v>
      </c>
      <c r="V504" s="12"/>
      <c r="X504" s="2" cm="1">
        <f t="array" aca="1" ref="X504" ca="1">MMULT(MMULT(_xlfn.ANCHORARRAY(Q504),$Q$9:$U$13),TRANSPOSE(_xlfn.ANCHORARRAY(Q504)))</f>
        <v>2.6943911496332961E-4</v>
      </c>
      <c r="Y504" s="2">
        <f t="shared" ca="1" si="20"/>
        <v>1.6414600664144394E-2</v>
      </c>
      <c r="Z504" s="2" cm="1">
        <f t="array" aca="1" ref="Z504" ca="1">MMULT(_xlfn.ANCHORARRAY(Q504),TRANSPOSE($Q$3:$U$3))</f>
        <v>9.2089126283153926E-4</v>
      </c>
      <c r="AA504" s="11">
        <f ca="1">AVEDEV(Q504*$Q$3,R504*$R$3,S504*$S$3,T504*$T$3,U504*$U$3)</f>
        <v>5.0762966789506856E-5</v>
      </c>
      <c r="AB504" s="11" cm="1">
        <f t="array" aca="1" ref="AB504" ca="1">MMULT(_xlfn.ANCHORARRAY(Q504),TRANSPOSE($Q$6:$U$6))</f>
        <v>-2.2715333480209984E-2</v>
      </c>
      <c r="AD504" s="2" t="s">
        <v>495</v>
      </c>
      <c r="AE504" s="10" cm="1">
        <f t="array" aca="1" ref="AE504:AI504" ca="1">_xlfn.LET(_xlpm.array,_xlfn.RANDARRAY(1,COLUMNS(_xlfn.ANCHORARRAY(Q503)),-1,1,FALSE),_xlpm.array/SUM(_xlpm.array))</f>
        <v>0.6069356560899517</v>
      </c>
      <c r="AF504" s="10">
        <f ca="1"/>
        <v>-0.40566532887998441</v>
      </c>
      <c r="AG504" s="10">
        <f ca="1"/>
        <v>0.76530126872426052</v>
      </c>
      <c r="AH504" s="10">
        <f ca="1"/>
        <v>-0.5819425004083737</v>
      </c>
      <c r="AI504" s="10">
        <f ca="1"/>
        <v>0.61537090447414589</v>
      </c>
      <c r="AJ504" s="1"/>
      <c r="AK504" s="2" cm="1">
        <f t="array" aca="1" ref="AK504" ca="1">MMULT(MMULT(_xlfn.ANCHORARRAY(AE504),$Q$9:$U$13),TRANSPOSE(_xlfn.ANCHORARRAY(AE504)))</f>
        <v>1.0670972403389672E-3</v>
      </c>
      <c r="AL504" s="2">
        <f t="shared" ca="1" si="21"/>
        <v>3.2666454358239845E-2</v>
      </c>
      <c r="AM504" s="2" cm="1">
        <f t="array" aca="1" ref="AM504" ca="1">MMULT(_xlfn.ANCHORARRAY(AE505),TRANSPOSE($Q$3:$U$3))</f>
        <v>9.5210755490993039E-4</v>
      </c>
    </row>
    <row r="505" spans="1:39" x14ac:dyDescent="0.35">
      <c r="A505" s="3">
        <v>44560</v>
      </c>
      <c r="B505" s="4">
        <v>39.997692108154297</v>
      </c>
      <c r="C505" s="4">
        <v>98.957191467285099</v>
      </c>
      <c r="D505" s="4">
        <v>51.578258514404297</v>
      </c>
      <c r="E505" s="4">
        <v>18.711328506469702</v>
      </c>
      <c r="F505" s="4">
        <v>327.57257080078102</v>
      </c>
      <c r="I505" s="5">
        <f>B505/B504-1</f>
        <v>-2.2404295717273204E-3</v>
      </c>
      <c r="J505" s="5">
        <f>C505/C504-1</f>
        <v>-4.4083685006754969E-3</v>
      </c>
      <c r="K505" s="5">
        <f>D505/D504-1</f>
        <v>-9.4654008916393861E-3</v>
      </c>
      <c r="L505" s="5">
        <f>E505/E504-1</f>
        <v>-1.0752808528755264E-2</v>
      </c>
      <c r="M505" s="5">
        <f>F505/F504-1</f>
        <v>-7.691068201039486E-3</v>
      </c>
      <c r="N505" s="5">
        <f>SUMPRODUCT(I505:M505,$AJ$13:$AN$13)</f>
        <v>-1.1729476883794859E-2</v>
      </c>
      <c r="P505" s="2" t="s">
        <v>496</v>
      </c>
      <c r="Q505" s="10" cm="1">
        <f t="array" aca="1" ref="Q505:U505" ca="1">_xlfn.LET(_xlpm.array,_xlfn.RANDARRAY(1,COLUMNS(_xlfn.ANCHORARRAY(Q504)),0,1,FALSE),_xlpm.array/SUM(_xlpm.array))</f>
        <v>0.27172962526548178</v>
      </c>
      <c r="R505" s="2">
        <f ca="1"/>
        <v>9.3695222017037325E-2</v>
      </c>
      <c r="S505" s="2">
        <f ca="1"/>
        <v>0.37126115060058451</v>
      </c>
      <c r="T505" s="2">
        <f ca="1"/>
        <v>6.238247898293655E-2</v>
      </c>
      <c r="U505" s="2">
        <f ca="1"/>
        <v>0.20093152313395982</v>
      </c>
      <c r="V505" s="12"/>
      <c r="X505" s="2" cm="1">
        <f t="array" aca="1" ref="X505" ca="1">MMULT(MMULT(_xlfn.ANCHORARRAY(Q505),$Q$9:$U$13),TRANSPOSE(_xlfn.ANCHORARRAY(Q505)))</f>
        <v>3.2954238451027572E-4</v>
      </c>
      <c r="Y505" s="2">
        <f t="shared" ca="1" si="20"/>
        <v>1.8153302303169958E-2</v>
      </c>
      <c r="Z505" s="2" cm="1">
        <f t="array" aca="1" ref="Z505" ca="1">MMULT(_xlfn.ANCHORARRAY(Q505),TRANSPOSE($Q$3:$U$3))</f>
        <v>1.0268681193268787E-3</v>
      </c>
      <c r="AA505" s="11">
        <f ca="1">AVEDEV(Q505*$Q$3,R505*$R$3,S505*$S$3,T505*$T$3,U505*$U$3)</f>
        <v>1.5902190870351038E-4</v>
      </c>
      <c r="AB505" s="11" cm="1">
        <f t="array" aca="1" ref="AB505" ca="1">MMULT(_xlfn.ANCHORARRAY(Q505),TRANSPOSE($Q$6:$U$6))</f>
        <v>-2.3496056134091749E-2</v>
      </c>
      <c r="AD505" s="2" t="s">
        <v>496</v>
      </c>
      <c r="AE505" s="10" cm="1">
        <f t="array" aca="1" ref="AE505:AI505" ca="1">_xlfn.LET(_xlpm.array,_xlfn.RANDARRAY(1,COLUMNS(_xlfn.ANCHORARRAY(Q504)),-1,1,FALSE),_xlpm.array/SUM(_xlpm.array))</f>
        <v>0.77051786283019097</v>
      </c>
      <c r="AF505" s="10">
        <f ca="1"/>
        <v>-0.26098061522758753</v>
      </c>
      <c r="AG505" s="10">
        <f ca="1"/>
        <v>0.45616974258812332</v>
      </c>
      <c r="AH505" s="10">
        <f ca="1"/>
        <v>-6.2221409933165675E-2</v>
      </c>
      <c r="AI505" s="10">
        <f ca="1"/>
        <v>9.6514419742438962E-2</v>
      </c>
      <c r="AJ505" s="1"/>
      <c r="AK505" s="2" cm="1">
        <f t="array" aca="1" ref="AK505" ca="1">MMULT(MMULT(_xlfn.ANCHORARRAY(AE505),$Q$9:$U$13),TRANSPOSE(_xlfn.ANCHORARRAY(AE505)))</f>
        <v>5.0984128647577119E-4</v>
      </c>
      <c r="AL505" s="2">
        <f t="shared" ca="1" si="21"/>
        <v>2.2579665331350047E-2</v>
      </c>
      <c r="AM505" s="2" cm="1">
        <f t="array" aca="1" ref="AM505" ca="1">MMULT(_xlfn.ANCHORARRAY(AE506),TRANSPOSE($Q$3:$U$3))</f>
        <v>1.4710660706051181E-3</v>
      </c>
    </row>
    <row r="506" spans="1:39" x14ac:dyDescent="0.35">
      <c r="A506" s="3">
        <v>44561</v>
      </c>
      <c r="B506" s="4">
        <v>39.961757659912102</v>
      </c>
      <c r="C506" s="4">
        <v>98.8897705078125</v>
      </c>
      <c r="D506" s="4">
        <v>51.267921447753899</v>
      </c>
      <c r="E506" s="4">
        <v>18.465864181518501</v>
      </c>
      <c r="F506" s="4">
        <v>324.67639160156199</v>
      </c>
      <c r="I506" s="5">
        <f>B506/B505-1</f>
        <v>-8.9841304205817707E-4</v>
      </c>
      <c r="J506" s="5">
        <f>C506/C505-1</f>
        <v>-6.8131439941776506E-4</v>
      </c>
      <c r="K506" s="5">
        <f>D506/D505-1</f>
        <v>-6.0168194039302847E-3</v>
      </c>
      <c r="L506" s="5">
        <f>E506/E505-1</f>
        <v>-1.3118487277176905E-2</v>
      </c>
      <c r="M506" s="5">
        <f>F506/F505-1</f>
        <v>-8.8413361110762922E-3</v>
      </c>
      <c r="N506" s="5">
        <f>SUMPRODUCT(I506:M506,$AJ$13:$AN$13)</f>
        <v>-1.1933749780834176E-2</v>
      </c>
      <c r="P506" s="2" t="s">
        <v>497</v>
      </c>
      <c r="Q506" s="10" cm="1">
        <f t="array" aca="1" ref="Q506:U506" ca="1">_xlfn.LET(_xlpm.array,_xlfn.RANDARRAY(1,COLUMNS(_xlfn.ANCHORARRAY(Q505)),0,1,FALSE),_xlpm.array/SUM(_xlpm.array))</f>
        <v>0.15326266394024687</v>
      </c>
      <c r="R506" s="2">
        <f ca="1"/>
        <v>9.2010609479987043E-2</v>
      </c>
      <c r="S506" s="2">
        <f ca="1"/>
        <v>0.39343755590438512</v>
      </c>
      <c r="T506" s="2">
        <f ca="1"/>
        <v>0.29787517610471864</v>
      </c>
      <c r="U506" s="2">
        <f ca="1"/>
        <v>6.3413994570662505E-2</v>
      </c>
      <c r="V506" s="12"/>
      <c r="X506" s="2" cm="1">
        <f t="array" aca="1" ref="X506" ca="1">MMULT(MMULT(_xlfn.ANCHORARRAY(Q506),$Q$9:$U$13),TRANSPOSE(_xlfn.ANCHORARRAY(Q506)))</f>
        <v>3.5786057582246121E-4</v>
      </c>
      <c r="Y506" s="2">
        <f t="shared" ca="1" si="20"/>
        <v>1.8917203171252912E-2</v>
      </c>
      <c r="Z506" s="2" cm="1">
        <f t="array" aca="1" ref="Z506" ca="1">MMULT(_xlfn.ANCHORARRAY(Q506),TRANSPOSE($Q$3:$U$3))</f>
        <v>1.1368446262060565E-3</v>
      </c>
      <c r="AA506" s="11">
        <f ca="1">AVEDEV(Q506*$Q$3,R506*$R$3,S506*$S$3,T506*$T$3,U506*$U$3)</f>
        <v>1.9540777043705327E-4</v>
      </c>
      <c r="AB506" s="11" cm="1">
        <f t="array" aca="1" ref="AB506" ca="1">MMULT(_xlfn.ANCHORARRAY(Q506),TRANSPOSE($Q$6:$U$6))</f>
        <v>-2.4661199961365846E-2</v>
      </c>
      <c r="AD506" s="2" t="s">
        <v>497</v>
      </c>
      <c r="AE506" s="10" cm="1">
        <f t="array" aca="1" ref="AE506:AI506" ca="1">_xlfn.LET(_xlpm.array,_xlfn.RANDARRAY(1,COLUMNS(_xlfn.ANCHORARRAY(Q505)),-1,1,FALSE),_xlpm.array/SUM(_xlpm.array))</f>
        <v>-0.24686410833433572</v>
      </c>
      <c r="AF506" s="10">
        <f ca="1"/>
        <v>1.4362242745569839E-2</v>
      </c>
      <c r="AG506" s="10">
        <f ca="1"/>
        <v>0.7772320936942938</v>
      </c>
      <c r="AH506" s="10">
        <f ca="1"/>
        <v>-9.5007295429224245E-2</v>
      </c>
      <c r="AI506" s="10">
        <f ca="1"/>
        <v>0.5502770673236963</v>
      </c>
      <c r="AJ506" s="1"/>
      <c r="AK506" s="2" cm="1">
        <f t="array" aca="1" ref="AK506" ca="1">MMULT(MMULT(_xlfn.ANCHORARRAY(AE506),$Q$9:$U$13),TRANSPOSE(_xlfn.ANCHORARRAY(AE506)))</f>
        <v>6.9629354839990595E-4</v>
      </c>
      <c r="AL506" s="2">
        <f t="shared" ca="1" si="21"/>
        <v>2.638737479174285E-2</v>
      </c>
      <c r="AM506" s="2" cm="1">
        <f t="array" aca="1" ref="AM506" ca="1">MMULT(_xlfn.ANCHORARRAY(AE507),TRANSPOSE($Q$3:$U$3))</f>
        <v>7.4087786585793161E-4</v>
      </c>
    </row>
    <row r="507" spans="1:39" x14ac:dyDescent="0.35">
      <c r="A507" s="3">
        <v>44564</v>
      </c>
      <c r="B507" s="4">
        <v>41.479747772216797</v>
      </c>
      <c r="C507" s="4">
        <v>100.49932098388599</v>
      </c>
      <c r="D507" s="4">
        <v>52.007240295410099</v>
      </c>
      <c r="E507" s="4">
        <v>18.739381790161101</v>
      </c>
      <c r="F507" s="4">
        <v>323.16073608398398</v>
      </c>
      <c r="I507" s="5">
        <f>B507/B506-1</f>
        <v>3.7986069712531156E-2</v>
      </c>
      <c r="J507" s="5">
        <f>C507/C506-1</f>
        <v>1.6276208022409477E-2</v>
      </c>
      <c r="K507" s="5">
        <f>D507/D506-1</f>
        <v>1.4420690887763543E-2</v>
      </c>
      <c r="L507" s="5">
        <f>E507/E506-1</f>
        <v>1.4812066521985301E-2</v>
      </c>
      <c r="M507" s="5">
        <f>F507/F506-1</f>
        <v>-4.6682036538030491E-3</v>
      </c>
      <c r="N507" s="5">
        <f>SUMPRODUCT(I507:M507,$AJ$13:$AN$13)</f>
        <v>1.3507840009132595E-3</v>
      </c>
      <c r="P507" s="2" t="s">
        <v>498</v>
      </c>
      <c r="Q507" s="10" cm="1">
        <f t="array" aca="1" ref="Q507:U507" ca="1">_xlfn.LET(_xlpm.array,_xlfn.RANDARRAY(1,COLUMNS(_xlfn.ANCHORARRAY(Q506)),0,1,FALSE),_xlpm.array/SUM(_xlpm.array))</f>
        <v>0.2324968698103439</v>
      </c>
      <c r="R507" s="2">
        <f ca="1"/>
        <v>0.11714031190067346</v>
      </c>
      <c r="S507" s="2">
        <f ca="1"/>
        <v>0.11679190260961606</v>
      </c>
      <c r="T507" s="2">
        <f ca="1"/>
        <v>0.32495130693909835</v>
      </c>
      <c r="U507" s="2">
        <f ca="1"/>
        <v>0.20861960874026811</v>
      </c>
      <c r="V507" s="12"/>
      <c r="X507" s="2" cm="1">
        <f t="array" aca="1" ref="X507" ca="1">MMULT(MMULT(_xlfn.ANCHORARRAY(Q507),$Q$9:$U$13),TRANSPOSE(_xlfn.ANCHORARRAY(Q507)))</f>
        <v>2.7765332566861587E-4</v>
      </c>
      <c r="Y507" s="2">
        <f t="shared" ca="1" si="20"/>
        <v>1.6662932685113263E-2</v>
      </c>
      <c r="Z507" s="2" cm="1">
        <f t="array" aca="1" ref="Z507" ca="1">MMULT(_xlfn.ANCHORARRAY(Q507),TRANSPOSE($Q$3:$U$3))</f>
        <v>8.8491555652074627E-4</v>
      </c>
      <c r="AA507" s="11">
        <f ca="1">AVEDEV(Q507*$Q$3,R507*$R$3,S507*$S$3,T507*$T$3,U507*$U$3)</f>
        <v>6.7071895244924696E-5</v>
      </c>
      <c r="AB507" s="11" cm="1">
        <f t="array" aca="1" ref="AB507" ca="1">MMULT(_xlfn.ANCHORARRAY(Q507),TRANSPOSE($Q$6:$U$6))</f>
        <v>-2.2984010437814683E-2</v>
      </c>
      <c r="AD507" s="2" t="s">
        <v>498</v>
      </c>
      <c r="AE507" s="10" cm="1">
        <f t="array" aca="1" ref="AE507:AI507" ca="1">_xlfn.LET(_xlpm.array,_xlfn.RANDARRAY(1,COLUMNS(_xlfn.ANCHORARRAY(Q506)),-1,1,FALSE),_xlpm.array/SUM(_xlpm.array))</f>
        <v>-0.77428858312305404</v>
      </c>
      <c r="AF507" s="10">
        <f ca="1"/>
        <v>0.92534781358023632</v>
      </c>
      <c r="AG507" s="10">
        <f ca="1"/>
        <v>-0.49093851458522986</v>
      </c>
      <c r="AH507" s="10">
        <f ca="1"/>
        <v>0.90026400990625843</v>
      </c>
      <c r="AI507" s="10">
        <f ca="1"/>
        <v>0.43961527422178909</v>
      </c>
      <c r="AJ507" s="1"/>
      <c r="AK507" s="2" cm="1">
        <f t="array" aca="1" ref="AK507" ca="1">MMULT(MMULT(_xlfn.ANCHORARRAY(AE507),$Q$9:$U$13),TRANSPOSE(_xlfn.ANCHORARRAY(AE507)))</f>
        <v>1.0723655738444707E-3</v>
      </c>
      <c r="AL507" s="2">
        <f t="shared" ca="1" si="21"/>
        <v>3.2746993355794826E-2</v>
      </c>
      <c r="AM507" s="2" cm="1">
        <f t="array" aca="1" ref="AM507" ca="1">MMULT(_xlfn.ANCHORARRAY(AE508),TRANSPOSE($Q$3:$U$3))</f>
        <v>2.0388074336287246E-3</v>
      </c>
    </row>
    <row r="508" spans="1:39" x14ac:dyDescent="0.35">
      <c r="A508" s="3">
        <v>44565</v>
      </c>
      <c r="B508" s="4">
        <v>43.105522155761697</v>
      </c>
      <c r="C508" s="4">
        <v>102.327949523925</v>
      </c>
      <c r="D508" s="4">
        <v>53.385463714599602</v>
      </c>
      <c r="E508" s="4">
        <v>18.9217224121093</v>
      </c>
      <c r="F508" s="4">
        <v>317.619537353515</v>
      </c>
      <c r="I508" s="5">
        <f>B508/B507-1</f>
        <v>3.9194413439366249E-2</v>
      </c>
      <c r="J508" s="5">
        <f>C508/C507-1</f>
        <v>1.8195431791347305E-2</v>
      </c>
      <c r="K508" s="5">
        <f>D508/D507-1</f>
        <v>2.6500606672474003E-2</v>
      </c>
      <c r="L508" s="5">
        <f>E508/E507-1</f>
        <v>9.7303435081266265E-3</v>
      </c>
      <c r="M508" s="5">
        <f>F508/F507-1</f>
        <v>-1.7146881139139758E-2</v>
      </c>
      <c r="N508" s="5">
        <f>SUMPRODUCT(I508:M508,$AJ$13:$AN$13)</f>
        <v>6.8519937447769543E-4</v>
      </c>
      <c r="P508" s="2" t="s">
        <v>499</v>
      </c>
      <c r="Q508" s="10" cm="1">
        <f t="array" aca="1" ref="Q508:U508" ca="1">_xlfn.LET(_xlpm.array,_xlfn.RANDARRAY(1,COLUMNS(_xlfn.ANCHORARRAY(Q507)),0,1,FALSE),_xlpm.array/SUM(_xlpm.array))</f>
        <v>3.6644122236488177E-2</v>
      </c>
      <c r="R508" s="2">
        <f ca="1"/>
        <v>0.37874447315707926</v>
      </c>
      <c r="S508" s="2">
        <f ca="1"/>
        <v>0.10313953121342841</v>
      </c>
      <c r="T508" s="2">
        <f ca="1"/>
        <v>6.5732349006830698E-2</v>
      </c>
      <c r="U508" s="2">
        <f ca="1"/>
        <v>0.41573952438617351</v>
      </c>
      <c r="V508" s="12"/>
      <c r="X508" s="2" cm="1">
        <f t="array" aca="1" ref="X508" ca="1">MMULT(MMULT(_xlfn.ANCHORARRAY(Q508),$Q$9:$U$13),TRANSPOSE(_xlfn.ANCHORARRAY(Q508)))</f>
        <v>2.5373192745763623E-4</v>
      </c>
      <c r="Y508" s="2">
        <f t="shared" ca="1" si="20"/>
        <v>1.5928965046657497E-2</v>
      </c>
      <c r="Z508" s="2" cm="1">
        <f t="array" aca="1" ref="Z508" ca="1">MMULT(_xlfn.ANCHORARRAY(Q508),TRANSPOSE($Q$3:$U$3))</f>
        <v>8.4783017604913745E-4</v>
      </c>
      <c r="AA508" s="11">
        <f ca="1">AVEDEV(Q508*$Q$3,R508*$R$3,S508*$S$3,T508*$T$3,U508*$U$3)</f>
        <v>1.0216875841872408E-4</v>
      </c>
      <c r="AB508" s="11" cm="1">
        <f t="array" aca="1" ref="AB508" ca="1">MMULT(_xlfn.ANCHORARRAY(Q508),TRANSPOSE($Q$6:$U$6))</f>
        <v>-2.1416358180801193E-2</v>
      </c>
      <c r="AD508" s="2" t="s">
        <v>499</v>
      </c>
      <c r="AE508" s="10" cm="1">
        <f t="array" aca="1" ref="AE508:AI508" ca="1">_xlfn.LET(_xlpm.array,_xlfn.RANDARRAY(1,COLUMNS(_xlfn.ANCHORARRAY(Q507)),-1,1,FALSE),_xlpm.array/SUM(_xlpm.array))</f>
        <v>4.2035470151893135E-2</v>
      </c>
      <c r="AF508" s="10">
        <f ca="1"/>
        <v>-2.1853021892262565</v>
      </c>
      <c r="AG508" s="10">
        <f ca="1"/>
        <v>1.3163994648983344</v>
      </c>
      <c r="AH508" s="10">
        <f ca="1"/>
        <v>0.30423316305357972</v>
      </c>
      <c r="AI508" s="10">
        <f ca="1"/>
        <v>1.5226340911224492</v>
      </c>
      <c r="AJ508" s="1"/>
      <c r="AK508" s="2" cm="1">
        <f t="array" aca="1" ref="AK508" ca="1">MMULT(MMULT(_xlfn.ANCHORARRAY(AE508),$Q$9:$U$13),TRANSPOSE(_xlfn.ANCHORARRAY(AE508)))</f>
        <v>3.1987406294791297E-3</v>
      </c>
      <c r="AL508" s="2">
        <f t="shared" ca="1" si="21"/>
        <v>5.6557410031569957E-2</v>
      </c>
      <c r="AM508" s="2" cm="1">
        <f t="array" aca="1" ref="AM508" ca="1">MMULT(_xlfn.ANCHORARRAY(AE509),TRANSPOSE($Q$3:$U$3))</f>
        <v>5.3551197300304694E-3</v>
      </c>
    </row>
    <row r="509" spans="1:39" x14ac:dyDescent="0.35">
      <c r="A509" s="3">
        <v>44566</v>
      </c>
      <c r="B509" s="4">
        <v>42.377967834472599</v>
      </c>
      <c r="C509" s="4">
        <v>102.993698120117</v>
      </c>
      <c r="D509" s="4">
        <v>52.919963836669901</v>
      </c>
      <c r="E509" s="4">
        <v>19.237319946288999</v>
      </c>
      <c r="F509" s="4">
        <v>305.42678833007801</v>
      </c>
      <c r="I509" s="5">
        <f>B509/B508-1</f>
        <v>-1.6878448164021398E-2</v>
      </c>
      <c r="J509" s="5">
        <f>C509/C508-1</f>
        <v>6.5060288932725641E-3</v>
      </c>
      <c r="K509" s="5">
        <f>D509/D508-1</f>
        <v>-8.7195997850328943E-3</v>
      </c>
      <c r="L509" s="5">
        <f>E509/E508-1</f>
        <v>1.6679112361236426E-2</v>
      </c>
      <c r="M509" s="5">
        <f>F509/F508-1</f>
        <v>-3.8387906251076354E-2</v>
      </c>
      <c r="N509" s="5">
        <f>SUMPRODUCT(I509:M509,$AJ$13:$AN$13)</f>
        <v>-4.9016347579148752E-3</v>
      </c>
      <c r="P509" s="2" t="s">
        <v>500</v>
      </c>
      <c r="Q509" s="10" cm="1">
        <f t="array" aca="1" ref="Q509:U509" ca="1">_xlfn.LET(_xlpm.array,_xlfn.RANDARRAY(1,COLUMNS(_xlfn.ANCHORARRAY(Q508)),0,1,FALSE),_xlpm.array/SUM(_xlpm.array))</f>
        <v>0.32013301917910375</v>
      </c>
      <c r="R509" s="2">
        <f ca="1"/>
        <v>0.10148497598216472</v>
      </c>
      <c r="S509" s="2">
        <f ca="1"/>
        <v>0.20782139433433017</v>
      </c>
      <c r="T509" s="2">
        <f ca="1"/>
        <v>0.26684033765675635</v>
      </c>
      <c r="U509" s="2">
        <f ca="1"/>
        <v>0.10372027284764511</v>
      </c>
      <c r="V509" s="12"/>
      <c r="X509" s="2" cm="1">
        <f t="array" aca="1" ref="X509" ca="1">MMULT(MMULT(_xlfn.ANCHORARRAY(Q509),$Q$9:$U$13),TRANSPOSE(_xlfn.ANCHORARRAY(Q509)))</f>
        <v>3.0235036241260069E-4</v>
      </c>
      <c r="Y509" s="2">
        <f t="shared" ca="1" si="20"/>
        <v>1.7388224820625041E-2</v>
      </c>
      <c r="Z509" s="2" cm="1">
        <f t="array" aca="1" ref="Z509" ca="1">MMULT(_xlfn.ANCHORARRAY(Q509),TRANSPOSE($Q$3:$U$3))</f>
        <v>9.262563088503255E-4</v>
      </c>
      <c r="AA509" s="11">
        <f ca="1">AVEDEV(Q509*$Q$3,R509*$R$3,S509*$S$3,T509*$T$3,U509*$U$3)</f>
        <v>9.5843296256970545E-5</v>
      </c>
      <c r="AB509" s="11" cm="1">
        <f t="array" aca="1" ref="AB509" ca="1">MMULT(_xlfn.ANCHORARRAY(Q509),TRANSPOSE($Q$6:$U$6))</f>
        <v>-2.345294092012791E-2</v>
      </c>
      <c r="AD509" s="2" t="s">
        <v>500</v>
      </c>
      <c r="AE509" s="10" cm="1">
        <f t="array" aca="1" ref="AE509:AI509" ca="1">_xlfn.LET(_xlpm.array,_xlfn.RANDARRAY(1,COLUMNS(_xlfn.ANCHORARRAY(Q508)),-1,1,FALSE),_xlpm.array/SUM(_xlpm.array))</f>
        <v>-2.4028596107294447</v>
      </c>
      <c r="AF509" s="10">
        <f ca="1"/>
        <v>-0.30338023998307867</v>
      </c>
      <c r="AG509" s="10">
        <f ca="1"/>
        <v>4.3192662470100274</v>
      </c>
      <c r="AH509" s="10">
        <f ca="1"/>
        <v>0.98257053859042831</v>
      </c>
      <c r="AI509" s="10">
        <f ca="1"/>
        <v>-1.5955969348879326</v>
      </c>
      <c r="AJ509" s="1"/>
      <c r="AK509" s="2" cm="1">
        <f t="array" aca="1" ref="AK509" ca="1">MMULT(MMULT(_xlfn.ANCHORARRAY(AE509),$Q$9:$U$13),TRANSPOSE(_xlfn.ANCHORARRAY(AE509)))</f>
        <v>1.3281607958248591E-2</v>
      </c>
      <c r="AL509" s="2">
        <f t="shared" ca="1" si="21"/>
        <v>0.11524585874663172</v>
      </c>
      <c r="AM509" s="2" cm="1">
        <f t="array" aca="1" ref="AM509" ca="1">MMULT(_xlfn.ANCHORARRAY(AE510),TRANSPOSE($Q$3:$U$3))</f>
        <v>1.1089752328525132E-3</v>
      </c>
    </row>
    <row r="510" spans="1:39" x14ac:dyDescent="0.35">
      <c r="A510" s="3">
        <v>44567</v>
      </c>
      <c r="B510" s="4">
        <v>43.231273651122997</v>
      </c>
      <c r="C510" s="4">
        <v>103.870056152343</v>
      </c>
      <c r="D510" s="4">
        <v>52.974727630615199</v>
      </c>
      <c r="E510" s="4">
        <v>19.531875610351499</v>
      </c>
      <c r="F510" s="4">
        <v>303.01327514648398</v>
      </c>
      <c r="I510" s="5">
        <f>B510/B509-1</f>
        <v>2.0135600177511925E-2</v>
      </c>
      <c r="J510" s="5">
        <f>C510/C509-1</f>
        <v>8.5088510095436831E-3</v>
      </c>
      <c r="K510" s="5">
        <f>D510/D509-1</f>
        <v>1.0348418625969469E-3</v>
      </c>
      <c r="L510" s="5">
        <f>E510/E509-1</f>
        <v>1.5311678803747286E-2</v>
      </c>
      <c r="M510" s="5">
        <f>F510/F509-1</f>
        <v>-7.9021005223213203E-3</v>
      </c>
      <c r="N510" s="5">
        <f>SUMPRODUCT(I510:M510,$AJ$13:$AN$13)</f>
        <v>-1.048618356269921E-3</v>
      </c>
      <c r="P510" s="2" t="s">
        <v>501</v>
      </c>
      <c r="Q510" s="10" cm="1">
        <f t="array" aca="1" ref="Q510:U510" ca="1">_xlfn.LET(_xlpm.array,_xlfn.RANDARRAY(1,COLUMNS(_xlfn.ANCHORARRAY(Q509)),0,1,FALSE),_xlpm.array/SUM(_xlpm.array))</f>
        <v>0.27718127325053932</v>
      </c>
      <c r="R510" s="2">
        <f ca="1"/>
        <v>0.31514114667885923</v>
      </c>
      <c r="S510" s="2">
        <f ca="1"/>
        <v>0.10987746045331195</v>
      </c>
      <c r="T510" s="2">
        <f ca="1"/>
        <v>4.7018763462525058E-2</v>
      </c>
      <c r="U510" s="2">
        <f ca="1"/>
        <v>0.2507813561547646</v>
      </c>
      <c r="V510" s="12"/>
      <c r="X510" s="2" cm="1">
        <f t="array" aca="1" ref="X510" ca="1">MMULT(MMULT(_xlfn.ANCHORARRAY(Q510),$Q$9:$U$13),TRANSPOSE(_xlfn.ANCHORARRAY(Q510)))</f>
        <v>2.6698421188869344E-4</v>
      </c>
      <c r="Y510" s="2">
        <f t="shared" ca="1" si="20"/>
        <v>1.6339651522865886E-2</v>
      </c>
      <c r="Z510" s="2" cm="1">
        <f t="array" aca="1" ref="Z510" ca="1">MMULT(_xlfn.ANCHORARRAY(Q510),TRANSPOSE($Q$3:$U$3))</f>
        <v>7.892920457448488E-4</v>
      </c>
      <c r="AA510" s="11">
        <f ca="1">AVEDEV(Q510*$Q$3,R510*$R$3,S510*$S$3,T510*$T$3,U510*$U$3)</f>
        <v>5.0722120930522764E-5</v>
      </c>
      <c r="AB510" s="11" cm="1">
        <f t="array" aca="1" ref="AB510" ca="1">MMULT(_xlfn.ANCHORARRAY(Q510),TRANSPOSE($Q$6:$U$6))</f>
        <v>-2.1695419903477519E-2</v>
      </c>
      <c r="AD510" s="2" t="s">
        <v>501</v>
      </c>
      <c r="AE510" s="10" cm="1">
        <f t="array" aca="1" ref="AE510:AI510" ca="1">_xlfn.LET(_xlpm.array,_xlfn.RANDARRAY(1,COLUMNS(_xlfn.ANCHORARRAY(Q509)),-1,1,FALSE),_xlpm.array/SUM(_xlpm.array))</f>
        <v>-0.42592287071508145</v>
      </c>
      <c r="AF510" s="10">
        <f ca="1"/>
        <v>0.7559040217493912</v>
      </c>
      <c r="AG510" s="10">
        <f ca="1"/>
        <v>0.46498902515445512</v>
      </c>
      <c r="AH510" s="10">
        <f ca="1"/>
        <v>-0.53941539033943575</v>
      </c>
      <c r="AI510" s="10">
        <f ca="1"/>
        <v>0.744445214150671</v>
      </c>
      <c r="AJ510" s="1"/>
      <c r="AK510" s="2" cm="1">
        <f t="array" aca="1" ref="AK510" ca="1">MMULT(MMULT(_xlfn.ANCHORARRAY(AE510),$Q$9:$U$13),TRANSPOSE(_xlfn.ANCHORARRAY(AE510)))</f>
        <v>5.9210458684895234E-4</v>
      </c>
      <c r="AL510" s="2">
        <f t="shared" ca="1" si="21"/>
        <v>2.4333199272782696E-2</v>
      </c>
      <c r="AM510" s="2" cm="1">
        <f t="array" aca="1" ref="AM510" ca="1">MMULT(_xlfn.ANCHORARRAY(AE511),TRANSPOSE($Q$3:$U$3))</f>
        <v>8.6111482278915718E-4</v>
      </c>
    </row>
    <row r="511" spans="1:39" x14ac:dyDescent="0.35">
      <c r="A511" s="3">
        <v>44568</v>
      </c>
      <c r="B511" s="4">
        <v>44.174404144287102</v>
      </c>
      <c r="C511" s="4">
        <v>105.36164855957</v>
      </c>
      <c r="D511" s="4">
        <v>52.9290962219238</v>
      </c>
      <c r="E511" s="4">
        <v>19.510835647583001</v>
      </c>
      <c r="F511" s="4">
        <v>303.16775512695301</v>
      </c>
      <c r="I511" s="5">
        <f>B511/B510-1</f>
        <v>2.1815931234762553E-2</v>
      </c>
      <c r="J511" s="5">
        <f>C511/C510-1</f>
        <v>1.4360177152877629E-2</v>
      </c>
      <c r="K511" s="5">
        <f>D511/D510-1</f>
        <v>-8.6138071364105784E-4</v>
      </c>
      <c r="L511" s="5">
        <f>E511/E510-1</f>
        <v>-1.0772115893133982E-3</v>
      </c>
      <c r="M511" s="5">
        <f>F511/F510-1</f>
        <v>5.0981258294502396E-4</v>
      </c>
      <c r="N511" s="5">
        <f>SUMPRODUCT(I511:M511,$AJ$13:$AN$13)</f>
        <v>-7.5614528292524338E-3</v>
      </c>
      <c r="P511" s="2" t="s">
        <v>502</v>
      </c>
      <c r="Q511" s="10" cm="1">
        <f t="array" aca="1" ref="Q511:U511" ca="1">_xlfn.LET(_xlpm.array,_xlfn.RANDARRAY(1,COLUMNS(_xlfn.ANCHORARRAY(Q510)),0,1,FALSE),_xlpm.array/SUM(_xlpm.array))</f>
        <v>0.23806294156310462</v>
      </c>
      <c r="R511" s="2">
        <f ca="1"/>
        <v>8.2495589597045577E-3</v>
      </c>
      <c r="S511" s="2">
        <f ca="1"/>
        <v>0.33379772663731111</v>
      </c>
      <c r="T511" s="2">
        <f ca="1"/>
        <v>4.350464489503357E-2</v>
      </c>
      <c r="U511" s="2">
        <f ca="1"/>
        <v>0.37638512794484613</v>
      </c>
      <c r="V511" s="12"/>
      <c r="X511" s="2" cm="1">
        <f t="array" aca="1" ref="X511" ca="1">MMULT(MMULT(_xlfn.ANCHORARRAY(Q511),$Q$9:$U$13),TRANSPOSE(_xlfn.ANCHORARRAY(Q511)))</f>
        <v>3.1481879554463247E-4</v>
      </c>
      <c r="Y511" s="2">
        <f t="shared" ca="1" si="20"/>
        <v>1.7743133757728156E-2</v>
      </c>
      <c r="Z511" s="2" cm="1">
        <f t="array" aca="1" ref="Z511" ca="1">MMULT(_xlfn.ANCHORARRAY(Q511),TRANSPOSE($Q$3:$U$3))</f>
        <v>1.0014312053270873E-3</v>
      </c>
      <c r="AA511" s="11">
        <f ca="1">AVEDEV(Q511*$Q$3,R511*$R$3,S511*$S$3,T511*$T$3,U511*$U$3)</f>
        <v>1.7175795445033859E-4</v>
      </c>
      <c r="AB511" s="11" cm="1">
        <f t="array" aca="1" ref="AB511" ca="1">MMULT(_xlfn.ANCHORARRAY(Q511),TRANSPOSE($Q$6:$U$6))</f>
        <v>-2.3048051710931345E-2</v>
      </c>
      <c r="AD511" s="2" t="s">
        <v>502</v>
      </c>
      <c r="AE511" s="10" cm="1">
        <f t="array" aca="1" ref="AE511:AI511" ca="1">_xlfn.LET(_xlpm.array,_xlfn.RANDARRAY(1,COLUMNS(_xlfn.ANCHORARRAY(Q510)),-1,1,FALSE),_xlpm.array/SUM(_xlpm.array))</f>
        <v>0.73099691794920441</v>
      </c>
      <c r="AF511" s="10">
        <f ca="1"/>
        <v>0.74674855604250756</v>
      </c>
      <c r="AG511" s="10">
        <f ca="1"/>
        <v>0.40126138179798437</v>
      </c>
      <c r="AH511" s="10">
        <f ca="1"/>
        <v>-0.13652113254082598</v>
      </c>
      <c r="AI511" s="10">
        <f ca="1"/>
        <v>-0.7424857232488703</v>
      </c>
      <c r="AJ511" s="1"/>
      <c r="AK511" s="2" cm="1">
        <f t="array" aca="1" ref="AK511" ca="1">MMULT(MMULT(_xlfn.ANCHORARRAY(AE511),$Q$9:$U$13),TRANSPOSE(_xlfn.ANCHORARRAY(AE511)))</f>
        <v>8.3118013570081977E-4</v>
      </c>
      <c r="AL511" s="2">
        <f t="shared" ca="1" si="21"/>
        <v>2.8830194860611325E-2</v>
      </c>
      <c r="AM511" s="2" cm="1">
        <f t="array" aca="1" ref="AM511" ca="1">MMULT(_xlfn.ANCHORARRAY(AE512),TRANSPOSE($Q$3:$U$3))</f>
        <v>1.4380258610290312E-3</v>
      </c>
    </row>
    <row r="512" spans="1:39" x14ac:dyDescent="0.35">
      <c r="A512" s="3">
        <v>44571</v>
      </c>
      <c r="B512" s="4">
        <v>43.949851989746001</v>
      </c>
      <c r="C512" s="4">
        <v>105.429054260253</v>
      </c>
      <c r="D512" s="4">
        <v>54.654155731201101</v>
      </c>
      <c r="E512" s="4">
        <v>19.1952400207519</v>
      </c>
      <c r="F512" s="4">
        <v>303.38986206054602</v>
      </c>
      <c r="I512" s="5">
        <f>B512/B511-1</f>
        <v>-5.0833091898114802E-3</v>
      </c>
      <c r="J512" s="5">
        <f>C512/C511-1</f>
        <v>6.3975556195750016E-4</v>
      </c>
      <c r="K512" s="5">
        <f>D512/D511-1</f>
        <v>3.2591894296558177E-2</v>
      </c>
      <c r="L512" s="5">
        <f>E512/E511-1</f>
        <v>-1.6175402864930466E-2</v>
      </c>
      <c r="M512" s="5">
        <f>F512/F511-1</f>
        <v>7.3262057008660619E-4</v>
      </c>
      <c r="N512" s="5">
        <f>SUMPRODUCT(I512:M512,$AJ$13:$AN$13)</f>
        <v>1.110557519072318E-2</v>
      </c>
      <c r="P512" s="2" t="s">
        <v>503</v>
      </c>
      <c r="Q512" s="10" cm="1">
        <f t="array" aca="1" ref="Q512:U512" ca="1">_xlfn.LET(_xlpm.array,_xlfn.RANDARRAY(1,COLUMNS(_xlfn.ANCHORARRAY(Q511)),0,1,FALSE),_xlpm.array/SUM(_xlpm.array))</f>
        <v>0.18102277088699756</v>
      </c>
      <c r="R512" s="2">
        <f ca="1"/>
        <v>0.23717116105985322</v>
      </c>
      <c r="S512" s="2">
        <f ca="1"/>
        <v>0.2104478985000402</v>
      </c>
      <c r="T512" s="2">
        <f ca="1"/>
        <v>0.18818149504274492</v>
      </c>
      <c r="U512" s="2">
        <f ca="1"/>
        <v>0.18317667451036421</v>
      </c>
      <c r="V512" s="12"/>
      <c r="X512" s="2" cm="1">
        <f t="array" aca="1" ref="X512" ca="1">MMULT(MMULT(_xlfn.ANCHORARRAY(Q512),$Q$9:$U$13),TRANSPOSE(_xlfn.ANCHORARRAY(Q512)))</f>
        <v>2.8309065565533715E-4</v>
      </c>
      <c r="Y512" s="2">
        <f t="shared" ca="1" si="20"/>
        <v>1.6825298085185212E-2</v>
      </c>
      <c r="Z512" s="2" cm="1">
        <f t="array" aca="1" ref="Z512" ca="1">MMULT(_xlfn.ANCHORARRAY(Q512),TRANSPOSE($Q$3:$U$3))</f>
        <v>9.393161541579086E-4</v>
      </c>
      <c r="AA512" s="11">
        <f ca="1">AVEDEV(Q512*$Q$3,R512*$R$3,S512*$S$3,T512*$T$3,U512*$U$3)</f>
        <v>6.3316210606989573E-5</v>
      </c>
      <c r="AB512" s="11" cm="1">
        <f t="array" aca="1" ref="AB512" ca="1">MMULT(_xlfn.ANCHORARRAY(Q512),TRANSPOSE($Q$6:$U$6))</f>
        <v>-2.2933343570684474E-2</v>
      </c>
      <c r="AD512" s="2" t="s">
        <v>503</v>
      </c>
      <c r="AE512" s="10" cm="1">
        <f t="array" aca="1" ref="AE512:AI512" ca="1">_xlfn.LET(_xlpm.array,_xlfn.RANDARRAY(1,COLUMNS(_xlfn.ANCHORARRAY(Q511)),-1,1,FALSE),_xlpm.array/SUM(_xlpm.array))</f>
        <v>-1.2203945846589535</v>
      </c>
      <c r="AF512" s="10">
        <f ca="1"/>
        <v>1.577830111709299</v>
      </c>
      <c r="AG512" s="10">
        <f ca="1"/>
        <v>1.0655337559891422</v>
      </c>
      <c r="AH512" s="10">
        <f ca="1"/>
        <v>-1.9505290936378117</v>
      </c>
      <c r="AI512" s="10">
        <f ca="1"/>
        <v>1.5275598105983239</v>
      </c>
      <c r="AJ512" s="1"/>
      <c r="AK512" s="2" cm="1">
        <f t="array" aca="1" ref="AK512" ca="1">MMULT(MMULT(_xlfn.ANCHORARRAY(AE512),$Q$9:$U$13),TRANSPOSE(_xlfn.ANCHORARRAY(AE512)))</f>
        <v>3.0380130718863519E-3</v>
      </c>
      <c r="AL512" s="2">
        <f t="shared" ca="1" si="21"/>
        <v>5.5118173698757038E-2</v>
      </c>
      <c r="AM512" s="2" cm="1">
        <f t="array" aca="1" ref="AM512" ca="1">MMULT(_xlfn.ANCHORARRAY(AE513),TRANSPOSE($Q$3:$U$3))</f>
        <v>4.1641013591465592E-4</v>
      </c>
    </row>
    <row r="513" spans="1:39" x14ac:dyDescent="0.35">
      <c r="A513" s="3">
        <v>44572</v>
      </c>
      <c r="B513" s="4">
        <v>44.201347351074197</v>
      </c>
      <c r="C513" s="4">
        <v>107.839149475097</v>
      </c>
      <c r="D513" s="4">
        <v>54.991863250732401</v>
      </c>
      <c r="E513" s="4">
        <v>19.5388889312744</v>
      </c>
      <c r="F513" s="4">
        <v>304.07531738281199</v>
      </c>
      <c r="I513" s="5">
        <f>B513/B512-1</f>
        <v>5.7223255583858101E-3</v>
      </c>
      <c r="J513" s="5">
        <f>C513/C512-1</f>
        <v>2.2859877021135455E-2</v>
      </c>
      <c r="K513" s="5">
        <f>D513/D512-1</f>
        <v>6.1789906918003901E-3</v>
      </c>
      <c r="L513" s="5">
        <f>E513/E512-1</f>
        <v>1.7902819144276494E-2</v>
      </c>
      <c r="M513" s="5">
        <f>F513/F512-1</f>
        <v>2.2593217769721896E-3</v>
      </c>
      <c r="N513" s="5">
        <f>SUMPRODUCT(I513:M513,$AJ$13:$AN$13)</f>
        <v>9.9332551310906854E-3</v>
      </c>
      <c r="P513" s="2" t="s">
        <v>504</v>
      </c>
      <c r="Q513" s="10" cm="1">
        <f t="array" aca="1" ref="Q513:U513" ca="1">_xlfn.LET(_xlpm.array,_xlfn.RANDARRAY(1,COLUMNS(_xlfn.ANCHORARRAY(Q512)),0,1,FALSE),_xlpm.array/SUM(_xlpm.array))</f>
        <v>0.3103065761401293</v>
      </c>
      <c r="R513" s="2">
        <f ca="1"/>
        <v>0.21247167333495812</v>
      </c>
      <c r="S513" s="2">
        <f ca="1"/>
        <v>0.10493911721595711</v>
      </c>
      <c r="T513" s="2">
        <f ca="1"/>
        <v>5.4199648746859487E-2</v>
      </c>
      <c r="U513" s="2">
        <f ca="1"/>
        <v>0.31808298456209599</v>
      </c>
      <c r="V513" s="12"/>
      <c r="X513" s="2" cm="1">
        <f t="array" aca="1" ref="X513" ca="1">MMULT(MMULT(_xlfn.ANCHORARRAY(Q513),$Q$9:$U$13),TRANSPOSE(_xlfn.ANCHORARRAY(Q513)))</f>
        <v>2.5882294140805657E-4</v>
      </c>
      <c r="Y513" s="2">
        <f t="shared" ca="1" si="20"/>
        <v>1.6087975056173369E-2</v>
      </c>
      <c r="Z513" s="2" cm="1">
        <f t="array" aca="1" ref="Z513" ca="1">MMULT(_xlfn.ANCHORARRAY(Q513),TRANSPOSE($Q$3:$U$3))</f>
        <v>7.8194674762289192E-4</v>
      </c>
      <c r="AA513" s="11">
        <f ca="1">AVEDEV(Q513*$Q$3,R513*$R$3,S513*$S$3,T513*$T$3,U513*$U$3)</f>
        <v>4.0900918756258069E-5</v>
      </c>
      <c r="AB513" s="11" cm="1">
        <f t="array" aca="1" ref="AB513" ca="1">MMULT(_xlfn.ANCHORARRAY(Q513),TRANSPOSE($Q$6:$U$6))</f>
        <v>-2.169768868798809E-2</v>
      </c>
      <c r="AD513" s="2" t="s">
        <v>504</v>
      </c>
      <c r="AE513" s="10" cm="1">
        <f t="array" aca="1" ref="AE513:AI513" ca="1">_xlfn.LET(_xlpm.array,_xlfn.RANDARRAY(1,COLUMNS(_xlfn.ANCHORARRAY(Q512)),-1,1,FALSE),_xlpm.array/SUM(_xlpm.array))</f>
        <v>0.17749386321162172</v>
      </c>
      <c r="AF513" s="10">
        <f ca="1"/>
        <v>0.70591494697814472</v>
      </c>
      <c r="AG513" s="10">
        <f ca="1"/>
        <v>-0.25732925654081323</v>
      </c>
      <c r="AH513" s="10">
        <f ca="1"/>
        <v>-0.22346916824416999</v>
      </c>
      <c r="AI513" s="10">
        <f ca="1"/>
        <v>0.59738961459521689</v>
      </c>
      <c r="AJ513" s="1"/>
      <c r="AK513" s="2" cm="1">
        <f t="array" aca="1" ref="AK513" ca="1">MMULT(MMULT(_xlfn.ANCHORARRAY(AE513),$Q$9:$U$13),TRANSPOSE(_xlfn.ANCHORARRAY(AE513)))</f>
        <v>3.4973080189838664E-4</v>
      </c>
      <c r="AL513" s="2">
        <f t="shared" ca="1" si="21"/>
        <v>1.8701090928028415E-2</v>
      </c>
      <c r="AM513" s="2" cm="1">
        <f t="array" aca="1" ref="AM513" ca="1">MMULT(_xlfn.ANCHORARRAY(AE514),TRANSPOSE($Q$3:$U$3))</f>
        <v>1.0921939987055373E-3</v>
      </c>
    </row>
    <row r="514" spans="1:39" x14ac:dyDescent="0.35">
      <c r="A514" s="3">
        <v>44573</v>
      </c>
      <c r="B514" s="4">
        <v>43.886970520019503</v>
      </c>
      <c r="C514" s="4">
        <v>107.299827575683</v>
      </c>
      <c r="D514" s="4">
        <v>54.718032836913999</v>
      </c>
      <c r="E514" s="4">
        <v>19.791368484496999</v>
      </c>
      <c r="F514" s="4">
        <v>307.25134277343699</v>
      </c>
      <c r="I514" s="5">
        <f>B514/B513-1</f>
        <v>-7.1123811805491322E-3</v>
      </c>
      <c r="J514" s="5">
        <f>C514/C513-1</f>
        <v>-5.0011698167050644E-3</v>
      </c>
      <c r="K514" s="5">
        <f>D514/D513-1</f>
        <v>-4.9794714641671067E-3</v>
      </c>
      <c r="L514" s="5">
        <f>E514/E513-1</f>
        <v>1.2921899198601539E-2</v>
      </c>
      <c r="M514" s="5">
        <f>F514/F513-1</f>
        <v>1.0444864180233937E-2</v>
      </c>
      <c r="N514" s="5">
        <f>SUMPRODUCT(I514:M514,$AJ$13:$AN$13)</f>
        <v>9.1550737252436669E-3</v>
      </c>
      <c r="P514" s="2" t="s">
        <v>505</v>
      </c>
      <c r="Q514" s="10" cm="1">
        <f t="array" aca="1" ref="Q514:U514" ca="1">_xlfn.LET(_xlpm.array,_xlfn.RANDARRAY(1,COLUMNS(_xlfn.ANCHORARRAY(Q513)),0,1,FALSE),_xlpm.array/SUM(_xlpm.array))</f>
        <v>0.24108048940158222</v>
      </c>
      <c r="R514" s="2">
        <f ca="1"/>
        <v>0.2817974807297291</v>
      </c>
      <c r="S514" s="2">
        <f ca="1"/>
        <v>0.12535699419684987</v>
      </c>
      <c r="T514" s="2">
        <f ca="1"/>
        <v>0.28529262054694049</v>
      </c>
      <c r="U514" s="2">
        <f ca="1"/>
        <v>6.6472415124898154E-2</v>
      </c>
      <c r="V514" s="12"/>
      <c r="X514" s="2" cm="1">
        <f t="array" aca="1" ref="X514" ca="1">MMULT(MMULT(_xlfn.ANCHORARRAY(Q514),$Q$9:$U$13),TRANSPOSE(_xlfn.ANCHORARRAY(Q514)))</f>
        <v>3.1282864589695763E-4</v>
      </c>
      <c r="Y514" s="2">
        <f t="shared" ca="1" si="20"/>
        <v>1.768696259669697E-2</v>
      </c>
      <c r="Z514" s="2" cm="1">
        <f t="array" aca="1" ref="Z514" ca="1">MMULT(_xlfn.ANCHORARRAY(Q514),TRANSPOSE($Q$3:$U$3))</f>
        <v>8.7418914174980399E-4</v>
      </c>
      <c r="AA514" s="11">
        <f ca="1">AVEDEV(Q514*$Q$3,R514*$R$3,S514*$S$3,T514*$T$3,U514*$U$3)</f>
        <v>7.0522288874809219E-5</v>
      </c>
      <c r="AB514" s="11" cm="1">
        <f t="array" aca="1" ref="AB514" ca="1">MMULT(_xlfn.ANCHORARRAY(Q514),TRANSPOSE($Q$6:$U$6))</f>
        <v>-2.2934517776899473E-2</v>
      </c>
      <c r="AD514" s="2" t="s">
        <v>505</v>
      </c>
      <c r="AE514" s="10" cm="1">
        <f t="array" aca="1" ref="AE514:AI514" ca="1">_xlfn.LET(_xlpm.array,_xlfn.RANDARRAY(1,COLUMNS(_xlfn.ANCHORARRAY(Q513)),-1,1,FALSE),_xlpm.array/SUM(_xlpm.array))</f>
        <v>0.35043761497721859</v>
      </c>
      <c r="AF514" s="10">
        <f ca="1"/>
        <v>0.24707947081430218</v>
      </c>
      <c r="AG514" s="10">
        <f ca="1"/>
        <v>0.55878782941973082</v>
      </c>
      <c r="AH514" s="10">
        <f ca="1"/>
        <v>-0.21133524847536292</v>
      </c>
      <c r="AI514" s="10">
        <f ca="1"/>
        <v>5.5030333264111275E-2</v>
      </c>
      <c r="AJ514" s="1"/>
      <c r="AK514" s="2" cm="1">
        <f t="array" aca="1" ref="AK514" ca="1">MMULT(MMULT(_xlfn.ANCHORARRAY(AE514),$Q$9:$U$13),TRANSPOSE(_xlfn.ANCHORARRAY(AE514)))</f>
        <v>4.7967195522642908E-4</v>
      </c>
      <c r="AL514" s="2">
        <f t="shared" ca="1" si="21"/>
        <v>2.1901414457208675E-2</v>
      </c>
      <c r="AM514" s="2" cm="1">
        <f t="array" aca="1" ref="AM514" ca="1">MMULT(_xlfn.ANCHORARRAY(AE515),TRANSPOSE($Q$3:$U$3))</f>
        <v>-2.1269122911112643E-4</v>
      </c>
    </row>
    <row r="515" spans="1:39" x14ac:dyDescent="0.35">
      <c r="A515" s="3">
        <v>44574</v>
      </c>
      <c r="B515" s="4">
        <v>43.797149658203097</v>
      </c>
      <c r="C515" s="4">
        <v>106.853187561035</v>
      </c>
      <c r="D515" s="4">
        <v>54.918846130371001</v>
      </c>
      <c r="E515" s="4">
        <v>19.847471237182599</v>
      </c>
      <c r="F515" s="4">
        <v>294.24761962890602</v>
      </c>
      <c r="I515" s="5">
        <f>B515/B514-1</f>
        <v>-2.0466407398850306E-3</v>
      </c>
      <c r="J515" s="5">
        <f>C515/C514-1</f>
        <v>-4.1625417741977255E-3</v>
      </c>
      <c r="K515" s="5">
        <f>D515/D514-1</f>
        <v>3.6699655131156028E-3</v>
      </c>
      <c r="L515" s="5">
        <f>E515/E514-1</f>
        <v>2.8347081066955049E-3</v>
      </c>
      <c r="M515" s="5">
        <f>F515/F514-1</f>
        <v>-4.2322754482214675E-2</v>
      </c>
      <c r="N515" s="5">
        <f>SUMPRODUCT(I515:M515,$AJ$13:$AN$13)</f>
        <v>-1.0174070920917239E-2</v>
      </c>
      <c r="P515" s="2" t="s">
        <v>506</v>
      </c>
      <c r="Q515" s="10" cm="1">
        <f t="array" aca="1" ref="Q515:U515" ca="1">_xlfn.LET(_xlpm.array,_xlfn.RANDARRAY(1,COLUMNS(_xlfn.ANCHORARRAY(Q514)),0,1,FALSE),_xlpm.array/SUM(_xlpm.array))</f>
        <v>0.32948993051819297</v>
      </c>
      <c r="R515" s="2">
        <f ca="1"/>
        <v>0.26291816985592442</v>
      </c>
      <c r="S515" s="2">
        <f ca="1"/>
        <v>4.7429221342278872E-2</v>
      </c>
      <c r="T515" s="2">
        <f ca="1"/>
        <v>2.4091409458351584E-2</v>
      </c>
      <c r="U515" s="2">
        <f ca="1"/>
        <v>0.33607126882525218</v>
      </c>
      <c r="V515" s="12"/>
      <c r="X515" s="2" cm="1">
        <f t="array" aca="1" ref="X515" ca="1">MMULT(MMULT(_xlfn.ANCHORARRAY(Q515),$Q$9:$U$13),TRANSPOSE(_xlfn.ANCHORARRAY(Q515)))</f>
        <v>2.5924028350219215E-4</v>
      </c>
      <c r="Y515" s="2">
        <f t="shared" ca="1" si="20"/>
        <v>1.6100940453967035E-2</v>
      </c>
      <c r="Z515" s="2" cm="1">
        <f t="array" aca="1" ref="Z515" ca="1">MMULT(_xlfn.ANCHORARRAY(Q515),TRANSPOSE($Q$3:$U$3))</f>
        <v>7.1813781676573533E-4</v>
      </c>
      <c r="AA515" s="11">
        <f ca="1">AVEDEV(Q515*$Q$3,R515*$R$3,S515*$S$3,T515*$T$3,U515*$U$3)</f>
        <v>7.4247135224523089E-5</v>
      </c>
      <c r="AB515" s="11" cm="1">
        <f t="array" aca="1" ref="AB515" ca="1">MMULT(_xlfn.ANCHORARRAY(Q515),TRANSPOSE($Q$6:$U$6))</f>
        <v>-2.1194375551868636E-2</v>
      </c>
      <c r="AD515" s="2" t="s">
        <v>506</v>
      </c>
      <c r="AE515" s="10" cm="1">
        <f t="array" aca="1" ref="AE515:AI515" ca="1">_xlfn.LET(_xlpm.array,_xlfn.RANDARRAY(1,COLUMNS(_xlfn.ANCHORARRAY(Q514)),-1,1,FALSE),_xlpm.array/SUM(_xlpm.array))</f>
        <v>1.1729431744298142</v>
      </c>
      <c r="AF515" s="10">
        <f ca="1"/>
        <v>-1.802051020348151</v>
      </c>
      <c r="AG515" s="10">
        <f ca="1"/>
        <v>-1.3633503475596442</v>
      </c>
      <c r="AH515" s="10">
        <f ca="1"/>
        <v>1.6839702449768457</v>
      </c>
      <c r="AI515" s="10">
        <f ca="1"/>
        <v>1.3084879485011351</v>
      </c>
      <c r="AJ515" s="1"/>
      <c r="AK515" s="2" cm="1">
        <f t="array" aca="1" ref="AK515" ca="1">MMULT(MMULT(_xlfn.ANCHORARRAY(AE515),$Q$9:$U$13),TRANSPOSE(_xlfn.ANCHORARRAY(AE515)))</f>
        <v>2.4540044446649135E-3</v>
      </c>
      <c r="AL515" s="2">
        <f t="shared" ca="1" si="21"/>
        <v>4.9537909167272222E-2</v>
      </c>
      <c r="AM515" s="2" cm="1">
        <f t="array" aca="1" ref="AM515" ca="1">MMULT(_xlfn.ANCHORARRAY(AE516),TRANSPOSE($Q$3:$U$3))</f>
        <v>4.9458695907609795E-3</v>
      </c>
    </row>
    <row r="516" spans="1:39" x14ac:dyDescent="0.35">
      <c r="A516" s="3">
        <v>44575</v>
      </c>
      <c r="B516" s="4">
        <v>43.033676147460902</v>
      </c>
      <c r="C516" s="4">
        <v>108.6734085083</v>
      </c>
      <c r="D516" s="4">
        <v>55.247428894042898</v>
      </c>
      <c r="E516" s="4">
        <v>20.541780471801701</v>
      </c>
      <c r="F516" s="4">
        <v>299.46075439453102</v>
      </c>
      <c r="I516" s="5">
        <f>B516/B515-1</f>
        <v>-1.7432036484118507E-2</v>
      </c>
      <c r="J516" s="5">
        <f>C516/C515-1</f>
        <v>1.7034783788974828E-2</v>
      </c>
      <c r="K516" s="5">
        <f>D516/D515-1</f>
        <v>5.9830602211101702E-3</v>
      </c>
      <c r="L516" s="5">
        <f>E516/E515-1</f>
        <v>3.4982251709646972E-2</v>
      </c>
      <c r="M516" s="5">
        <f>F516/F515-1</f>
        <v>1.7716829017001334E-2</v>
      </c>
      <c r="N516" s="5">
        <f>SUMPRODUCT(I516:M516,$AJ$13:$AN$13)</f>
        <v>2.9862623077537523E-2</v>
      </c>
      <c r="P516" s="2" t="s">
        <v>507</v>
      </c>
      <c r="Q516" s="10" cm="1">
        <f t="array" aca="1" ref="Q516:U516" ca="1">_xlfn.LET(_xlpm.array,_xlfn.RANDARRAY(1,COLUMNS(_xlfn.ANCHORARRAY(Q515)),0,1,FALSE),_xlpm.array/SUM(_xlpm.array))</f>
        <v>0.11523005328607697</v>
      </c>
      <c r="R516" s="2">
        <f ca="1"/>
        <v>0.13398179535264826</v>
      </c>
      <c r="S516" s="2">
        <f ca="1"/>
        <v>0.36005755298460351</v>
      </c>
      <c r="T516" s="2">
        <f ca="1"/>
        <v>0.31715225040794853</v>
      </c>
      <c r="U516" s="2">
        <f ca="1"/>
        <v>7.357834796872266E-2</v>
      </c>
      <c r="V516" s="12"/>
      <c r="X516" s="2" cm="1">
        <f t="array" aca="1" ref="X516" ca="1">MMULT(MMULT(_xlfn.ANCHORARRAY(Q516),$Q$9:$U$13),TRANSPOSE(_xlfn.ANCHORARRAY(Q516)))</f>
        <v>3.4775067459598267E-4</v>
      </c>
      <c r="Y516" s="2">
        <f t="shared" ca="1" si="20"/>
        <v>1.8648074286531108E-2</v>
      </c>
      <c r="Z516" s="2" cm="1">
        <f t="array" aca="1" ref="Z516" ca="1">MMULT(_xlfn.ANCHORARRAY(Q516),TRANSPOSE($Q$3:$U$3))</f>
        <v>1.1214225766536367E-3</v>
      </c>
      <c r="AA516" s="11">
        <f ca="1">AVEDEV(Q516*$Q$3,R516*$R$3,S516*$S$3,T516*$T$3,U516*$U$3)</f>
        <v>1.8406915385134993E-4</v>
      </c>
      <c r="AB516" s="11" cm="1">
        <f t="array" aca="1" ref="AB516" ca="1">MMULT(_xlfn.ANCHORARRAY(Q516),TRANSPOSE($Q$6:$U$6))</f>
        <v>-2.448730517297475E-2</v>
      </c>
      <c r="AD516" s="2" t="s">
        <v>507</v>
      </c>
      <c r="AE516" s="10" cm="1">
        <f t="array" aca="1" ref="AE516:AI516" ca="1">_xlfn.LET(_xlpm.array,_xlfn.RANDARRAY(1,COLUMNS(_xlfn.ANCHORARRAY(Q515)),-1,1,FALSE),_xlpm.array/SUM(_xlpm.array))</f>
        <v>-3.1448829115953831</v>
      </c>
      <c r="AF516" s="10">
        <f ca="1"/>
        <v>2.2248851741512601</v>
      </c>
      <c r="AG516" s="10">
        <f ca="1"/>
        <v>3.9485270761439311</v>
      </c>
      <c r="AH516" s="10">
        <f ca="1"/>
        <v>0.22847454122615082</v>
      </c>
      <c r="AI516" s="10">
        <f ca="1"/>
        <v>-2.2570038799259589</v>
      </c>
      <c r="AJ516" s="1"/>
      <c r="AK516" s="2" cm="1">
        <f t="array" aca="1" ref="AK516" ca="1">MMULT(MMULT(_xlfn.ANCHORARRAY(AE516),$Q$9:$U$13),TRANSPOSE(_xlfn.ANCHORARRAY(AE516)))</f>
        <v>1.3169929513067783E-2</v>
      </c>
      <c r="AL516" s="2">
        <f t="shared" ca="1" si="21"/>
        <v>0.11476031331896834</v>
      </c>
      <c r="AM516" s="2" cm="1">
        <f t="array" aca="1" ref="AM516" ca="1">MMULT(_xlfn.ANCHORARRAY(AE517),TRANSPOSE($Q$3:$U$3))</f>
        <v>8.2243486966734913E-4</v>
      </c>
    </row>
    <row r="517" spans="1:39" x14ac:dyDescent="0.35">
      <c r="A517" s="3">
        <v>44579</v>
      </c>
      <c r="B517" s="4">
        <v>41.551605224609297</v>
      </c>
      <c r="C517" s="4">
        <v>109.02735900878901</v>
      </c>
      <c r="D517" s="4">
        <v>54.2890625</v>
      </c>
      <c r="E517" s="4">
        <v>20.359437942504801</v>
      </c>
      <c r="F517" s="4">
        <v>292.17205810546801</v>
      </c>
      <c r="I517" s="5">
        <f>B517/B516-1</f>
        <v>-3.443979356476734E-2</v>
      </c>
      <c r="J517" s="5">
        <f>C517/C516-1</f>
        <v>3.2570111248693134E-3</v>
      </c>
      <c r="K517" s="5">
        <f>D517/D516-1</f>
        <v>-1.7346805330632042E-2</v>
      </c>
      <c r="L517" s="5">
        <f>E517/E516-1</f>
        <v>-8.8766662435715293E-3</v>
      </c>
      <c r="M517" s="5">
        <f>F517/F516-1</f>
        <v>-2.4339404019066757E-2</v>
      </c>
      <c r="N517" s="5">
        <f>SUMPRODUCT(I517:M517,$AJ$13:$AN$13)</f>
        <v>-1.1456423580585063E-2</v>
      </c>
      <c r="P517" s="2" t="s">
        <v>508</v>
      </c>
      <c r="Q517" s="10" cm="1">
        <f t="array" aca="1" ref="Q517:U517" ca="1">_xlfn.LET(_xlpm.array,_xlfn.RANDARRAY(1,COLUMNS(_xlfn.ANCHORARRAY(Q516)),0,1,FALSE),_xlpm.array/SUM(_xlpm.array))</f>
        <v>0.15150307304552077</v>
      </c>
      <c r="R517" s="2">
        <f ca="1"/>
        <v>0.14511041358534579</v>
      </c>
      <c r="S517" s="2">
        <f ca="1"/>
        <v>0.32739569084544584</v>
      </c>
      <c r="T517" s="2">
        <f ca="1"/>
        <v>0.23290278478031914</v>
      </c>
      <c r="U517" s="2">
        <f ca="1"/>
        <v>0.14308803774336848</v>
      </c>
      <c r="V517" s="12"/>
      <c r="X517" s="2" cm="1">
        <f t="array" aca="1" ref="X517" ca="1">MMULT(MMULT(_xlfn.ANCHORARRAY(Q517),$Q$9:$U$13),TRANSPOSE(_xlfn.ANCHORARRAY(Q517)))</f>
        <v>3.1700850288828562E-4</v>
      </c>
      <c r="Y517" s="2">
        <f t="shared" ca="1" si="20"/>
        <v>1.7804732598056216E-2</v>
      </c>
      <c r="Z517" s="2" cm="1">
        <f t="array" aca="1" ref="Z517" ca="1">MMULT(_xlfn.ANCHORARRAY(Q517),TRANSPOSE($Q$3:$U$3))</f>
        <v>1.0620359196399265E-3</v>
      </c>
      <c r="AA517" s="11">
        <f ca="1">AVEDEV(Q517*$Q$3,R517*$R$3,S517*$S$3,T517*$T$3,U517*$U$3)</f>
        <v>1.3792558441920566E-4</v>
      </c>
      <c r="AB517" s="11" cm="1">
        <f t="array" aca="1" ref="AB517" ca="1">MMULT(_xlfn.ANCHORARRAY(Q517),TRANSPOSE($Q$6:$U$6))</f>
        <v>-2.389273908165682E-2</v>
      </c>
      <c r="AD517" s="2" t="s">
        <v>508</v>
      </c>
      <c r="AE517" s="10" cm="1">
        <f t="array" aca="1" ref="AE517:AI517" ca="1">_xlfn.LET(_xlpm.array,_xlfn.RANDARRAY(1,COLUMNS(_xlfn.ANCHORARRAY(Q516)),-1,1,FALSE),_xlpm.array/SUM(_xlpm.array))</f>
        <v>0.32566456202647343</v>
      </c>
      <c r="AF517" s="10">
        <f ca="1"/>
        <v>1.064092132199715</v>
      </c>
      <c r="AG517" s="10">
        <f ca="1"/>
        <v>-0.19609600229424418</v>
      </c>
      <c r="AH517" s="10">
        <f ca="1"/>
        <v>1.3493268626931905</v>
      </c>
      <c r="AI517" s="10">
        <f ca="1"/>
        <v>-1.5429875546251348</v>
      </c>
      <c r="AJ517" s="1"/>
      <c r="AK517" s="2" cm="1">
        <f t="array" aca="1" ref="AK517" ca="1">MMULT(MMULT(_xlfn.ANCHORARRAY(AE517),$Q$9:$U$13),TRANSPOSE(_xlfn.ANCHORARRAY(AE517)))</f>
        <v>2.8329493599092734E-3</v>
      </c>
      <c r="AL517" s="2">
        <f t="shared" ca="1" si="21"/>
        <v>5.3225457817751773E-2</v>
      </c>
      <c r="AM517" s="2" cm="1">
        <f t="array" aca="1" ref="AM517" ca="1">MMULT(_xlfn.ANCHORARRAY(AE518),TRANSPOSE($Q$3:$U$3))</f>
        <v>1.7220171627245297E-2</v>
      </c>
    </row>
    <row r="518" spans="1:39" x14ac:dyDescent="0.35">
      <c r="A518" s="3">
        <v>44580</v>
      </c>
      <c r="B518" s="4">
        <v>41.7132759094238</v>
      </c>
      <c r="C518" s="4">
        <v>108.631286621093</v>
      </c>
      <c r="D518" s="4">
        <v>52.901710510253899</v>
      </c>
      <c r="E518" s="4">
        <v>20.099950790405199</v>
      </c>
      <c r="F518" s="4">
        <v>292.82846069335898</v>
      </c>
      <c r="I518" s="5">
        <f>B518/B517-1</f>
        <v>3.8908408938855832E-3</v>
      </c>
      <c r="J518" s="5">
        <f>C518/C517-1</f>
        <v>-3.6327798022153246E-3</v>
      </c>
      <c r="K518" s="5">
        <f>D518/D517-1</f>
        <v>-2.5554907855447007E-2</v>
      </c>
      <c r="L518" s="5">
        <f>E518/E517-1</f>
        <v>-1.2745300377760671E-2</v>
      </c>
      <c r="M518" s="5">
        <f>F518/F517-1</f>
        <v>2.2466302635073543E-3</v>
      </c>
      <c r="N518" s="5">
        <f>SUMPRODUCT(I518:M518,$AJ$13:$AN$13)</f>
        <v>-1.9516854032693466E-2</v>
      </c>
      <c r="P518" s="2" t="s">
        <v>509</v>
      </c>
      <c r="Q518" s="10" cm="1">
        <f t="array" aca="1" ref="Q518:U518" ca="1">_xlfn.LET(_xlpm.array,_xlfn.RANDARRAY(1,COLUMNS(_xlfn.ANCHORARRAY(Q517)),0,1,FALSE),_xlpm.array/SUM(_xlpm.array))</f>
        <v>7.198825508079619E-2</v>
      </c>
      <c r="R518" s="2">
        <f ca="1"/>
        <v>0.14035609257259637</v>
      </c>
      <c r="S518" s="2">
        <f ca="1"/>
        <v>0.26379707556197607</v>
      </c>
      <c r="T518" s="2">
        <f ca="1"/>
        <v>0.2930106656058365</v>
      </c>
      <c r="U518" s="2">
        <f ca="1"/>
        <v>0.23084791117879488</v>
      </c>
      <c r="V518" s="12"/>
      <c r="X518" s="2" cm="1">
        <f t="array" aca="1" ref="X518" ca="1">MMULT(MMULT(_xlfn.ANCHORARRAY(Q518),$Q$9:$U$13),TRANSPOSE(_xlfn.ANCHORARRAY(Q518)))</f>
        <v>2.9430565113158959E-4</v>
      </c>
      <c r="Y518" s="2">
        <f t="shared" ca="1" si="20"/>
        <v>1.7155338852135493E-2</v>
      </c>
      <c r="Z518" s="2" cm="1">
        <f t="array" aca="1" ref="Z518" ca="1">MMULT(_xlfn.ANCHORARRAY(Q518),TRANSPOSE($Q$3:$U$3))</f>
        <v>1.043397535331657E-3</v>
      </c>
      <c r="AA518" s="11">
        <f ca="1">AVEDEV(Q518*$Q$3,R518*$R$3,S518*$S$3,T518*$T$3,U518*$U$3)</f>
        <v>1.2415694195687588E-4</v>
      </c>
      <c r="AB518" s="11" cm="1">
        <f t="array" aca="1" ref="AB518" ca="1">MMULT(_xlfn.ANCHORARRAY(Q518),TRANSPOSE($Q$6:$U$6))</f>
        <v>-2.3628900657471245E-2</v>
      </c>
      <c r="AD518" s="2" t="s">
        <v>509</v>
      </c>
      <c r="AE518" s="10" cm="1">
        <f t="array" aca="1" ref="AE518:AI518" ca="1">_xlfn.LET(_xlpm.array,_xlfn.RANDARRAY(1,COLUMNS(_xlfn.ANCHORARRAY(Q517)),-1,1,FALSE),_xlpm.array/SUM(_xlpm.array))</f>
        <v>13.340036209637784</v>
      </c>
      <c r="AF518" s="10">
        <f ca="1"/>
        <v>-24.842014783444434</v>
      </c>
      <c r="AG518" s="10">
        <f ca="1"/>
        <v>11.740453279943836</v>
      </c>
      <c r="AH518" s="10">
        <f ca="1"/>
        <v>34.786110385724328</v>
      </c>
      <c r="AI518" s="10">
        <f ca="1"/>
        <v>-34.02458509186151</v>
      </c>
      <c r="AJ518" s="1"/>
      <c r="AK518" s="2" cm="1">
        <f t="array" aca="1" ref="AK518" ca="1">MMULT(MMULT(_xlfn.ANCHORARRAY(AE518),$Q$9:$U$13),TRANSPOSE(_xlfn.ANCHORARRAY(AE518)))</f>
        <v>0.7309089215507607</v>
      </c>
      <c r="AL518" s="2">
        <f t="shared" ca="1" si="21"/>
        <v>0.85493211517100043</v>
      </c>
      <c r="AM518" s="2" cm="1">
        <f t="array" aca="1" ref="AM518" ca="1">MMULT(_xlfn.ANCHORARRAY(AE519),TRANSPOSE($Q$3:$U$3))</f>
        <v>3.2746175607929725E-3</v>
      </c>
    </row>
    <row r="519" spans="1:39" x14ac:dyDescent="0.35">
      <c r="A519" s="3">
        <v>44581</v>
      </c>
      <c r="B519" s="4">
        <v>41.093509674072202</v>
      </c>
      <c r="C519" s="4">
        <v>108.24362945556599</v>
      </c>
      <c r="D519" s="4">
        <v>52.390579223632798</v>
      </c>
      <c r="E519" s="4">
        <v>20.0929355621337</v>
      </c>
      <c r="F519" s="4">
        <v>291.15841674804602</v>
      </c>
      <c r="I519" s="5">
        <f>B519/B518-1</f>
        <v>-1.4857769423273215E-2</v>
      </c>
      <c r="J519" s="5">
        <f>C519/C518-1</f>
        <v>-3.5685590918126397E-3</v>
      </c>
      <c r="K519" s="5">
        <f>D519/D518-1</f>
        <v>-9.6619047227599619E-3</v>
      </c>
      <c r="L519" s="5">
        <f>E519/E518-1</f>
        <v>-3.4901718639268609E-4</v>
      </c>
      <c r="M519" s="5">
        <f>F519/F518-1</f>
        <v>-5.7031476426799843E-3</v>
      </c>
      <c r="N519" s="5">
        <f>SUMPRODUCT(I519:M519,$AJ$13:$AN$13)</f>
        <v>-2.6849059999325678E-3</v>
      </c>
      <c r="P519" s="2" t="s">
        <v>510</v>
      </c>
      <c r="Q519" s="10" cm="1">
        <f t="array" aca="1" ref="Q519:U519" ca="1">_xlfn.LET(_xlpm.array,_xlfn.RANDARRAY(1,COLUMNS(_xlfn.ANCHORARRAY(Q518)),0,1,FALSE),_xlpm.array/SUM(_xlpm.array))</f>
        <v>0.40246777498623038</v>
      </c>
      <c r="R519" s="2">
        <f ca="1"/>
        <v>0.25874326187550389</v>
      </c>
      <c r="S519" s="2">
        <f ca="1"/>
        <v>0.11856866048794418</v>
      </c>
      <c r="T519" s="2">
        <f ca="1"/>
        <v>0.10478328599625283</v>
      </c>
      <c r="U519" s="2">
        <f ca="1"/>
        <v>0.11543701665406869</v>
      </c>
      <c r="V519" s="12"/>
      <c r="X519" s="2" cm="1">
        <f t="array" aca="1" ref="X519" ca="1">MMULT(MMULT(_xlfn.ANCHORARRAY(Q519),$Q$9:$U$13),TRANSPOSE(_xlfn.ANCHORARRAY(Q519)))</f>
        <v>2.963558286225885E-4</v>
      </c>
      <c r="Y519" s="2">
        <f t="shared" ca="1" si="20"/>
        <v>1.7214988487437001E-2</v>
      </c>
      <c r="Z519" s="2" cm="1">
        <f t="array" aca="1" ref="Z519" ca="1">MMULT(_xlfn.ANCHORARRAY(Q519),TRANSPOSE($Q$3:$U$3))</f>
        <v>7.813936086272028E-4</v>
      </c>
      <c r="AA519" s="11">
        <f ca="1">AVEDEV(Q519*$Q$3,R519*$R$3,S519*$S$3,T519*$T$3,U519*$U$3)</f>
        <v>4.6886640378503552E-5</v>
      </c>
      <c r="AB519" s="11" cm="1">
        <f t="array" aca="1" ref="AB519" ca="1">MMULT(_xlfn.ANCHORARRAY(Q519),TRANSPOSE($Q$6:$U$6))</f>
        <v>-2.2206082842438073E-2</v>
      </c>
      <c r="AD519" s="2" t="s">
        <v>510</v>
      </c>
      <c r="AE519" s="10" cm="1">
        <f t="array" aca="1" ref="AE519:AI519" ca="1">_xlfn.LET(_xlpm.array,_xlfn.RANDARRAY(1,COLUMNS(_xlfn.ANCHORARRAY(Q518)),-1,1,FALSE),_xlpm.array/SUM(_xlpm.array))</f>
        <v>-10.285105073904013</v>
      </c>
      <c r="AF519" s="10">
        <f ca="1"/>
        <v>-2.6565235224045711</v>
      </c>
      <c r="AG519" s="10">
        <f ca="1"/>
        <v>-2.4186843978965791</v>
      </c>
      <c r="AH519" s="10">
        <f ca="1"/>
        <v>7.2306994010573229</v>
      </c>
      <c r="AI519" s="10">
        <f ca="1"/>
        <v>9.129613593147841</v>
      </c>
      <c r="AJ519" s="1"/>
      <c r="AK519" s="2" cm="1">
        <f t="array" aca="1" ref="AK519" ca="1">MMULT(MMULT(_xlfn.ANCHORARRAY(AE519),$Q$9:$U$13),TRANSPOSE(_xlfn.ANCHORARRAY(AE519)))</f>
        <v>5.7190816886567075E-2</v>
      </c>
      <c r="AL519" s="2">
        <f t="shared" ca="1" si="21"/>
        <v>0.23914601582833672</v>
      </c>
      <c r="AM519" s="2" cm="1">
        <f t="array" aca="1" ref="AM519" ca="1">MMULT(_xlfn.ANCHORARRAY(AE520),TRANSPOSE($Q$3:$U$3))</f>
        <v>-1.9218142060853914E-3</v>
      </c>
    </row>
    <row r="520" spans="1:39" x14ac:dyDescent="0.35">
      <c r="A520" s="3">
        <v>44582</v>
      </c>
      <c r="B520" s="4">
        <v>40.347988128662102</v>
      </c>
      <c r="C520" s="4">
        <v>106.945907592773</v>
      </c>
      <c r="D520" s="4">
        <v>50.720287322997997</v>
      </c>
      <c r="E520" s="4">
        <v>19.580968856811499</v>
      </c>
      <c r="F520" s="4">
        <v>285.78134155273398</v>
      </c>
      <c r="I520" s="5">
        <f>B520/B519-1</f>
        <v>-1.8142075265001889E-2</v>
      </c>
      <c r="J520" s="5">
        <f>C520/C519-1</f>
        <v>-1.1988898278080251E-2</v>
      </c>
      <c r="K520" s="5">
        <f>D520/D519-1</f>
        <v>-3.1881531477349068E-2</v>
      </c>
      <c r="L520" s="5">
        <f>E520/E519-1</f>
        <v>-2.5479935658930475E-2</v>
      </c>
      <c r="M520" s="5">
        <f>F520/F519-1</f>
        <v>-1.846786795782418E-2</v>
      </c>
      <c r="N520" s="5">
        <f>SUMPRODUCT(I520:M520,$AJ$13:$AN$13)</f>
        <v>-2.9034915016610104E-2</v>
      </c>
      <c r="P520" s="2" t="s">
        <v>511</v>
      </c>
      <c r="Q520" s="10" cm="1">
        <f t="array" aca="1" ref="Q520:U520" ca="1">_xlfn.LET(_xlpm.array,_xlfn.RANDARRAY(1,COLUMNS(_xlfn.ANCHORARRAY(Q519)),0,1,FALSE),_xlpm.array/SUM(_xlpm.array))</f>
        <v>0.13763328129260374</v>
      </c>
      <c r="R520" s="2">
        <f ca="1"/>
        <v>0.36375996765208429</v>
      </c>
      <c r="S520" s="2">
        <f ca="1"/>
        <v>7.1013309509652969E-2</v>
      </c>
      <c r="T520" s="2">
        <f ca="1"/>
        <v>0.30332132813642582</v>
      </c>
      <c r="U520" s="2">
        <f ca="1"/>
        <v>0.12427211340923323</v>
      </c>
      <c r="V520" s="12"/>
      <c r="X520" s="2" cm="1">
        <f t="array" aca="1" ref="X520" ca="1">MMULT(MMULT(_xlfn.ANCHORARRAY(Q520),$Q$9:$U$13),TRANSPOSE(_xlfn.ANCHORARRAY(Q520)))</f>
        <v>3.1028286189587341E-4</v>
      </c>
      <c r="Y520" s="2">
        <f t="shared" ca="1" si="20"/>
        <v>1.761484776817198E-2</v>
      </c>
      <c r="Z520" s="2" cm="1">
        <f t="array" aca="1" ref="Z520" ca="1">MMULT(_xlfn.ANCHORARRAY(Q520),TRANSPOSE($Q$3:$U$3))</f>
        <v>8.5583726537287127E-4</v>
      </c>
      <c r="AA520" s="11">
        <f ca="1">AVEDEV(Q520*$Q$3,R520*$R$3,S520*$S$3,T520*$T$3,U520*$U$3)</f>
        <v>9.3270036224952813E-5</v>
      </c>
      <c r="AB520" s="11" cm="1">
        <f t="array" aca="1" ref="AB520" ca="1">MMULT(_xlfn.ANCHORARRAY(Q520),TRANSPOSE($Q$6:$U$6))</f>
        <v>-2.2529151435216194E-2</v>
      </c>
      <c r="AD520" s="2" t="s">
        <v>511</v>
      </c>
      <c r="AE520" s="10" cm="1">
        <f t="array" aca="1" ref="AE520:AI520" ca="1">_xlfn.LET(_xlpm.array,_xlfn.RANDARRAY(1,COLUMNS(_xlfn.ANCHORARRAY(Q519)),-1,1,FALSE),_xlpm.array/SUM(_xlpm.array))</f>
        <v>2.5460360345988846</v>
      </c>
      <c r="AF520" s="10">
        <f ca="1"/>
        <v>2.7255514132902077</v>
      </c>
      <c r="AG520" s="10">
        <f ca="1"/>
        <v>-2.4519729861921884</v>
      </c>
      <c r="AH520" s="10">
        <f ca="1"/>
        <v>0.65279402853665014</v>
      </c>
      <c r="AI520" s="10">
        <f ca="1"/>
        <v>-2.4724084902335539</v>
      </c>
      <c r="AJ520" s="1"/>
      <c r="AK520" s="2" cm="1">
        <f t="array" aca="1" ref="AK520" ca="1">MMULT(MMULT(_xlfn.ANCHORARRAY(AE520),$Q$9:$U$13),TRANSPOSE(_xlfn.ANCHORARRAY(AE520)))</f>
        <v>1.2200888304374012E-2</v>
      </c>
      <c r="AL520" s="2">
        <f t="shared" ca="1" si="21"/>
        <v>0.11045763126363888</v>
      </c>
      <c r="AM520" s="2" cm="1">
        <f t="array" aca="1" ref="AM520" ca="1">MMULT(_xlfn.ANCHORARRAY(AE521),TRANSPOSE($Q$3:$U$3))</f>
        <v>1.9017947102970265E-3</v>
      </c>
    </row>
    <row r="521" spans="1:39" x14ac:dyDescent="0.35">
      <c r="A521" s="3">
        <v>44585</v>
      </c>
      <c r="B521" s="4">
        <v>40.015655517578097</v>
      </c>
      <c r="C521" s="4">
        <v>107.17342376708901</v>
      </c>
      <c r="D521" s="4">
        <v>50.583381652832003</v>
      </c>
      <c r="E521" s="4">
        <v>19.7703247070312</v>
      </c>
      <c r="F521" s="4">
        <v>286.10952758789</v>
      </c>
      <c r="I521" s="5">
        <f>B521/B520-1</f>
        <v>-8.2366587901300248E-3</v>
      </c>
      <c r="J521" s="5">
        <f>C521/C520-1</f>
        <v>2.1273948619178196E-3</v>
      </c>
      <c r="K521" s="5">
        <f>D521/D520-1</f>
        <v>-2.6992289947836978E-3</v>
      </c>
      <c r="L521" s="5">
        <f>E521/E520-1</f>
        <v>9.6704025017553263E-3</v>
      </c>
      <c r="M521" s="5">
        <f>F521/F520-1</f>
        <v>1.1483816031265803E-3</v>
      </c>
      <c r="N521" s="5">
        <f>SUMPRODUCT(I521:M521,$AJ$13:$AN$13)</f>
        <v>5.8092102765931932E-3</v>
      </c>
      <c r="P521" s="2" t="s">
        <v>512</v>
      </c>
      <c r="Q521" s="10" cm="1">
        <f t="array" aca="1" ref="Q521:U521" ca="1">_xlfn.LET(_xlpm.array,_xlfn.RANDARRAY(1,COLUMNS(_xlfn.ANCHORARRAY(Q520)),0,1,FALSE),_xlpm.array/SUM(_xlpm.array))</f>
        <v>0.40137485424826153</v>
      </c>
      <c r="R521" s="2">
        <f ca="1"/>
        <v>3.0246678302606283E-2</v>
      </c>
      <c r="S521" s="2">
        <f ca="1"/>
        <v>0.31447791697426641</v>
      </c>
      <c r="T521" s="2">
        <f ca="1"/>
        <v>0.18309808830428639</v>
      </c>
      <c r="U521" s="2">
        <f ca="1"/>
        <v>7.0802462170579381E-2</v>
      </c>
      <c r="V521" s="12"/>
      <c r="X521" s="2" cm="1">
        <f t="array" aca="1" ref="X521" ca="1">MMULT(MMULT(_xlfn.ANCHORARRAY(Q521),$Q$9:$U$13),TRANSPOSE(_xlfn.ANCHORARRAY(Q521)))</f>
        <v>3.3454140054781025E-4</v>
      </c>
      <c r="Y521" s="2">
        <f t="shared" ca="1" si="20"/>
        <v>1.8290472944891563E-2</v>
      </c>
      <c r="Z521" s="2" cm="1">
        <f t="array" aca="1" ref="Z521" ca="1">MMULT(_xlfn.ANCHORARRAY(Q521),TRANSPOSE($Q$3:$U$3))</f>
        <v>9.7800662574803435E-4</v>
      </c>
      <c r="AA521" s="11">
        <f ca="1">AVEDEV(Q521*$Q$3,R521*$R$3,S521*$S$3,T521*$T$3,U521*$U$3)</f>
        <v>1.2940279736666375E-4</v>
      </c>
      <c r="AB521" s="11" cm="1">
        <f t="array" aca="1" ref="AB521" ca="1">MMULT(_xlfn.ANCHORARRAY(Q521),TRANSPOSE($Q$6:$U$6))</f>
        <v>-2.3867014790318861E-2</v>
      </c>
      <c r="AD521" s="2" t="s">
        <v>512</v>
      </c>
      <c r="AE521" s="10" cm="1">
        <f t="array" aca="1" ref="AE521:AI521" ca="1">_xlfn.LET(_xlpm.array,_xlfn.RANDARRAY(1,COLUMNS(_xlfn.ANCHORARRAY(Q520)),-1,1,FALSE),_xlpm.array/SUM(_xlpm.array))</f>
        <v>-0.64110892285371301</v>
      </c>
      <c r="AF521" s="10">
        <f ca="1"/>
        <v>1.1029722475790684</v>
      </c>
      <c r="AG521" s="10">
        <f ca="1"/>
        <v>0.94614248407103418</v>
      </c>
      <c r="AH521" s="10">
        <f ca="1"/>
        <v>0.77009127469004846</v>
      </c>
      <c r="AI521" s="10">
        <f ca="1"/>
        <v>-1.1780970834864379</v>
      </c>
      <c r="AJ521" s="1"/>
      <c r="AK521" s="2" cm="1">
        <f t="array" aca="1" ref="AK521" ca="1">MMULT(MMULT(_xlfn.ANCHORARRAY(AE521),$Q$9:$U$13),TRANSPOSE(_xlfn.ANCHORARRAY(AE521)))</f>
        <v>1.9784614821851576E-3</v>
      </c>
      <c r="AL521" s="2">
        <f t="shared" ca="1" si="21"/>
        <v>4.4479899754666236E-2</v>
      </c>
      <c r="AM521" s="2" cm="1">
        <f t="array" aca="1" ref="AM521" ca="1">MMULT(_xlfn.ANCHORARRAY(AE522),TRANSPOSE($Q$3:$U$3))</f>
        <v>1.0595135735647239E-3</v>
      </c>
    </row>
    <row r="522" spans="1:39" x14ac:dyDescent="0.35">
      <c r="A522" s="3">
        <v>44586</v>
      </c>
      <c r="B522" s="4">
        <v>40.806083679199197</v>
      </c>
      <c r="C522" s="4">
        <v>111.732383728027</v>
      </c>
      <c r="D522" s="4">
        <v>50.601631164550703</v>
      </c>
      <c r="E522" s="4">
        <v>20.317356109619102</v>
      </c>
      <c r="F522" s="4">
        <v>278.50228881835898</v>
      </c>
      <c r="I522" s="5">
        <f>B522/B521-1</f>
        <v>1.9752972965140669E-2</v>
      </c>
      <c r="J522" s="5">
        <f>C522/C521-1</f>
        <v>4.2538157321964531E-2</v>
      </c>
      <c r="K522" s="5">
        <f>D522/D521-1</f>
        <v>3.6078077665813169E-4</v>
      </c>
      <c r="L522" s="5">
        <f>E522/E521-1</f>
        <v>2.7669318066048332E-2</v>
      </c>
      <c r="M522" s="5">
        <f>F522/F521-1</f>
        <v>-2.6588554508008011E-2</v>
      </c>
      <c r="N522" s="5">
        <f>SUMPRODUCT(I522:M522,$AJ$13:$AN$13)</f>
        <v>-2.8717284638970896E-3</v>
      </c>
      <c r="P522" s="2" t="s">
        <v>513</v>
      </c>
      <c r="Q522" s="10" cm="1">
        <f t="array" aca="1" ref="Q522:U522" ca="1">_xlfn.LET(_xlpm.array,_xlfn.RANDARRAY(1,COLUMNS(_xlfn.ANCHORARRAY(Q521)),0,1,FALSE),_xlpm.array/SUM(_xlpm.array))</f>
        <v>0.36404114813248634</v>
      </c>
      <c r="R522" s="2">
        <f ca="1"/>
        <v>0.28460991554089948</v>
      </c>
      <c r="S522" s="2">
        <f ca="1"/>
        <v>8.4862199673635438E-2</v>
      </c>
      <c r="T522" s="2">
        <f ca="1"/>
        <v>5.7422952950961115E-2</v>
      </c>
      <c r="U522" s="2">
        <f ca="1"/>
        <v>0.20906378370201761</v>
      </c>
      <c r="V522" s="12"/>
      <c r="X522" s="2" cm="1">
        <f t="array" aca="1" ref="X522" ca="1">MMULT(MMULT(_xlfn.ANCHORARRAY(Q522),$Q$9:$U$13),TRANSPOSE(_xlfn.ANCHORARRAY(Q522)))</f>
        <v>2.7662638270005158E-4</v>
      </c>
      <c r="Y522" s="2">
        <f t="shared" ca="1" si="20"/>
        <v>1.6632088945771412E-2</v>
      </c>
      <c r="Z522" s="2" cm="1">
        <f t="array" aca="1" ref="Z522" ca="1">MMULT(_xlfn.ANCHORARRAY(Q522),TRANSPOSE($Q$3:$U$3))</f>
        <v>7.4923960475140093E-4</v>
      </c>
      <c r="AA522" s="11">
        <f ca="1">AVEDEV(Q522*$Q$3,R522*$R$3,S522*$S$3,T522*$T$3,U522*$U$3)</f>
        <v>4.1286116721902418E-5</v>
      </c>
      <c r="AB522" s="11" cm="1">
        <f t="array" aca="1" ref="AB522" ca="1">MMULT(_xlfn.ANCHORARRAY(Q522),TRANSPOSE($Q$6:$U$6))</f>
        <v>-2.1686300447100289E-2</v>
      </c>
      <c r="AD522" s="2" t="s">
        <v>513</v>
      </c>
      <c r="AE522" s="10" cm="1">
        <f t="array" aca="1" ref="AE522:AI522" ca="1">_xlfn.LET(_xlpm.array,_xlfn.RANDARRAY(1,COLUMNS(_xlfn.ANCHORARRAY(Q521)),-1,1,FALSE),_xlpm.array/SUM(_xlpm.array))</f>
        <v>0.27783163089555585</v>
      </c>
      <c r="AF522" s="10">
        <f ca="1"/>
        <v>-0.55744519525595215</v>
      </c>
      <c r="AG522" s="10">
        <f ca="1"/>
        <v>0.29163044830929696</v>
      </c>
      <c r="AH522" s="10">
        <f ca="1"/>
        <v>0.37429104523891327</v>
      </c>
      <c r="AI522" s="10">
        <f ca="1"/>
        <v>0.61369207081218602</v>
      </c>
      <c r="AJ522" s="1"/>
      <c r="AK522" s="2" cm="1">
        <f t="array" aca="1" ref="AK522" ca="1">MMULT(MMULT(_xlfn.ANCHORARRAY(AE522),$Q$9:$U$13),TRANSPOSE(_xlfn.ANCHORARRAY(AE522)))</f>
        <v>3.9098704649235855E-4</v>
      </c>
      <c r="AL522" s="2">
        <f t="shared" ca="1" si="21"/>
        <v>1.9773392387052825E-2</v>
      </c>
      <c r="AM522" s="2" cm="1">
        <f t="array" aca="1" ref="AM522" ca="1">MMULT(_xlfn.ANCHORARRAY(AE523),TRANSPOSE($Q$3:$U$3))</f>
        <v>4.9876702440159555E-4</v>
      </c>
    </row>
    <row r="523" spans="1:39" x14ac:dyDescent="0.35">
      <c r="A523" s="3">
        <v>44587</v>
      </c>
      <c r="B523" s="4">
        <v>41.228244781494098</v>
      </c>
      <c r="C523" s="4">
        <v>111.816650390625</v>
      </c>
      <c r="D523" s="4">
        <v>50.510360717773402</v>
      </c>
      <c r="E523" s="4">
        <v>19.952672958373999</v>
      </c>
      <c r="F523" s="4">
        <v>286.437744140625</v>
      </c>
      <c r="I523" s="5">
        <f>B523/B522-1</f>
        <v>1.0345543218843511E-2</v>
      </c>
      <c r="J523" s="5">
        <f>C523/C522-1</f>
        <v>7.541829842556691E-4</v>
      </c>
      <c r="K523" s="5">
        <f>D523/D522-1</f>
        <v>-1.8037056252298012E-3</v>
      </c>
      <c r="L523" s="5">
        <f>E523/E522-1</f>
        <v>-1.7949340912149836E-2</v>
      </c>
      <c r="M523" s="5">
        <f>F523/F522-1</f>
        <v>2.8493321745881817E-2</v>
      </c>
      <c r="N523" s="5">
        <f>SUMPRODUCT(I523:M523,$AJ$13:$AN$13)</f>
        <v>-2.8247844218393242E-3</v>
      </c>
      <c r="P523" s="2" t="s">
        <v>514</v>
      </c>
      <c r="Q523" s="10" cm="1">
        <f t="array" aca="1" ref="Q523:U523" ca="1">_xlfn.LET(_xlpm.array,_xlfn.RANDARRAY(1,COLUMNS(_xlfn.ANCHORARRAY(Q522)),0,1,FALSE),_xlpm.array/SUM(_xlpm.array))</f>
        <v>0.19426893766403106</v>
      </c>
      <c r="R523" s="2">
        <f ca="1"/>
        <v>0.2212278464192462</v>
      </c>
      <c r="S523" s="2">
        <f ca="1"/>
        <v>0.20590930253783229</v>
      </c>
      <c r="T523" s="2">
        <f ca="1"/>
        <v>0.16950523163955961</v>
      </c>
      <c r="U523" s="2">
        <f ca="1"/>
        <v>0.20908868173933079</v>
      </c>
      <c r="V523" s="12"/>
      <c r="X523" s="2" cm="1">
        <f t="array" aca="1" ref="X523" ca="1">MMULT(MMULT(_xlfn.ANCHORARRAY(Q523),$Q$9:$U$13),TRANSPOSE(_xlfn.ANCHORARRAY(Q523)))</f>
        <v>2.7723129028593273E-4</v>
      </c>
      <c r="Y523" s="2">
        <f t="shared" ca="1" si="20"/>
        <v>1.6650263970458028E-2</v>
      </c>
      <c r="Z523" s="2" cm="1">
        <f t="array" aca="1" ref="Z523" ca="1">MMULT(_xlfn.ANCHORARRAY(Q523),TRANSPOSE($Q$3:$U$3))</f>
        <v>9.277742615353443E-4</v>
      </c>
      <c r="AA523" s="11">
        <f ca="1">AVEDEV(Q523*$Q$3,R523*$R$3,S523*$S$3,T523*$T$3,U523*$U$3)</f>
        <v>5.9536805687088057E-5</v>
      </c>
      <c r="AB523" s="11" cm="1">
        <f t="array" aca="1" ref="AB523" ca="1">MMULT(_xlfn.ANCHORARRAY(Q523),TRANSPOSE($Q$6:$U$6))</f>
        <v>-2.2819568304851042E-2</v>
      </c>
      <c r="AD523" s="2" t="s">
        <v>514</v>
      </c>
      <c r="AE523" s="10" cm="1">
        <f t="array" aca="1" ref="AE523:AI523" ca="1">_xlfn.LET(_xlpm.array,_xlfn.RANDARRAY(1,COLUMNS(_xlfn.ANCHORARRAY(Q522)),-1,1,FALSE),_xlpm.array/SUM(_xlpm.array))</f>
        <v>0.71815505523808643</v>
      </c>
      <c r="AF523" s="10">
        <f ca="1"/>
        <v>-0.53364688578255515</v>
      </c>
      <c r="AG523" s="10">
        <f ca="1"/>
        <v>-0.15884282162303845</v>
      </c>
      <c r="AH523" s="10">
        <f ca="1"/>
        <v>0.14096443056247898</v>
      </c>
      <c r="AI523" s="10">
        <f ca="1"/>
        <v>0.83337022160502827</v>
      </c>
      <c r="AJ523" s="1"/>
      <c r="AK523" s="2" cm="1">
        <f t="array" aca="1" ref="AK523" ca="1">MMULT(MMULT(_xlfn.ANCHORARRAY(AE523),$Q$9:$U$13),TRANSPOSE(_xlfn.ANCHORARRAY(AE523)))</f>
        <v>4.4956635523842525E-4</v>
      </c>
      <c r="AL523" s="2">
        <f t="shared" ca="1" si="21"/>
        <v>2.1202979866953259E-2</v>
      </c>
      <c r="AM523" s="2" cm="1">
        <f t="array" aca="1" ref="AM523" ca="1">MMULT(_xlfn.ANCHORARRAY(AE524),TRANSPOSE($Q$3:$U$3))</f>
        <v>1.7475556626762329E-3</v>
      </c>
    </row>
    <row r="524" spans="1:39" x14ac:dyDescent="0.35">
      <c r="A524" s="3">
        <v>44588</v>
      </c>
      <c r="B524" s="4">
        <v>40.842018127441399</v>
      </c>
      <c r="C524" s="4">
        <v>114.075065612792</v>
      </c>
      <c r="D524" s="4">
        <v>50.610767364501903</v>
      </c>
      <c r="E524" s="4">
        <v>19.7001934051513</v>
      </c>
      <c r="F524" s="4">
        <v>289.459381103515</v>
      </c>
      <c r="I524" s="5">
        <f>B524/B523-1</f>
        <v>-9.3680110831704244E-3</v>
      </c>
      <c r="J524" s="5">
        <f>C524/C523-1</f>
        <v>2.0197485922511138E-2</v>
      </c>
      <c r="K524" s="5">
        <f>D524/D523-1</f>
        <v>1.9878425990564885E-3</v>
      </c>
      <c r="L524" s="5">
        <f>E524/E523-1</f>
        <v>-1.2653921294125903E-2</v>
      </c>
      <c r="M524" s="5">
        <f>F524/F523-1</f>
        <v>1.0549018153859446E-2</v>
      </c>
      <c r="N524" s="5">
        <f>SUMPRODUCT(I524:M524,$AJ$13:$AN$13)</f>
        <v>6.9389472865599494E-4</v>
      </c>
      <c r="P524" s="2" t="s">
        <v>515</v>
      </c>
      <c r="Q524" s="10" cm="1">
        <f t="array" aca="1" ref="Q524:U524" ca="1">_xlfn.LET(_xlpm.array,_xlfn.RANDARRAY(1,COLUMNS(_xlfn.ANCHORARRAY(Q523)),0,1,FALSE),_xlpm.array/SUM(_xlpm.array))</f>
        <v>0.33499796747194849</v>
      </c>
      <c r="R524" s="2">
        <f ca="1"/>
        <v>0.10573035092039754</v>
      </c>
      <c r="S524" s="2">
        <f ca="1"/>
        <v>0.33261125990433377</v>
      </c>
      <c r="T524" s="2">
        <f ca="1"/>
        <v>0.13978775996662229</v>
      </c>
      <c r="U524" s="2">
        <f ca="1"/>
        <v>8.6872661736697943E-2</v>
      </c>
      <c r="V524" s="12"/>
      <c r="X524" s="2" cm="1">
        <f t="array" aca="1" ref="X524" ca="1">MMULT(MMULT(_xlfn.ANCHORARRAY(Q524),$Q$9:$U$13),TRANSPOSE(_xlfn.ANCHORARRAY(Q524)))</f>
        <v>3.3065380348864902E-4</v>
      </c>
      <c r="Y524" s="2">
        <f t="shared" ca="1" si="20"/>
        <v>1.8183888568968107E-2</v>
      </c>
      <c r="Z524" s="2" cm="1">
        <f t="array" aca="1" ref="Z524" ca="1">MMULT(_xlfn.ANCHORARRAY(Q524),TRANSPOSE($Q$3:$U$3))</f>
        <v>9.9688529069586851E-4</v>
      </c>
      <c r="AA524" s="11">
        <f ca="1">AVEDEV(Q524*$Q$3,R524*$R$3,S524*$S$3,T524*$T$3,U524*$U$3)</f>
        <v>1.3631355404449815E-4</v>
      </c>
      <c r="AB524" s="11" cm="1">
        <f t="array" aca="1" ref="AB524" ca="1">MMULT(_xlfn.ANCHORARRAY(Q524),TRANSPOSE($Q$6:$U$6))</f>
        <v>-2.3713569264514841E-2</v>
      </c>
      <c r="AD524" s="2" t="s">
        <v>515</v>
      </c>
      <c r="AE524" s="10" cm="1">
        <f t="array" aca="1" ref="AE524:AI524" ca="1">_xlfn.LET(_xlpm.array,_xlfn.RANDARRAY(1,COLUMNS(_xlfn.ANCHORARRAY(Q523)),-1,1,FALSE),_xlpm.array/SUM(_xlpm.array))</f>
        <v>-1.1591212221030887</v>
      </c>
      <c r="AF524" s="10">
        <f ca="1"/>
        <v>0.66491655725564691</v>
      </c>
      <c r="AG524" s="10">
        <f ca="1"/>
        <v>0.44347389211216753</v>
      </c>
      <c r="AH524" s="10">
        <f ca="1"/>
        <v>1.2745950882835808</v>
      </c>
      <c r="AI524" s="10">
        <f ca="1"/>
        <v>-0.22386431554830657</v>
      </c>
      <c r="AJ524" s="1"/>
      <c r="AK524" s="2" cm="1">
        <f t="array" aca="1" ref="AK524" ca="1">MMULT(MMULT(_xlfn.ANCHORARRAY(AE524),$Q$9:$U$13),TRANSPOSE(_xlfn.ANCHORARRAY(AE524)))</f>
        <v>1.4807356141413089E-3</v>
      </c>
      <c r="AL524" s="2">
        <f t="shared" ca="1" si="21"/>
        <v>3.8480327625181533E-2</v>
      </c>
      <c r="AM524" s="2" cm="1">
        <f t="array" aca="1" ref="AM524" ca="1">MMULT(_xlfn.ANCHORARRAY(AE525),TRANSPOSE($Q$3:$U$3))</f>
        <v>8.9983595611889703E-4</v>
      </c>
    </row>
    <row r="525" spans="1:39" x14ac:dyDescent="0.35">
      <c r="A525" s="3">
        <v>44589</v>
      </c>
      <c r="B525" s="4">
        <v>41.201297760009702</v>
      </c>
      <c r="C525" s="4">
        <v>110.063842773437</v>
      </c>
      <c r="D525" s="4">
        <v>51.331821441650298</v>
      </c>
      <c r="E525" s="4">
        <v>19.265375137329102</v>
      </c>
      <c r="F525" s="4">
        <v>297.587890625</v>
      </c>
      <c r="I525" s="5">
        <f>B525/B524-1</f>
        <v>8.796813895121991E-3</v>
      </c>
      <c r="J525" s="5">
        <f>C525/C524-1</f>
        <v>-3.5163011459229843E-2</v>
      </c>
      <c r="K525" s="5">
        <f>D525/D524-1</f>
        <v>1.4247048892883196E-2</v>
      </c>
      <c r="L525" s="5">
        <f>E525/E524-1</f>
        <v>-2.2071776600350534E-2</v>
      </c>
      <c r="M525" s="5">
        <f>F525/F524-1</f>
        <v>2.8081693156726928E-2</v>
      </c>
      <c r="N525" s="5">
        <f>SUMPRODUCT(I525:M525,$AJ$13:$AN$13)</f>
        <v>5.0932883240408806E-3</v>
      </c>
      <c r="P525" s="2" t="s">
        <v>516</v>
      </c>
      <c r="Q525" s="10" cm="1">
        <f t="array" aca="1" ref="Q525:U525" ca="1">_xlfn.LET(_xlpm.array,_xlfn.RANDARRAY(1,COLUMNS(_xlfn.ANCHORARRAY(Q524)),0,1,FALSE),_xlpm.array/SUM(_xlpm.array))</f>
        <v>0.13590442562939611</v>
      </c>
      <c r="R525" s="2">
        <f ca="1"/>
        <v>0.17477081913809989</v>
      </c>
      <c r="S525" s="2">
        <f ca="1"/>
        <v>0.23827668610152977</v>
      </c>
      <c r="T525" s="2">
        <f ca="1"/>
        <v>0.27334824780335276</v>
      </c>
      <c r="U525" s="2">
        <f ca="1"/>
        <v>0.17769982132762141</v>
      </c>
      <c r="V525" s="12"/>
      <c r="X525" s="2" cm="1">
        <f t="array" aca="1" ref="X525" ca="1">MMULT(MMULT(_xlfn.ANCHORARRAY(Q525),$Q$9:$U$13),TRANSPOSE(_xlfn.ANCHORARRAY(Q525)))</f>
        <v>2.9324263064125822E-4</v>
      </c>
      <c r="Y525" s="2">
        <f t="shared" ca="1" si="20"/>
        <v>1.7124328618700887E-2</v>
      </c>
      <c r="Z525" s="2" cm="1">
        <f t="array" aca="1" ref="Z525" ca="1">MMULT(_xlfn.ANCHORARRAY(Q525),TRANSPOSE($Q$3:$U$3))</f>
        <v>9.988305519207472E-4</v>
      </c>
      <c r="AA525" s="11">
        <f ca="1">AVEDEV(Q525*$Q$3,R525*$R$3,S525*$S$3,T525*$T$3,U525*$U$3)</f>
        <v>1.0667462130302422E-4</v>
      </c>
      <c r="AB525" s="11" cm="1">
        <f t="array" aca="1" ref="AB525" ca="1">MMULT(_xlfn.ANCHORARRAY(Q525),TRANSPOSE($Q$6:$U$6))</f>
        <v>-2.3461433586507253E-2</v>
      </c>
      <c r="AD525" s="2" t="s">
        <v>516</v>
      </c>
      <c r="AE525" s="10" cm="1">
        <f t="array" aca="1" ref="AE525:AI525" ca="1">_xlfn.LET(_xlpm.array,_xlfn.RANDARRAY(1,COLUMNS(_xlfn.ANCHORARRAY(Q524)),-1,1,FALSE),_xlpm.array/SUM(_xlpm.array))</f>
        <v>0.41227034904972826</v>
      </c>
      <c r="AF525" s="10">
        <f ca="1"/>
        <v>-0.33454480592378144</v>
      </c>
      <c r="AG525" s="10">
        <f ca="1"/>
        <v>0.14078457555350643</v>
      </c>
      <c r="AH525" s="10">
        <f ca="1"/>
        <v>0.42155166506375952</v>
      </c>
      <c r="AI525" s="10">
        <f ca="1"/>
        <v>0.35993821625678735</v>
      </c>
      <c r="AJ525" s="1"/>
      <c r="AK525" s="2" cm="1">
        <f t="array" aca="1" ref="AK525" ca="1">MMULT(MMULT(_xlfn.ANCHORARRAY(AE525),$Q$9:$U$13),TRANSPOSE(_xlfn.ANCHORARRAY(AE525)))</f>
        <v>3.03524186946847E-4</v>
      </c>
      <c r="AL525" s="2">
        <f t="shared" ca="1" si="21"/>
        <v>1.7421945555730768E-2</v>
      </c>
      <c r="AM525" s="2" cm="1">
        <f t="array" aca="1" ref="AM525" ca="1">MMULT(_xlfn.ANCHORARRAY(AE526),TRANSPOSE($Q$3:$U$3))</f>
        <v>1.0260343368025989E-3</v>
      </c>
    </row>
    <row r="526" spans="1:39" x14ac:dyDescent="0.35">
      <c r="A526" s="3">
        <v>44592</v>
      </c>
      <c r="B526" s="4">
        <v>41.443817138671797</v>
      </c>
      <c r="C526" s="4">
        <v>110.67057800292901</v>
      </c>
      <c r="D526" s="4">
        <v>51.852081298828097</v>
      </c>
      <c r="E526" s="4">
        <v>19.321475982666001</v>
      </c>
      <c r="F526" s="4">
        <v>300.21374511718699</v>
      </c>
      <c r="I526" s="5">
        <f>B526/B525-1</f>
        <v>5.8862072761574069E-3</v>
      </c>
      <c r="J526" s="5">
        <f>C526/C525-1</f>
        <v>5.5125753762836904E-3</v>
      </c>
      <c r="K526" s="5">
        <f>D526/D525-1</f>
        <v>1.0135230789914296E-2</v>
      </c>
      <c r="L526" s="5">
        <f>E526/E525-1</f>
        <v>2.9120037859111658E-3</v>
      </c>
      <c r="M526" s="5">
        <f>F526/F525-1</f>
        <v>8.8237948347700268E-3</v>
      </c>
      <c r="N526" s="5">
        <f>SUMPRODUCT(I526:M526,$AJ$13:$AN$13)</f>
        <v>7.7023716642586042E-3</v>
      </c>
      <c r="P526" s="2" t="s">
        <v>517</v>
      </c>
      <c r="Q526" s="10" cm="1">
        <f t="array" aca="1" ref="Q526:U526" ca="1">_xlfn.LET(_xlpm.array,_xlfn.RANDARRAY(1,COLUMNS(_xlfn.ANCHORARRAY(Q525)),0,1,FALSE),_xlpm.array/SUM(_xlpm.array))</f>
        <v>0.31337038046025756</v>
      </c>
      <c r="R526" s="2">
        <f ca="1"/>
        <v>7.1766776875828803E-2</v>
      </c>
      <c r="S526" s="2">
        <f ca="1"/>
        <v>7.9511698235821826E-2</v>
      </c>
      <c r="T526" s="2">
        <f ca="1"/>
        <v>0.23424124672110627</v>
      </c>
      <c r="U526" s="2">
        <f ca="1"/>
        <v>0.30110989770698565</v>
      </c>
      <c r="V526" s="12"/>
      <c r="X526" s="2" cm="1">
        <f t="array" aca="1" ref="X526" ca="1">MMULT(MMULT(_xlfn.ANCHORARRAY(Q526),$Q$9:$U$13),TRANSPOSE(_xlfn.ANCHORARRAY(Q526)))</f>
        <v>2.5909612805091167E-4</v>
      </c>
      <c r="Y526" s="2">
        <f t="shared" ca="1" si="20"/>
        <v>1.6096463215592164E-2</v>
      </c>
      <c r="Z526" s="2" cm="1">
        <f t="array" aca="1" ref="Z526" ca="1">MMULT(_xlfn.ANCHORARRAY(Q526),TRANSPOSE($Q$3:$U$3))</f>
        <v>8.1041320653869257E-4</v>
      </c>
      <c r="AA526" s="11">
        <f ca="1">AVEDEV(Q526*$Q$3,R526*$R$3,S526*$S$3,T526*$T$3,U526*$U$3)</f>
        <v>5.8177856694995457E-5</v>
      </c>
      <c r="AB526" s="11" cm="1">
        <f t="array" aca="1" ref="AB526" ca="1">MMULT(_xlfn.ANCHORARRAY(Q526),TRANSPOSE($Q$6:$U$6))</f>
        <v>-2.2363940531002956E-2</v>
      </c>
      <c r="AD526" s="2" t="s">
        <v>517</v>
      </c>
      <c r="AE526" s="10" cm="1">
        <f t="array" aca="1" ref="AE526:AI526" ca="1">_xlfn.LET(_xlpm.array,_xlfn.RANDARRAY(1,COLUMNS(_xlfn.ANCHORARRAY(Q525)),-1,1,FALSE),_xlpm.array/SUM(_xlpm.array))</f>
        <v>0.27357209542909822</v>
      </c>
      <c r="AF526" s="10">
        <f ca="1"/>
        <v>-3.5948868189351652E-3</v>
      </c>
      <c r="AG526" s="10">
        <f ca="1"/>
        <v>0.3343953728454972</v>
      </c>
      <c r="AH526" s="10">
        <f ca="1"/>
        <v>0.1712160014859076</v>
      </c>
      <c r="AI526" s="10">
        <f ca="1"/>
        <v>0.22441141705843232</v>
      </c>
      <c r="AJ526" s="1"/>
      <c r="AK526" s="2" cm="1">
        <f t="array" aca="1" ref="AK526" ca="1">MMULT(MMULT(_xlfn.ANCHORARRAY(AE526),$Q$9:$U$13),TRANSPOSE(_xlfn.ANCHORARRAY(AE526)))</f>
        <v>3.135963856139909E-4</v>
      </c>
      <c r="AL526" s="2">
        <f t="shared" ca="1" si="21"/>
        <v>1.7708652845826272E-2</v>
      </c>
      <c r="AM526" s="2" cm="1">
        <f t="array" aca="1" ref="AM526" ca="1">MMULT(_xlfn.ANCHORARRAY(AE527),TRANSPOSE($Q$3:$U$3))</f>
        <v>2.8693266958612027E-4</v>
      </c>
    </row>
    <row r="527" spans="1:39" x14ac:dyDescent="0.35">
      <c r="A527" s="3">
        <v>44593</v>
      </c>
      <c r="B527" s="4">
        <v>42.162387847900298</v>
      </c>
      <c r="C527" s="4">
        <v>113.586296081542</v>
      </c>
      <c r="D527" s="4">
        <v>53.458477020263601</v>
      </c>
      <c r="E527" s="4">
        <v>19.77734375</v>
      </c>
      <c r="F527" s="4">
        <v>298.07061767578102</v>
      </c>
      <c r="I527" s="5">
        <f>B527/B526-1</f>
        <v>1.7338429682385526E-2</v>
      </c>
      <c r="J527" s="5">
        <f>C527/C526-1</f>
        <v>2.6345918953597947E-2</v>
      </c>
      <c r="K527" s="5">
        <f>D527/D526-1</f>
        <v>3.0980351823829411E-2</v>
      </c>
      <c r="L527" s="5">
        <f>E527/E526-1</f>
        <v>2.3593837641750159E-2</v>
      </c>
      <c r="M527" s="5">
        <f>F527/F526-1</f>
        <v>-7.1386719504444862E-3</v>
      </c>
      <c r="N527" s="5">
        <f>SUMPRODUCT(I527:M527,$AJ$13:$AN$13)</f>
        <v>1.8892707201736372E-2</v>
      </c>
      <c r="P527" s="2" t="s">
        <v>518</v>
      </c>
      <c r="Q527" s="10" cm="1">
        <f t="array" aca="1" ref="Q527:U527" ca="1">_xlfn.LET(_xlpm.array,_xlfn.RANDARRAY(1,COLUMNS(_xlfn.ANCHORARRAY(Q526)),0,1,FALSE),_xlpm.array/SUM(_xlpm.array))</f>
        <v>7.4974118395415595E-2</v>
      </c>
      <c r="R527" s="2">
        <f ca="1"/>
        <v>0.45824724094812241</v>
      </c>
      <c r="S527" s="2">
        <f ca="1"/>
        <v>0.27516694097950434</v>
      </c>
      <c r="T527" s="2">
        <f ca="1"/>
        <v>8.5165357084747637E-2</v>
      </c>
      <c r="U527" s="2">
        <f ca="1"/>
        <v>0.10644634259221018</v>
      </c>
      <c r="V527" s="12"/>
      <c r="X527" s="2" cm="1">
        <f t="array" aca="1" ref="X527" ca="1">MMULT(MMULT(_xlfn.ANCHORARRAY(Q527),$Q$9:$U$13),TRANSPOSE(_xlfn.ANCHORARRAY(Q527)))</f>
        <v>3.2150104902465513E-4</v>
      </c>
      <c r="Y527" s="2">
        <f t="shared" ca="1" si="20"/>
        <v>1.7930450329666992E-2</v>
      </c>
      <c r="Z527" s="2" cm="1">
        <f t="array" aca="1" ref="Z527" ca="1">MMULT(_xlfn.ANCHORARRAY(Q527),TRANSPOSE($Q$3:$U$3))</f>
        <v>9.8802894771369437E-4</v>
      </c>
      <c r="AA527" s="11">
        <f ca="1">AVEDEV(Q527*$Q$3,R527*$R$3,S527*$S$3,T527*$T$3,U527*$U$3)</f>
        <v>1.5451591014487386E-4</v>
      </c>
      <c r="AB527" s="11" cm="1">
        <f t="array" aca="1" ref="AB527" ca="1">MMULT(_xlfn.ANCHORARRAY(Q527),TRANSPOSE($Q$6:$U$6))</f>
        <v>-2.2816120769815262E-2</v>
      </c>
      <c r="AD527" s="2" t="s">
        <v>518</v>
      </c>
      <c r="AE527" s="10" cm="1">
        <f t="array" aca="1" ref="AE527:AI527" ca="1">_xlfn.LET(_xlpm.array,_xlfn.RANDARRAY(1,COLUMNS(_xlfn.ANCHORARRAY(Q526)),-1,1,FALSE),_xlpm.array/SUM(_xlpm.array))</f>
        <v>0.5940408561308127</v>
      </c>
      <c r="AF527" s="10">
        <f ca="1"/>
        <v>0.19867182775470141</v>
      </c>
      <c r="AG527" s="10">
        <f ca="1"/>
        <v>-0.35686027861347436</v>
      </c>
      <c r="AH527" s="10">
        <f ca="1"/>
        <v>-4.6787705813081649E-2</v>
      </c>
      <c r="AI527" s="10">
        <f ca="1"/>
        <v>0.61093530054104195</v>
      </c>
      <c r="AJ527" s="1"/>
      <c r="AK527" s="2" cm="1">
        <f t="array" aca="1" ref="AK527" ca="1">MMULT(MMULT(_xlfn.ANCHORARRAY(AE527),$Q$9:$U$13),TRANSPOSE(_xlfn.ANCHORARRAY(AE527)))</f>
        <v>3.861839468050718E-4</v>
      </c>
      <c r="AL527" s="2">
        <f t="shared" ca="1" si="21"/>
        <v>1.965156346973624E-2</v>
      </c>
      <c r="AM527" s="2" cm="1">
        <f t="array" aca="1" ref="AM527" ca="1">MMULT(_xlfn.ANCHORARRAY(AE528),TRANSPOSE($Q$3:$U$3))</f>
        <v>2.6927742327927111E-3</v>
      </c>
    </row>
    <row r="528" spans="1:39" x14ac:dyDescent="0.35">
      <c r="A528" s="3">
        <v>44594</v>
      </c>
      <c r="B528" s="4">
        <v>42.117481231689403</v>
      </c>
      <c r="C528" s="4">
        <v>114.108757019042</v>
      </c>
      <c r="D528" s="4">
        <v>54.216045379638601</v>
      </c>
      <c r="E528" s="4">
        <v>20.001762390136701</v>
      </c>
      <c r="F528" s="4">
        <v>302.607818603515</v>
      </c>
      <c r="I528" s="5">
        <f>B528/B527-1</f>
        <v>-1.0650871191852929E-3</v>
      </c>
      <c r="J528" s="5">
        <f>C528/C527-1</f>
        <v>4.5996828448824356E-3</v>
      </c>
      <c r="K528" s="5">
        <f>D528/D527-1</f>
        <v>1.4171154915016304E-2</v>
      </c>
      <c r="L528" s="5">
        <f>E528/E527-1</f>
        <v>1.1347258912699054E-2</v>
      </c>
      <c r="M528" s="5">
        <f>F528/F527-1</f>
        <v>1.5221899303973663E-2</v>
      </c>
      <c r="N528" s="5">
        <f>SUMPRODUCT(I528:M528,$AJ$13:$AN$13)</f>
        <v>1.7922770306082612E-2</v>
      </c>
      <c r="P528" s="2" t="s">
        <v>519</v>
      </c>
      <c r="Q528" s="10" cm="1">
        <f t="array" aca="1" ref="Q528:U528" ca="1">_xlfn.LET(_xlpm.array,_xlfn.RANDARRAY(1,COLUMNS(_xlfn.ANCHORARRAY(Q527)),0,1,FALSE),_xlpm.array/SUM(_xlpm.array))</f>
        <v>8.0756562729615622E-2</v>
      </c>
      <c r="R528" s="2">
        <f ca="1"/>
        <v>0.21393575743133969</v>
      </c>
      <c r="S528" s="2">
        <f ca="1"/>
        <v>0.24519690341673181</v>
      </c>
      <c r="T528" s="2">
        <f ca="1"/>
        <v>0.36436747001213587</v>
      </c>
      <c r="U528" s="2">
        <f ca="1"/>
        <v>9.5743306410176823E-2</v>
      </c>
      <c r="V528" s="12"/>
      <c r="X528" s="2" cm="1">
        <f t="array" aca="1" ref="X528" ca="1">MMULT(MMULT(_xlfn.ANCHORARRAY(Q528),$Q$9:$U$13),TRANSPOSE(_xlfn.ANCHORARRAY(Q528)))</f>
        <v>3.260434872844169E-4</v>
      </c>
      <c r="Y528" s="2">
        <f t="shared" ca="1" si="20"/>
        <v>1.8056674314070598E-2</v>
      </c>
      <c r="Z528" s="2" cm="1">
        <f t="array" aca="1" ref="Z528" ca="1">MMULT(_xlfn.ANCHORARRAY(Q528),TRANSPOSE($Q$3:$U$3))</f>
        <v>1.0409421060817354E-3</v>
      </c>
      <c r="AA528" s="11">
        <f ca="1">AVEDEV(Q528*$Q$3,R528*$R$3,S528*$S$3,T528*$T$3,U528*$U$3)</f>
        <v>1.4162686646021302E-4</v>
      </c>
      <c r="AB528" s="11" cm="1">
        <f t="array" aca="1" ref="AB528" ca="1">MMULT(_xlfn.ANCHORARRAY(Q528),TRANSPOSE($Q$6:$U$6))</f>
        <v>-2.3905023800702113E-2</v>
      </c>
      <c r="AD528" s="2" t="s">
        <v>519</v>
      </c>
      <c r="AE528" s="10" cm="1">
        <f t="array" aca="1" ref="AE528:AI528" ca="1">_xlfn.LET(_xlpm.array,_xlfn.RANDARRAY(1,COLUMNS(_xlfn.ANCHORARRAY(Q527)),-1,1,FALSE),_xlpm.array/SUM(_xlpm.array))</f>
        <v>-1.2209932379373989</v>
      </c>
      <c r="AF528" s="10">
        <f ca="1"/>
        <v>5.3187579965962293</v>
      </c>
      <c r="AG528" s="10">
        <f ca="1"/>
        <v>3.4208550571994643</v>
      </c>
      <c r="AH528" s="10">
        <f ca="1"/>
        <v>-4.4410758189734443</v>
      </c>
      <c r="AI528" s="10">
        <f ca="1"/>
        <v>-2.0775439968848501</v>
      </c>
      <c r="AJ528" s="1"/>
      <c r="AK528" s="2" cm="1">
        <f t="array" aca="1" ref="AK528" ca="1">MMULT(MMULT(_xlfn.ANCHORARRAY(AE528),$Q$9:$U$13),TRANSPOSE(_xlfn.ANCHORARRAY(AE528)))</f>
        <v>1.4843959558286211E-2</v>
      </c>
      <c r="AL528" s="2">
        <f t="shared" ca="1" si="21"/>
        <v>0.12183578931613737</v>
      </c>
      <c r="AM528" s="2" cm="1">
        <f t="array" aca="1" ref="AM528" ca="1">MMULT(_xlfn.ANCHORARRAY(AE529),TRANSPOSE($Q$3:$U$3))</f>
        <v>4.1193830467599487E-4</v>
      </c>
    </row>
    <row r="529" spans="1:39" x14ac:dyDescent="0.35">
      <c r="A529" s="3">
        <v>44595</v>
      </c>
      <c r="B529" s="4">
        <v>41.704303741455</v>
      </c>
      <c r="C529" s="4">
        <v>113.08910369873</v>
      </c>
      <c r="D529" s="4">
        <v>54.033485412597599</v>
      </c>
      <c r="E529" s="4">
        <v>20.113975524902301</v>
      </c>
      <c r="F529" s="4">
        <v>290.820556640625</v>
      </c>
      <c r="I529" s="5">
        <f>B529/B528-1</f>
        <v>-9.8101187001544687E-3</v>
      </c>
      <c r="J529" s="5">
        <f>C529/C528-1</f>
        <v>-8.935802535662063E-3</v>
      </c>
      <c r="K529" s="5">
        <f>D529/D528-1</f>
        <v>-3.3672682277480215E-3</v>
      </c>
      <c r="L529" s="5">
        <f>E529/E528-1</f>
        <v>5.6101623735382855E-3</v>
      </c>
      <c r="M529" s="5">
        <f>F529/F528-1</f>
        <v>-3.8952271680507966E-2</v>
      </c>
      <c r="N529" s="5">
        <f>SUMPRODUCT(I529:M529,$AJ$13:$AN$13)</f>
        <v>-9.0137391123630926E-3</v>
      </c>
      <c r="P529" s="2" t="s">
        <v>520</v>
      </c>
      <c r="Q529" s="10" cm="1">
        <f t="array" aca="1" ref="Q529:U529" ca="1">_xlfn.LET(_xlpm.array,_xlfn.RANDARRAY(1,COLUMNS(_xlfn.ANCHORARRAY(Q528)),0,1,FALSE),_xlpm.array/SUM(_xlpm.array))</f>
        <v>0.2305941755791549</v>
      </c>
      <c r="R529" s="2">
        <f ca="1"/>
        <v>0.2540656538013481</v>
      </c>
      <c r="S529" s="2">
        <f ca="1"/>
        <v>0.16941129790277829</v>
      </c>
      <c r="T529" s="2">
        <f ca="1"/>
        <v>8.8829602046562414E-2</v>
      </c>
      <c r="U529" s="2">
        <f ca="1"/>
        <v>0.25709927067015625</v>
      </c>
      <c r="V529" s="12"/>
      <c r="X529" s="2" cm="1">
        <f t="array" aca="1" ref="X529" ca="1">MMULT(MMULT(_xlfn.ANCHORARRAY(Q529),$Q$9:$U$13),TRANSPOSE(_xlfn.ANCHORARRAY(Q529)))</f>
        <v>2.6667953982249055E-4</v>
      </c>
      <c r="Y529" s="2">
        <f t="shared" ca="1" si="20"/>
        <v>1.633032577208705E-2</v>
      </c>
      <c r="Z529" s="2" cm="1">
        <f t="array" aca="1" ref="Z529" ca="1">MMULT(_xlfn.ANCHORARRAY(Q529),TRANSPOSE($Q$3:$U$3))</f>
        <v>8.6524456620779011E-4</v>
      </c>
      <c r="AA529" s="11">
        <f ca="1">AVEDEV(Q529*$Q$3,R529*$R$3,S529*$S$3,T529*$T$3,U529*$U$3)</f>
        <v>5.5259743713667183E-5</v>
      </c>
      <c r="AB529" s="11" cm="1">
        <f t="array" aca="1" ref="AB529" ca="1">MMULT(_xlfn.ANCHORARRAY(Q529),TRANSPOSE($Q$6:$U$6))</f>
        <v>-2.2226327102046656E-2</v>
      </c>
      <c r="AD529" s="2" t="s">
        <v>520</v>
      </c>
      <c r="AE529" s="10" cm="1">
        <f t="array" aca="1" ref="AE529:AI529" ca="1">_xlfn.LET(_xlpm.array,_xlfn.RANDARRAY(1,COLUMNS(_xlfn.ANCHORARRAY(Q528)),-1,1,FALSE),_xlpm.array/SUM(_xlpm.array))</f>
        <v>0.96574532345091069</v>
      </c>
      <c r="AF529" s="10">
        <f ca="1"/>
        <v>-3.3473937151532081E-2</v>
      </c>
      <c r="AG529" s="10">
        <f ca="1"/>
        <v>-0.22728230242534542</v>
      </c>
      <c r="AH529" s="10">
        <f ca="1"/>
        <v>0.34667045685129999</v>
      </c>
      <c r="AI529" s="10">
        <f ca="1"/>
        <v>-5.1659540725333152E-2</v>
      </c>
      <c r="AJ529" s="1"/>
      <c r="AK529" s="2" cm="1">
        <f t="array" aca="1" ref="AK529" ca="1">MMULT(MMULT(_xlfn.ANCHORARRAY(AE529),$Q$9:$U$13),TRANSPOSE(_xlfn.ANCHORARRAY(AE529)))</f>
        <v>5.3306599278491601E-4</v>
      </c>
      <c r="AL529" s="2">
        <f t="shared" ca="1" si="21"/>
        <v>2.3088221949403468E-2</v>
      </c>
      <c r="AM529" s="2" cm="1">
        <f t="array" aca="1" ref="AM529" ca="1">MMULT(_xlfn.ANCHORARRAY(AE530),TRANSPOSE($Q$3:$U$3))</f>
        <v>1.1603764024995245E-3</v>
      </c>
    </row>
    <row r="530" spans="1:39" x14ac:dyDescent="0.35">
      <c r="A530" s="3">
        <v>44596</v>
      </c>
      <c r="B530" s="4">
        <v>43.366008758544901</v>
      </c>
      <c r="C530" s="4">
        <v>114.50485229492099</v>
      </c>
      <c r="D530" s="4">
        <v>53.6136474609375</v>
      </c>
      <c r="E530" s="4">
        <v>20.5487957000732</v>
      </c>
      <c r="F530" s="4">
        <v>295.34814453125</v>
      </c>
      <c r="I530" s="5">
        <f>B530/B529-1</f>
        <v>3.984492889250979E-2</v>
      </c>
      <c r="J530" s="5">
        <f>C530/C529-1</f>
        <v>1.251887714984945E-2</v>
      </c>
      <c r="K530" s="5">
        <f>D530/D529-1</f>
        <v>-7.7699587293736938E-3</v>
      </c>
      <c r="L530" s="5">
        <f>E530/E529-1</f>
        <v>2.1617813675499642E-2</v>
      </c>
      <c r="M530" s="5">
        <f>F530/F529-1</f>
        <v>1.5568321383208961E-2</v>
      </c>
      <c r="N530" s="5">
        <f>SUMPRODUCT(I530:M530,$AJ$13:$AN$13)</f>
        <v>-6.778309493254888E-4</v>
      </c>
      <c r="P530" s="2" t="s">
        <v>521</v>
      </c>
      <c r="Q530" s="10" cm="1">
        <f t="array" aca="1" ref="Q530:U530" ca="1">_xlfn.LET(_xlpm.array,_xlfn.RANDARRAY(1,COLUMNS(_xlfn.ANCHORARRAY(Q529)),0,1,FALSE),_xlpm.array/SUM(_xlpm.array))</f>
        <v>0.31738527873766054</v>
      </c>
      <c r="R530" s="2">
        <f ca="1"/>
        <v>0.3362789780068377</v>
      </c>
      <c r="S530" s="2">
        <f ca="1"/>
        <v>4.5377482418667934E-3</v>
      </c>
      <c r="T530" s="2">
        <f ca="1"/>
        <v>0.3032532849522892</v>
      </c>
      <c r="U530" s="2">
        <f ca="1"/>
        <v>3.8544710061345737E-2</v>
      </c>
      <c r="V530" s="12"/>
      <c r="X530" s="2" cm="1">
        <f t="array" aca="1" ref="X530" ca="1">MMULT(MMULT(_xlfn.ANCHORARRAY(Q530),$Q$9:$U$13),TRANSPOSE(_xlfn.ANCHORARRAY(Q530)))</f>
        <v>3.403422808560243E-4</v>
      </c>
      <c r="Y530" s="2">
        <f t="shared" ca="1" si="20"/>
        <v>1.8448367972696781E-2</v>
      </c>
      <c r="Z530" s="2" cm="1">
        <f t="array" aca="1" ref="Z530" ca="1">MMULT(_xlfn.ANCHORARRAY(Q530),TRANSPOSE($Q$3:$U$3))</f>
        <v>7.5353304302705048E-4</v>
      </c>
      <c r="AA530" s="11">
        <f ca="1">AVEDEV(Q530*$Q$3,R530*$R$3,S530*$S$3,T530*$T$3,U530*$U$3)</f>
        <v>1.0582513676270786E-4</v>
      </c>
      <c r="AB530" s="11" cm="1">
        <f t="array" aca="1" ref="AB530" ca="1">MMULT(_xlfn.ANCHORARRAY(Q530),TRANSPOSE($Q$6:$U$6))</f>
        <v>-2.2315041006059883E-2</v>
      </c>
      <c r="AD530" s="2" t="s">
        <v>521</v>
      </c>
      <c r="AE530" s="10" cm="1">
        <f t="array" aca="1" ref="AE530:AI530" ca="1">_xlfn.LET(_xlpm.array,_xlfn.RANDARRAY(1,COLUMNS(_xlfn.ANCHORARRAY(Q529)),-1,1,FALSE),_xlpm.array/SUM(_xlpm.array))</f>
        <v>-0.25363923490861673</v>
      </c>
      <c r="AF530" s="10">
        <f ca="1"/>
        <v>0.74004397987832538</v>
      </c>
      <c r="AG530" s="10">
        <f ca="1"/>
        <v>0.59802646143500426</v>
      </c>
      <c r="AH530" s="10">
        <f ca="1"/>
        <v>-0.61433748560035095</v>
      </c>
      <c r="AI530" s="10">
        <f ca="1"/>
        <v>0.52990627919563804</v>
      </c>
      <c r="AJ530" s="1"/>
      <c r="AK530" s="2" cm="1">
        <f t="array" aca="1" ref="AK530" ca="1">MMULT(MMULT(_xlfn.ANCHORARRAY(AE530),$Q$9:$U$13),TRANSPOSE(_xlfn.ANCHORARRAY(AE530)))</f>
        <v>6.4377751237677805E-4</v>
      </c>
      <c r="AL530" s="2">
        <f t="shared" ca="1" si="21"/>
        <v>2.5372771081944873E-2</v>
      </c>
      <c r="AM530" s="2" cm="1">
        <f t="array" aca="1" ref="AM530" ca="1">MMULT(_xlfn.ANCHORARRAY(AE531),TRANSPOSE($Q$3:$U$3))</f>
        <v>8.7369151712530656E-4</v>
      </c>
    </row>
    <row r="531" spans="1:39" x14ac:dyDescent="0.35">
      <c r="A531" s="3">
        <v>44599</v>
      </c>
      <c r="B531" s="4">
        <v>43.572597503662102</v>
      </c>
      <c r="C531" s="4">
        <v>116.754837036132</v>
      </c>
      <c r="D531" s="4">
        <v>53.814445495605398</v>
      </c>
      <c r="E531" s="4">
        <v>20.871400833129801</v>
      </c>
      <c r="F531" s="4">
        <v>290.531005859375</v>
      </c>
      <c r="I531" s="5">
        <f>B531/B530-1</f>
        <v>4.7638404139853652E-3</v>
      </c>
      <c r="J531" s="5">
        <f>C531/C530-1</f>
        <v>1.9649689040390106E-2</v>
      </c>
      <c r="K531" s="5">
        <f>D531/D530-1</f>
        <v>3.7452783792446542E-3</v>
      </c>
      <c r="L531" s="5">
        <f>E531/E530-1</f>
        <v>1.5699466662927319E-2</v>
      </c>
      <c r="M531" s="5">
        <f>F531/F530-1</f>
        <v>-1.631003532973041E-2</v>
      </c>
      <c r="N531" s="5">
        <f>SUMPRODUCT(I531:M531,$AJ$13:$AN$13)</f>
        <v>1.8159163604414821E-3</v>
      </c>
      <c r="P531" s="2" t="s">
        <v>522</v>
      </c>
      <c r="Q531" s="10" cm="1">
        <f t="array" aca="1" ref="Q531:U531" ca="1">_xlfn.LET(_xlpm.array,_xlfn.RANDARRAY(1,COLUMNS(_xlfn.ANCHORARRAY(Q530)),0,1,FALSE),_xlpm.array/SUM(_xlpm.array))</f>
        <v>0.18217206545936512</v>
      </c>
      <c r="R531" s="2">
        <f ca="1"/>
        <v>0.28347507103270231</v>
      </c>
      <c r="S531" s="2">
        <f ca="1"/>
        <v>0.35531574265776644</v>
      </c>
      <c r="T531" s="2">
        <f ca="1"/>
        <v>4.3115384439318623E-2</v>
      </c>
      <c r="U531" s="2">
        <f ca="1"/>
        <v>0.13592173641084751</v>
      </c>
      <c r="V531" s="12"/>
      <c r="X531" s="2" cm="1">
        <f t="array" aca="1" ref="X531" ca="1">MMULT(MMULT(_xlfn.ANCHORARRAY(Q531),$Q$9:$U$13),TRANSPOSE(_xlfn.ANCHORARRAY(Q531)))</f>
        <v>3.2772653960670868E-4</v>
      </c>
      <c r="Y531" s="2">
        <f t="shared" ca="1" si="20"/>
        <v>1.810321903990306E-2</v>
      </c>
      <c r="Z531" s="2" cm="1">
        <f t="array" aca="1" ref="Z531" ca="1">MMULT(_xlfn.ANCHORARRAY(Q531),TRANSPOSE($Q$3:$U$3))</f>
        <v>1.0246335499776772E-3</v>
      </c>
      <c r="AA531" s="11">
        <f ca="1">AVEDEV(Q531*$Q$3,R531*$R$3,S531*$S$3,T531*$T$3,U531*$U$3)</f>
        <v>1.4967367486350396E-4</v>
      </c>
      <c r="AB531" s="11" cm="1">
        <f t="array" aca="1" ref="AB531" ca="1">MMULT(_xlfn.ANCHORARRAY(Q531),TRANSPOSE($Q$6:$U$6))</f>
        <v>-2.3243730251983532E-2</v>
      </c>
      <c r="AD531" s="2" t="s">
        <v>522</v>
      </c>
      <c r="AE531" s="10" cm="1">
        <f t="array" aca="1" ref="AE531:AI531" ca="1">_xlfn.LET(_xlpm.array,_xlfn.RANDARRAY(1,COLUMNS(_xlfn.ANCHORARRAY(Q530)),-1,1,FALSE),_xlpm.array/SUM(_xlpm.array))</f>
        <v>0.51610904616156206</v>
      </c>
      <c r="AF531" s="10">
        <f ca="1"/>
        <v>-0.13377769883835455</v>
      </c>
      <c r="AG531" s="10">
        <f ca="1"/>
        <v>0.13890544977085451</v>
      </c>
      <c r="AH531" s="10">
        <f ca="1"/>
        <v>0.45685775694607267</v>
      </c>
      <c r="AI531" s="10">
        <f ca="1"/>
        <v>2.1905445959865315E-2</v>
      </c>
      <c r="AJ531" s="1"/>
      <c r="AK531" s="2" cm="1">
        <f t="array" aca="1" ref="AK531" ca="1">MMULT(MMULT(_xlfn.ANCHORARRAY(AE531),$Q$9:$U$13),TRANSPOSE(_xlfn.ANCHORARRAY(AE531)))</f>
        <v>3.5448492268225841E-4</v>
      </c>
      <c r="AL531" s="2">
        <f t="shared" ca="1" si="21"/>
        <v>1.8827769986970267E-2</v>
      </c>
      <c r="AM531" s="2" cm="1">
        <f t="array" aca="1" ref="AM531" ca="1">MMULT(_xlfn.ANCHORARRAY(AE532),TRANSPOSE($Q$3:$U$3))</f>
        <v>-3.4746538408525073E-4</v>
      </c>
    </row>
    <row r="532" spans="1:39" x14ac:dyDescent="0.35">
      <c r="A532" s="3">
        <v>44600</v>
      </c>
      <c r="B532" s="4">
        <v>44.354053497314403</v>
      </c>
      <c r="C532" s="4">
        <v>114.976745605468</v>
      </c>
      <c r="D532" s="4">
        <v>54.718032836913999</v>
      </c>
      <c r="E532" s="4">
        <v>20.359437942504801</v>
      </c>
      <c r="F532" s="4">
        <v>294.01596069335898</v>
      </c>
      <c r="I532" s="5">
        <f>B532/B531-1</f>
        <v>1.7934574444101514E-2</v>
      </c>
      <c r="J532" s="5">
        <f>C532/C531-1</f>
        <v>-1.5229274227959722E-2</v>
      </c>
      <c r="K532" s="5">
        <f>D532/D531-1</f>
        <v>1.6790795352195742E-2</v>
      </c>
      <c r="L532" s="5">
        <f>E532/E531-1</f>
        <v>-2.4529397653670904E-2</v>
      </c>
      <c r="M532" s="5">
        <f>F532/F531-1</f>
        <v>1.1995121910226558E-2</v>
      </c>
      <c r="N532" s="5">
        <f>SUMPRODUCT(I532:M532,$AJ$13:$AN$13)</f>
        <v>-3.4000716198216664E-3</v>
      </c>
      <c r="P532" s="2" t="s">
        <v>523</v>
      </c>
      <c r="Q532" s="10" cm="1">
        <f t="array" aca="1" ref="Q532:U532" ca="1">_xlfn.LET(_xlpm.array,_xlfn.RANDARRAY(1,COLUMNS(_xlfn.ANCHORARRAY(Q531)),0,1,FALSE),_xlpm.array/SUM(_xlpm.array))</f>
        <v>0.18440641711111136</v>
      </c>
      <c r="R532" s="2">
        <f ca="1"/>
        <v>2.0276910753969306E-2</v>
      </c>
      <c r="S532" s="2">
        <f ca="1"/>
        <v>0.34866983158512543</v>
      </c>
      <c r="T532" s="2">
        <f ca="1"/>
        <v>0.1697636267825933</v>
      </c>
      <c r="U532" s="2">
        <f ca="1"/>
        <v>0.2768832137672006</v>
      </c>
      <c r="V532" s="12"/>
      <c r="X532" s="2" cm="1">
        <f t="array" aca="1" ref="X532" ca="1">MMULT(MMULT(_xlfn.ANCHORARRAY(Q532),$Q$9:$U$13),TRANSPOSE(_xlfn.ANCHORARRAY(Q532)))</f>
        <v>3.1174111444847124E-4</v>
      </c>
      <c r="Y532" s="2">
        <f t="shared" ca="1" si="20"/>
        <v>1.7656191957737412E-2</v>
      </c>
      <c r="Z532" s="2" cm="1">
        <f t="array" aca="1" ref="Z532" ca="1">MMULT(_xlfn.ANCHORARRAY(Q532),TRANSPOSE($Q$3:$U$3))</f>
        <v>1.0599795493826661E-3</v>
      </c>
      <c r="AA532" s="11">
        <f ca="1">AVEDEV(Q532*$Q$3,R532*$R$3,S532*$S$3,T532*$T$3,U532*$U$3)</f>
        <v>1.4169766647981313E-4</v>
      </c>
      <c r="AB532" s="11" cm="1">
        <f t="array" aca="1" ref="AB532" ca="1">MMULT(_xlfn.ANCHORARRAY(Q532),TRANSPOSE($Q$6:$U$6))</f>
        <v>-2.3714337447510649E-2</v>
      </c>
      <c r="AD532" s="2" t="s">
        <v>523</v>
      </c>
      <c r="AE532" s="10" cm="1">
        <f t="array" aca="1" ref="AE532:AI532" ca="1">_xlfn.LET(_xlpm.array,_xlfn.RANDARRAY(1,COLUMNS(_xlfn.ANCHORARRAY(Q531)),-1,1,FALSE),_xlpm.array/SUM(_xlpm.array))</f>
        <v>0.78119848135632386</v>
      </c>
      <c r="AF532" s="10">
        <f ca="1"/>
        <v>0.6316785650563983</v>
      </c>
      <c r="AG532" s="10">
        <f ca="1"/>
        <v>-0.80621967710504483</v>
      </c>
      <c r="AH532" s="10">
        <f ca="1"/>
        <v>-0.76853336242706227</v>
      </c>
      <c r="AI532" s="10">
        <f ca="1"/>
        <v>1.1618759931193849</v>
      </c>
      <c r="AJ532" s="1"/>
      <c r="AK532" s="2" cm="1">
        <f t="array" aca="1" ref="AK532" ca="1">MMULT(MMULT(_xlfn.ANCHORARRAY(AE532),$Q$9:$U$13),TRANSPOSE(_xlfn.ANCHORARRAY(AE532)))</f>
        <v>1.0599835483658777E-3</v>
      </c>
      <c r="AL532" s="2">
        <f t="shared" ca="1" si="21"/>
        <v>3.2557388537256447E-2</v>
      </c>
      <c r="AM532" s="2" cm="1">
        <f t="array" aca="1" ref="AM532" ca="1">MMULT(_xlfn.ANCHORARRAY(AE533),TRANSPOSE($Q$3:$U$3))</f>
        <v>1.2690724951195725E-3</v>
      </c>
    </row>
    <row r="533" spans="1:39" x14ac:dyDescent="0.35">
      <c r="A533" s="3">
        <v>44601</v>
      </c>
      <c r="B533" s="4">
        <v>44.2642211914062</v>
      </c>
      <c r="C533" s="4">
        <v>116.114364624023</v>
      </c>
      <c r="D533" s="4">
        <v>55.466476440429602</v>
      </c>
      <c r="E533" s="4">
        <v>20.752180099487301</v>
      </c>
      <c r="F533" s="4">
        <v>300.43569946289</v>
      </c>
      <c r="I533" s="5">
        <f>B533/B532-1</f>
        <v>-2.0253460242058985E-3</v>
      </c>
      <c r="J533" s="5">
        <f>C533/C532-1</f>
        <v>9.8943400473225918E-3</v>
      </c>
      <c r="K533" s="5">
        <f>D533/D532-1</f>
        <v>1.3678189158340626E-2</v>
      </c>
      <c r="L533" s="5">
        <f>E533/E532-1</f>
        <v>1.9290422362916226E-2</v>
      </c>
      <c r="M533" s="5">
        <f>F533/F532-1</f>
        <v>2.1834660793216054E-2</v>
      </c>
      <c r="N533" s="5">
        <f>SUMPRODUCT(I533:M533,$AJ$13:$AN$13)</f>
        <v>2.3690814983917351E-2</v>
      </c>
      <c r="P533" s="2" t="s">
        <v>524</v>
      </c>
      <c r="Q533" s="10" cm="1">
        <f t="array" aca="1" ref="Q533:U533" ca="1">_xlfn.LET(_xlpm.array,_xlfn.RANDARRAY(1,COLUMNS(_xlfn.ANCHORARRAY(Q532)),0,1,FALSE),_xlpm.array/SUM(_xlpm.array))</f>
        <v>2.2037910489884023E-2</v>
      </c>
      <c r="R533" s="2">
        <f ca="1"/>
        <v>0.15771267127180361</v>
      </c>
      <c r="S533" s="2">
        <f ca="1"/>
        <v>0.1514438666079875</v>
      </c>
      <c r="T533" s="2">
        <f ca="1"/>
        <v>0.38130942043708144</v>
      </c>
      <c r="U533" s="2">
        <f ca="1"/>
        <v>0.28749613119324346</v>
      </c>
      <c r="V533" s="12"/>
      <c r="X533" s="2" cm="1">
        <f t="array" aca="1" ref="X533" ca="1">MMULT(MMULT(_xlfn.ANCHORARRAY(Q533),$Q$9:$U$13),TRANSPOSE(_xlfn.ANCHORARRAY(Q533)))</f>
        <v>2.8339251346103388E-4</v>
      </c>
      <c r="Y533" s="2">
        <f t="shared" ca="1" si="20"/>
        <v>1.6834266050559907E-2</v>
      </c>
      <c r="Z533" s="2" cm="1">
        <f t="array" aca="1" ref="Z533" ca="1">MMULT(_xlfn.ANCHORARRAY(Q533),TRANSPOSE($Q$3:$U$3))</f>
        <v>9.817583410400765E-4</v>
      </c>
      <c r="AA533" s="11">
        <f ca="1">AVEDEV(Q533*$Q$3,R533*$R$3,S533*$S$3,T533*$T$3,U533*$U$3)</f>
        <v>1.0653387999623349E-4</v>
      </c>
      <c r="AB533" s="11" cm="1">
        <f t="array" aca="1" ref="AB533" ca="1">MMULT(_xlfn.ANCHORARRAY(Q533),TRANSPOSE($Q$6:$U$6))</f>
        <v>-2.321875392484227E-2</v>
      </c>
      <c r="AD533" s="2" t="s">
        <v>524</v>
      </c>
      <c r="AE533" s="10" cm="1">
        <f t="array" aca="1" ref="AE533:AI533" ca="1">_xlfn.LET(_xlpm.array,_xlfn.RANDARRAY(1,COLUMNS(_xlfn.ANCHORARRAY(Q532)),-1,1,FALSE),_xlpm.array/SUM(_xlpm.array))</f>
        <v>-1.5576830422637637E-2</v>
      </c>
      <c r="AF533" s="10">
        <f ca="1"/>
        <v>-3.6290197153295074E-2</v>
      </c>
      <c r="AG533" s="10">
        <f ca="1"/>
        <v>0.57692640780998927</v>
      </c>
      <c r="AH533" s="10">
        <f ca="1"/>
        <v>1.2855423725162076E-2</v>
      </c>
      <c r="AI533" s="10">
        <f ca="1"/>
        <v>0.4620851960407813</v>
      </c>
      <c r="AJ533" s="1"/>
      <c r="AK533" s="2" cm="1">
        <f t="array" aca="1" ref="AK533" ca="1">MMULT(MMULT(_xlfn.ANCHORARRAY(AE533),$Q$9:$U$13),TRANSPOSE(_xlfn.ANCHORARRAY(AE533)))</f>
        <v>4.6928475449419584E-4</v>
      </c>
      <c r="AL533" s="2">
        <f t="shared" ca="1" si="21"/>
        <v>2.1662981200522607E-2</v>
      </c>
      <c r="AM533" s="2" cm="1">
        <f t="array" aca="1" ref="AM533" ca="1">MMULT(_xlfn.ANCHORARRAY(AE534),TRANSPOSE($Q$3:$U$3))</f>
        <v>1.1822503211256618E-3</v>
      </c>
    </row>
    <row r="534" spans="1:39" x14ac:dyDescent="0.35">
      <c r="A534" s="3">
        <v>44602</v>
      </c>
      <c r="B534" s="4">
        <v>44.0576362609863</v>
      </c>
      <c r="C534" s="4">
        <v>114.639678955078</v>
      </c>
      <c r="D534" s="4">
        <v>55.420845031738203</v>
      </c>
      <c r="E534" s="4">
        <v>21.278173446655199</v>
      </c>
      <c r="F534" s="4">
        <v>291.911529541015</v>
      </c>
      <c r="I534" s="5">
        <f>B534/B533-1</f>
        <v>-4.6670860767343836E-3</v>
      </c>
      <c r="J534" s="5">
        <f>C534/C533-1</f>
        <v>-1.2700286254159976E-2</v>
      </c>
      <c r="K534" s="5">
        <f>D534/D533-1</f>
        <v>-8.226844685258472E-4</v>
      </c>
      <c r="L534" s="5">
        <f>E534/E533-1</f>
        <v>2.5346413950064539E-2</v>
      </c>
      <c r="M534" s="5">
        <f>F534/F533-1</f>
        <v>-2.8372693182315722E-2</v>
      </c>
      <c r="N534" s="5">
        <f>SUMPRODUCT(I534:M534,$AJ$13:$AN$13)</f>
        <v>3.7030101590905182E-3</v>
      </c>
      <c r="P534" s="2" t="s">
        <v>525</v>
      </c>
      <c r="Q534" s="10" cm="1">
        <f t="array" aca="1" ref="Q534:U534" ca="1">_xlfn.LET(_xlpm.array,_xlfn.RANDARRAY(1,COLUMNS(_xlfn.ANCHORARRAY(Q533)),0,1,FALSE),_xlpm.array/SUM(_xlpm.array))</f>
        <v>0.27018921916473038</v>
      </c>
      <c r="R534" s="2">
        <f ca="1"/>
        <v>0.15840858130904606</v>
      </c>
      <c r="S534" s="2">
        <f ca="1"/>
        <v>0.27036371831667594</v>
      </c>
      <c r="T534" s="2">
        <f ca="1"/>
        <v>4.21440779281105E-2</v>
      </c>
      <c r="U534" s="2">
        <f ca="1"/>
        <v>0.25889440328143709</v>
      </c>
      <c r="V534" s="12"/>
      <c r="X534" s="2" cm="1">
        <f t="array" aca="1" ref="X534" ca="1">MMULT(MMULT(_xlfn.ANCHORARRAY(Q534),$Q$9:$U$13),TRANSPOSE(_xlfn.ANCHORARRAY(Q534)))</f>
        <v>2.9037110636863595E-4</v>
      </c>
      <c r="Y534" s="2">
        <f t="shared" ca="1" si="20"/>
        <v>1.7040278940458575E-2</v>
      </c>
      <c r="Z534" s="2" cm="1">
        <f t="array" aca="1" ref="Z534" ca="1">MMULT(_xlfn.ANCHORARRAY(Q534),TRANSPOSE($Q$3:$U$3))</f>
        <v>9.3314116066823692E-4</v>
      </c>
      <c r="AA534" s="11">
        <f ca="1">AVEDEV(Q534*$Q$3,R534*$R$3,S534*$S$3,T534*$T$3,U534*$U$3)</f>
        <v>1.0553231844120145E-4</v>
      </c>
      <c r="AB534" s="11" cm="1">
        <f t="array" aca="1" ref="AB534" ca="1">MMULT(_xlfn.ANCHORARRAY(Q534),TRANSPOSE($Q$6:$U$6))</f>
        <v>-2.2713819995758586E-2</v>
      </c>
      <c r="AD534" s="2" t="s">
        <v>525</v>
      </c>
      <c r="AE534" s="10" cm="1">
        <f t="array" aca="1" ref="AE534:AI534" ca="1">_xlfn.LET(_xlpm.array,_xlfn.RANDARRAY(1,COLUMNS(_xlfn.ANCHORARRAY(Q533)),-1,1,FALSE),_xlpm.array/SUM(_xlpm.array))</f>
        <v>0.356000247309183</v>
      </c>
      <c r="AF534" s="10">
        <f ca="1"/>
        <v>0.28828933169607479</v>
      </c>
      <c r="AG534" s="10">
        <f ca="1"/>
        <v>0.45942210712329945</v>
      </c>
      <c r="AH534" s="10">
        <f ca="1"/>
        <v>0.48300057486584547</v>
      </c>
      <c r="AI534" s="10">
        <f ca="1"/>
        <v>-0.58671226099440277</v>
      </c>
      <c r="AJ534" s="1"/>
      <c r="AK534" s="2" cm="1">
        <f t="array" aca="1" ref="AK534" ca="1">MMULT(MMULT(_xlfn.ANCHORARRAY(AE534),$Q$9:$U$13),TRANSPOSE(_xlfn.ANCHORARRAY(AE534)))</f>
        <v>6.9347689600584531E-4</v>
      </c>
      <c r="AL534" s="2">
        <f t="shared" ca="1" si="21"/>
        <v>2.6333949495012048E-2</v>
      </c>
      <c r="AM534" s="2" cm="1">
        <f t="array" aca="1" ref="AM534" ca="1">MMULT(_xlfn.ANCHORARRAY(AE535),TRANSPOSE($Q$3:$U$3))</f>
        <v>1.7009704231398502E-4</v>
      </c>
    </row>
    <row r="535" spans="1:39" x14ac:dyDescent="0.35">
      <c r="A535" s="3">
        <v>44603</v>
      </c>
      <c r="B535" s="4">
        <v>43.042644500732401</v>
      </c>
      <c r="C535" s="4">
        <v>116.973922729492</v>
      </c>
      <c r="D535" s="4">
        <v>54.316440582275298</v>
      </c>
      <c r="E535" s="4">
        <v>22.5269260406494</v>
      </c>
      <c r="F535" s="4">
        <v>284.82556152343699</v>
      </c>
      <c r="I535" s="5">
        <f>B535/B534-1</f>
        <v>-2.3037816968694003E-2</v>
      </c>
      <c r="J535" s="5">
        <f>C535/C534-1</f>
        <v>2.0361569359669041E-2</v>
      </c>
      <c r="K535" s="5">
        <f>D535/D534-1</f>
        <v>-1.9927600324939787E-2</v>
      </c>
      <c r="L535" s="5">
        <f>E535/E534-1</f>
        <v>5.8687020158231462E-2</v>
      </c>
      <c r="M535" s="5">
        <f>F535/F534-1</f>
        <v>-2.4274368431831284E-2</v>
      </c>
      <c r="N535" s="5">
        <f>SUMPRODUCT(I535:M535,$AJ$13:$AN$13)</f>
        <v>1.4933143963397013E-2</v>
      </c>
      <c r="P535" s="2" t="s">
        <v>526</v>
      </c>
      <c r="Q535" s="10" cm="1">
        <f t="array" aca="1" ref="Q535:U535" ca="1">_xlfn.LET(_xlpm.array,_xlfn.RANDARRAY(1,COLUMNS(_xlfn.ANCHORARRAY(Q534)),0,1,FALSE),_xlpm.array/SUM(_xlpm.array))</f>
        <v>0.25856301373480045</v>
      </c>
      <c r="R535" s="2">
        <f ca="1"/>
        <v>0.12749001309335919</v>
      </c>
      <c r="S535" s="2">
        <f ca="1"/>
        <v>0.16923177951203938</v>
      </c>
      <c r="T535" s="2">
        <f ca="1"/>
        <v>0.23875622279712075</v>
      </c>
      <c r="U535" s="2">
        <f ca="1"/>
        <v>0.20595897086268017</v>
      </c>
      <c r="V535" s="12"/>
      <c r="X535" s="2" cm="1">
        <f t="array" aca="1" ref="X535" ca="1">MMULT(MMULT(_xlfn.ANCHORARRAY(Q535),$Q$9:$U$13),TRANSPOSE(_xlfn.ANCHORARRAY(Q535)))</f>
        <v>2.7527329319049763E-4</v>
      </c>
      <c r="Y535" s="2">
        <f t="shared" ca="1" si="20"/>
        <v>1.6591362005287498E-2</v>
      </c>
      <c r="Z535" s="2" cm="1">
        <f t="array" aca="1" ref="Z535" ca="1">MMULT(_xlfn.ANCHORARRAY(Q535),TRANSPOSE($Q$3:$U$3))</f>
        <v>9.0079035968946078E-4</v>
      </c>
      <c r="AA535" s="11">
        <f ca="1">AVEDEV(Q535*$Q$3,R535*$R$3,S535*$S$3,T535*$T$3,U535*$U$3)</f>
        <v>6.3373537305642908E-5</v>
      </c>
      <c r="AB535" s="11" cm="1">
        <f t="array" aca="1" ref="AB535" ca="1">MMULT(_xlfn.ANCHORARRAY(Q535),TRANSPOSE($Q$6:$U$6))</f>
        <v>-2.296173679550436E-2</v>
      </c>
      <c r="AD535" s="2" t="s">
        <v>526</v>
      </c>
      <c r="AE535" s="10" cm="1">
        <f t="array" aca="1" ref="AE535:AI535" ca="1">_xlfn.LET(_xlpm.array,_xlfn.RANDARRAY(1,COLUMNS(_xlfn.ANCHORARRAY(Q534)),-1,1,FALSE),_xlpm.array/SUM(_xlpm.array))</f>
        <v>0.55606563110934948</v>
      </c>
      <c r="AF535" s="10">
        <f ca="1"/>
        <v>0.3280983032904678</v>
      </c>
      <c r="AG535" s="10">
        <f ca="1"/>
        <v>-0.27608567083125418</v>
      </c>
      <c r="AH535" s="10">
        <f ca="1"/>
        <v>-0.79260122988341208</v>
      </c>
      <c r="AI535" s="10">
        <f ca="1"/>
        <v>1.1845229663148489</v>
      </c>
      <c r="AJ535" s="1"/>
      <c r="AK535" s="2" cm="1">
        <f t="array" aca="1" ref="AK535" ca="1">MMULT(MMULT(_xlfn.ANCHORARRAY(AE535),$Q$9:$U$13),TRANSPOSE(_xlfn.ANCHORARRAY(AE535)))</f>
        <v>7.5585098918182323E-4</v>
      </c>
      <c r="AL535" s="2">
        <f t="shared" ca="1" si="21"/>
        <v>2.749274430066637E-2</v>
      </c>
      <c r="AM535" s="2" cm="1">
        <f t="array" aca="1" ref="AM535" ca="1">MMULT(_xlfn.ANCHORARRAY(AE536),TRANSPOSE($Q$3:$U$3))</f>
        <v>1.0784218778414783E-3</v>
      </c>
    </row>
    <row r="536" spans="1:39" x14ac:dyDescent="0.35">
      <c r="A536" s="3">
        <v>44606</v>
      </c>
      <c r="B536" s="4">
        <v>42.593536376953097</v>
      </c>
      <c r="C536" s="4">
        <v>115.17056274414</v>
      </c>
      <c r="D536" s="4">
        <v>53.4858589172363</v>
      </c>
      <c r="E536" s="4">
        <v>21.772031784057599</v>
      </c>
      <c r="F536" s="4">
        <v>284.78692626953102</v>
      </c>
      <c r="I536" s="5">
        <f>B536/B535-1</f>
        <v>-1.0434027206940311E-2</v>
      </c>
      <c r="J536" s="5">
        <f>C536/C535-1</f>
        <v>-1.5416769338601699E-2</v>
      </c>
      <c r="K536" s="5">
        <f>D536/D535-1</f>
        <v>-1.5291533394587664E-2</v>
      </c>
      <c r="L536" s="5">
        <f>E536/E535-1</f>
        <v>-3.3510753097409252E-2</v>
      </c>
      <c r="M536" s="5">
        <f>F536/F535-1</f>
        <v>-1.3564531813547998E-4</v>
      </c>
      <c r="N536" s="5">
        <f>SUMPRODUCT(I536:M536,$AJ$13:$AN$13)</f>
        <v>-2.0142571341385248E-2</v>
      </c>
      <c r="P536" s="2" t="s">
        <v>527</v>
      </c>
      <c r="Q536" s="10" cm="1">
        <f t="array" aca="1" ref="Q536:U536" ca="1">_xlfn.LET(_xlpm.array,_xlfn.RANDARRAY(1,COLUMNS(_xlfn.ANCHORARRAY(Q535)),0,1,FALSE),_xlpm.array/SUM(_xlpm.array))</f>
        <v>0.23324829271199696</v>
      </c>
      <c r="R536" s="2">
        <f ca="1"/>
        <v>0.11822769810121818</v>
      </c>
      <c r="S536" s="2">
        <f ca="1"/>
        <v>0.3194970641783591</v>
      </c>
      <c r="T536" s="2">
        <f ca="1"/>
        <v>0.21779669644396538</v>
      </c>
      <c r="U536" s="2">
        <f ca="1"/>
        <v>0.11123024856446047</v>
      </c>
      <c r="V536" s="12"/>
      <c r="X536" s="2" cm="1">
        <f t="array" aca="1" ref="X536" ca="1">MMULT(MMULT(_xlfn.ANCHORARRAY(Q536),$Q$9:$U$13),TRANSPOSE(_xlfn.ANCHORARRAY(Q536)))</f>
        <v>3.1928494412998483E-4</v>
      </c>
      <c r="Y536" s="2">
        <f t="shared" ca="1" si="20"/>
        <v>1.7868546223181809E-2</v>
      </c>
      <c r="Z536" s="2" cm="1">
        <f t="array" aca="1" ref="Z536" ca="1">MMULT(_xlfn.ANCHORARRAY(Q536),TRANSPOSE($Q$3:$U$3))</f>
        <v>1.0313252461051112E-3</v>
      </c>
      <c r="AA536" s="11">
        <f ca="1">AVEDEV(Q536*$Q$3,R536*$R$3,S536*$S$3,T536*$T$3,U536*$U$3)</f>
        <v>1.3153528643299425E-4</v>
      </c>
      <c r="AB536" s="11" cm="1">
        <f t="array" aca="1" ref="AB536" ca="1">MMULT(_xlfn.ANCHORARRAY(Q536),TRANSPOSE($Q$6:$U$6))</f>
        <v>-2.3869534939761215E-2</v>
      </c>
      <c r="AD536" s="2" t="s">
        <v>527</v>
      </c>
      <c r="AE536" s="10" cm="1">
        <f t="array" aca="1" ref="AE536:AI536" ca="1">_xlfn.LET(_xlpm.array,_xlfn.RANDARRAY(1,COLUMNS(_xlfn.ANCHORARRAY(Q535)),-1,1,FALSE),_xlpm.array/SUM(_xlpm.array))</f>
        <v>-0.38052513347621097</v>
      </c>
      <c r="AF536" s="10">
        <f ca="1"/>
        <v>0.33510954005197707</v>
      </c>
      <c r="AG536" s="10">
        <f ca="1"/>
        <v>9.5448700643449555E-2</v>
      </c>
      <c r="AH536" s="10">
        <f ca="1"/>
        <v>0.56673871776055218</v>
      </c>
      <c r="AI536" s="10">
        <f ca="1"/>
        <v>0.38322817502023226</v>
      </c>
      <c r="AJ536" s="1"/>
      <c r="AK536" s="2" cm="1">
        <f t="array" aca="1" ref="AK536" ca="1">MMULT(MMULT(_xlfn.ANCHORARRAY(AE536),$Q$9:$U$13),TRANSPOSE(_xlfn.ANCHORARRAY(AE536)))</f>
        <v>3.9059855871502425E-4</v>
      </c>
      <c r="AL536" s="2">
        <f t="shared" ca="1" si="21"/>
        <v>1.9763566447254004E-2</v>
      </c>
      <c r="AM536" s="2" cm="1">
        <f t="array" aca="1" ref="AM536" ca="1">MMULT(_xlfn.ANCHORARRAY(AE537),TRANSPOSE($Q$3:$U$3))</f>
        <v>9.9486160704900578E-4</v>
      </c>
    </row>
    <row r="537" spans="1:39" x14ac:dyDescent="0.35">
      <c r="A537" s="3">
        <v>44607</v>
      </c>
      <c r="B537" s="4">
        <v>42.925880432128899</v>
      </c>
      <c r="C537" s="4">
        <v>114.32753753662099</v>
      </c>
      <c r="D537" s="4">
        <v>54.599388122558501</v>
      </c>
      <c r="E537" s="4">
        <v>20.833703994750898</v>
      </c>
      <c r="F537" s="4">
        <v>290.06756591796801</v>
      </c>
      <c r="I537" s="5">
        <f>B537/B536-1</f>
        <v>7.8026875306749233E-3</v>
      </c>
      <c r="J537" s="5">
        <f>C537/C536-1</f>
        <v>-7.3197975891795553E-3</v>
      </c>
      <c r="K537" s="5">
        <f>D537/D536-1</f>
        <v>2.0819132904741577E-2</v>
      </c>
      <c r="L537" s="5">
        <f>E537/E536-1</f>
        <v>-4.3097851344943594E-2</v>
      </c>
      <c r="M537" s="5">
        <f>F537/F536-1</f>
        <v>1.8542422988333529E-2</v>
      </c>
      <c r="N537" s="5">
        <f>SUMPRODUCT(I537:M537,$AJ$13:$AN$13)</f>
        <v>-5.1206086966553927E-3</v>
      </c>
      <c r="P537" s="2" t="s">
        <v>528</v>
      </c>
      <c r="Q537" s="10" cm="1">
        <f t="array" aca="1" ref="Q537:U537" ca="1">_xlfn.LET(_xlpm.array,_xlfn.RANDARRAY(1,COLUMNS(_xlfn.ANCHORARRAY(Q536)),0,1,FALSE),_xlpm.array/SUM(_xlpm.array))</f>
        <v>0.18483009599106773</v>
      </c>
      <c r="R537" s="2">
        <f ca="1"/>
        <v>0.15812999009814122</v>
      </c>
      <c r="S537" s="2">
        <f ca="1"/>
        <v>0.13491322572600239</v>
      </c>
      <c r="T537" s="2">
        <f ca="1"/>
        <v>0.25252233864656182</v>
      </c>
      <c r="U537" s="2">
        <f ca="1"/>
        <v>0.26960434953822687</v>
      </c>
      <c r="V537" s="12"/>
      <c r="X537" s="2" cm="1">
        <f t="array" aca="1" ref="X537" ca="1">MMULT(MMULT(_xlfn.ANCHORARRAY(Q537),$Q$9:$U$13),TRANSPOSE(_xlfn.ANCHORARRAY(Q537)))</f>
        <v>2.634733896315324E-4</v>
      </c>
      <c r="Y537" s="2">
        <f t="shared" ca="1" si="20"/>
        <v>1.623186340601511E-2</v>
      </c>
      <c r="Z537" s="2" cm="1">
        <f t="array" aca="1" ref="Z537" ca="1">MMULT(_xlfn.ANCHORARRAY(Q537),TRANSPOSE($Q$3:$U$3))</f>
        <v>8.9270014133829129E-4</v>
      </c>
      <c r="AA537" s="11">
        <f ca="1">AVEDEV(Q537*$Q$3,R537*$R$3,S537*$S$3,T537*$T$3,U537*$U$3)</f>
        <v>5.9067264099033884E-5</v>
      </c>
      <c r="AB537" s="11" cm="1">
        <f t="array" aca="1" ref="AB537" ca="1">MMULT(_xlfn.ANCHORARRAY(Q537),TRANSPOSE($Q$6:$U$6))</f>
        <v>-2.26953794876299E-2</v>
      </c>
      <c r="AD537" s="2" t="s">
        <v>528</v>
      </c>
      <c r="AE537" s="10" cm="1">
        <f t="array" aca="1" ref="AE537:AI537" ca="1">_xlfn.LET(_xlpm.array,_xlfn.RANDARRAY(1,COLUMNS(_xlfn.ANCHORARRAY(Q536)),-1,1,FALSE),_xlpm.array/SUM(_xlpm.array))</f>
        <v>0.64219118459727087</v>
      </c>
      <c r="AF537" s="10">
        <f ca="1"/>
        <v>-0.42652609840705991</v>
      </c>
      <c r="AG537" s="10">
        <f ca="1"/>
        <v>0.57614888010119747</v>
      </c>
      <c r="AH537" s="10">
        <f ca="1"/>
        <v>-0.44773433503101151</v>
      </c>
      <c r="AI537" s="10">
        <f ca="1"/>
        <v>0.65592036873960313</v>
      </c>
      <c r="AJ537" s="1"/>
      <c r="AK537" s="2" cm="1">
        <f t="array" aca="1" ref="AK537" ca="1">MMULT(MMULT(_xlfn.ANCHORARRAY(AE537),$Q$9:$U$13),TRANSPOSE(_xlfn.ANCHORARRAY(AE537)))</f>
        <v>8.3232996582635317E-4</v>
      </c>
      <c r="AL537" s="2">
        <f t="shared" ca="1" si="21"/>
        <v>2.8850129390114582E-2</v>
      </c>
      <c r="AM537" s="2" cm="1">
        <f t="array" aca="1" ref="AM537" ca="1">MMULT(_xlfn.ANCHORARRAY(AE538),TRANSPOSE($Q$3:$U$3))</f>
        <v>8.7776718197122628E-4</v>
      </c>
    </row>
    <row r="538" spans="1:39" x14ac:dyDescent="0.35">
      <c r="A538" s="3">
        <v>44608</v>
      </c>
      <c r="B538" s="4">
        <v>42.827083587646399</v>
      </c>
      <c r="C538" s="4">
        <v>114.361610412597</v>
      </c>
      <c r="D538" s="4">
        <v>55.028366088867102</v>
      </c>
      <c r="E538" s="4">
        <v>20.7772617340087</v>
      </c>
      <c r="F538" s="4">
        <v>289.72894287109301</v>
      </c>
      <c r="I538" s="5">
        <f>B538/B537-1</f>
        <v>-2.3015682727511866E-3</v>
      </c>
      <c r="J538" s="5">
        <f>C538/C537-1</f>
        <v>2.9802860019700894E-4</v>
      </c>
      <c r="K538" s="5">
        <f>D538/D537-1</f>
        <v>7.8568273575827519E-3</v>
      </c>
      <c r="L538" s="5">
        <f>E538/E537-1</f>
        <v>-2.7091803145719018E-3</v>
      </c>
      <c r="M538" s="5">
        <f>F538/F537-1</f>
        <v>-1.1673936925811201E-3</v>
      </c>
      <c r="N538" s="5">
        <f>SUMPRODUCT(I538:M538,$AJ$13:$AN$13)</f>
        <v>3.0908699293261035E-3</v>
      </c>
      <c r="P538" s="2" t="s">
        <v>529</v>
      </c>
      <c r="Q538" s="10" cm="1">
        <f t="array" aca="1" ref="Q538:U538" ca="1">_xlfn.LET(_xlpm.array,_xlfn.RANDARRAY(1,COLUMNS(_xlfn.ANCHORARRAY(Q537)),0,1,FALSE),_xlpm.array/SUM(_xlpm.array))</f>
        <v>0.19304717645508962</v>
      </c>
      <c r="R538" s="2">
        <f ca="1"/>
        <v>0.15420381772216646</v>
      </c>
      <c r="S538" s="2">
        <f ca="1"/>
        <v>0.30609696884592702</v>
      </c>
      <c r="T538" s="2">
        <f ca="1"/>
        <v>0.29859989389282471</v>
      </c>
      <c r="U538" s="2">
        <f ca="1"/>
        <v>4.8052143083992249E-2</v>
      </c>
      <c r="V538" s="12"/>
      <c r="X538" s="2" cm="1">
        <f t="array" aca="1" ref="X538" ca="1">MMULT(MMULT(_xlfn.ANCHORARRAY(Q538),$Q$9:$U$13),TRANSPOSE(_xlfn.ANCHORARRAY(Q538)))</f>
        <v>3.3471344729729891E-4</v>
      </c>
      <c r="Y538" s="2">
        <f t="shared" ref="Y538:Y601" ca="1" si="22">SQRT(X538)</f>
        <v>1.8295175519718276E-2</v>
      </c>
      <c r="Z538" s="2" cm="1">
        <f t="array" aca="1" ref="Z538" ca="1">MMULT(_xlfn.ANCHORARRAY(Q538),TRANSPOSE($Q$3:$U$3))</f>
        <v>1.0496304970778259E-3</v>
      </c>
      <c r="AA538" s="11">
        <f ca="1">AVEDEV(Q538*$Q$3,R538*$R$3,S538*$S$3,T538*$T$3,U538*$U$3)</f>
        <v>1.5292171237447363E-4</v>
      </c>
      <c r="AB538" s="11" cm="1">
        <f t="array" aca="1" ref="AB538" ca="1">MMULT(_xlfn.ANCHORARRAY(Q538),TRANSPOSE($Q$6:$U$6))</f>
        <v>-2.4139629613508802E-2</v>
      </c>
      <c r="AD538" s="2" t="s">
        <v>529</v>
      </c>
      <c r="AE538" s="10" cm="1">
        <f t="array" aca="1" ref="AE538:AI538" ca="1">_xlfn.LET(_xlpm.array,_xlfn.RANDARRAY(1,COLUMNS(_xlfn.ANCHORARRAY(Q537)),-1,1,FALSE),_xlpm.array/SUM(_xlpm.array))</f>
        <v>-0.18423460825746826</v>
      </c>
      <c r="AF538" s="10">
        <f ca="1"/>
        <v>0.48947890133236521</v>
      </c>
      <c r="AG538" s="10">
        <f ca="1"/>
        <v>1.2845092918045217E-2</v>
      </c>
      <c r="AH538" s="10">
        <f ca="1"/>
        <v>0.27864084454314852</v>
      </c>
      <c r="AI538" s="10">
        <f ca="1"/>
        <v>0.4032697694639093</v>
      </c>
      <c r="AJ538" s="1"/>
      <c r="AK538" s="2" cm="1">
        <f t="array" aca="1" ref="AK538" ca="1">MMULT(MMULT(_xlfn.ANCHORARRAY(AE538),$Q$9:$U$13),TRANSPOSE(_xlfn.ANCHORARRAY(AE538)))</f>
        <v>3.0240486645245177E-4</v>
      </c>
      <c r="AL538" s="2">
        <f t="shared" ref="AL538:AL601" ca="1" si="23">SQRT(AK538)</f>
        <v>1.7389792018665771E-2</v>
      </c>
      <c r="AM538" s="2" cm="1">
        <f t="array" aca="1" ref="AM538" ca="1">MMULT(_xlfn.ANCHORARRAY(AE539),TRANSPOSE($Q$3:$U$3))</f>
        <v>8.0713103261394604E-4</v>
      </c>
    </row>
    <row r="539" spans="1:39" x14ac:dyDescent="0.35">
      <c r="A539" s="3">
        <v>44609</v>
      </c>
      <c r="B539" s="4">
        <v>41.380943298339801</v>
      </c>
      <c r="C539" s="4">
        <v>113.774040222167</v>
      </c>
      <c r="D539" s="4">
        <v>54.088260650634702</v>
      </c>
      <c r="E539" s="4">
        <v>21.193515777587798</v>
      </c>
      <c r="F539" s="4">
        <v>281.24508666992102</v>
      </c>
      <c r="I539" s="5">
        <f>B539/B538-1</f>
        <v>-3.3766956985222807E-2</v>
      </c>
      <c r="J539" s="5">
        <f>C539/C538-1</f>
        <v>-5.1378271809058296E-3</v>
      </c>
      <c r="K539" s="5">
        <f>D539/D538-1</f>
        <v>-1.7084015118933316E-2</v>
      </c>
      <c r="L539" s="5">
        <f>E539/E538-1</f>
        <v>2.0034114644557066E-2</v>
      </c>
      <c r="M539" s="5">
        <f>F539/F538-1</f>
        <v>-2.9282045891240616E-2</v>
      </c>
      <c r="N539" s="5">
        <f>SUMPRODUCT(I539:M539,$AJ$13:$AN$13)</f>
        <v>6.1852026618170429E-4</v>
      </c>
      <c r="P539" s="2" t="s">
        <v>530</v>
      </c>
      <c r="Q539" s="10" cm="1">
        <f t="array" aca="1" ref="Q539:U539" ca="1">_xlfn.LET(_xlpm.array,_xlfn.RANDARRAY(1,COLUMNS(_xlfn.ANCHORARRAY(Q538)),0,1,FALSE),_xlpm.array/SUM(_xlpm.array))</f>
        <v>0.31031042435449047</v>
      </c>
      <c r="R539" s="2">
        <f ca="1"/>
        <v>4.9801488147892661E-2</v>
      </c>
      <c r="S539" s="2">
        <f ca="1"/>
        <v>0.38657224736706564</v>
      </c>
      <c r="T539" s="2">
        <f ca="1"/>
        <v>0.1995127449700401</v>
      </c>
      <c r="U539" s="2">
        <f ca="1"/>
        <v>5.3803095160511141E-2</v>
      </c>
      <c r="V539" s="12"/>
      <c r="X539" s="2" cm="1">
        <f t="array" aca="1" ref="X539" ca="1">MMULT(MMULT(_xlfn.ANCHORARRAY(Q539),$Q$9:$U$13),TRANSPOSE(_xlfn.ANCHORARRAY(Q539)))</f>
        <v>3.5479479571763888E-4</v>
      </c>
      <c r="Y539" s="2">
        <f t="shared" ca="1" si="22"/>
        <v>1.8835997338013159E-2</v>
      </c>
      <c r="Z539" s="2" cm="1">
        <f t="array" aca="1" ref="Z539" ca="1">MMULT(_xlfn.ANCHORARRAY(Q539),TRANSPOSE($Q$3:$U$3))</f>
        <v>1.0668518686694729E-3</v>
      </c>
      <c r="AA539" s="11">
        <f ca="1">AVEDEV(Q539*$Q$3,R539*$R$3,S539*$S$3,T539*$T$3,U539*$U$3)</f>
        <v>1.6576930195085472E-4</v>
      </c>
      <c r="AB539" s="11" cm="1">
        <f t="array" aca="1" ref="AB539" ca="1">MMULT(_xlfn.ANCHORARRAY(Q539),TRANSPOSE($Q$6:$U$6))</f>
        <v>-2.4330337103995375E-2</v>
      </c>
      <c r="AD539" s="2" t="s">
        <v>530</v>
      </c>
      <c r="AE539" s="10" cm="1">
        <f t="array" aca="1" ref="AE539:AI539" ca="1">_xlfn.LET(_xlpm.array,_xlfn.RANDARRAY(1,COLUMNS(_xlfn.ANCHORARRAY(Q538)),-1,1,FALSE),_xlpm.array/SUM(_xlpm.array))</f>
        <v>0.56128767025877191</v>
      </c>
      <c r="AF539" s="10">
        <f ca="1"/>
        <v>0.4819524811471077</v>
      </c>
      <c r="AG539" s="10">
        <f ca="1"/>
        <v>0.28560696566803268</v>
      </c>
      <c r="AH539" s="10">
        <f ca="1"/>
        <v>-0.16508511769472214</v>
      </c>
      <c r="AI539" s="10">
        <f ca="1"/>
        <v>-0.16376199937919006</v>
      </c>
      <c r="AJ539" s="1"/>
      <c r="AK539" s="2" cm="1">
        <f t="array" aca="1" ref="AK539" ca="1">MMULT(MMULT(_xlfn.ANCHORARRAY(AE539),$Q$9:$U$13),TRANSPOSE(_xlfn.ANCHORARRAY(AE539)))</f>
        <v>4.4261199178154988E-4</v>
      </c>
      <c r="AL539" s="2">
        <f t="shared" ca="1" si="23"/>
        <v>2.1038345747267057E-2</v>
      </c>
      <c r="AM539" s="2" cm="1">
        <f t="array" aca="1" ref="AM539" ca="1">MMULT(_xlfn.ANCHORARRAY(AE540),TRANSPOSE($Q$3:$U$3))</f>
        <v>1.1062074342334828E-3</v>
      </c>
    </row>
    <row r="540" spans="1:39" x14ac:dyDescent="0.35">
      <c r="A540" s="3">
        <v>44610</v>
      </c>
      <c r="B540" s="4">
        <v>41.282138824462798</v>
      </c>
      <c r="C540" s="4">
        <v>113.612243652343</v>
      </c>
      <c r="D540" s="4">
        <v>53.759674072265597</v>
      </c>
      <c r="E540" s="4">
        <v>21.1794033050537</v>
      </c>
      <c r="F540" s="4">
        <v>278.53649902343699</v>
      </c>
      <c r="I540" s="5">
        <f>B540/B539-1</f>
        <v>-2.3876805602197626E-3</v>
      </c>
      <c r="J540" s="5">
        <f>C540/C539-1</f>
        <v>-1.4220868794679875E-3</v>
      </c>
      <c r="K540" s="5">
        <f>D540/D539-1</f>
        <v>-6.0750073013348116E-3</v>
      </c>
      <c r="L540" s="5">
        <f>E540/E539-1</f>
        <v>-6.6588633439579326E-4</v>
      </c>
      <c r="M540" s="5">
        <f>F540/F539-1</f>
        <v>-9.6307020988527503E-3</v>
      </c>
      <c r="N540" s="5">
        <f>SUMPRODUCT(I540:M540,$AJ$13:$AN$13)</f>
        <v>-5.9541876607107601E-3</v>
      </c>
      <c r="P540" s="2" t="s">
        <v>531</v>
      </c>
      <c r="Q540" s="10" cm="1">
        <f t="array" aca="1" ref="Q540:U540" ca="1">_xlfn.LET(_xlpm.array,_xlfn.RANDARRAY(1,COLUMNS(_xlfn.ANCHORARRAY(Q539)),0,1,FALSE),_xlpm.array/SUM(_xlpm.array))</f>
        <v>0.37531927012009647</v>
      </c>
      <c r="R540" s="2">
        <f ca="1"/>
        <v>2.0212778152731686E-2</v>
      </c>
      <c r="S540" s="2">
        <f ca="1"/>
        <v>0.37892864630956674</v>
      </c>
      <c r="T540" s="2">
        <f ca="1"/>
        <v>3.0084527652604814E-2</v>
      </c>
      <c r="U540" s="2">
        <f ca="1"/>
        <v>0.19545477776500034</v>
      </c>
      <c r="V540" s="12"/>
      <c r="X540" s="2" cm="1">
        <f t="array" aca="1" ref="X540" ca="1">MMULT(MMULT(_xlfn.ANCHORARRAY(Q540),$Q$9:$U$13),TRANSPOSE(_xlfn.ANCHORARRAY(Q540)))</f>
        <v>3.4746433328998271E-4</v>
      </c>
      <c r="Y540" s="2">
        <f t="shared" ca="1" si="22"/>
        <v>1.8640395202086858E-2</v>
      </c>
      <c r="Z540" s="2" cm="1">
        <f t="array" aca="1" ref="Z540" ca="1">MMULT(_xlfn.ANCHORARRAY(Q540),TRANSPOSE($Q$3:$U$3))</f>
        <v>1.0011243867441709E-3</v>
      </c>
      <c r="AA540" s="11">
        <f ca="1">AVEDEV(Q540*$Q$3,R540*$R$3,S540*$S$3,T540*$T$3,U540*$U$3)</f>
        <v>1.6606221489399965E-4</v>
      </c>
      <c r="AB540" s="11" cm="1">
        <f t="array" aca="1" ref="AB540" ca="1">MMULT(_xlfn.ANCHORARRAY(Q540),TRANSPOSE($Q$6:$U$6))</f>
        <v>-2.3506041838281009E-2</v>
      </c>
      <c r="AD540" s="2" t="s">
        <v>531</v>
      </c>
      <c r="AE540" s="10" cm="1">
        <f t="array" aca="1" ref="AE540:AI540" ca="1">_xlfn.LET(_xlpm.array,_xlfn.RANDARRAY(1,COLUMNS(_xlfn.ANCHORARRAY(Q539)),-1,1,FALSE),_xlpm.array/SUM(_xlpm.array))</f>
        <v>0.21702527338770344</v>
      </c>
      <c r="AF540" s="10">
        <f ca="1"/>
        <v>1.0359240862605172</v>
      </c>
      <c r="AG540" s="10">
        <f ca="1"/>
        <v>0.78029435354213661</v>
      </c>
      <c r="AH540" s="10">
        <f ca="1"/>
        <v>-0.92491914776235196</v>
      </c>
      <c r="AI540" s="10">
        <f ca="1"/>
        <v>-0.1083245654280053</v>
      </c>
      <c r="AJ540" s="1"/>
      <c r="AK540" s="2" cm="1">
        <f t="array" aca="1" ref="AK540" ca="1">MMULT(MMULT(_xlfn.ANCHORARRAY(AE540),$Q$9:$U$13),TRANSPOSE(_xlfn.ANCHORARRAY(AE540)))</f>
        <v>9.4969233401879941E-4</v>
      </c>
      <c r="AL540" s="2">
        <f t="shared" ca="1" si="23"/>
        <v>3.0817078609413958E-2</v>
      </c>
      <c r="AM540" s="2" cm="1">
        <f t="array" aca="1" ref="AM540" ca="1">MMULT(_xlfn.ANCHORARRAY(AE541),TRANSPOSE($Q$3:$U$3))</f>
        <v>8.6613693217562455E-4</v>
      </c>
    </row>
    <row r="541" spans="1:39" x14ac:dyDescent="0.35">
      <c r="A541" s="3">
        <v>44614</v>
      </c>
      <c r="B541" s="4">
        <v>40.922855377197202</v>
      </c>
      <c r="C541" s="4">
        <v>112.74365997314401</v>
      </c>
      <c r="D541" s="4">
        <v>52.144153594970703</v>
      </c>
      <c r="E541" s="4">
        <v>21.362834930419901</v>
      </c>
      <c r="F541" s="4">
        <v>278.33334350585898</v>
      </c>
      <c r="I541" s="5">
        <f>B541/B540-1</f>
        <v>-8.7031209500388895E-3</v>
      </c>
      <c r="J541" s="5">
        <f>C541/C540-1</f>
        <v>-7.6451591067674407E-3</v>
      </c>
      <c r="K541" s="5">
        <f>D541/D540-1</f>
        <v>-3.0050786303563837E-2</v>
      </c>
      <c r="L541" s="5">
        <f>E541/E540-1</f>
        <v>8.6608495397237917E-3</v>
      </c>
      <c r="M541" s="5">
        <f>F541/F540-1</f>
        <v>-7.2936767098852329E-4</v>
      </c>
      <c r="N541" s="5">
        <f>SUMPRODUCT(I541:M541,$AJ$13:$AN$13)</f>
        <v>-9.0758985253564742E-3</v>
      </c>
      <c r="P541" s="2" t="s">
        <v>532</v>
      </c>
      <c r="Q541" s="10" cm="1">
        <f t="array" aca="1" ref="Q541:U541" ca="1">_xlfn.LET(_xlpm.array,_xlfn.RANDARRAY(1,COLUMNS(_xlfn.ANCHORARRAY(Q540)),0,1,FALSE),_xlpm.array/SUM(_xlpm.array))</f>
        <v>7.8485278871811739E-2</v>
      </c>
      <c r="R541" s="2">
        <f ca="1"/>
        <v>0.27719118685363647</v>
      </c>
      <c r="S541" s="2">
        <f ca="1"/>
        <v>0.12705655941023108</v>
      </c>
      <c r="T541" s="2">
        <f ca="1"/>
        <v>0.24710904676327974</v>
      </c>
      <c r="U541" s="2">
        <f ca="1"/>
        <v>0.27015792810104089</v>
      </c>
      <c r="V541" s="12"/>
      <c r="X541" s="2" cm="1">
        <f t="array" aca="1" ref="X541" ca="1">MMULT(MMULT(_xlfn.ANCHORARRAY(Q541),$Q$9:$U$13),TRANSPOSE(_xlfn.ANCHORARRAY(Q541)))</f>
        <v>2.6919480483768863E-4</v>
      </c>
      <c r="Y541" s="2">
        <f t="shared" ca="1" si="22"/>
        <v>1.6407157122356349E-2</v>
      </c>
      <c r="Z541" s="2" cm="1">
        <f t="array" aca="1" ref="Z541" ca="1">MMULT(_xlfn.ANCHORARRAY(Q541),TRANSPOSE($Q$3:$U$3))</f>
        <v>9.0772778504983004E-4</v>
      </c>
      <c r="AA541" s="11">
        <f ca="1">AVEDEV(Q541*$Q$3,R541*$R$3,S541*$S$3,T541*$T$3,U541*$U$3)</f>
        <v>5.6662283424233878E-5</v>
      </c>
      <c r="AB541" s="11" cm="1">
        <f t="array" aca="1" ref="AB541" ca="1">MMULT(_xlfn.ANCHORARRAY(Q541),TRANSPOSE($Q$6:$U$6))</f>
        <v>-2.2511552605762063E-2</v>
      </c>
      <c r="AD541" s="2" t="s">
        <v>532</v>
      </c>
      <c r="AE541" s="10" cm="1">
        <f t="array" aca="1" ref="AE541:AI541" ca="1">_xlfn.LET(_xlpm.array,_xlfn.RANDARRAY(1,COLUMNS(_xlfn.ANCHORARRAY(Q540)),-1,1,FALSE),_xlpm.array/SUM(_xlpm.array))</f>
        <v>0.40790468355514425</v>
      </c>
      <c r="AF541" s="10">
        <f ca="1"/>
        <v>9.1669798684296838E-2</v>
      </c>
      <c r="AG541" s="10">
        <f ca="1"/>
        <v>0.1603339592453813</v>
      </c>
      <c r="AH541" s="10">
        <f ca="1"/>
        <v>0.27798847282013889</v>
      </c>
      <c r="AI541" s="10">
        <f ca="1"/>
        <v>6.2103085695038751E-2</v>
      </c>
      <c r="AJ541" s="1"/>
      <c r="AK541" s="2" cm="1">
        <f t="array" aca="1" ref="AK541" ca="1">MMULT(MMULT(_xlfn.ANCHORARRAY(AE541),$Q$9:$U$13),TRANSPOSE(_xlfn.ANCHORARRAY(AE541)))</f>
        <v>3.1314780426113984E-4</v>
      </c>
      <c r="AL541" s="2">
        <f t="shared" ca="1" si="23"/>
        <v>1.7695982715326658E-2</v>
      </c>
      <c r="AM541" s="2" cm="1">
        <f t="array" aca="1" ref="AM541" ca="1">MMULT(_xlfn.ANCHORARRAY(AE542),TRANSPOSE($Q$3:$U$3))</f>
        <v>1.0335119296007898E-3</v>
      </c>
    </row>
    <row r="542" spans="1:39" x14ac:dyDescent="0.35">
      <c r="A542" s="3">
        <v>44615</v>
      </c>
      <c r="B542" s="4">
        <v>40.222244262695298</v>
      </c>
      <c r="C542" s="4">
        <v>115.42600250244099</v>
      </c>
      <c r="D542" s="4">
        <v>51.824703216552699</v>
      </c>
      <c r="E542" s="4">
        <v>22.040122985839801</v>
      </c>
      <c r="F542" s="4">
        <v>271.12634277343699</v>
      </c>
      <c r="I542" s="5">
        <f>B542/B541-1</f>
        <v>-1.712028909136909E-2</v>
      </c>
      <c r="J542" s="5">
        <f>C542/C541-1</f>
        <v>2.3791515460256818E-2</v>
      </c>
      <c r="K542" s="5">
        <f>D542/D541-1</f>
        <v>-6.1262932926159364E-3</v>
      </c>
      <c r="L542" s="5">
        <f>E542/E541-1</f>
        <v>3.1704034489143051E-2</v>
      </c>
      <c r="M542" s="5">
        <f>F542/F541-1</f>
        <v>-2.5893414858756514E-2</v>
      </c>
      <c r="N542" s="5">
        <f>SUMPRODUCT(I542:M542,$AJ$13:$AN$13)</f>
        <v>7.1464968660991113E-3</v>
      </c>
      <c r="P542" s="2" t="s">
        <v>533</v>
      </c>
      <c r="Q542" s="10" cm="1">
        <f t="array" aca="1" ref="Q542:U542" ca="1">_xlfn.LET(_xlpm.array,_xlfn.RANDARRAY(1,COLUMNS(_xlfn.ANCHORARRAY(Q541)),0,1,FALSE),_xlpm.array/SUM(_xlpm.array))</f>
        <v>0.25878452615777275</v>
      </c>
      <c r="R542" s="2">
        <f ca="1"/>
        <v>0.23042116139754032</v>
      </c>
      <c r="S542" s="2">
        <f ca="1"/>
        <v>0.20369734513340967</v>
      </c>
      <c r="T542" s="2">
        <f ca="1"/>
        <v>0.24603511552666663</v>
      </c>
      <c r="U542" s="2">
        <f ca="1"/>
        <v>6.106185178461071E-2</v>
      </c>
      <c r="V542" s="12"/>
      <c r="X542" s="2" cm="1">
        <f t="array" aca="1" ref="X542" ca="1">MMULT(MMULT(_xlfn.ANCHORARRAY(Q542),$Q$9:$U$13),TRANSPOSE(_xlfn.ANCHORARRAY(Q542)))</f>
        <v>3.1162602014325936E-4</v>
      </c>
      <c r="Y542" s="2">
        <f t="shared" ca="1" si="22"/>
        <v>1.7652932338375383E-2</v>
      </c>
      <c r="Z542" s="2" cm="1">
        <f t="array" aca="1" ref="Z542" ca="1">MMULT(_xlfn.ANCHORARRAY(Q542),TRANSPOSE($Q$3:$U$3))</f>
        <v>9.2865051838452806E-4</v>
      </c>
      <c r="AA542" s="11">
        <f ca="1">AVEDEV(Q542*$Q$3,R542*$R$3,S542*$S$3,T542*$T$3,U542*$U$3)</f>
        <v>8.427925059219322E-5</v>
      </c>
      <c r="AB542" s="11" cm="1">
        <f t="array" aca="1" ref="AB542" ca="1">MMULT(_xlfn.ANCHORARRAY(Q542),TRANSPOSE($Q$6:$U$6))</f>
        <v>-2.3289038284354413E-2</v>
      </c>
      <c r="AD542" s="2" t="s">
        <v>533</v>
      </c>
      <c r="AE542" s="10" cm="1">
        <f t="array" aca="1" ref="AE542:AI542" ca="1">_xlfn.LET(_xlpm.array,_xlfn.RANDARRAY(1,COLUMNS(_xlfn.ANCHORARRAY(Q541)),-1,1,FALSE),_xlpm.array/SUM(_xlpm.array))</f>
        <v>0.26266234224489421</v>
      </c>
      <c r="AF542" s="10">
        <f ca="1"/>
        <v>0.21269503724103783</v>
      </c>
      <c r="AG542" s="10">
        <f ca="1"/>
        <v>0.30813565025350492</v>
      </c>
      <c r="AH542" s="10">
        <f ca="1"/>
        <v>0.30646061284091225</v>
      </c>
      <c r="AI542" s="10">
        <f ca="1"/>
        <v>-8.9953642580349158E-2</v>
      </c>
      <c r="AJ542" s="1"/>
      <c r="AK542" s="2" cm="1">
        <f t="array" aca="1" ref="AK542" ca="1">MMULT(MMULT(_xlfn.ANCHORARRAY(AE542),$Q$9:$U$13),TRANSPOSE(_xlfn.ANCHORARRAY(AE542)))</f>
        <v>3.7713305691984463E-4</v>
      </c>
      <c r="AL542" s="2">
        <f t="shared" ca="1" si="23"/>
        <v>1.9419913926684757E-2</v>
      </c>
      <c r="AM542" s="2" cm="1">
        <f t="array" aca="1" ref="AM542" ca="1">MMULT(_xlfn.ANCHORARRAY(AE543),TRANSPOSE($Q$3:$U$3))</f>
        <v>2.9066559710619708E-2</v>
      </c>
    </row>
    <row r="543" spans="1:39" x14ac:dyDescent="0.35">
      <c r="A543" s="3">
        <v>44616</v>
      </c>
      <c r="B543" s="4">
        <v>39.162342071533203</v>
      </c>
      <c r="C543" s="4">
        <v>114.829963684082</v>
      </c>
      <c r="D543" s="4">
        <v>50.966732025146399</v>
      </c>
      <c r="E543" s="4">
        <v>21.9554634094238</v>
      </c>
      <c r="F543" s="4">
        <v>284.97921752929602</v>
      </c>
      <c r="I543" s="5">
        <f>B543/B542-1</f>
        <v>-2.6351145009208654E-2</v>
      </c>
      <c r="J543" s="5">
        <f>C543/C542-1</f>
        <v>-5.1638175578885281E-3</v>
      </c>
      <c r="K543" s="5">
        <f>D543/D542-1</f>
        <v>-1.6555255277029057E-2</v>
      </c>
      <c r="L543" s="5">
        <f>E543/E542-1</f>
        <v>-3.8411571691497892E-3</v>
      </c>
      <c r="M543" s="5">
        <f>F543/F542-1</f>
        <v>5.1093798611206775E-2</v>
      </c>
      <c r="N543" s="5">
        <f>SUMPRODUCT(I543:M543,$AJ$13:$AN$13)</f>
        <v>1.4443281193067144E-2</v>
      </c>
      <c r="P543" s="2" t="s">
        <v>534</v>
      </c>
      <c r="Q543" s="10" cm="1">
        <f t="array" aca="1" ref="Q543:U543" ca="1">_xlfn.LET(_xlpm.array,_xlfn.RANDARRAY(1,COLUMNS(_xlfn.ANCHORARRAY(Q542)),0,1,FALSE),_xlpm.array/SUM(_xlpm.array))</f>
        <v>4.2553226905829841E-2</v>
      </c>
      <c r="R543" s="2">
        <f ca="1"/>
        <v>0.23929420562564352</v>
      </c>
      <c r="S543" s="2">
        <f ca="1"/>
        <v>3.5665776839978867E-2</v>
      </c>
      <c r="T543" s="2">
        <f ca="1"/>
        <v>0.39080320249604006</v>
      </c>
      <c r="U543" s="2">
        <f ca="1"/>
        <v>0.29168358813250772</v>
      </c>
      <c r="V543" s="12"/>
      <c r="X543" s="2" cm="1">
        <f t="array" aca="1" ref="X543" ca="1">MMULT(MMULT(_xlfn.ANCHORARRAY(Q543),$Q$9:$U$13),TRANSPOSE(_xlfn.ANCHORARRAY(Q543)))</f>
        <v>2.8604233999525853E-4</v>
      </c>
      <c r="Y543" s="2">
        <f t="shared" ca="1" si="22"/>
        <v>1.6912786287163289E-2</v>
      </c>
      <c r="Z543" s="2" cm="1">
        <f t="array" aca="1" ref="Z543" ca="1">MMULT(_xlfn.ANCHORARRAY(Q543),TRANSPOSE($Q$3:$U$3))</f>
        <v>8.7663729117939829E-4</v>
      </c>
      <c r="AA543" s="11">
        <f ca="1">AVEDEV(Q543*$Q$3,R543*$R$3,S543*$S$3,T543*$T$3,U543*$U$3)</f>
        <v>1.0867665378291392E-4</v>
      </c>
      <c r="AB543" s="11" cm="1">
        <f t="array" aca="1" ref="AB543" ca="1">MMULT(_xlfn.ANCHORARRAY(Q543),TRANSPOSE($Q$6:$U$6))</f>
        <v>-2.252224889242644E-2</v>
      </c>
      <c r="AD543" s="2" t="s">
        <v>534</v>
      </c>
      <c r="AE543" s="10" cm="1">
        <f t="array" aca="1" ref="AE543:AI543" ca="1">_xlfn.LET(_xlpm.array,_xlfn.RANDARRAY(1,COLUMNS(_xlfn.ANCHORARRAY(Q542)),-1,1,FALSE),_xlpm.array/SUM(_xlpm.array))</f>
        <v>-29.570499676471087</v>
      </c>
      <c r="AF543" s="10">
        <f ca="1"/>
        <v>-27.270588750452351</v>
      </c>
      <c r="AG543" s="10">
        <f ca="1"/>
        <v>22.024432817358591</v>
      </c>
      <c r="AH543" s="10">
        <f ca="1"/>
        <v>3.3007141577765968</v>
      </c>
      <c r="AI543" s="10">
        <f ca="1"/>
        <v>32.515941451788251</v>
      </c>
      <c r="AJ543" s="1"/>
      <c r="AK543" s="2" cm="1">
        <f t="array" aca="1" ref="AK543" ca="1">MMULT(MMULT(_xlfn.ANCHORARRAY(AE543),$Q$9:$U$13),TRANSPOSE(_xlfn.ANCHORARRAY(AE543)))</f>
        <v>1.159724243963451</v>
      </c>
      <c r="AL543" s="2">
        <f t="shared" ca="1" si="23"/>
        <v>1.0769049372917978</v>
      </c>
      <c r="AM543" s="2" cm="1">
        <f t="array" aca="1" ref="AM543" ca="1">MMULT(_xlfn.ANCHORARRAY(AE544),TRANSPOSE($Q$3:$U$3))</f>
        <v>6.7267784795683712E-4</v>
      </c>
    </row>
    <row r="544" spans="1:39" x14ac:dyDescent="0.35">
      <c r="A544" s="3">
        <v>44617</v>
      </c>
      <c r="B544" s="4">
        <v>40.437820434570298</v>
      </c>
      <c r="C544" s="4">
        <v>119.538970947265</v>
      </c>
      <c r="D544" s="4">
        <v>46.968975067138601</v>
      </c>
      <c r="E544" s="4">
        <v>22.0612888336181</v>
      </c>
      <c r="F544" s="4">
        <v>287.61047363281199</v>
      </c>
      <c r="I544" s="5">
        <f>B544/B543-1</f>
        <v>3.2569001126319996E-2</v>
      </c>
      <c r="J544" s="5">
        <f>C544/C543-1</f>
        <v>4.1008523490770443E-2</v>
      </c>
      <c r="K544" s="5">
        <f>D544/D543-1</f>
        <v>-7.8438557842699264E-2</v>
      </c>
      <c r="L544" s="5">
        <f>E544/E543-1</f>
        <v>4.8200041247536962E-3</v>
      </c>
      <c r="M544" s="5">
        <f>F544/F543-1</f>
        <v>9.2331508463261436E-3</v>
      </c>
      <c r="N544" s="5">
        <f>SUMPRODUCT(I544:M544,$AJ$13:$AN$13)</f>
        <v>-4.6267232945204531E-2</v>
      </c>
      <c r="P544" s="2" t="s">
        <v>535</v>
      </c>
      <c r="Q544" s="10" cm="1">
        <f t="array" aca="1" ref="Q544:U544" ca="1">_xlfn.LET(_xlpm.array,_xlfn.RANDARRAY(1,COLUMNS(_xlfn.ANCHORARRAY(Q543)),0,1,FALSE),_xlpm.array/SUM(_xlpm.array))</f>
        <v>0.34105297263155776</v>
      </c>
      <c r="R544" s="2">
        <f ca="1"/>
        <v>0.22323611158147733</v>
      </c>
      <c r="S544" s="2">
        <f ca="1"/>
        <v>0.16321072084557242</v>
      </c>
      <c r="T544" s="2">
        <f ca="1"/>
        <v>0.10453714237547636</v>
      </c>
      <c r="U544" s="2">
        <f ca="1"/>
        <v>0.16796305256591598</v>
      </c>
      <c r="V544" s="12"/>
      <c r="X544" s="2" cm="1">
        <f t="array" aca="1" ref="X544" ca="1">MMULT(MMULT(_xlfn.ANCHORARRAY(Q544),$Q$9:$U$13),TRANSPOSE(_xlfn.ANCHORARRAY(Q544)))</f>
        <v>2.83133862636436E-4</v>
      </c>
      <c r="Y544" s="2">
        <f t="shared" ca="1" si="22"/>
        <v>1.6826582024773658E-2</v>
      </c>
      <c r="Z544" s="2" cm="1">
        <f t="array" aca="1" ref="Z544" ca="1">MMULT(_xlfn.ANCHORARRAY(Q544),TRANSPOSE($Q$3:$U$3))</f>
        <v>8.3667307323942268E-4</v>
      </c>
      <c r="AA544" s="11">
        <f ca="1">AVEDEV(Q544*$Q$3,R544*$R$3,S544*$S$3,T544*$T$3,U544*$U$3)</f>
        <v>4.1489600397593847E-5</v>
      </c>
      <c r="AB544" s="11" cm="1">
        <f t="array" aca="1" ref="AB544" ca="1">MMULT(_xlfn.ANCHORARRAY(Q544),TRANSPOSE($Q$6:$U$6))</f>
        <v>-2.2410782834069349E-2</v>
      </c>
      <c r="AD544" s="2" t="s">
        <v>535</v>
      </c>
      <c r="AE544" s="10" cm="1">
        <f t="array" aca="1" ref="AE544:AI544" ca="1">_xlfn.LET(_xlpm.array,_xlfn.RANDARRAY(1,COLUMNS(_xlfn.ANCHORARRAY(Q543)),-1,1,FALSE),_xlpm.array/SUM(_xlpm.array))</f>
        <v>-9.7058665161561516E-2</v>
      </c>
      <c r="AF544" s="10">
        <f ca="1"/>
        <v>0.61260695963799594</v>
      </c>
      <c r="AG544" s="10">
        <f ca="1"/>
        <v>-0.23590615841846793</v>
      </c>
      <c r="AH544" s="10">
        <f ca="1"/>
        <v>0.41595252883728434</v>
      </c>
      <c r="AI544" s="10">
        <f ca="1"/>
        <v>0.30440533510474921</v>
      </c>
      <c r="AJ544" s="1"/>
      <c r="AK544" s="2" cm="1">
        <f t="array" aca="1" ref="AK544" ca="1">MMULT(MMULT(_xlfn.ANCHORARRAY(AE544),$Q$9:$U$13),TRANSPOSE(_xlfn.ANCHORARRAY(AE544)))</f>
        <v>4.2690834850293759E-4</v>
      </c>
      <c r="AL544" s="2">
        <f t="shared" ca="1" si="23"/>
        <v>2.0661760537353482E-2</v>
      </c>
      <c r="AM544" s="2" cm="1">
        <f t="array" aca="1" ref="AM544" ca="1">MMULT(_xlfn.ANCHORARRAY(AE545),TRANSPOSE($Q$3:$U$3))</f>
        <v>1.7237274906044744E-4</v>
      </c>
    </row>
    <row r="545" spans="1:39" x14ac:dyDescent="0.35">
      <c r="A545" s="3">
        <v>44620</v>
      </c>
      <c r="B545" s="4">
        <v>39.701274871826101</v>
      </c>
      <c r="C545" s="4">
        <v>122.62150573730401</v>
      </c>
      <c r="D545" s="4">
        <v>46.512615203857401</v>
      </c>
      <c r="E545" s="4">
        <v>22.195333480834901</v>
      </c>
      <c r="F545" s="4">
        <v>289.04217529296801</v>
      </c>
      <c r="I545" s="5">
        <f>B545/B544-1</f>
        <v>-1.8214274528864705E-2</v>
      </c>
      <c r="J545" s="5">
        <f>C545/C544-1</f>
        <v>2.5786860683273627E-2</v>
      </c>
      <c r="K545" s="5">
        <f>D545/D544-1</f>
        <v>-9.7161980355940925E-3</v>
      </c>
      <c r="L545" s="5">
        <f>E545/E544-1</f>
        <v>6.0760116159912503E-3</v>
      </c>
      <c r="M545" s="5">
        <f>F545/F544-1</f>
        <v>4.9779190655756533E-3</v>
      </c>
      <c r="N545" s="5">
        <f>SUMPRODUCT(I545:M545,$AJ$13:$AN$13)</f>
        <v>3.8659405274180311E-3</v>
      </c>
      <c r="P545" s="2" t="s">
        <v>536</v>
      </c>
      <c r="Q545" s="10" cm="1">
        <f t="array" aca="1" ref="Q545:U545" ca="1">_xlfn.LET(_xlpm.array,_xlfn.RANDARRAY(1,COLUMNS(_xlfn.ANCHORARRAY(Q544)),0,1,FALSE),_xlpm.array/SUM(_xlpm.array))</f>
        <v>0.28474455809008808</v>
      </c>
      <c r="R545" s="2">
        <f ca="1"/>
        <v>0.20374838691078095</v>
      </c>
      <c r="S545" s="2">
        <f ca="1"/>
        <v>0.25687092031908587</v>
      </c>
      <c r="T545" s="2">
        <f ca="1"/>
        <v>0.16090424632565598</v>
      </c>
      <c r="U545" s="2">
        <f ca="1"/>
        <v>9.3731888354389142E-2</v>
      </c>
      <c r="V545" s="12"/>
      <c r="X545" s="2" cm="1">
        <f t="array" aca="1" ref="X545" ca="1">MMULT(MMULT(_xlfn.ANCHORARRAY(Q545),$Q$9:$U$13),TRANSPOSE(_xlfn.ANCHORARRAY(Q545)))</f>
        <v>3.0784466233735092E-4</v>
      </c>
      <c r="Y545" s="2">
        <f t="shared" ca="1" si="22"/>
        <v>1.7545502624243939E-2</v>
      </c>
      <c r="Z545" s="2" cm="1">
        <f t="array" aca="1" ref="Z545" ca="1">MMULT(_xlfn.ANCHORARRAY(Q545),TRANSPOSE($Q$3:$U$3))</f>
        <v>9.4673768112110983E-4</v>
      </c>
      <c r="AA545" s="11">
        <f ca="1">AVEDEV(Q545*$Q$3,R545*$R$3,S545*$S$3,T545*$T$3,U545*$U$3)</f>
        <v>9.112441479177168E-5</v>
      </c>
      <c r="AB545" s="11" cm="1">
        <f t="array" aca="1" ref="AB545" ca="1">MMULT(_xlfn.ANCHORARRAY(Q545),TRANSPOSE($Q$6:$U$6))</f>
        <v>-2.3259733804473132E-2</v>
      </c>
      <c r="AD545" s="2" t="s">
        <v>536</v>
      </c>
      <c r="AE545" s="10" cm="1">
        <f t="array" aca="1" ref="AE545:AI545" ca="1">_xlfn.LET(_xlpm.array,_xlfn.RANDARRAY(1,COLUMNS(_xlfn.ANCHORARRAY(Q544)),-1,1,FALSE),_xlpm.array/SUM(_xlpm.array))</f>
        <v>-0.43810212352511607</v>
      </c>
      <c r="AF545" s="10">
        <f ca="1"/>
        <v>2.2752462651271772</v>
      </c>
      <c r="AG545" s="10">
        <f ca="1"/>
        <v>-0.67779404795098386</v>
      </c>
      <c r="AH545" s="10">
        <f ca="1"/>
        <v>-0.17066135700635912</v>
      </c>
      <c r="AI545" s="10">
        <f ca="1"/>
        <v>1.1311263355282035E-2</v>
      </c>
      <c r="AJ545" s="1"/>
      <c r="AK545" s="2" cm="1">
        <f t="array" aca="1" ref="AK545" ca="1">MMULT(MMULT(_xlfn.ANCHORARRAY(AE545),$Q$9:$U$13),TRANSPOSE(_xlfn.ANCHORARRAY(AE545)))</f>
        <v>1.5788323116147148E-3</v>
      </c>
      <c r="AL545" s="2">
        <f t="shared" ca="1" si="23"/>
        <v>3.9734522919178415E-2</v>
      </c>
      <c r="AM545" s="2" cm="1">
        <f t="array" aca="1" ref="AM545" ca="1">MMULT(_xlfn.ANCHORARRAY(AE546),TRANSPOSE($Q$3:$U$3))</f>
        <v>4.9783638728866575E-4</v>
      </c>
    </row>
    <row r="546" spans="1:39" x14ac:dyDescent="0.35">
      <c r="A546" s="3">
        <v>44621</v>
      </c>
      <c r="B546" s="4">
        <v>38.147350311279297</v>
      </c>
      <c r="C546" s="4">
        <v>127.492301940917</v>
      </c>
      <c r="D546" s="4">
        <v>45.526870727538999</v>
      </c>
      <c r="E546" s="4">
        <v>23.7545070648193</v>
      </c>
      <c r="F546" s="4">
        <v>285.32745361328102</v>
      </c>
      <c r="I546" s="5">
        <f>B546/B545-1</f>
        <v>-3.914041968585602E-2</v>
      </c>
      <c r="J546" s="5">
        <f>C546/C545-1</f>
        <v>3.9722201862761874E-2</v>
      </c>
      <c r="K546" s="5">
        <f>D546/D545-1</f>
        <v>-2.119305637831892E-2</v>
      </c>
      <c r="L546" s="5">
        <f>E546/E545-1</f>
        <v>7.0247810663926602E-2</v>
      </c>
      <c r="M546" s="5">
        <f>F546/F545-1</f>
        <v>-1.2851832698538956E-2</v>
      </c>
      <c r="N546" s="5">
        <f>SUMPRODUCT(I546:M546,$AJ$13:$AN$13)</f>
        <v>2.7514561635539388E-2</v>
      </c>
      <c r="P546" s="2" t="s">
        <v>537</v>
      </c>
      <c r="Q546" s="10" cm="1">
        <f t="array" aca="1" ref="Q546:U546" ca="1">_xlfn.LET(_xlpm.array,_xlfn.RANDARRAY(1,COLUMNS(_xlfn.ANCHORARRAY(Q545)),0,1,FALSE),_xlpm.array/SUM(_xlpm.array))</f>
        <v>0.25582344688669423</v>
      </c>
      <c r="R546" s="2">
        <f ca="1"/>
        <v>4.6666599308774183E-2</v>
      </c>
      <c r="S546" s="2">
        <f ca="1"/>
        <v>0.14816848314813513</v>
      </c>
      <c r="T546" s="2">
        <f ca="1"/>
        <v>0.16901134108244784</v>
      </c>
      <c r="U546" s="2">
        <f ca="1"/>
        <v>0.38033012957394857</v>
      </c>
      <c r="V546" s="12"/>
      <c r="X546" s="2" cm="1">
        <f t="array" aca="1" ref="X546" ca="1">MMULT(MMULT(_xlfn.ANCHORARRAY(Q546),$Q$9:$U$13),TRANSPOSE(_xlfn.ANCHORARRAY(Q546)))</f>
        <v>2.56135590424385E-4</v>
      </c>
      <c r="Y546" s="2">
        <f t="shared" ca="1" si="22"/>
        <v>1.6004236639852117E-2</v>
      </c>
      <c r="Z546" s="2" cm="1">
        <f t="array" aca="1" ref="Z546" ca="1">MMULT(_xlfn.ANCHORARRAY(Q546),TRANSPOSE($Q$3:$U$3))</f>
        <v>8.682866435011776E-4</v>
      </c>
      <c r="AA546" s="11">
        <f ca="1">AVEDEV(Q546*$Q$3,R546*$R$3,S546*$S$3,T546*$T$3,U546*$U$3)</f>
        <v>7.3683210185644801E-5</v>
      </c>
      <c r="AB546" s="11" cm="1">
        <f t="array" aca="1" ref="AB546" ca="1">MMULT(_xlfn.ANCHORARRAY(Q546),TRANSPOSE($Q$6:$U$6))</f>
        <v>-2.2420743717090207E-2</v>
      </c>
      <c r="AD546" s="2" t="s">
        <v>537</v>
      </c>
      <c r="AE546" s="10" cm="1">
        <f t="array" aca="1" ref="AE546:AI546" ca="1">_xlfn.LET(_xlpm.array,_xlfn.RANDARRAY(1,COLUMNS(_xlfn.ANCHORARRAY(Q545)),-1,1,FALSE),_xlpm.array/SUM(_xlpm.array))</f>
        <v>0.77281780860811433</v>
      </c>
      <c r="AF546" s="10">
        <f ca="1"/>
        <v>0.10302907045110568</v>
      </c>
      <c r="AG546" s="10">
        <f ca="1"/>
        <v>7.1650402307834149E-2</v>
      </c>
      <c r="AH546" s="10">
        <f ca="1"/>
        <v>-0.49344444194516141</v>
      </c>
      <c r="AI546" s="10">
        <f ca="1"/>
        <v>0.54594716057810733</v>
      </c>
      <c r="AJ546" s="1"/>
      <c r="AK546" s="2" cm="1">
        <f t="array" aca="1" ref="AK546" ca="1">MMULT(MMULT(_xlfn.ANCHORARRAY(AE546),$Q$9:$U$13),TRANSPOSE(_xlfn.ANCHORARRAY(AE546)))</f>
        <v>4.8882040058287508E-4</v>
      </c>
      <c r="AL546" s="2">
        <f t="shared" ca="1" si="23"/>
        <v>2.2109283131365318E-2</v>
      </c>
      <c r="AM546" s="2" cm="1">
        <f t="array" aca="1" ref="AM546" ca="1">MMULT(_xlfn.ANCHORARRAY(AE547),TRANSPOSE($Q$3:$U$3))</f>
        <v>-2.2503389371497239E-4</v>
      </c>
    </row>
    <row r="547" spans="1:39" x14ac:dyDescent="0.35">
      <c r="A547" s="3">
        <v>44622</v>
      </c>
      <c r="B547" s="4">
        <v>38.767124176025298</v>
      </c>
      <c r="C547" s="4">
        <v>131.256103515625</v>
      </c>
      <c r="D547" s="4">
        <v>48.922222137451101</v>
      </c>
      <c r="E547" s="4">
        <v>23.895612716674801</v>
      </c>
      <c r="F547" s="4">
        <v>290.396484375</v>
      </c>
      <c r="I547" s="5">
        <f>B547/B546-1</f>
        <v>1.6246839156289994E-2</v>
      </c>
      <c r="J547" s="5">
        <f>C547/C546-1</f>
        <v>2.9521794786105948E-2</v>
      </c>
      <c r="K547" s="5">
        <f>D547/D546-1</f>
        <v>7.457906409232451E-2</v>
      </c>
      <c r="L547" s="5">
        <f>E547/E546-1</f>
        <v>5.9401633328135528E-3</v>
      </c>
      <c r="M547" s="5">
        <f>F547/F546-1</f>
        <v>1.7765660813660489E-2</v>
      </c>
      <c r="N547" s="5">
        <f>SUMPRODUCT(I547:M547,$AJ$13:$AN$13)</f>
        <v>4.1875415953560591E-2</v>
      </c>
      <c r="P547" s="2" t="s">
        <v>538</v>
      </c>
      <c r="Q547" s="10" cm="1">
        <f t="array" aca="1" ref="Q547:U547" ca="1">_xlfn.LET(_xlpm.array,_xlfn.RANDARRAY(1,COLUMNS(_xlfn.ANCHORARRAY(Q546)),0,1,FALSE),_xlpm.array/SUM(_xlpm.array))</f>
        <v>0.1906111675613214</v>
      </c>
      <c r="R547" s="2">
        <f ca="1"/>
        <v>0.27508694601378791</v>
      </c>
      <c r="S547" s="2">
        <f ca="1"/>
        <v>7.3233080640123155E-2</v>
      </c>
      <c r="T547" s="2">
        <f ca="1"/>
        <v>0.26600689309798592</v>
      </c>
      <c r="U547" s="2">
        <f ca="1"/>
        <v>0.19506191268678161</v>
      </c>
      <c r="V547" s="12"/>
      <c r="X547" s="2" cm="1">
        <f t="array" aca="1" ref="X547" ca="1">MMULT(MMULT(_xlfn.ANCHORARRAY(Q547),$Q$9:$U$13),TRANSPOSE(_xlfn.ANCHORARRAY(Q547)))</f>
        <v>2.804333124144672E-4</v>
      </c>
      <c r="Y547" s="2">
        <f t="shared" ca="1" si="22"/>
        <v>1.6746143210138481E-2</v>
      </c>
      <c r="Z547" s="2" cm="1">
        <f t="array" aca="1" ref="Z547" ca="1">MMULT(_xlfn.ANCHORARRAY(Q547),TRANSPOSE($Q$3:$U$3))</f>
        <v>8.3763826660348368E-4</v>
      </c>
      <c r="AA547" s="11">
        <f ca="1">AVEDEV(Q547*$Q$3,R547*$R$3,S547*$S$3,T547*$T$3,U547*$U$3)</f>
        <v>5.5032448455831536E-5</v>
      </c>
      <c r="AB547" s="11" cm="1">
        <f t="array" aca="1" ref="AB547" ca="1">MMULT(_xlfn.ANCHORARRAY(Q547),TRANSPOSE($Q$6:$U$6))</f>
        <v>-2.2393632145319409E-2</v>
      </c>
      <c r="AD547" s="2" t="s">
        <v>538</v>
      </c>
      <c r="AE547" s="10" cm="1">
        <f t="array" aca="1" ref="AE547:AI547" ca="1">_xlfn.LET(_xlpm.array,_xlfn.RANDARRAY(1,COLUMNS(_xlfn.ANCHORARRAY(Q546)),-1,1,FALSE),_xlpm.array/SUM(_xlpm.array))</f>
        <v>-0.49124000320693234</v>
      </c>
      <c r="AF547" s="10">
        <f ca="1"/>
        <v>2.5208793030393069</v>
      </c>
      <c r="AG547" s="10">
        <f ca="1"/>
        <v>-1.1990115513296946</v>
      </c>
      <c r="AH547" s="10">
        <f ca="1"/>
        <v>5.620593191710958E-3</v>
      </c>
      <c r="AI547" s="10">
        <f ca="1"/>
        <v>0.16375165830560928</v>
      </c>
      <c r="AJ547" s="1"/>
      <c r="AK547" s="2" cm="1">
        <f t="array" aca="1" ref="AK547" ca="1">MMULT(MMULT(_xlfn.ANCHORARRAY(AE547),$Q$9:$U$13),TRANSPOSE(_xlfn.ANCHORARRAY(AE547)))</f>
        <v>2.5393287495685483E-3</v>
      </c>
      <c r="AL547" s="2">
        <f t="shared" ca="1" si="23"/>
        <v>5.039175279317587E-2</v>
      </c>
      <c r="AM547" s="2" cm="1">
        <f t="array" aca="1" ref="AM547" ca="1">MMULT(_xlfn.ANCHORARRAY(AE548),TRANSPOSE($Q$3:$U$3))</f>
        <v>-3.0039323008522606E-3</v>
      </c>
    </row>
    <row r="548" spans="1:39" x14ac:dyDescent="0.35">
      <c r="A548" s="3">
        <v>44623</v>
      </c>
      <c r="B548" s="4">
        <v>38.351932525634702</v>
      </c>
      <c r="C548" s="4">
        <v>133.02731323242099</v>
      </c>
      <c r="D548" s="4">
        <v>48.0003662109375</v>
      </c>
      <c r="E548" s="4">
        <v>22.936119079589801</v>
      </c>
      <c r="F548" s="4">
        <v>286.26583862304602</v>
      </c>
      <c r="I548" s="5">
        <f>B548/B547-1</f>
        <v>-1.0709890383031384E-2</v>
      </c>
      <c r="J548" s="5">
        <f>C548/C547-1</f>
        <v>1.3494303650307238E-2</v>
      </c>
      <c r="K548" s="5">
        <f>D548/D547-1</f>
        <v>-1.8843296282077482E-2</v>
      </c>
      <c r="L548" s="5">
        <f>E548/E547-1</f>
        <v>-4.0153548204078793E-2</v>
      </c>
      <c r="M548" s="5">
        <f>F548/F547-1</f>
        <v>-1.4224158948907606E-2</v>
      </c>
      <c r="N548" s="5">
        <f>SUMPRODUCT(I548:M548,$AJ$13:$AN$13)</f>
        <v>-3.0669370135065318E-2</v>
      </c>
      <c r="P548" s="2" t="s">
        <v>539</v>
      </c>
      <c r="Q548" s="10" cm="1">
        <f t="array" aca="1" ref="Q548:U548" ca="1">_xlfn.LET(_xlpm.array,_xlfn.RANDARRAY(1,COLUMNS(_xlfn.ANCHORARRAY(Q547)),0,1,FALSE),_xlpm.array/SUM(_xlpm.array))</f>
        <v>0.13287921093222599</v>
      </c>
      <c r="R548" s="2">
        <f ca="1"/>
        <v>0.44273189967544929</v>
      </c>
      <c r="S548" s="2">
        <f ca="1"/>
        <v>0.23404746251338637</v>
      </c>
      <c r="T548" s="2">
        <f ca="1"/>
        <v>0.14378441119489593</v>
      </c>
      <c r="U548" s="2">
        <f ca="1"/>
        <v>4.6557015684042427E-2</v>
      </c>
      <c r="V548" s="12"/>
      <c r="X548" s="2" cm="1">
        <f t="array" aca="1" ref="X548" ca="1">MMULT(MMULT(_xlfn.ANCHORARRAY(Q548),$Q$9:$U$13),TRANSPOSE(_xlfn.ANCHORARRAY(Q548)))</f>
        <v>3.2761382657532721E-4</v>
      </c>
      <c r="Y548" s="2">
        <f t="shared" ca="1" si="22"/>
        <v>1.8100105706192082E-2</v>
      </c>
      <c r="Z548" s="2" cm="1">
        <f t="array" aca="1" ref="Z548" ca="1">MMULT(_xlfn.ANCHORARRAY(Q548),TRANSPOSE($Q$3:$U$3))</f>
        <v>9.5343067011453993E-4</v>
      </c>
      <c r="AA548" s="11">
        <f ca="1">AVEDEV(Q548*$Q$3,R548*$R$3,S548*$S$3,T548*$T$3,U548*$U$3)</f>
        <v>1.2880844540835433E-4</v>
      </c>
      <c r="AB548" s="11" cm="1">
        <f t="array" aca="1" ref="AB548" ca="1">MMULT(_xlfn.ANCHORARRAY(Q548),TRANSPOSE($Q$6:$U$6))</f>
        <v>-2.2900854833325199E-2</v>
      </c>
      <c r="AD548" s="2" t="s">
        <v>539</v>
      </c>
      <c r="AE548" s="10" cm="1">
        <f t="array" aca="1" ref="AE548:AI548" ca="1">_xlfn.LET(_xlpm.array,_xlfn.RANDARRAY(1,COLUMNS(_xlfn.ANCHORARRAY(Q547)),-1,1,FALSE),_xlpm.array/SUM(_xlpm.array))</f>
        <v>-2.6926800079741167</v>
      </c>
      <c r="AF548" s="10">
        <f ca="1"/>
        <v>3.8623034316112728</v>
      </c>
      <c r="AG548" s="10">
        <f ca="1"/>
        <v>-5.7690101518914787</v>
      </c>
      <c r="AH548" s="10">
        <f ca="1"/>
        <v>2.455070605327434</v>
      </c>
      <c r="AI548" s="10">
        <f ca="1"/>
        <v>3.1443161229268886</v>
      </c>
      <c r="AJ548" s="1"/>
      <c r="AK548" s="2" cm="1">
        <f t="array" aca="1" ref="AK548" ca="1">MMULT(MMULT(_xlfn.ANCHORARRAY(AE548),$Q$9:$U$13),TRANSPOSE(_xlfn.ANCHORARRAY(AE548)))</f>
        <v>2.9450297610369928E-2</v>
      </c>
      <c r="AL548" s="2">
        <f t="shared" ca="1" si="23"/>
        <v>0.17161089012754968</v>
      </c>
      <c r="AM548" s="2" cm="1">
        <f t="array" aca="1" ref="AM548" ca="1">MMULT(_xlfn.ANCHORARRAY(AE549),TRANSPOSE($Q$3:$U$3))</f>
        <v>1.0698535637583876E-3</v>
      </c>
    </row>
    <row r="549" spans="1:39" x14ac:dyDescent="0.35">
      <c r="A549" s="3">
        <v>44624</v>
      </c>
      <c r="B549" s="4">
        <v>36.9619140625</v>
      </c>
      <c r="C549" s="4">
        <v>135.09655761718699</v>
      </c>
      <c r="D549" s="4">
        <v>47.425342559814403</v>
      </c>
      <c r="E549" s="4">
        <v>23.7333469390869</v>
      </c>
      <c r="F549" s="4">
        <v>280.40347290039</v>
      </c>
      <c r="I549" s="5">
        <f>B549/B548-1</f>
        <v>-3.6243765870353606E-2</v>
      </c>
      <c r="J549" s="5">
        <f>C549/C548-1</f>
        <v>1.5555034033880588E-2</v>
      </c>
      <c r="K549" s="5">
        <f>D549/D548-1</f>
        <v>-1.1979568001547203E-2</v>
      </c>
      <c r="L549" s="5">
        <f>E549/E548-1</f>
        <v>3.4758620529073303E-2</v>
      </c>
      <c r="M549" s="5">
        <f>F549/F548-1</f>
        <v>-2.0478747135370123E-2</v>
      </c>
      <c r="N549" s="5">
        <f>SUMPRODUCT(I549:M549,$AJ$13:$AN$13)</f>
        <v>1.3135485718680381E-2</v>
      </c>
      <c r="P549" s="2" t="s">
        <v>540</v>
      </c>
      <c r="Q549" s="10" cm="1">
        <f t="array" aca="1" ref="Q549:U549" ca="1">_xlfn.LET(_xlpm.array,_xlfn.RANDARRAY(1,COLUMNS(_xlfn.ANCHORARRAY(Q548)),0,1,FALSE),_xlpm.array/SUM(_xlpm.array))</f>
        <v>0.34679360066942344</v>
      </c>
      <c r="R549" s="2">
        <f ca="1"/>
        <v>8.1075421952343532E-2</v>
      </c>
      <c r="S549" s="2">
        <f ca="1"/>
        <v>0.35894620455515774</v>
      </c>
      <c r="T549" s="2">
        <f ca="1"/>
        <v>7.1877019043514193E-2</v>
      </c>
      <c r="U549" s="2">
        <f ca="1"/>
        <v>0.14130775377956112</v>
      </c>
      <c r="V549" s="12"/>
      <c r="X549" s="2" cm="1">
        <f t="array" aca="1" ref="X549" ca="1">MMULT(MMULT(_xlfn.ANCHORARRAY(Q549),$Q$9:$U$13),TRANSPOSE(_xlfn.ANCHORARRAY(Q549)))</f>
        <v>3.3563714523273102E-4</v>
      </c>
      <c r="Y549" s="2">
        <f t="shared" ca="1" si="22"/>
        <v>1.8320402430971078E-2</v>
      </c>
      <c r="Z549" s="2" cm="1">
        <f t="array" aca="1" ref="Z549" ca="1">MMULT(_xlfn.ANCHORARRAY(Q549),TRANSPOSE($Q$3:$U$3))</f>
        <v>9.9990046753687376E-4</v>
      </c>
      <c r="AA549" s="11">
        <f ca="1">AVEDEV(Q549*$Q$3,R549*$R$3,S549*$S$3,T549*$T$3,U549*$U$3)</f>
        <v>1.5317952808697189E-4</v>
      </c>
      <c r="AB549" s="11" cm="1">
        <f t="array" aca="1" ref="AB549" ca="1">MMULT(_xlfn.ANCHORARRAY(Q549),TRANSPOSE($Q$6:$U$6))</f>
        <v>-2.3562494722856282E-2</v>
      </c>
      <c r="AD549" s="2" t="s">
        <v>540</v>
      </c>
      <c r="AE549" s="10" cm="1">
        <f t="array" aca="1" ref="AE549:AI549" ca="1">_xlfn.LET(_xlpm.array,_xlfn.RANDARRAY(1,COLUMNS(_xlfn.ANCHORARRAY(Q548)),-1,1,FALSE),_xlpm.array/SUM(_xlpm.array))</f>
        <v>0.43174007168849604</v>
      </c>
      <c r="AF549" s="10">
        <f ca="1"/>
        <v>-8.1112949417907726E-2</v>
      </c>
      <c r="AG549" s="10">
        <f ca="1"/>
        <v>0.66462625381769425</v>
      </c>
      <c r="AH549" s="10">
        <f ca="1"/>
        <v>-0.61547661206087778</v>
      </c>
      <c r="AI549" s="10">
        <f ca="1"/>
        <v>0.60022323597259519</v>
      </c>
      <c r="AJ549" s="1"/>
      <c r="AK549" s="2" cm="1">
        <f t="array" aca="1" ref="AK549" ca="1">MMULT(MMULT(_xlfn.ANCHORARRAY(AE549),$Q$9:$U$13),TRANSPOSE(_xlfn.ANCHORARRAY(AE549)))</f>
        <v>8.414701604477679E-4</v>
      </c>
      <c r="AL549" s="2">
        <f t="shared" ca="1" si="23"/>
        <v>2.9008105081989893E-2</v>
      </c>
      <c r="AM549" s="2" cm="1">
        <f t="array" aca="1" ref="AM549" ca="1">MMULT(_xlfn.ANCHORARRAY(AE550),TRANSPOSE($Q$3:$U$3))</f>
        <v>1.1878557434688874E-3</v>
      </c>
    </row>
    <row r="550" spans="1:39" x14ac:dyDescent="0.35">
      <c r="A550" s="3">
        <v>44627</v>
      </c>
      <c r="B550" s="4">
        <v>34.606086730957003</v>
      </c>
      <c r="C550" s="4">
        <v>137.98327636718699</v>
      </c>
      <c r="D550" s="4">
        <v>45.024879455566399</v>
      </c>
      <c r="E550" s="4">
        <v>23.691020965576101</v>
      </c>
      <c r="F550" s="4">
        <v>269.81069946289</v>
      </c>
      <c r="I550" s="5">
        <f>B550/B549-1</f>
        <v>-6.3736616225000153E-2</v>
      </c>
      <c r="J550" s="5">
        <f>C550/C549-1</f>
        <v>2.1367818698829311E-2</v>
      </c>
      <c r="K550" s="5">
        <f>D550/D549-1</f>
        <v>-5.0615619723156646E-2</v>
      </c>
      <c r="L550" s="5">
        <f>E550/E549-1</f>
        <v>-1.7833967379077276E-3</v>
      </c>
      <c r="M550" s="5">
        <f>F550/F549-1</f>
        <v>-3.7776898152980243E-2</v>
      </c>
      <c r="N550" s="5">
        <f>SUMPRODUCT(I550:M550,$AJ$13:$AN$13)</f>
        <v>-2.2073257966446488E-2</v>
      </c>
      <c r="P550" s="2" t="s">
        <v>541</v>
      </c>
      <c r="Q550" s="10" cm="1">
        <f t="array" aca="1" ref="Q550:U550" ca="1">_xlfn.LET(_xlpm.array,_xlfn.RANDARRAY(1,COLUMNS(_xlfn.ANCHORARRAY(Q549)),0,1,FALSE),_xlpm.array/SUM(_xlpm.array))</f>
        <v>0.27785744026532988</v>
      </c>
      <c r="R550" s="2">
        <f ca="1"/>
        <v>2.5301637088140334E-2</v>
      </c>
      <c r="S550" s="2">
        <f ca="1"/>
        <v>0.27312146944498678</v>
      </c>
      <c r="T550" s="2">
        <f ca="1"/>
        <v>0.17069674279670574</v>
      </c>
      <c r="U550" s="2">
        <f ca="1"/>
        <v>0.2530227104048372</v>
      </c>
      <c r="V550" s="12"/>
      <c r="X550" s="2" cm="1">
        <f t="array" aca="1" ref="X550" ca="1">MMULT(MMULT(_xlfn.ANCHORARRAY(Q550),$Q$9:$U$13),TRANSPOSE(_xlfn.ANCHORARRAY(Q550)))</f>
        <v>2.9086583364613201E-4</v>
      </c>
      <c r="Y550" s="2">
        <f t="shared" ca="1" si="22"/>
        <v>1.7054789170380617E-2</v>
      </c>
      <c r="Z550" s="2" cm="1">
        <f t="array" aca="1" ref="Z550" ca="1">MMULT(_xlfn.ANCHORARRAY(Q550),TRANSPOSE($Q$3:$U$3))</f>
        <v>9.7115782426141308E-4</v>
      </c>
      <c r="AA550" s="11">
        <f ca="1">AVEDEV(Q550*$Q$3,R550*$R$3,S550*$S$3,T550*$T$3,U550*$U$3)</f>
        <v>9.9727165078521832E-5</v>
      </c>
      <c r="AB550" s="11" cm="1">
        <f t="array" aca="1" ref="AB550" ca="1">MMULT(_xlfn.ANCHORARRAY(Q550),TRANSPOSE($Q$6:$U$6))</f>
        <v>-2.3329161554708624E-2</v>
      </c>
      <c r="AD550" s="2" t="s">
        <v>541</v>
      </c>
      <c r="AE550" s="10" cm="1">
        <f t="array" aca="1" ref="AE550:AI550" ca="1">_xlfn.LET(_xlpm.array,_xlfn.RANDARRAY(1,COLUMNS(_xlfn.ANCHORARRAY(Q549)),-1,1,FALSE),_xlpm.array/SUM(_xlpm.array))</f>
        <v>0.64278850162649204</v>
      </c>
      <c r="AF550" s="10">
        <f ca="1"/>
        <v>-0.5704448398757419</v>
      </c>
      <c r="AG550" s="10">
        <f ca="1"/>
        <v>1.0875661345028163</v>
      </c>
      <c r="AH550" s="10">
        <f ca="1"/>
        <v>-1.4261329988260965</v>
      </c>
      <c r="AI550" s="10">
        <f ca="1"/>
        <v>1.26622320257253</v>
      </c>
      <c r="AJ550" s="1"/>
      <c r="AK550" s="2" cm="1">
        <f t="array" aca="1" ref="AK550" ca="1">MMULT(MMULT(_xlfn.ANCHORARRAY(AE550),$Q$9:$U$13),TRANSPOSE(_xlfn.ANCHORARRAY(AE550)))</f>
        <v>2.8705395382973196E-3</v>
      </c>
      <c r="AL550" s="2">
        <f t="shared" ca="1" si="23"/>
        <v>5.3577416308527977E-2</v>
      </c>
      <c r="AM550" s="2" cm="1">
        <f t="array" aca="1" ref="AM550" ca="1">MMULT(_xlfn.ANCHORARRAY(AE551),TRANSPOSE($Q$3:$U$3))</f>
        <v>8.7790705944906799E-4</v>
      </c>
    </row>
    <row r="551" spans="1:39" x14ac:dyDescent="0.35">
      <c r="A551" s="3">
        <v>44628</v>
      </c>
      <c r="B551" s="4">
        <v>34.831737518310497</v>
      </c>
      <c r="C551" s="4">
        <v>145.21282958984301</v>
      </c>
      <c r="D551" s="4">
        <v>45.855461120605398</v>
      </c>
      <c r="E551" s="4">
        <v>23.8250617980957</v>
      </c>
      <c r="F551" s="4">
        <v>266.85052490234301</v>
      </c>
      <c r="I551" s="5">
        <f>B551/B550-1</f>
        <v>6.5205519799971245E-3</v>
      </c>
      <c r="J551" s="5">
        <f>C551/C550-1</f>
        <v>5.2394416287213419E-2</v>
      </c>
      <c r="K551" s="5">
        <f>D551/D550-1</f>
        <v>1.8447171321328559E-2</v>
      </c>
      <c r="L551" s="5">
        <f>E551/E550-1</f>
        <v>5.6578748849349658E-3</v>
      </c>
      <c r="M551" s="5">
        <f>F551/F550-1</f>
        <v>-1.0971301606792383E-2</v>
      </c>
      <c r="N551" s="5">
        <f>SUMPRODUCT(I551:M551,$AJ$13:$AN$13)</f>
        <v>4.9813350791205512E-3</v>
      </c>
      <c r="P551" s="2" t="s">
        <v>542</v>
      </c>
      <c r="Q551" s="10" cm="1">
        <f t="array" aca="1" ref="Q551:U551" ca="1">_xlfn.LET(_xlpm.array,_xlfn.RANDARRAY(1,COLUMNS(_xlfn.ANCHORARRAY(Q550)),0,1,FALSE),_xlpm.array/SUM(_xlpm.array))</f>
        <v>1.92773514966918E-2</v>
      </c>
      <c r="R551" s="2">
        <f ca="1"/>
        <v>0.35890974538988929</v>
      </c>
      <c r="S551" s="2">
        <f ca="1"/>
        <v>0.22175553018410143</v>
      </c>
      <c r="T551" s="2">
        <f ca="1"/>
        <v>0.21721921614057133</v>
      </c>
      <c r="U551" s="2">
        <f ca="1"/>
        <v>0.18283815678874618</v>
      </c>
      <c r="V551" s="12"/>
      <c r="X551" s="2" cm="1">
        <f t="array" aca="1" ref="X551" ca="1">MMULT(MMULT(_xlfn.ANCHORARRAY(Q551),$Q$9:$U$13),TRANSPOSE(_xlfn.ANCHORARRAY(Q551)))</f>
        <v>2.9927505019958917E-4</v>
      </c>
      <c r="Y551" s="2">
        <f t="shared" ca="1" si="22"/>
        <v>1.729956791944785E-2</v>
      </c>
      <c r="Z551" s="2" cm="1">
        <f t="array" aca="1" ref="Z551" ca="1">MMULT(_xlfn.ANCHORARRAY(Q551),TRANSPOSE($Q$3:$U$3))</f>
        <v>9.9377803904879053E-4</v>
      </c>
      <c r="AA551" s="11">
        <f ca="1">AVEDEV(Q551*$Q$3,R551*$R$3,S551*$S$3,T551*$T$3,U551*$U$3)</f>
        <v>9.9147644713844463E-5</v>
      </c>
      <c r="AB551" s="11" cm="1">
        <f t="array" aca="1" ref="AB551" ca="1">MMULT(_xlfn.ANCHORARRAY(Q551),TRANSPOSE($Q$6:$U$6))</f>
        <v>-2.2976811502617007E-2</v>
      </c>
      <c r="AD551" s="2" t="s">
        <v>542</v>
      </c>
      <c r="AE551" s="10" cm="1">
        <f t="array" aca="1" ref="AE551:AI551" ca="1">_xlfn.LET(_xlpm.array,_xlfn.RANDARRAY(1,COLUMNS(_xlfn.ANCHORARRAY(Q550)),-1,1,FALSE),_xlpm.array/SUM(_xlpm.array))</f>
        <v>0.14238289965399969</v>
      </c>
      <c r="AF551" s="10">
        <f ca="1"/>
        <v>0.45409096777234098</v>
      </c>
      <c r="AG551" s="10">
        <f ca="1"/>
        <v>0.19789428599771183</v>
      </c>
      <c r="AH551" s="10">
        <f ca="1"/>
        <v>-1.8352497349712449E-2</v>
      </c>
      <c r="AI551" s="10">
        <f ca="1"/>
        <v>0.22398434392565991</v>
      </c>
      <c r="AJ551" s="1"/>
      <c r="AK551" s="2" cm="1">
        <f t="array" aca="1" ref="AK551" ca="1">MMULT(MMULT(_xlfn.ANCHORARRAY(AE551),$Q$9:$U$13),TRANSPOSE(_xlfn.ANCHORARRAY(AE551)))</f>
        <v>2.8623763988861096E-4</v>
      </c>
      <c r="AL551" s="2">
        <f t="shared" ca="1" si="23"/>
        <v>1.6918559037004628E-2</v>
      </c>
      <c r="AM551" s="2" cm="1">
        <f t="array" aca="1" ref="AM551" ca="1">MMULT(_xlfn.ANCHORARRAY(AE552),TRANSPOSE($Q$3:$U$3))</f>
        <v>1.2248622004168326E-3</v>
      </c>
    </row>
    <row r="552" spans="1:39" x14ac:dyDescent="0.35">
      <c r="A552" s="3">
        <v>44629</v>
      </c>
      <c r="B552" s="4">
        <v>37.043140411376903</v>
      </c>
      <c r="C552" s="4">
        <v>141.58526611328099</v>
      </c>
      <c r="D552" s="4">
        <v>47.443599700927699</v>
      </c>
      <c r="E552" s="4">
        <v>23.437032699584901</v>
      </c>
      <c r="F552" s="4">
        <v>279.087890625</v>
      </c>
      <c r="I552" s="5">
        <f>B552/B551-1</f>
        <v>6.3488159093525232E-2</v>
      </c>
      <c r="J552" s="5">
        <f>C552/C551-1</f>
        <v>-2.4981012261851454E-2</v>
      </c>
      <c r="K552" s="5">
        <f>D552/D551-1</f>
        <v>3.4633575620258261E-2</v>
      </c>
      <c r="L552" s="5">
        <f>E552/E551-1</f>
        <v>-1.6286593579447284E-2</v>
      </c>
      <c r="M552" s="5">
        <f>F552/F551-1</f>
        <v>4.5858503471692291E-2</v>
      </c>
      <c r="N552" s="5">
        <f>SUMPRODUCT(I552:M552,$AJ$13:$AN$13)</f>
        <v>8.198384354320902E-3</v>
      </c>
      <c r="P552" s="2" t="s">
        <v>543</v>
      </c>
      <c r="Q552" s="10" cm="1">
        <f t="array" aca="1" ref="Q552:U552" ca="1">_xlfn.LET(_xlpm.array,_xlfn.RANDARRAY(1,COLUMNS(_xlfn.ANCHORARRAY(Q551)),0,1,FALSE),_xlpm.array/SUM(_xlpm.array))</f>
        <v>2.3500228881555601E-2</v>
      </c>
      <c r="R552" s="2">
        <f ca="1"/>
        <v>0.25483418726073787</v>
      </c>
      <c r="S552" s="2">
        <f ca="1"/>
        <v>0.25591463751300758</v>
      </c>
      <c r="T552" s="2">
        <f ca="1"/>
        <v>0.23429463282535995</v>
      </c>
      <c r="U552" s="2">
        <f ca="1"/>
        <v>0.23145631351933901</v>
      </c>
      <c r="V552" s="12"/>
      <c r="X552" s="2" cm="1">
        <f t="array" aca="1" ref="X552" ca="1">MMULT(MMULT(_xlfn.ANCHORARRAY(Q552),$Q$9:$U$13),TRANSPOSE(_xlfn.ANCHORARRAY(Q552)))</f>
        <v>2.9316329044831838E-4</v>
      </c>
      <c r="Y552" s="2">
        <f t="shared" ca="1" si="22"/>
        <v>1.7122011869179346E-2</v>
      </c>
      <c r="Z552" s="2" cm="1">
        <f t="array" aca="1" ref="Z552" ca="1">MMULT(_xlfn.ANCHORARRAY(Q552),TRANSPOSE($Q$3:$U$3))</f>
        <v>1.0300290016578241E-3</v>
      </c>
      <c r="AA552" s="11">
        <f ca="1">AVEDEV(Q552*$Q$3,R552*$R$3,S552*$S$3,T552*$T$3,U552*$U$3)</f>
        <v>9.7181351265075434E-5</v>
      </c>
      <c r="AB552" s="11" cm="1">
        <f t="array" aca="1" ref="AB552" ca="1">MMULT(_xlfn.ANCHORARRAY(Q552),TRANSPOSE($Q$6:$U$6))</f>
        <v>-2.3260001618410114E-2</v>
      </c>
      <c r="AD552" s="2" t="s">
        <v>543</v>
      </c>
      <c r="AE552" s="10" cm="1">
        <f t="array" aca="1" ref="AE552:AI552" ca="1">_xlfn.LET(_xlpm.array,_xlfn.RANDARRAY(1,COLUMNS(_xlfn.ANCHORARRAY(Q551)),-1,1,FALSE),_xlpm.array/SUM(_xlpm.array))</f>
        <v>-5.1646555304991772E-2</v>
      </c>
      <c r="AF552" s="10">
        <f ca="1"/>
        <v>0.51056260327803771</v>
      </c>
      <c r="AG552" s="10">
        <f ca="1"/>
        <v>0.55743920885532161</v>
      </c>
      <c r="AH552" s="10">
        <f ca="1"/>
        <v>-5.6447734945722083E-2</v>
      </c>
      <c r="AI552" s="10">
        <f ca="1"/>
        <v>4.0092478117354557E-2</v>
      </c>
      <c r="AJ552" s="1"/>
      <c r="AK552" s="2" cm="1">
        <f t="array" aca="1" ref="AK552" ca="1">MMULT(MMULT(_xlfn.ANCHORARRAY(AE552),$Q$9:$U$13),TRANSPOSE(_xlfn.ANCHORARRAY(AE552)))</f>
        <v>4.6036067018386027E-4</v>
      </c>
      <c r="AL552" s="2">
        <f t="shared" ca="1" si="23"/>
        <v>2.1456017109050325E-2</v>
      </c>
      <c r="AM552" s="2" cm="1">
        <f t="array" aca="1" ref="AM552" ca="1">MMULT(_xlfn.ANCHORARRAY(AE553),TRANSPOSE($Q$3:$U$3))</f>
        <v>1.6133545475642124E-4</v>
      </c>
    </row>
    <row r="553" spans="1:39" x14ac:dyDescent="0.35">
      <c r="A553" s="3">
        <v>44630</v>
      </c>
      <c r="B553" s="4">
        <v>36.709171295166001</v>
      </c>
      <c r="C553" s="4">
        <v>145.45977783203099</v>
      </c>
      <c r="D553" s="4">
        <v>47.434478759765597</v>
      </c>
      <c r="E553" s="4">
        <v>23.366481781005799</v>
      </c>
      <c r="F553" s="4">
        <v>276.27276611328102</v>
      </c>
      <c r="I553" s="5">
        <f>B553/B552-1</f>
        <v>-9.015680433733686E-3</v>
      </c>
      <c r="J553" s="5">
        <f>C553/C552-1</f>
        <v>2.7365218324695073E-2</v>
      </c>
      <c r="K553" s="5">
        <f>D553/D552-1</f>
        <v>-1.9224808445394981E-4</v>
      </c>
      <c r="L553" s="5">
        <f>E553/E552-1</f>
        <v>-3.0102325445128253E-3</v>
      </c>
      <c r="M553" s="5">
        <f>F553/F552-1</f>
        <v>-1.0086874444515281E-2</v>
      </c>
      <c r="N553" s="5">
        <f>SUMPRODUCT(I553:M553,$AJ$13:$AN$13)</f>
        <v>-3.1652051364642387E-3</v>
      </c>
      <c r="P553" s="2" t="s">
        <v>544</v>
      </c>
      <c r="Q553" s="10" cm="1">
        <f t="array" aca="1" ref="Q553:U553" ca="1">_xlfn.LET(_xlpm.array,_xlfn.RANDARRAY(1,COLUMNS(_xlfn.ANCHORARRAY(Q552)),0,1,FALSE),_xlpm.array/SUM(_xlpm.array))</f>
        <v>0.34773535884235274</v>
      </c>
      <c r="R553" s="2">
        <f ca="1"/>
        <v>0.28809475631294651</v>
      </c>
      <c r="S553" s="2">
        <f ca="1"/>
        <v>3.1974538944844075E-2</v>
      </c>
      <c r="T553" s="2">
        <f ca="1"/>
        <v>0.29470142889573586</v>
      </c>
      <c r="U553" s="2">
        <f ca="1"/>
        <v>3.7493917004120809E-2</v>
      </c>
      <c r="V553" s="12"/>
      <c r="X553" s="2" cm="1">
        <f t="array" aca="1" ref="X553" ca="1">MMULT(MMULT(_xlfn.ANCHORARRAY(Q553),$Q$9:$U$13),TRANSPOSE(_xlfn.ANCHORARRAY(Q553)))</f>
        <v>3.319622952920581E-4</v>
      </c>
      <c r="Y553" s="2">
        <f t="shared" ca="1" si="22"/>
        <v>1.8219832471569494E-2</v>
      </c>
      <c r="Z553" s="2" cm="1">
        <f t="array" aca="1" ref="Z553" ca="1">MMULT(_xlfn.ANCHORARRAY(Q553),TRANSPOSE($Q$3:$U$3))</f>
        <v>7.6878930072446115E-4</v>
      </c>
      <c r="AA553" s="11">
        <f ca="1">AVEDEV(Q553*$Q$3,R553*$R$3,S553*$S$3,T553*$T$3,U553*$U$3)</f>
        <v>9.0764671500956226E-5</v>
      </c>
      <c r="AB553" s="11" cm="1">
        <f t="array" aca="1" ref="AB553" ca="1">MMULT(_xlfn.ANCHORARRAY(Q553),TRANSPOSE($Q$6:$U$6))</f>
        <v>-2.248691374749099E-2</v>
      </c>
      <c r="AD553" s="2" t="s">
        <v>544</v>
      </c>
      <c r="AE553" s="10" cm="1">
        <f t="array" aca="1" ref="AE553:AI553" ca="1">_xlfn.LET(_xlpm.array,_xlfn.RANDARRAY(1,COLUMNS(_xlfn.ANCHORARRAY(Q552)),-1,1,FALSE),_xlpm.array/SUM(_xlpm.array))</f>
        <v>0.45594815925986698</v>
      </c>
      <c r="AF553" s="10">
        <f ca="1"/>
        <v>0.54133423650558776</v>
      </c>
      <c r="AG553" s="10">
        <f ca="1"/>
        <v>-0.54692216927089432</v>
      </c>
      <c r="AH553" s="10">
        <f ca="1"/>
        <v>8.2023487785815984E-3</v>
      </c>
      <c r="AI553" s="10">
        <f ca="1"/>
        <v>0.54143742472685796</v>
      </c>
      <c r="AJ553" s="1"/>
      <c r="AK553" s="2" cm="1">
        <f t="array" aca="1" ref="AK553" ca="1">MMULT(MMULT(_xlfn.ANCHORARRAY(AE553),$Q$9:$U$13),TRANSPOSE(_xlfn.ANCHORARRAY(AE553)))</f>
        <v>5.0165737497359934E-4</v>
      </c>
      <c r="AL553" s="2">
        <f t="shared" ca="1" si="23"/>
        <v>2.2397709145660395E-2</v>
      </c>
      <c r="AM553" s="2" cm="1">
        <f t="array" aca="1" ref="AM553" ca="1">MMULT(_xlfn.ANCHORARRAY(AE554),TRANSPOSE($Q$3:$U$3))</f>
        <v>7.668260564756684E-4</v>
      </c>
    </row>
    <row r="554" spans="1:39" x14ac:dyDescent="0.35">
      <c r="A554" s="3">
        <v>44631</v>
      </c>
      <c r="B554" s="4">
        <v>36.402286529541001</v>
      </c>
      <c r="C554" s="4">
        <v>145.527908325195</v>
      </c>
      <c r="D554" s="4">
        <v>47.470973968505803</v>
      </c>
      <c r="E554" s="4">
        <v>22.780908584594702</v>
      </c>
      <c r="F554" s="4">
        <v>270.93292236328102</v>
      </c>
      <c r="I554" s="5">
        <f>B554/B553-1</f>
        <v>-8.3598935851055822E-3</v>
      </c>
      <c r="J554" s="5">
        <f>C554/C553-1</f>
        <v>4.6838029164786299E-4</v>
      </c>
      <c r="K554" s="5">
        <f>D554/D553-1</f>
        <v>7.6938146458904733E-4</v>
      </c>
      <c r="L554" s="5">
        <f>E554/E553-1</f>
        <v>-2.5060392142008281E-2</v>
      </c>
      <c r="M554" s="5">
        <f>F554/F553-1</f>
        <v>-1.9328158273155593E-2</v>
      </c>
      <c r="N554" s="5">
        <f>SUMPRODUCT(I554:M554,$AJ$13:$AN$13)</f>
        <v>-1.5363080130555783E-2</v>
      </c>
      <c r="P554" s="2" t="s">
        <v>545</v>
      </c>
      <c r="Q554" s="10" cm="1">
        <f t="array" aca="1" ref="Q554:U554" ca="1">_xlfn.LET(_xlpm.array,_xlfn.RANDARRAY(1,COLUMNS(_xlfn.ANCHORARRAY(Q553)),0,1,FALSE),_xlpm.array/SUM(_xlpm.array))</f>
        <v>0.1628344356967979</v>
      </c>
      <c r="R554" s="2">
        <f ca="1"/>
        <v>8.3338013988209891E-2</v>
      </c>
      <c r="S554" s="2">
        <f ca="1"/>
        <v>0.24183194650574072</v>
      </c>
      <c r="T554" s="2">
        <f ca="1"/>
        <v>0.21999992719473546</v>
      </c>
      <c r="U554" s="2">
        <f ca="1"/>
        <v>0.29199567661451603</v>
      </c>
      <c r="V554" s="12"/>
      <c r="X554" s="2" cm="1">
        <f t="array" aca="1" ref="X554" ca="1">MMULT(MMULT(_xlfn.ANCHORARRAY(Q554),$Q$9:$U$13),TRANSPOSE(_xlfn.ANCHORARRAY(Q554)))</f>
        <v>2.7613396535835827E-4</v>
      </c>
      <c r="Y554" s="2">
        <f t="shared" ca="1" si="22"/>
        <v>1.6617279120191678E-2</v>
      </c>
      <c r="Z554" s="2" cm="1">
        <f t="array" aca="1" ref="Z554" ca="1">MMULT(_xlfn.ANCHORARRAY(Q554),TRANSPOSE($Q$3:$U$3))</f>
        <v>9.844416326808777E-4</v>
      </c>
      <c r="AA554" s="11">
        <f ca="1">AVEDEV(Q554*$Q$3,R554*$R$3,S554*$S$3,T554*$T$3,U554*$U$3)</f>
        <v>1.000639960438436E-4</v>
      </c>
      <c r="AB554" s="11" cm="1">
        <f t="array" aca="1" ref="AB554" ca="1">MMULT(_xlfn.ANCHORARRAY(Q554),TRANSPOSE($Q$6:$U$6))</f>
        <v>-2.3214749979675205E-2</v>
      </c>
      <c r="AD554" s="2" t="s">
        <v>545</v>
      </c>
      <c r="AE554" s="10" cm="1">
        <f t="array" aca="1" ref="AE554:AI554" ca="1">_xlfn.LET(_xlpm.array,_xlfn.RANDARRAY(1,COLUMNS(_xlfn.ANCHORARRAY(Q553)),-1,1,FALSE),_xlpm.array/SUM(_xlpm.array))</f>
        <v>0.40931875288273084</v>
      </c>
      <c r="AF554" s="10">
        <f ca="1"/>
        <v>0.53101792096541067</v>
      </c>
      <c r="AG554" s="10">
        <f ca="1"/>
        <v>7.2640931920364346E-2</v>
      </c>
      <c r="AH554" s="10">
        <f ca="1"/>
        <v>0.24527786555785178</v>
      </c>
      <c r="AI554" s="10">
        <f ca="1"/>
        <v>-0.25825547132635762</v>
      </c>
      <c r="AJ554" s="1"/>
      <c r="AK554" s="2" cm="1">
        <f t="array" aca="1" ref="AK554" ca="1">MMULT(MMULT(_xlfn.ANCHORARRAY(AE554),$Q$9:$U$13),TRANSPOSE(_xlfn.ANCHORARRAY(AE554)))</f>
        <v>4.7475168822936654E-4</v>
      </c>
      <c r="AL554" s="2">
        <f t="shared" ca="1" si="23"/>
        <v>2.178879731030069E-2</v>
      </c>
      <c r="AM554" s="2" cm="1">
        <f t="array" aca="1" ref="AM554" ca="1">MMULT(_xlfn.ANCHORARRAY(AE555),TRANSPOSE($Q$3:$U$3))</f>
        <v>6.9885770388845849E-3</v>
      </c>
    </row>
    <row r="555" spans="1:39" x14ac:dyDescent="0.35">
      <c r="A555" s="3">
        <v>44634</v>
      </c>
      <c r="B555" s="4">
        <v>37.187553405761697</v>
      </c>
      <c r="C555" s="4">
        <v>141.96847534179599</v>
      </c>
      <c r="D555" s="4">
        <v>46.311813354492102</v>
      </c>
      <c r="E555" s="4">
        <v>22.6186428070068</v>
      </c>
      <c r="F555" s="4">
        <v>267.421295166015</v>
      </c>
      <c r="I555" s="5">
        <f>B555/B554-1</f>
        <v>2.157191075300835E-2</v>
      </c>
      <c r="J555" s="5">
        <f>C555/C554-1</f>
        <v>-2.4458765499777102E-2</v>
      </c>
      <c r="K555" s="5">
        <f>D555/D554-1</f>
        <v>-2.4418302746068266E-2</v>
      </c>
      <c r="L555" s="5">
        <f>E555/E554-1</f>
        <v>-7.1228843654476126E-3</v>
      </c>
      <c r="M555" s="5">
        <f>F555/F554-1</f>
        <v>-1.296124209134486E-2</v>
      </c>
      <c r="N555" s="5">
        <f>SUMPRODUCT(I555:M555,$AJ$13:$AN$13)</f>
        <v>-2.5809378919340362E-2</v>
      </c>
      <c r="P555" s="2" t="s">
        <v>546</v>
      </c>
      <c r="Q555" s="10" cm="1">
        <f t="array" aca="1" ref="Q555:U555" ca="1">_xlfn.LET(_xlpm.array,_xlfn.RANDARRAY(1,COLUMNS(_xlfn.ANCHORARRAY(Q554)),0,1,FALSE),_xlpm.array/SUM(_xlpm.array))</f>
        <v>0.26705002832548258</v>
      </c>
      <c r="R555" s="2">
        <f ca="1"/>
        <v>0.2839255680135897</v>
      </c>
      <c r="S555" s="2">
        <f ca="1"/>
        <v>0.11733904206962245</v>
      </c>
      <c r="T555" s="2">
        <f ca="1"/>
        <v>0.31075075081592207</v>
      </c>
      <c r="U555" s="2">
        <f ca="1"/>
        <v>2.0934610775383035E-2</v>
      </c>
      <c r="V555" s="12"/>
      <c r="X555" s="2" cm="1">
        <f t="array" aca="1" ref="X555" ca="1">MMULT(MMULT(_xlfn.ANCHORARRAY(Q555),$Q$9:$U$13),TRANSPOSE(_xlfn.ANCHORARRAY(Q555)))</f>
        <v>3.2994255713118001E-4</v>
      </c>
      <c r="Y555" s="2">
        <f t="shared" ca="1" si="22"/>
        <v>1.8164320992846938E-2</v>
      </c>
      <c r="Z555" s="2" cm="1">
        <f t="array" aca="1" ref="Z555" ca="1">MMULT(_xlfn.ANCHORARRAY(Q555),TRANSPOSE($Q$3:$U$3))</f>
        <v>8.670996128170344E-4</v>
      </c>
      <c r="AA555" s="11">
        <f ca="1">AVEDEV(Q555*$Q$3,R555*$R$3,S555*$S$3,T555*$T$3,U555*$U$3)</f>
        <v>7.8040301371876095E-5</v>
      </c>
      <c r="AB555" s="11" cm="1">
        <f t="array" aca="1" ref="AB555" ca="1">MMULT(_xlfn.ANCHORARRAY(Q555),TRANSPOSE($Q$6:$U$6))</f>
        <v>-2.3045789402903034E-2</v>
      </c>
      <c r="AD555" s="2" t="s">
        <v>546</v>
      </c>
      <c r="AE555" s="10" cm="1">
        <f t="array" aca="1" ref="AE555:AI555" ca="1">_xlfn.LET(_xlpm.array,_xlfn.RANDARRAY(1,COLUMNS(_xlfn.ANCHORARRAY(Q554)),-1,1,FALSE),_xlpm.array/SUM(_xlpm.array))</f>
        <v>2.9922369104660191</v>
      </c>
      <c r="AF555" s="10">
        <f ca="1"/>
        <v>-9.152526351969712</v>
      </c>
      <c r="AG555" s="10">
        <f ca="1"/>
        <v>7.6630787859796401</v>
      </c>
      <c r="AH555" s="10">
        <f ca="1"/>
        <v>0.35453070172224466</v>
      </c>
      <c r="AI555" s="10">
        <f ca="1"/>
        <v>-0.85732004619819091</v>
      </c>
      <c r="AJ555" s="1"/>
      <c r="AK555" s="2" cm="1">
        <f t="array" aca="1" ref="AK555" ca="1">MMULT(MMULT(_xlfn.ANCHORARRAY(AE555),$Q$9:$U$13),TRANSPOSE(_xlfn.ANCHORARRAY(AE555)))</f>
        <v>5.6154599466050559E-2</v>
      </c>
      <c r="AL555" s="2">
        <f t="shared" ca="1" si="23"/>
        <v>0.23696961717918724</v>
      </c>
      <c r="AM555" s="2" cm="1">
        <f t="array" aca="1" ref="AM555" ca="1">MMULT(_xlfn.ANCHORARRAY(AE556),TRANSPOSE($Q$3:$U$3))</f>
        <v>1.1885230674865196E-3</v>
      </c>
    </row>
    <row r="556" spans="1:39" x14ac:dyDescent="0.35">
      <c r="A556" s="3">
        <v>44635</v>
      </c>
      <c r="B556" s="4">
        <v>37.458335876464801</v>
      </c>
      <c r="C556" s="4">
        <v>134.781478881835</v>
      </c>
      <c r="D556" s="4">
        <v>47.534866333007798</v>
      </c>
      <c r="E556" s="4">
        <v>22.7103557586669</v>
      </c>
      <c r="F556" s="4">
        <v>277.78189086914</v>
      </c>
      <c r="I556" s="5">
        <f>B556/B555-1</f>
        <v>7.2815349735040336E-3</v>
      </c>
      <c r="J556" s="5">
        <f>C556/C555-1</f>
        <v>-5.0623889864689686E-2</v>
      </c>
      <c r="K556" s="5">
        <f>D556/D555-1</f>
        <v>2.6409092841039872E-2</v>
      </c>
      <c r="L556" s="5">
        <f>E556/E555-1</f>
        <v>4.0547504305470383E-3</v>
      </c>
      <c r="M556" s="5">
        <f>F556/F555-1</f>
        <v>3.8742597879847684E-2</v>
      </c>
      <c r="N556" s="5">
        <f>SUMPRODUCT(I556:M556,$AJ$13:$AN$13)</f>
        <v>2.813951646503993E-2</v>
      </c>
      <c r="P556" s="2" t="s">
        <v>547</v>
      </c>
      <c r="Q556" s="10" cm="1">
        <f t="array" aca="1" ref="Q556:U556" ca="1">_xlfn.LET(_xlpm.array,_xlfn.RANDARRAY(1,COLUMNS(_xlfn.ANCHORARRAY(Q555)),0,1,FALSE),_xlpm.array/SUM(_xlpm.array))</f>
        <v>0.19101314972552433</v>
      </c>
      <c r="R556" s="2">
        <f ca="1"/>
        <v>7.5431848882411875E-2</v>
      </c>
      <c r="S556" s="2">
        <f ca="1"/>
        <v>8.2622610856673551E-2</v>
      </c>
      <c r="T556" s="2">
        <f ca="1"/>
        <v>0.41726353224495305</v>
      </c>
      <c r="U556" s="2">
        <f ca="1"/>
        <v>0.23366885829043721</v>
      </c>
      <c r="V556" s="12"/>
      <c r="X556" s="2" cm="1">
        <f t="array" aca="1" ref="X556" ca="1">MMULT(MMULT(_xlfn.ANCHORARRAY(Q556),$Q$9:$U$13),TRANSPOSE(_xlfn.ANCHORARRAY(Q556)))</f>
        <v>2.8486335393867953E-4</v>
      </c>
      <c r="Y556" s="2">
        <f t="shared" ca="1" si="22"/>
        <v>1.6877895423857783E-2</v>
      </c>
      <c r="Z556" s="2" cm="1">
        <f t="array" aca="1" ref="Z556" ca="1">MMULT(_xlfn.ANCHORARRAY(Q556),TRANSPOSE($Q$3:$U$3))</f>
        <v>8.9135027141178374E-4</v>
      </c>
      <c r="AA556" s="11">
        <f ca="1">AVEDEV(Q556*$Q$3,R556*$R$3,S556*$S$3,T556*$T$3,U556*$U$3)</f>
        <v>9.938639232187712E-5</v>
      </c>
      <c r="AB556" s="11" cm="1">
        <f t="array" aca="1" ref="AB556" ca="1">MMULT(_xlfn.ANCHORARRAY(Q556),TRANSPOSE($Q$6:$U$6))</f>
        <v>-2.3127836251820955E-2</v>
      </c>
      <c r="AD556" s="2" t="s">
        <v>547</v>
      </c>
      <c r="AE556" s="10" cm="1">
        <f t="array" aca="1" ref="AE556:AI556" ca="1">_xlfn.LET(_xlpm.array,_xlfn.RANDARRAY(1,COLUMNS(_xlfn.ANCHORARRAY(Q555)),-1,1,FALSE),_xlpm.array/SUM(_xlpm.array))</f>
        <v>-0.48330041454063938</v>
      </c>
      <c r="AF556" s="10">
        <f ca="1"/>
        <v>0.55212992208155476</v>
      </c>
      <c r="AG556" s="10">
        <f ca="1"/>
        <v>0.22004220751708489</v>
      </c>
      <c r="AH556" s="10">
        <f ca="1"/>
        <v>0.50518885158164872</v>
      </c>
      <c r="AI556" s="10">
        <f ca="1"/>
        <v>0.205939433360351</v>
      </c>
      <c r="AJ556" s="1"/>
      <c r="AK556" s="2" cm="1">
        <f t="array" aca="1" ref="AK556" ca="1">MMULT(MMULT(_xlfn.ANCHORARRAY(AE556),$Q$9:$U$13),TRANSPOSE(_xlfn.ANCHORARRAY(AE556)))</f>
        <v>4.6962088245044873E-4</v>
      </c>
      <c r="AL556" s="2">
        <f t="shared" ca="1" si="23"/>
        <v>2.1670737930454716E-2</v>
      </c>
      <c r="AM556" s="2" cm="1">
        <f t="array" aca="1" ref="AM556" ca="1">MMULT(_xlfn.ANCHORARRAY(AE557),TRANSPOSE($Q$3:$U$3))</f>
        <v>3.9720645700673849E-4</v>
      </c>
    </row>
    <row r="557" spans="1:39" x14ac:dyDescent="0.35">
      <c r="A557" s="3">
        <v>44636</v>
      </c>
      <c r="B557" s="4">
        <v>38.6317329406738</v>
      </c>
      <c r="C557" s="4">
        <v>134.29611206054599</v>
      </c>
      <c r="D557" s="4">
        <v>47.434478759765597</v>
      </c>
      <c r="E557" s="4">
        <v>22.766799926757798</v>
      </c>
      <c r="F557" s="4">
        <v>284.78570556640602</v>
      </c>
      <c r="I557" s="5">
        <f>B557/B556-1</f>
        <v>3.1325392245901806E-2</v>
      </c>
      <c r="J557" s="5">
        <f>C557/C556-1</f>
        <v>-3.6011388605887706E-3</v>
      </c>
      <c r="K557" s="5">
        <f>D557/D556-1</f>
        <v>-2.1118724209495676E-3</v>
      </c>
      <c r="L557" s="5">
        <f>E557/E556-1</f>
        <v>2.4853933901656244E-3</v>
      </c>
      <c r="M557" s="5">
        <f>F557/F556-1</f>
        <v>2.521335957269244E-2</v>
      </c>
      <c r="N557" s="5">
        <f>SUMPRODUCT(I557:M557,$AJ$13:$AN$13)</f>
        <v>-4.5759874201071332E-4</v>
      </c>
      <c r="P557" s="2" t="s">
        <v>548</v>
      </c>
      <c r="Q557" s="10" cm="1">
        <f t="array" aca="1" ref="Q557:U557" ca="1">_xlfn.LET(_xlpm.array,_xlfn.RANDARRAY(1,COLUMNS(_xlfn.ANCHORARRAY(Q556)),0,1,FALSE),_xlpm.array/SUM(_xlpm.array))</f>
        <v>0.42392719821594177</v>
      </c>
      <c r="R557" s="2">
        <f ca="1"/>
        <v>0.19747665374849996</v>
      </c>
      <c r="S557" s="2">
        <f ca="1"/>
        <v>0.23195051847047657</v>
      </c>
      <c r="T557" s="2">
        <f ca="1"/>
        <v>4.3057344237594393E-3</v>
      </c>
      <c r="U557" s="2">
        <f ca="1"/>
        <v>0.14233989514132228</v>
      </c>
      <c r="V557" s="12"/>
      <c r="X557" s="2" cm="1">
        <f t="array" aca="1" ref="X557" ca="1">MMULT(MMULT(_xlfn.ANCHORARRAY(Q557),$Q$9:$U$13),TRANSPOSE(_xlfn.ANCHORARRAY(Q557)))</f>
        <v>3.0941436702132722E-4</v>
      </c>
      <c r="Y557" s="2">
        <f t="shared" ca="1" si="22"/>
        <v>1.7590178140693379E-2</v>
      </c>
      <c r="Z557" s="2" cm="1">
        <f t="array" aca="1" ref="Z557" ca="1">MMULT(_xlfn.ANCHORARRAY(Q557),TRANSPOSE($Q$3:$U$3))</f>
        <v>8.4962041707702064E-4</v>
      </c>
      <c r="AA557" s="11">
        <f ca="1">AVEDEV(Q557*$Q$3,R557*$R$3,S557*$S$3,T557*$T$3,U557*$U$3)</f>
        <v>1.0091962483793136E-4</v>
      </c>
      <c r="AB557" s="11" cm="1">
        <f t="array" aca="1" ref="AB557" ca="1">MMULT(_xlfn.ANCHORARRAY(Q557),TRANSPOSE($Q$6:$U$6))</f>
        <v>-2.2499382345211701E-2</v>
      </c>
      <c r="AD557" s="2" t="s">
        <v>548</v>
      </c>
      <c r="AE557" s="10" cm="1">
        <f t="array" aca="1" ref="AE557:AI557" ca="1">_xlfn.LET(_xlpm.array,_xlfn.RANDARRAY(1,COLUMNS(_xlfn.ANCHORARRAY(Q556)),-1,1,FALSE),_xlpm.array/SUM(_xlpm.array))</f>
        <v>0.44178669940933118</v>
      </c>
      <c r="AF557" s="10">
        <f ca="1"/>
        <v>3.3434685753946647E-2</v>
      </c>
      <c r="AG557" s="10">
        <f ca="1"/>
        <v>-0.4125025268872427</v>
      </c>
      <c r="AH557" s="10">
        <f ca="1"/>
        <v>0.39443359375473985</v>
      </c>
      <c r="AI557" s="10">
        <f ca="1"/>
        <v>0.54284754796922496</v>
      </c>
      <c r="AJ557" s="1"/>
      <c r="AK557" s="2" cm="1">
        <f t="array" aca="1" ref="AK557" ca="1">MMULT(MMULT(_xlfn.ANCHORARRAY(AE557),$Q$9:$U$13),TRANSPOSE(_xlfn.ANCHORARRAY(AE557)))</f>
        <v>3.9894042336754743E-4</v>
      </c>
      <c r="AL557" s="2">
        <f t="shared" ca="1" si="23"/>
        <v>1.9973493018687227E-2</v>
      </c>
      <c r="AM557" s="2" cm="1">
        <f t="array" aca="1" ref="AM557" ca="1">MMULT(_xlfn.ANCHORARRAY(AE558),TRANSPOSE($Q$3:$U$3))</f>
        <v>5.8555731428362586E-3</v>
      </c>
    </row>
    <row r="558" spans="1:39" x14ac:dyDescent="0.35">
      <c r="A558" s="3">
        <v>44637</v>
      </c>
      <c r="B558" s="4">
        <v>38.839328765869098</v>
      </c>
      <c r="C558" s="4">
        <v>136.62080383300699</v>
      </c>
      <c r="D558" s="4">
        <v>46.101882934570298</v>
      </c>
      <c r="E558" s="4">
        <v>24.093160629272401</v>
      </c>
      <c r="F558" s="4">
        <v>285.58865356445301</v>
      </c>
      <c r="I558" s="5">
        <f>B558/B557-1</f>
        <v>5.3737124739938746E-3</v>
      </c>
      <c r="J558" s="5">
        <f>C558/C557-1</f>
        <v>1.7310194143319135E-2</v>
      </c>
      <c r="K558" s="5">
        <f>D558/D557-1</f>
        <v>-2.8093400834955928E-2</v>
      </c>
      <c r="L558" s="5">
        <f>E558/E557-1</f>
        <v>5.8258547832000351E-2</v>
      </c>
      <c r="M558" s="5">
        <f>F558/F557-1</f>
        <v>2.8194813937378882E-3</v>
      </c>
      <c r="N558" s="5">
        <f>SUMPRODUCT(I558:M558,$AJ$13:$AN$13)</f>
        <v>1.1414794963474745E-2</v>
      </c>
      <c r="P558" s="2" t="s">
        <v>549</v>
      </c>
      <c r="Q558" s="10" cm="1">
        <f t="array" aca="1" ref="Q558:U558" ca="1">_xlfn.LET(_xlpm.array,_xlfn.RANDARRAY(1,COLUMNS(_xlfn.ANCHORARRAY(Q557)),0,1,FALSE),_xlpm.array/SUM(_xlpm.array))</f>
        <v>0.26043989978379339</v>
      </c>
      <c r="R558" s="2">
        <f ca="1"/>
        <v>0.10748089276287347</v>
      </c>
      <c r="S558" s="2">
        <f ca="1"/>
        <v>0.20819395384701309</v>
      </c>
      <c r="T558" s="2">
        <f ca="1"/>
        <v>0.33728860074822387</v>
      </c>
      <c r="U558" s="2">
        <f ca="1"/>
        <v>8.6596652858096243E-2</v>
      </c>
      <c r="V558" s="12"/>
      <c r="X558" s="2" cm="1">
        <f t="array" aca="1" ref="X558" ca="1">MMULT(MMULT(_xlfn.ANCHORARRAY(Q558),$Q$9:$U$13),TRANSPOSE(_xlfn.ANCHORARRAY(Q558)))</f>
        <v>3.110943920899898E-4</v>
      </c>
      <c r="Y558" s="2">
        <f t="shared" ca="1" si="22"/>
        <v>1.7637868127695869E-2</v>
      </c>
      <c r="Z558" s="2" cm="1">
        <f t="array" aca="1" ref="Z558" ca="1">MMULT(_xlfn.ANCHORARRAY(Q558),TRANSPOSE($Q$3:$U$3))</f>
        <v>9.5977508044825402E-4</v>
      </c>
      <c r="AA558" s="11">
        <f ca="1">AVEDEV(Q558*$Q$3,R558*$R$3,S558*$S$3,T558*$T$3,U558*$U$3)</f>
        <v>1.195107684302199E-4</v>
      </c>
      <c r="AB558" s="11" cm="1">
        <f t="array" aca="1" ref="AB558" ca="1">MMULT(_xlfn.ANCHORARRAY(Q558),TRANSPOSE($Q$6:$U$6))</f>
        <v>-2.3724705158440822E-2</v>
      </c>
      <c r="AD558" s="2" t="s">
        <v>549</v>
      </c>
      <c r="AE558" s="10" cm="1">
        <f t="array" aca="1" ref="AE558:AI558" ca="1">_xlfn.LET(_xlpm.array,_xlfn.RANDARRAY(1,COLUMNS(_xlfn.ANCHORARRAY(Q557)),-1,1,FALSE),_xlpm.array/SUM(_xlpm.array))</f>
        <v>-8.2887901722138544</v>
      </c>
      <c r="AF558" s="10">
        <f ca="1"/>
        <v>-1.946416637191317</v>
      </c>
      <c r="AG558" s="10">
        <f ca="1"/>
        <v>4.831428940584761</v>
      </c>
      <c r="AH558" s="10">
        <f ca="1"/>
        <v>-4.8859364504004237</v>
      </c>
      <c r="AI558" s="10">
        <f ca="1"/>
        <v>11.289714319220833</v>
      </c>
      <c r="AJ558" s="1"/>
      <c r="AK558" s="2" cm="1">
        <f t="array" aca="1" ref="AK558" ca="1">MMULT(MMULT(_xlfn.ANCHORARRAY(AE558),$Q$9:$U$13),TRANSPOSE(_xlfn.ANCHORARRAY(AE558)))</f>
        <v>9.2560217397669411E-2</v>
      </c>
      <c r="AL558" s="2">
        <f t="shared" ca="1" si="23"/>
        <v>0.30423710720040287</v>
      </c>
      <c r="AM558" s="2" cm="1">
        <f t="array" aca="1" ref="AM558" ca="1">MMULT(_xlfn.ANCHORARRAY(AE559),TRANSPOSE($Q$3:$U$3))</f>
        <v>1.9320026283081294E-3</v>
      </c>
    </row>
    <row r="559" spans="1:39" x14ac:dyDescent="0.35">
      <c r="A559" s="3">
        <v>44638</v>
      </c>
      <c r="B559" s="4">
        <v>38.721996307372997</v>
      </c>
      <c r="C559" s="4">
        <v>137.71928405761699</v>
      </c>
      <c r="D559" s="4">
        <v>47.306690216064403</v>
      </c>
      <c r="E559" s="4">
        <v>24.255422592163001</v>
      </c>
      <c r="F559" s="4">
        <v>290.62875366210898</v>
      </c>
      <c r="I559" s="5">
        <f>B559/B558-1</f>
        <v>-3.0209702954292483E-3</v>
      </c>
      <c r="J559" s="5">
        <f>C559/C558-1</f>
        <v>8.0403583772841181E-3</v>
      </c>
      <c r="K559" s="5">
        <f>D559/D558-1</f>
        <v>2.6133580773783471E-2</v>
      </c>
      <c r="L559" s="5">
        <f>E559/E558-1</f>
        <v>6.7347728007698393E-3</v>
      </c>
      <c r="M559" s="5">
        <f>F559/F558-1</f>
        <v>1.7648110436987219E-2</v>
      </c>
      <c r="N559" s="5">
        <f>SUMPRODUCT(I559:M559,$AJ$13:$AN$13)</f>
        <v>2.3259474880150097E-2</v>
      </c>
      <c r="P559" s="2" t="s">
        <v>550</v>
      </c>
      <c r="Q559" s="10" cm="1">
        <f t="array" aca="1" ref="Q559:U559" ca="1">_xlfn.LET(_xlpm.array,_xlfn.RANDARRAY(1,COLUMNS(_xlfn.ANCHORARRAY(Q558)),0,1,FALSE),_xlpm.array/SUM(_xlpm.array))</f>
        <v>0.34100819708401309</v>
      </c>
      <c r="R559" s="2">
        <f ca="1"/>
        <v>7.4955365673218749E-3</v>
      </c>
      <c r="S559" s="2">
        <f ca="1"/>
        <v>0.27564885669143918</v>
      </c>
      <c r="T559" s="2">
        <f ca="1"/>
        <v>4.9968774620670037E-2</v>
      </c>
      <c r="U559" s="2">
        <f ca="1"/>
        <v>0.32587863503655579</v>
      </c>
      <c r="V559" s="12"/>
      <c r="X559" s="2" cm="1">
        <f t="array" aca="1" ref="X559" ca="1">MMULT(MMULT(_xlfn.ANCHORARRAY(Q559),$Q$9:$U$13),TRANSPOSE(_xlfn.ANCHORARRAY(Q559)))</f>
        <v>2.9994786836583026E-4</v>
      </c>
      <c r="Y559" s="2">
        <f t="shared" ca="1" si="22"/>
        <v>1.7319003099654156E-2</v>
      </c>
      <c r="Z559" s="2" cm="1">
        <f t="array" aca="1" ref="Z559" ca="1">MMULT(_xlfn.ANCHORARRAY(Q559),TRANSPOSE($Q$3:$U$3))</f>
        <v>9.2674210047756793E-4</v>
      </c>
      <c r="AA559" s="11">
        <f ca="1">AVEDEV(Q559*$Q$3,R559*$R$3,S559*$S$3,T559*$T$3,U559*$U$3)</f>
        <v>1.3048265375365179E-4</v>
      </c>
      <c r="AB559" s="11" cm="1">
        <f t="array" aca="1" ref="AB559" ca="1">MMULT(_xlfn.ANCHORARRAY(Q559),TRANSPOSE($Q$6:$U$6))</f>
        <v>-2.2824222421482607E-2</v>
      </c>
      <c r="AD559" s="2" t="s">
        <v>550</v>
      </c>
      <c r="AE559" s="10" cm="1">
        <f t="array" aca="1" ref="AE559:AI559" ca="1">_xlfn.LET(_xlpm.array,_xlfn.RANDARRAY(1,COLUMNS(_xlfn.ANCHORARRAY(Q558)),-1,1,FALSE),_xlpm.array/SUM(_xlpm.array))</f>
        <v>0.30010151660067075</v>
      </c>
      <c r="AF559" s="10">
        <f ca="1"/>
        <v>0.58220764528199209</v>
      </c>
      <c r="AG559" s="10">
        <f ca="1"/>
        <v>2.0314162906661668</v>
      </c>
      <c r="AH559" s="10">
        <f ca="1"/>
        <v>-1.8732232746510458</v>
      </c>
      <c r="AI559" s="10">
        <f ca="1"/>
        <v>-4.0502177897783882E-2</v>
      </c>
      <c r="AJ559" s="1"/>
      <c r="AK559" s="2" cm="1">
        <f t="array" aca="1" ref="AK559" ca="1">MMULT(MMULT(_xlfn.ANCHORARRAY(AE559),$Q$9:$U$13),TRANSPOSE(_xlfn.ANCHORARRAY(AE559)))</f>
        <v>4.0877494005260627E-3</v>
      </c>
      <c r="AL559" s="2">
        <f t="shared" ca="1" si="23"/>
        <v>6.3935509699431209E-2</v>
      </c>
      <c r="AM559" s="2" cm="1">
        <f t="array" aca="1" ref="AM559" ca="1">MMULT(_xlfn.ANCHORARRAY(AE560),TRANSPOSE($Q$3:$U$3))</f>
        <v>1.7804270609441306E-3</v>
      </c>
    </row>
    <row r="560" spans="1:39" x14ac:dyDescent="0.35">
      <c r="A560" s="3">
        <v>44641</v>
      </c>
      <c r="B560" s="4">
        <v>38.6678466796875</v>
      </c>
      <c r="C560" s="4">
        <v>140.197265625</v>
      </c>
      <c r="D560" s="4">
        <v>47.753932952880803</v>
      </c>
      <c r="E560" s="4">
        <v>25.687608718871999</v>
      </c>
      <c r="F560" s="4">
        <v>289.40002441406199</v>
      </c>
      <c r="I560" s="5">
        <f>B560/B559-1</f>
        <v>-1.3984203514627591E-3</v>
      </c>
      <c r="J560" s="5">
        <f>C560/C559-1</f>
        <v>1.7992989030833906E-2</v>
      </c>
      <c r="K560" s="5">
        <f>D560/D559-1</f>
        <v>9.4541117709503464E-3</v>
      </c>
      <c r="L560" s="5">
        <f>E560/E559-1</f>
        <v>5.9046018318878568E-2</v>
      </c>
      <c r="M560" s="5">
        <f>F560/F559-1</f>
        <v>-4.2278309787459056E-3</v>
      </c>
      <c r="N560" s="5">
        <f>SUMPRODUCT(I560:M560,$AJ$13:$AN$13)</f>
        <v>3.0914802507903634E-2</v>
      </c>
      <c r="P560" s="2" t="s">
        <v>551</v>
      </c>
      <c r="Q560" s="10" cm="1">
        <f t="array" aca="1" ref="Q560:U560" ca="1">_xlfn.LET(_xlpm.array,_xlfn.RANDARRAY(1,COLUMNS(_xlfn.ANCHORARRAY(Q559)),0,1,FALSE),_xlpm.array/SUM(_xlpm.array))</f>
        <v>0.42823854315189352</v>
      </c>
      <c r="R560" s="2">
        <f ca="1"/>
        <v>0.13839794792264856</v>
      </c>
      <c r="S560" s="2">
        <f ca="1"/>
        <v>0.29003879001950933</v>
      </c>
      <c r="T560" s="2">
        <f ca="1"/>
        <v>0.10379422324479362</v>
      </c>
      <c r="U560" s="2">
        <f ca="1"/>
        <v>3.9530495661154859E-2</v>
      </c>
      <c r="V560" s="12"/>
      <c r="X560" s="2" cm="1">
        <f t="array" aca="1" ref="X560" ca="1">MMULT(MMULT(_xlfn.ANCHORARRAY(Q560),$Q$9:$U$13),TRANSPOSE(_xlfn.ANCHORARRAY(Q560)))</f>
        <v>3.3608218420342359E-4</v>
      </c>
      <c r="Y560" s="2">
        <f t="shared" ca="1" si="22"/>
        <v>1.8332544400694182E-2</v>
      </c>
      <c r="Z560" s="2" cm="1">
        <f t="array" aca="1" ref="Z560" ca="1">MMULT(_xlfn.ANCHORARRAY(Q560),TRANSPOSE($Q$3:$U$3))</f>
        <v>9.2601044429728387E-4</v>
      </c>
      <c r="AA560" s="11">
        <f ca="1">AVEDEV(Q560*$Q$3,R560*$R$3,S560*$S$3,T560*$T$3,U560*$U$3)</f>
        <v>1.2730786959951995E-4</v>
      </c>
      <c r="AB560" s="11" cm="1">
        <f t="array" aca="1" ref="AB560" ca="1">MMULT(_xlfn.ANCHORARRAY(Q560),TRANSPOSE($Q$6:$U$6))</f>
        <v>-2.3386716891471267E-2</v>
      </c>
      <c r="AD560" s="2" t="s">
        <v>551</v>
      </c>
      <c r="AE560" s="10" cm="1">
        <f t="array" aca="1" ref="AE560:AI560" ca="1">_xlfn.LET(_xlpm.array,_xlfn.RANDARRAY(1,COLUMNS(_xlfn.ANCHORARRAY(Q559)),-1,1,FALSE),_xlpm.array/SUM(_xlpm.array))</f>
        <v>-0.26850957372991746</v>
      </c>
      <c r="AF560" s="10">
        <f ca="1"/>
        <v>-0.66751800317820509</v>
      </c>
      <c r="AG560" s="10">
        <f ca="1"/>
        <v>1.0287740588160996</v>
      </c>
      <c r="AH560" s="10">
        <f ca="1"/>
        <v>0.15460765097793169</v>
      </c>
      <c r="AI560" s="10">
        <f ca="1"/>
        <v>0.75264586711409132</v>
      </c>
      <c r="AJ560" s="1"/>
      <c r="AK560" s="2" cm="1">
        <f t="array" aca="1" ref="AK560" ca="1">MMULT(MMULT(_xlfn.ANCHORARRAY(AE560),$Q$9:$U$13),TRANSPOSE(_xlfn.ANCHORARRAY(AE560)))</f>
        <v>1.1987547532363787E-3</v>
      </c>
      <c r="AL560" s="2">
        <f t="shared" ca="1" si="23"/>
        <v>3.4623037897278434E-2</v>
      </c>
      <c r="AM560" s="2" cm="1">
        <f t="array" aca="1" ref="AM560" ca="1">MMULT(_xlfn.ANCHORARRAY(AE561),TRANSPOSE($Q$3:$U$3))</f>
        <v>1.9794946342667832E-3</v>
      </c>
    </row>
    <row r="561" spans="1:39" x14ac:dyDescent="0.35">
      <c r="A561" s="3">
        <v>44642</v>
      </c>
      <c r="B561" s="4">
        <v>39.877330780029297</v>
      </c>
      <c r="C561" s="4">
        <v>139.72894287109301</v>
      </c>
      <c r="D561" s="4">
        <v>48.365455627441399</v>
      </c>
      <c r="E561" s="4">
        <v>25.461843490600501</v>
      </c>
      <c r="F561" s="4">
        <v>294.14025878906199</v>
      </c>
      <c r="I561" s="5">
        <f>B561/B560-1</f>
        <v>3.1278806662310199E-2</v>
      </c>
      <c r="J561" s="5">
        <f>C561/C560-1</f>
        <v>-3.340455691622779E-3</v>
      </c>
      <c r="K561" s="5">
        <f>D561/D560-1</f>
        <v>1.2805702834235433E-2</v>
      </c>
      <c r="L561" s="5">
        <f>E561/E560-1</f>
        <v>-8.7888767982375882E-3</v>
      </c>
      <c r="M561" s="5">
        <f>F561/F560-1</f>
        <v>1.637952306533963E-2</v>
      </c>
      <c r="N561" s="5">
        <f>SUMPRODUCT(I561:M561,$AJ$13:$AN$13)</f>
        <v>-9.0437627836334293E-4</v>
      </c>
      <c r="P561" s="2" t="s">
        <v>552</v>
      </c>
      <c r="Q561" s="10" cm="1">
        <f t="array" aca="1" ref="Q561:U561" ca="1">_xlfn.LET(_xlpm.array,_xlfn.RANDARRAY(1,COLUMNS(_xlfn.ANCHORARRAY(Q560)),0,1,FALSE),_xlpm.array/SUM(_xlpm.array))</f>
        <v>1.9287538552172405E-2</v>
      </c>
      <c r="R561" s="2">
        <f ca="1"/>
        <v>0.25033731178739282</v>
      </c>
      <c r="S561" s="2">
        <f ca="1"/>
        <v>0.37822949967175717</v>
      </c>
      <c r="T561" s="2">
        <f ca="1"/>
        <v>9.6642247894671657E-2</v>
      </c>
      <c r="U561" s="2">
        <f ca="1"/>
        <v>0.25550340209400602</v>
      </c>
      <c r="V561" s="12"/>
      <c r="X561" s="2" cm="1">
        <f t="array" aca="1" ref="X561" ca="1">MMULT(MMULT(_xlfn.ANCHORARRAY(Q561),$Q$9:$U$13),TRANSPOSE(_xlfn.ANCHORARRAY(Q561)))</f>
        <v>3.2443737938331319E-4</v>
      </c>
      <c r="Y561" s="2">
        <f t="shared" ca="1" si="22"/>
        <v>1.8012145329841005E-2</v>
      </c>
      <c r="Z561" s="2" cm="1">
        <f t="array" aca="1" ref="Z561" ca="1">MMULT(_xlfn.ANCHORARRAY(Q561),TRANSPOSE($Q$3:$U$3))</f>
        <v>1.101008027753421E-3</v>
      </c>
      <c r="AA561" s="11">
        <f ca="1">AVEDEV(Q561*$Q$3,R561*$R$3,S561*$S$3,T561*$T$3,U561*$U$3)</f>
        <v>1.5761735774111422E-4</v>
      </c>
      <c r="AB561" s="11" cm="1">
        <f t="array" aca="1" ref="AB561" ca="1">MMULT(_xlfn.ANCHORARRAY(Q561),TRANSPOSE($Q$6:$U$6))</f>
        <v>-2.3417566790737868E-2</v>
      </c>
      <c r="AD561" s="2" t="s">
        <v>552</v>
      </c>
      <c r="AE561" s="10" cm="1">
        <f t="array" aca="1" ref="AE561:AI561" ca="1">_xlfn.LET(_xlpm.array,_xlfn.RANDARRAY(1,COLUMNS(_xlfn.ANCHORARRAY(Q560)),-1,1,FALSE),_xlpm.array/SUM(_xlpm.array))</f>
        <v>-1.0335909349835286</v>
      </c>
      <c r="AF561" s="10">
        <f ca="1"/>
        <v>0.44738337698178898</v>
      </c>
      <c r="AG561" s="10">
        <f ca="1"/>
        <v>1.2599881736733951</v>
      </c>
      <c r="AH561" s="10">
        <f ca="1"/>
        <v>-0.45806923886753925</v>
      </c>
      <c r="AI561" s="10">
        <f ca="1"/>
        <v>0.78428862319588388</v>
      </c>
      <c r="AJ561" s="1"/>
      <c r="AK561" s="2" cm="1">
        <f t="array" aca="1" ref="AK561" ca="1">MMULT(MMULT(_xlfn.ANCHORARRAY(AE561),$Q$9:$U$13),TRANSPOSE(_xlfn.ANCHORARRAY(AE561)))</f>
        <v>1.7040267129890489E-3</v>
      </c>
      <c r="AL561" s="2">
        <f t="shared" ca="1" si="23"/>
        <v>4.1279858441969602E-2</v>
      </c>
      <c r="AM561" s="2" cm="1">
        <f t="array" aca="1" ref="AM561" ca="1">MMULT(_xlfn.ANCHORARRAY(AE562),TRANSPOSE($Q$3:$U$3))</f>
        <v>4.470951408786204E-4</v>
      </c>
    </row>
    <row r="562" spans="1:39" x14ac:dyDescent="0.35">
      <c r="A562" s="3">
        <v>44643</v>
      </c>
      <c r="B562" s="4">
        <v>38.893486022949197</v>
      </c>
      <c r="C562" s="4">
        <v>141.23616027832</v>
      </c>
      <c r="D562" s="4">
        <v>48.009490966796797</v>
      </c>
      <c r="E562" s="4">
        <v>26.026256561279201</v>
      </c>
      <c r="F562" s="4">
        <v>289.71932983398398</v>
      </c>
      <c r="I562" s="5">
        <f>B562/B561-1</f>
        <v>-2.4671780629129114E-2</v>
      </c>
      <c r="J562" s="5">
        <f>C562/C561-1</f>
        <v>1.0786723038600954E-2</v>
      </c>
      <c r="K562" s="5">
        <f>D562/D561-1</f>
        <v>-7.3598947022559535E-3</v>
      </c>
      <c r="L562" s="5">
        <f>E562/E561-1</f>
        <v>2.216701516082531E-2</v>
      </c>
      <c r="M562" s="5">
        <f>F562/F561-1</f>
        <v>-1.5030002942400422E-2</v>
      </c>
      <c r="N562" s="5">
        <f>SUMPRODUCT(I562:M562,$AJ$13:$AN$13)</f>
        <v>8.2868904902167022E-3</v>
      </c>
      <c r="P562" s="2" t="s">
        <v>553</v>
      </c>
      <c r="Q562" s="10" cm="1">
        <f t="array" aca="1" ref="Q562:U562" ca="1">_xlfn.LET(_xlpm.array,_xlfn.RANDARRAY(1,COLUMNS(_xlfn.ANCHORARRAY(Q561)),0,1,FALSE),_xlpm.array/SUM(_xlpm.array))</f>
        <v>4.9483638765265993E-2</v>
      </c>
      <c r="R562" s="2">
        <f ca="1"/>
        <v>0.28269240866111439</v>
      </c>
      <c r="S562" s="2">
        <f ca="1"/>
        <v>0.28320210613140329</v>
      </c>
      <c r="T562" s="2">
        <f ca="1"/>
        <v>0.15940944969058435</v>
      </c>
      <c r="U562" s="2">
        <f ca="1"/>
        <v>0.22521239675163196</v>
      </c>
      <c r="V562" s="12"/>
      <c r="X562" s="2" cm="1">
        <f t="array" aca="1" ref="X562" ca="1">MMULT(MMULT(_xlfn.ANCHORARRAY(Q562),$Q$9:$U$13),TRANSPOSE(_xlfn.ANCHORARRAY(Q562)))</f>
        <v>2.9584421071346168E-4</v>
      </c>
      <c r="Y562" s="2">
        <f t="shared" ca="1" si="22"/>
        <v>1.7200122404025551E-2</v>
      </c>
      <c r="Z562" s="2" cm="1">
        <f t="array" aca="1" ref="Z562" ca="1">MMULT(_xlfn.ANCHORARRAY(Q562),TRANSPOSE($Q$3:$U$3))</f>
        <v>1.0266133342433331E-3</v>
      </c>
      <c r="AA562" s="11">
        <f ca="1">AVEDEV(Q562*$Q$3,R562*$R$3,S562*$S$3,T562*$T$3,U562*$U$3)</f>
        <v>1.0228325654052897E-4</v>
      </c>
      <c r="AB562" s="11" cm="1">
        <f t="array" aca="1" ref="AB562" ca="1">MMULT(_xlfn.ANCHORARRAY(Q562),TRANSPOSE($Q$6:$U$6))</f>
        <v>-2.3126149641045219E-2</v>
      </c>
      <c r="AD562" s="2" t="s">
        <v>553</v>
      </c>
      <c r="AE562" s="10" cm="1">
        <f t="array" aca="1" ref="AE562:AI562" ca="1">_xlfn.LET(_xlpm.array,_xlfn.RANDARRAY(1,COLUMNS(_xlfn.ANCHORARRAY(Q561)),-1,1,FALSE),_xlpm.array/SUM(_xlpm.array))</f>
        <v>0.4601225460132895</v>
      </c>
      <c r="AF562" s="10">
        <f ca="1"/>
        <v>0.25223945423692756</v>
      </c>
      <c r="AG562" s="10">
        <f ca="1"/>
        <v>-0.30917770109917825</v>
      </c>
      <c r="AH562" s="10">
        <f ca="1"/>
        <v>0.29082248120831483</v>
      </c>
      <c r="AI562" s="10">
        <f ca="1"/>
        <v>0.30599321964064624</v>
      </c>
      <c r="AJ562" s="1"/>
      <c r="AK562" s="2" cm="1">
        <f t="array" aca="1" ref="AK562" ca="1">MMULT(MMULT(_xlfn.ANCHORARRAY(AE562),$Q$9:$U$13),TRANSPOSE(_xlfn.ANCHORARRAY(AE562)))</f>
        <v>3.7552977962927855E-4</v>
      </c>
      <c r="AL562" s="2">
        <f t="shared" ca="1" si="23"/>
        <v>1.9378590754471247E-2</v>
      </c>
      <c r="AM562" s="2" cm="1">
        <f t="array" aca="1" ref="AM562" ca="1">MMULT(_xlfn.ANCHORARRAY(AE563),TRANSPOSE($Q$3:$U$3))</f>
        <v>6.5810102664144818E-4</v>
      </c>
    </row>
    <row r="563" spans="1:39" x14ac:dyDescent="0.35">
      <c r="A563" s="3">
        <v>44644</v>
      </c>
      <c r="B563" s="4">
        <v>38.875438690185497</v>
      </c>
      <c r="C563" s="4">
        <v>141.61082458496</v>
      </c>
      <c r="D563" s="4">
        <v>48.840068817138601</v>
      </c>
      <c r="E563" s="4">
        <v>25.955701828002901</v>
      </c>
      <c r="F563" s="4">
        <v>294.17892456054602</v>
      </c>
      <c r="I563" s="5">
        <f>B563/B562-1</f>
        <v>-4.6401941839446792E-4</v>
      </c>
      <c r="J563" s="5">
        <f>C563/C562-1</f>
        <v>2.6527505838567222E-3</v>
      </c>
      <c r="K563" s="5">
        <f>D563/D562-1</f>
        <v>1.7300284456592818E-2</v>
      </c>
      <c r="L563" s="5">
        <f>E563/E562-1</f>
        <v>-2.7109059310999051E-3</v>
      </c>
      <c r="M563" s="5">
        <f>F563/F562-1</f>
        <v>1.5392810445604477E-2</v>
      </c>
      <c r="N563" s="5">
        <f>SUMPRODUCT(I563:M563,$AJ$13:$AN$13)</f>
        <v>1.2930293967782331E-2</v>
      </c>
      <c r="P563" s="2" t="s">
        <v>554</v>
      </c>
      <c r="Q563" s="10" cm="1">
        <f t="array" aca="1" ref="Q563:U563" ca="1">_xlfn.LET(_xlpm.array,_xlfn.RANDARRAY(1,COLUMNS(_xlfn.ANCHORARRAY(Q562)),0,1,FALSE),_xlpm.array/SUM(_xlpm.array))</f>
        <v>0.16603122477129081</v>
      </c>
      <c r="R563" s="2">
        <f ca="1"/>
        <v>0.26500288211188466</v>
      </c>
      <c r="S563" s="2">
        <f ca="1"/>
        <v>0.1720620134983859</v>
      </c>
      <c r="T563" s="2">
        <f ca="1"/>
        <v>0.234976647233755</v>
      </c>
      <c r="U563" s="2">
        <f ca="1"/>
        <v>0.16192723238468357</v>
      </c>
      <c r="V563" s="12"/>
      <c r="X563" s="2" cm="1">
        <f t="array" aca="1" ref="X563" ca="1">MMULT(MMULT(_xlfn.ANCHORARRAY(Q563),$Q$9:$U$13),TRANSPOSE(_xlfn.ANCHORARRAY(Q563)))</f>
        <v>2.8653038039090168E-4</v>
      </c>
      <c r="Y563" s="2">
        <f t="shared" ca="1" si="22"/>
        <v>1.6927208286982874E-2</v>
      </c>
      <c r="Z563" s="2" cm="1">
        <f t="array" aca="1" ref="Z563" ca="1">MMULT(_xlfn.ANCHORARRAY(Q563),TRANSPOSE($Q$3:$U$3))</f>
        <v>9.2123587169907052E-4</v>
      </c>
      <c r="AA563" s="11">
        <f ca="1">AVEDEV(Q563*$Q$3,R563*$R$3,S563*$S$3,T563*$T$3,U563*$U$3)</f>
        <v>6.4103575941210298E-5</v>
      </c>
      <c r="AB563" s="11" cm="1">
        <f t="array" aca="1" ref="AB563" ca="1">MMULT(_xlfn.ANCHORARRAY(Q563),TRANSPOSE($Q$6:$U$6))</f>
        <v>-2.289026976327108E-2</v>
      </c>
      <c r="AD563" s="2" t="s">
        <v>554</v>
      </c>
      <c r="AE563" s="10" cm="1">
        <f t="array" aca="1" ref="AE563:AI563" ca="1">_xlfn.LET(_xlpm.array,_xlfn.RANDARRAY(1,COLUMNS(_xlfn.ANCHORARRAY(Q562)),-1,1,FALSE),_xlpm.array/SUM(_xlpm.array))</f>
        <v>1.1121635509657533</v>
      </c>
      <c r="AF563" s="10">
        <f ca="1"/>
        <v>0.31283413490790618</v>
      </c>
      <c r="AG563" s="10">
        <f ca="1"/>
        <v>5.0478901280122668E-3</v>
      </c>
      <c r="AH563" s="10">
        <f ca="1"/>
        <v>0.72100876968946404</v>
      </c>
      <c r="AI563" s="10">
        <f ca="1"/>
        <v>-1.1510543456911357</v>
      </c>
      <c r="AJ563" s="1"/>
      <c r="AK563" s="2" cm="1">
        <f t="array" aca="1" ref="AK563" ca="1">MMULT(MMULT(_xlfn.ANCHORARRAY(AE563),$Q$9:$U$13),TRANSPOSE(_xlfn.ANCHORARRAY(AE563)))</f>
        <v>1.4321844213733806E-3</v>
      </c>
      <c r="AL563" s="2">
        <f t="shared" ca="1" si="23"/>
        <v>3.7844212521512197E-2</v>
      </c>
      <c r="AM563" s="2" cm="1">
        <f t="array" aca="1" ref="AM563" ca="1">MMULT(_xlfn.ANCHORARRAY(AE564),TRANSPOSE($Q$3:$U$3))</f>
        <v>5.2275121244888651E-4</v>
      </c>
    </row>
    <row r="564" spans="1:39" x14ac:dyDescent="0.35">
      <c r="A564" s="3">
        <v>44645</v>
      </c>
      <c r="B564" s="4">
        <v>39.471153259277301</v>
      </c>
      <c r="C564" s="4">
        <v>144.17396545410099</v>
      </c>
      <c r="D564" s="4">
        <v>50.008369445800703</v>
      </c>
      <c r="E564" s="4">
        <v>26.604770660400298</v>
      </c>
      <c r="F564" s="4">
        <v>293.77261352539</v>
      </c>
      <c r="I564" s="5">
        <f>B564/B563-1</f>
        <v>1.5323674514371444E-2</v>
      </c>
      <c r="J564" s="5">
        <f>C564/C563-1</f>
        <v>1.809989368152598E-2</v>
      </c>
      <c r="K564" s="5">
        <f>D564/D563-1</f>
        <v>2.3920945587450282E-2</v>
      </c>
      <c r="L564" s="5">
        <f>E564/E563-1</f>
        <v>2.5006791829344177E-2</v>
      </c>
      <c r="M564" s="5">
        <f>F564/F563-1</f>
        <v>-1.3811697617801544E-3</v>
      </c>
      <c r="N564" s="5">
        <f>SUMPRODUCT(I564:M564,$AJ$13:$AN$13)</f>
        <v>1.8653398033476234E-2</v>
      </c>
      <c r="P564" s="2" t="s">
        <v>555</v>
      </c>
      <c r="Q564" s="10" cm="1">
        <f t="array" aca="1" ref="Q564:U564" ca="1">_xlfn.LET(_xlpm.array,_xlfn.RANDARRAY(1,COLUMNS(_xlfn.ANCHORARRAY(Q563)),0,1,FALSE),_xlpm.array/SUM(_xlpm.array))</f>
        <v>0.19133524843496807</v>
      </c>
      <c r="R564" s="2">
        <f ca="1"/>
        <v>5.2400544919089978E-2</v>
      </c>
      <c r="S564" s="2">
        <f ca="1"/>
        <v>0.24296717134941898</v>
      </c>
      <c r="T564" s="2">
        <f ca="1"/>
        <v>0.16978311392260409</v>
      </c>
      <c r="U564" s="2">
        <f ca="1"/>
        <v>0.3435139213739189</v>
      </c>
      <c r="V564" s="12"/>
      <c r="X564" s="2" cm="1">
        <f t="array" aca="1" ref="X564" ca="1">MMULT(MMULT(_xlfn.ANCHORARRAY(Q564),$Q$9:$U$13),TRANSPOSE(_xlfn.ANCHORARRAY(Q564)))</f>
        <v>2.740174322921624E-4</v>
      </c>
      <c r="Y564" s="2">
        <f t="shared" ca="1" si="22"/>
        <v>1.6553471910513588E-2</v>
      </c>
      <c r="Z564" s="2" cm="1">
        <f t="array" aca="1" ref="Z564" ca="1">MMULT(_xlfn.ANCHORARRAY(Q564),TRANSPOSE($Q$3:$U$3))</f>
        <v>9.6628049152162041E-4</v>
      </c>
      <c r="AA564" s="11">
        <f ca="1">AVEDEV(Q564*$Q$3,R564*$R$3,S564*$S$3,T564*$T$3,U564*$U$3)</f>
        <v>1.083218447150524E-4</v>
      </c>
      <c r="AB564" s="11" cm="1">
        <f t="array" aca="1" ref="AB564" ca="1">MMULT(_xlfn.ANCHORARRAY(Q564),TRANSPOSE($Q$6:$U$6))</f>
        <v>-2.2997565245738861E-2</v>
      </c>
      <c r="AD564" s="2" t="s">
        <v>555</v>
      </c>
      <c r="AE564" s="10" cm="1">
        <f t="array" aca="1" ref="AE564:AI564" ca="1">_xlfn.LET(_xlpm.array,_xlfn.RANDARRAY(1,COLUMNS(_xlfn.ANCHORARRAY(Q563)),-1,1,FALSE),_xlpm.array/SUM(_xlpm.array))</f>
        <v>0.50793133606631435</v>
      </c>
      <c r="AF564" s="10">
        <f ca="1"/>
        <v>0.43092091619374673</v>
      </c>
      <c r="AG564" s="10">
        <f ca="1"/>
        <v>7.4678291477640837E-2</v>
      </c>
      <c r="AH564" s="10">
        <f ca="1"/>
        <v>-0.62706380745744283</v>
      </c>
      <c r="AI564" s="10">
        <f ca="1"/>
        <v>0.61353326371974093</v>
      </c>
      <c r="AJ564" s="1"/>
      <c r="AK564" s="2" cm="1">
        <f t="array" aca="1" ref="AK564" ca="1">MMULT(MMULT(_xlfn.ANCHORARRAY(AE564),$Q$9:$U$13),TRANSPOSE(_xlfn.ANCHORARRAY(AE564)))</f>
        <v>4.6467323480579512E-4</v>
      </c>
      <c r="AL564" s="2">
        <f t="shared" ca="1" si="23"/>
        <v>2.1556280634789367E-2</v>
      </c>
      <c r="AM564" s="2" cm="1">
        <f t="array" aca="1" ref="AM564" ca="1">MMULT(_xlfn.ANCHORARRAY(AE565),TRANSPOSE($Q$3:$U$3))</f>
        <v>-1.4298648101170753E-3</v>
      </c>
    </row>
    <row r="565" spans="1:39" x14ac:dyDescent="0.35">
      <c r="A565" s="3">
        <v>44648</v>
      </c>
      <c r="B565" s="4">
        <v>39.308692932128899</v>
      </c>
      <c r="C565" s="4">
        <v>141.65338134765599</v>
      </c>
      <c r="D565" s="4">
        <v>49.561126708984297</v>
      </c>
      <c r="E565" s="4">
        <v>25.8851509094238</v>
      </c>
      <c r="F565" s="4">
        <v>300.56359863281199</v>
      </c>
      <c r="I565" s="5">
        <f>B565/B564-1</f>
        <v>-4.1159255236662418E-3</v>
      </c>
      <c r="J565" s="5">
        <f>C565/C564-1</f>
        <v>-1.7482935275491496E-2</v>
      </c>
      <c r="K565" s="5">
        <f>D565/D564-1</f>
        <v>-8.9433577173743117E-3</v>
      </c>
      <c r="L565" s="5">
        <f>E565/E564-1</f>
        <v>-2.7048522994697843E-2</v>
      </c>
      <c r="M565" s="5">
        <f>F565/F564-1</f>
        <v>2.3116467617343206E-2</v>
      </c>
      <c r="N565" s="5">
        <f>SUMPRODUCT(I565:M565,$AJ$13:$AN$13)</f>
        <v>-7.8100450372280009E-3</v>
      </c>
      <c r="P565" s="2" t="s">
        <v>556</v>
      </c>
      <c r="Q565" s="10" cm="1">
        <f t="array" aca="1" ref="Q565:U565" ca="1">_xlfn.LET(_xlpm.array,_xlfn.RANDARRAY(1,COLUMNS(_xlfn.ANCHORARRAY(Q564)),0,1,FALSE),_xlpm.array/SUM(_xlpm.array))</f>
        <v>0.41389492004314909</v>
      </c>
      <c r="R565" s="2">
        <f ca="1"/>
        <v>7.9337490227388674E-2</v>
      </c>
      <c r="S565" s="2">
        <f ca="1"/>
        <v>9.9281668166251433E-2</v>
      </c>
      <c r="T565" s="2">
        <f ca="1"/>
        <v>2.2055773899011189E-2</v>
      </c>
      <c r="U565" s="2">
        <f ca="1"/>
        <v>0.38543014766419964</v>
      </c>
      <c r="V565" s="12"/>
      <c r="X565" s="2" cm="1">
        <f t="array" aca="1" ref="X565" ca="1">MMULT(MMULT(_xlfn.ANCHORARRAY(Q565),$Q$9:$U$13),TRANSPOSE(_xlfn.ANCHORARRAY(Q565)))</f>
        <v>2.6942016820314193E-4</v>
      </c>
      <c r="Y565" s="2">
        <f t="shared" ca="1" si="22"/>
        <v>1.6414023522681509E-2</v>
      </c>
      <c r="Z565" s="2" cm="1">
        <f t="array" aca="1" ref="Z565" ca="1">MMULT(_xlfn.ANCHORARRAY(Q565),TRANSPOSE($Q$3:$U$3))</f>
        <v>7.4685965549833985E-4</v>
      </c>
      <c r="AA565" s="11">
        <f ca="1">AVEDEV(Q565*$Q$3,R565*$R$3,S565*$S$3,T565*$T$3,U565*$U$3)</f>
        <v>8.7310388961693138E-5</v>
      </c>
      <c r="AB565" s="11" cm="1">
        <f t="array" aca="1" ref="AB565" ca="1">MMULT(_xlfn.ANCHORARRAY(Q565),TRANSPOSE($Q$6:$U$6))</f>
        <v>-2.1586877787107276E-2</v>
      </c>
      <c r="AD565" s="2" t="s">
        <v>556</v>
      </c>
      <c r="AE565" s="10" cm="1">
        <f t="array" aca="1" ref="AE565:AI565" ca="1">_xlfn.LET(_xlpm.array,_xlfn.RANDARRAY(1,COLUMNS(_xlfn.ANCHORARRAY(Q564)),-1,1,FALSE),_xlpm.array/SUM(_xlpm.array))</f>
        <v>1.7246511416101309</v>
      </c>
      <c r="AF565" s="10">
        <f ca="1"/>
        <v>-7.6591587887596499E-2</v>
      </c>
      <c r="AG565" s="10">
        <f ca="1"/>
        <v>-2.018309924804838</v>
      </c>
      <c r="AH565" s="10">
        <f ca="1"/>
        <v>-8.0955732417785337E-2</v>
      </c>
      <c r="AI565" s="10">
        <f ca="1"/>
        <v>1.4512061035000889</v>
      </c>
      <c r="AJ565" s="1"/>
      <c r="AK565" s="2" cm="1">
        <f t="array" aca="1" ref="AK565" ca="1">MMULT(MMULT(_xlfn.ANCHORARRAY(AE565),$Q$9:$U$13),TRANSPOSE(_xlfn.ANCHORARRAY(AE565)))</f>
        <v>3.375542642892527E-3</v>
      </c>
      <c r="AL565" s="2">
        <f t="shared" ca="1" si="23"/>
        <v>5.8099420331811633E-2</v>
      </c>
      <c r="AM565" s="2" cm="1">
        <f t="array" aca="1" ref="AM565" ca="1">MMULT(_xlfn.ANCHORARRAY(AE566),TRANSPOSE($Q$3:$U$3))</f>
        <v>-1.6884158873025404E-3</v>
      </c>
    </row>
    <row r="566" spans="1:39" x14ac:dyDescent="0.35">
      <c r="A566" s="3">
        <v>44649</v>
      </c>
      <c r="B566" s="4">
        <v>39.2094116210937</v>
      </c>
      <c r="C566" s="4">
        <v>139.92478942871</v>
      </c>
      <c r="D566" s="4">
        <v>50.227420806884702</v>
      </c>
      <c r="E566" s="4">
        <v>25.4547939300537</v>
      </c>
      <c r="F566" s="4">
        <v>305.11999511718699</v>
      </c>
      <c r="I566" s="5">
        <f>B566/B565-1</f>
        <v>-2.5256833445624904E-3</v>
      </c>
      <c r="J566" s="5">
        <f>C566/C565-1</f>
        <v>-1.2202969689114274E-2</v>
      </c>
      <c r="K566" s="5">
        <f>D566/D565-1</f>
        <v>1.3443885200850714E-2</v>
      </c>
      <c r="L566" s="5">
        <f>E566/E565-1</f>
        <v>-1.6625631462454549E-2</v>
      </c>
      <c r="M566" s="5">
        <f>F566/F565-1</f>
        <v>1.5159508686683587E-2</v>
      </c>
      <c r="N566" s="5">
        <f>SUMPRODUCT(I566:M566,$AJ$13:$AN$13)</f>
        <v>5.4256529022493625E-3</v>
      </c>
      <c r="P566" s="2" t="s">
        <v>557</v>
      </c>
      <c r="Q566" s="10" cm="1">
        <f t="array" aca="1" ref="Q566:U566" ca="1">_xlfn.LET(_xlpm.array,_xlfn.RANDARRAY(1,COLUMNS(_xlfn.ANCHORARRAY(Q565)),0,1,FALSE),_xlpm.array/SUM(_xlpm.array))</f>
        <v>0.27012841617900674</v>
      </c>
      <c r="R566" s="2">
        <f ca="1"/>
        <v>0.28013085294370754</v>
      </c>
      <c r="S566" s="2">
        <f ca="1"/>
        <v>4.3143655084179354E-2</v>
      </c>
      <c r="T566" s="2">
        <f ca="1"/>
        <v>0.20284508733802983</v>
      </c>
      <c r="U566" s="2">
        <f ca="1"/>
        <v>0.20375198845507653</v>
      </c>
      <c r="V566" s="12"/>
      <c r="X566" s="2" cm="1">
        <f t="array" aca="1" ref="X566" ca="1">MMULT(MMULT(_xlfn.ANCHORARRAY(Q566),$Q$9:$U$13),TRANSPOSE(_xlfn.ANCHORARRAY(Q566)))</f>
        <v>2.7603765728815769E-4</v>
      </c>
      <c r="Y566" s="2">
        <f t="shared" ca="1" si="22"/>
        <v>1.6614381038370273E-2</v>
      </c>
      <c r="Z566" s="2" cm="1">
        <f t="array" aca="1" ref="Z566" ca="1">MMULT(_xlfn.ANCHORARRAY(Q566),TRANSPOSE($Q$3:$U$3))</f>
        <v>7.7499007233534597E-4</v>
      </c>
      <c r="AA566" s="11">
        <f ca="1">AVEDEV(Q566*$Q$3,R566*$R$3,S566*$S$3,T566*$T$3,U566*$U$3)</f>
        <v>4.1055578370740372E-5</v>
      </c>
      <c r="AB566" s="11" cm="1">
        <f t="array" aca="1" ref="AB566" ca="1">MMULT(_xlfn.ANCHORARRAY(Q566),TRANSPOSE($Q$6:$U$6))</f>
        <v>-2.1984396100697093E-2</v>
      </c>
      <c r="AD566" s="2" t="s">
        <v>557</v>
      </c>
      <c r="AE566" s="10" cm="1">
        <f t="array" aca="1" ref="AE566:AI566" ca="1">_xlfn.LET(_xlpm.array,_xlfn.RANDARRAY(1,COLUMNS(_xlfn.ANCHORARRAY(Q565)),-1,1,FALSE),_xlpm.array/SUM(_xlpm.array))</f>
        <v>2.4614183459857091</v>
      </c>
      <c r="AF566" s="10">
        <f ca="1"/>
        <v>9.0041984835937117E-2</v>
      </c>
      <c r="AG566" s="10">
        <f ca="1"/>
        <v>-1.3054900030598808</v>
      </c>
      <c r="AH566" s="10">
        <f ca="1"/>
        <v>-2.7142763582605558</v>
      </c>
      <c r="AI566" s="10">
        <f ca="1"/>
        <v>2.4683060304987903</v>
      </c>
      <c r="AJ566" s="1"/>
      <c r="AK566" s="2" cm="1">
        <f t="array" aca="1" ref="AK566" ca="1">MMULT(MMULT(_xlfn.ANCHORARRAY(AE566),$Q$9:$U$13),TRANSPOSE(_xlfn.ANCHORARRAY(AE566)))</f>
        <v>6.4341027477171821E-3</v>
      </c>
      <c r="AL566" s="2">
        <f t="shared" ca="1" si="23"/>
        <v>8.021285899229115E-2</v>
      </c>
      <c r="AM566" s="2" cm="1">
        <f t="array" aca="1" ref="AM566" ca="1">MMULT(_xlfn.ANCHORARRAY(AE567),TRANSPOSE($Q$3:$U$3))</f>
        <v>9.8741190695651824E-5</v>
      </c>
    </row>
    <row r="567" spans="1:39" x14ac:dyDescent="0.35">
      <c r="A567" s="3">
        <v>44650</v>
      </c>
      <c r="B567" s="4">
        <v>38.812252044677699</v>
      </c>
      <c r="C567" s="4">
        <v>140.91256713867099</v>
      </c>
      <c r="D567" s="4">
        <v>49.579380035400298</v>
      </c>
      <c r="E567" s="4">
        <v>26.957523345947202</v>
      </c>
      <c r="F567" s="4">
        <v>303.62054443359301</v>
      </c>
      <c r="I567" s="5">
        <f>B567/B566-1</f>
        <v>-1.0129189906087244E-2</v>
      </c>
      <c r="J567" s="5">
        <f>C567/C566-1</f>
        <v>7.0593474822719937E-3</v>
      </c>
      <c r="K567" s="5">
        <f>D567/D566-1</f>
        <v>-1.2902131168072595E-2</v>
      </c>
      <c r="L567" s="5">
        <f>E567/E566-1</f>
        <v>5.9035222206975879E-2</v>
      </c>
      <c r="M567" s="5">
        <f>F567/F566-1</f>
        <v>-4.9142983337361335E-3</v>
      </c>
      <c r="N567" s="5">
        <f>SUMPRODUCT(I567:M567,$AJ$13:$AN$13)</f>
        <v>2.1923422709461852E-2</v>
      </c>
      <c r="P567" s="2" t="s">
        <v>558</v>
      </c>
      <c r="Q567" s="10" cm="1">
        <f t="array" aca="1" ref="Q567:U567" ca="1">_xlfn.LET(_xlpm.array,_xlfn.RANDARRAY(1,COLUMNS(_xlfn.ANCHORARRAY(Q566)),0,1,FALSE),_xlpm.array/SUM(_xlpm.array))</f>
        <v>7.3012439863901716E-3</v>
      </c>
      <c r="R567" s="2">
        <f ca="1"/>
        <v>0.22315866004516166</v>
      </c>
      <c r="S567" s="2">
        <f ca="1"/>
        <v>0.16088007756752573</v>
      </c>
      <c r="T567" s="2">
        <f ca="1"/>
        <v>0.33347676812978794</v>
      </c>
      <c r="U567" s="2">
        <f ca="1"/>
        <v>0.27518325027113438</v>
      </c>
      <c r="V567" s="12"/>
      <c r="X567" s="2" cm="1">
        <f t="array" aca="1" ref="X567" ca="1">MMULT(MMULT(_xlfn.ANCHORARRAY(Q567),$Q$9:$U$13),TRANSPOSE(_xlfn.ANCHORARRAY(Q567)))</f>
        <v>2.8270166196901661E-4</v>
      </c>
      <c r="Y567" s="2">
        <f t="shared" ca="1" si="22"/>
        <v>1.6813734325515455E-2</v>
      </c>
      <c r="Z567" s="2" cm="1">
        <f t="array" aca="1" ref="Z567" ca="1">MMULT(_xlfn.ANCHORARRAY(Q567),TRANSPOSE($Q$3:$U$3))</f>
        <v>9.7909990529966356E-4</v>
      </c>
      <c r="AA567" s="11">
        <f ca="1">AVEDEV(Q567*$Q$3,R567*$R$3,S567*$S$3,T567*$T$3,U567*$U$3)</f>
        <v>8.9987985809300826E-5</v>
      </c>
      <c r="AB567" s="11" cm="1">
        <f t="array" aca="1" ref="AB567" ca="1">MMULT(_xlfn.ANCHORARRAY(Q567),TRANSPOSE($Q$6:$U$6))</f>
        <v>-2.3053151795443701E-2</v>
      </c>
      <c r="AD567" s="2" t="s">
        <v>558</v>
      </c>
      <c r="AE567" s="10" cm="1">
        <f t="array" aca="1" ref="AE567:AI567" ca="1">_xlfn.LET(_xlpm.array,_xlfn.RANDARRAY(1,COLUMNS(_xlfn.ANCHORARRAY(Q566)),-1,1,FALSE),_xlpm.array/SUM(_xlpm.array))</f>
        <v>-0.20017029558179203</v>
      </c>
      <c r="AF567" s="10">
        <f ca="1"/>
        <v>1.2859413558909749</v>
      </c>
      <c r="AG567" s="10">
        <f ca="1"/>
        <v>3.9671350905469492E-2</v>
      </c>
      <c r="AH567" s="10">
        <f ca="1"/>
        <v>-2.7536987313986923</v>
      </c>
      <c r="AI567" s="10">
        <f ca="1"/>
        <v>2.6282563201840401</v>
      </c>
      <c r="AJ567" s="1"/>
      <c r="AK567" s="2" cm="1">
        <f t="array" aca="1" ref="AK567" ca="1">MMULT(MMULT(_xlfn.ANCHORARRAY(AE567),$Q$9:$U$13),TRANSPOSE(_xlfn.ANCHORARRAY(AE567)))</f>
        <v>4.3037945504316583E-3</v>
      </c>
      <c r="AL567" s="2">
        <f t="shared" ca="1" si="23"/>
        <v>6.5603312038582759E-2</v>
      </c>
      <c r="AM567" s="2" cm="1">
        <f t="array" aca="1" ref="AM567" ca="1">MMULT(_xlfn.ANCHORARRAY(AE568),TRANSPOSE($Q$3:$U$3))</f>
        <v>8.3236923309404831E-4</v>
      </c>
    </row>
    <row r="568" spans="1:39" x14ac:dyDescent="0.35">
      <c r="A568" s="3">
        <v>44651</v>
      </c>
      <c r="B568" s="4">
        <v>37.205612182617102</v>
      </c>
      <c r="C568" s="4">
        <v>138.65597534179599</v>
      </c>
      <c r="D568" s="4">
        <v>45.809818267822202</v>
      </c>
      <c r="E568" s="4">
        <v>26.463665008544901</v>
      </c>
      <c r="F568" s="4">
        <v>298.25161743164</v>
      </c>
      <c r="I568" s="5">
        <f>B568/B567-1</f>
        <v>-4.1395172334013353E-2</v>
      </c>
      <c r="J568" s="5">
        <f>C568/C567-1</f>
        <v>-1.601412736065122E-2</v>
      </c>
      <c r="K568" s="5">
        <f>D568/D567-1</f>
        <v>-7.6030837111851435E-2</v>
      </c>
      <c r="L568" s="5">
        <f>E568/E567-1</f>
        <v>-1.8319870526108506E-2</v>
      </c>
      <c r="M568" s="5">
        <f>F568/F567-1</f>
        <v>-1.7683016187092337E-2</v>
      </c>
      <c r="N568" s="5">
        <f>SUMPRODUCT(I568:M568,$AJ$13:$AN$13)</f>
        <v>-4.1557506839626238E-2</v>
      </c>
      <c r="P568" s="2" t="s">
        <v>559</v>
      </c>
      <c r="Q568" s="10" cm="1">
        <f t="array" aca="1" ref="Q568:U568" ca="1">_xlfn.LET(_xlpm.array,_xlfn.RANDARRAY(1,COLUMNS(_xlfn.ANCHORARRAY(Q567)),0,1,FALSE),_xlpm.array/SUM(_xlpm.array))</f>
        <v>0.15624995128684174</v>
      </c>
      <c r="R568" s="2">
        <f ca="1"/>
        <v>0.20017546692471783</v>
      </c>
      <c r="S568" s="2">
        <f ca="1"/>
        <v>0.16677548447951804</v>
      </c>
      <c r="T568" s="2">
        <f ca="1"/>
        <v>0.24452611874948471</v>
      </c>
      <c r="U568" s="2">
        <f ca="1"/>
        <v>0.23227297855943779</v>
      </c>
      <c r="V568" s="12"/>
      <c r="X568" s="2" cm="1">
        <f t="array" aca="1" ref="X568" ca="1">MMULT(MMULT(_xlfn.ANCHORARRAY(Q568),$Q$9:$U$13),TRANSPOSE(_xlfn.ANCHORARRAY(Q568)))</f>
        <v>2.7213805308531783E-4</v>
      </c>
      <c r="Y568" s="2">
        <f t="shared" ca="1" si="22"/>
        <v>1.649660732045586E-2</v>
      </c>
      <c r="Z568" s="2" cm="1">
        <f t="array" aca="1" ref="Z568" ca="1">MMULT(_xlfn.ANCHORARRAY(Q568),TRANSPOSE($Q$3:$U$3))</f>
        <v>9.2389985510185776E-4</v>
      </c>
      <c r="AA568" s="11">
        <f ca="1">AVEDEV(Q568*$Q$3,R568*$R$3,S568*$S$3,T568*$T$3,U568*$U$3)</f>
        <v>6.0438257837058568E-5</v>
      </c>
      <c r="AB568" s="11" cm="1">
        <f t="array" aca="1" ref="AB568" ca="1">MMULT(_xlfn.ANCHORARRAY(Q568),TRANSPOSE($Q$6:$U$6))</f>
        <v>-2.2856314713523718E-2</v>
      </c>
      <c r="AD568" s="2" t="s">
        <v>559</v>
      </c>
      <c r="AE568" s="10" cm="1">
        <f t="array" aca="1" ref="AE568:AI568" ca="1">_xlfn.LET(_xlpm.array,_xlfn.RANDARRAY(1,COLUMNS(_xlfn.ANCHORARRAY(Q567)),-1,1,FALSE),_xlpm.array/SUM(_xlpm.array))</f>
        <v>0.21360008852673112</v>
      </c>
      <c r="AF568" s="10">
        <f ca="1"/>
        <v>0.24298175111117251</v>
      </c>
      <c r="AG568" s="10">
        <f ca="1"/>
        <v>7.3223934609400729E-2</v>
      </c>
      <c r="AH568" s="10">
        <f ca="1"/>
        <v>0.2641633335172987</v>
      </c>
      <c r="AI568" s="10">
        <f ca="1"/>
        <v>0.20603089223539697</v>
      </c>
      <c r="AJ568" s="1"/>
      <c r="AK568" s="2" cm="1">
        <f t="array" aca="1" ref="AK568" ca="1">MMULT(MMULT(_xlfn.ANCHORARRAY(AE568),$Q$9:$U$13),TRANSPOSE(_xlfn.ANCHORARRAY(AE568)))</f>
        <v>2.7616629432587351E-4</v>
      </c>
      <c r="AL568" s="2">
        <f t="shared" ca="1" si="23"/>
        <v>1.6618251843255761E-2</v>
      </c>
      <c r="AM568" s="2" cm="1">
        <f t="array" aca="1" ref="AM568" ca="1">MMULT(_xlfn.ANCHORARRAY(AE569),TRANSPOSE($Q$3:$U$3))</f>
        <v>8.22803182010835E-4</v>
      </c>
    </row>
    <row r="569" spans="1:39" x14ac:dyDescent="0.35">
      <c r="A569" s="3">
        <v>44652</v>
      </c>
      <c r="B569" s="4">
        <v>36.916774749755803</v>
      </c>
      <c r="C569" s="4">
        <v>139.83963012695301</v>
      </c>
      <c r="D569" s="4">
        <v>44.541126251220703</v>
      </c>
      <c r="E569" s="4">
        <v>26.569494247436499</v>
      </c>
      <c r="F569" s="4">
        <v>299.32537841796801</v>
      </c>
      <c r="I569" s="5">
        <f>B569/B568-1</f>
        <v>-7.7632759123433814E-3</v>
      </c>
      <c r="J569" s="5">
        <f>C569/C568-1</f>
        <v>8.5366301902187747E-3</v>
      </c>
      <c r="K569" s="5">
        <f>D569/D568-1</f>
        <v>-2.7694762052628663E-2</v>
      </c>
      <c r="L569" s="5">
        <f>E569/E568-1</f>
        <v>3.999039394483983E-3</v>
      </c>
      <c r="M569" s="5">
        <f>F569/F568-1</f>
        <v>3.6001849564961663E-3</v>
      </c>
      <c r="N569" s="5">
        <f>SUMPRODUCT(I569:M569,$AJ$13:$AN$13)</f>
        <v>-9.3831315822558072E-3</v>
      </c>
      <c r="P569" s="2" t="s">
        <v>560</v>
      </c>
      <c r="Q569" s="10" cm="1">
        <f t="array" aca="1" ref="Q569:U569" ca="1">_xlfn.LET(_xlpm.array,_xlfn.RANDARRAY(1,COLUMNS(_xlfn.ANCHORARRAY(Q568)),0,1,FALSE),_xlpm.array/SUM(_xlpm.array))</f>
        <v>0.16336904417789</v>
      </c>
      <c r="R569" s="2">
        <f ca="1"/>
        <v>0.23681450695937334</v>
      </c>
      <c r="S569" s="2">
        <f ca="1"/>
        <v>0.11181000195790049</v>
      </c>
      <c r="T569" s="2">
        <f ca="1"/>
        <v>0.20456813132748189</v>
      </c>
      <c r="U569" s="2">
        <f ca="1"/>
        <v>0.28343831557735411</v>
      </c>
      <c r="V569" s="12"/>
      <c r="X569" s="2" cm="1">
        <f t="array" aca="1" ref="X569" ca="1">MMULT(MMULT(_xlfn.ANCHORARRAY(Q569),$Q$9:$U$13),TRANSPOSE(_xlfn.ANCHORARRAY(Q569)))</f>
        <v>2.5944489544486247E-4</v>
      </c>
      <c r="Y569" s="2">
        <f t="shared" ca="1" si="22"/>
        <v>1.6107293237687781E-2</v>
      </c>
      <c r="Z569" s="2" cm="1">
        <f t="array" aca="1" ref="Z569" ca="1">MMULT(_xlfn.ANCHORARRAY(Q569),TRANSPOSE($Q$3:$U$3))</f>
        <v>8.6332161805002339E-4</v>
      </c>
      <c r="AA569" s="11">
        <f ca="1">AVEDEV(Q569*$Q$3,R569*$R$3,S569*$S$3,T569*$T$3,U569*$U$3)</f>
        <v>3.585304799723017E-5</v>
      </c>
      <c r="AB569" s="11" cm="1">
        <f t="array" aca="1" ref="AB569" ca="1">MMULT(_xlfn.ANCHORARRAY(Q569),TRANSPOSE($Q$6:$U$6))</f>
        <v>-2.2296954958915066E-2</v>
      </c>
      <c r="AD569" s="2" t="s">
        <v>560</v>
      </c>
      <c r="AE569" s="10" cm="1">
        <f t="array" aca="1" ref="AE569:AI569" ca="1">_xlfn.LET(_xlpm.array,_xlfn.RANDARRAY(1,COLUMNS(_xlfn.ANCHORARRAY(Q568)),-1,1,FALSE),_xlpm.array/SUM(_xlpm.array))</f>
        <v>0.92151714550682562</v>
      </c>
      <c r="AF569" s="10">
        <f ca="1"/>
        <v>-0.15000356398524403</v>
      </c>
      <c r="AG569" s="10">
        <f ca="1"/>
        <v>0.13215681260944495</v>
      </c>
      <c r="AH569" s="10">
        <f ca="1"/>
        <v>0.68422228625503256</v>
      </c>
      <c r="AI569" s="10">
        <f ca="1"/>
        <v>-0.58789268038605913</v>
      </c>
      <c r="AJ569" s="1"/>
      <c r="AK569" s="2" cm="1">
        <f t="array" aca="1" ref="AK569" ca="1">MMULT(MMULT(_xlfn.ANCHORARRAY(AE569),$Q$9:$U$13),TRANSPOSE(_xlfn.ANCHORARRAY(AE569)))</f>
        <v>7.6328511568573881E-4</v>
      </c>
      <c r="AL569" s="2">
        <f t="shared" ca="1" si="23"/>
        <v>2.7627615092253959E-2</v>
      </c>
      <c r="AM569" s="2" cm="1">
        <f t="array" aca="1" ref="AM569" ca="1">MMULT(_xlfn.ANCHORARRAY(AE570),TRANSPOSE($Q$3:$U$3))</f>
        <v>5.6938136887499185E-4</v>
      </c>
    </row>
    <row r="570" spans="1:39" x14ac:dyDescent="0.35">
      <c r="A570" s="3">
        <v>44655</v>
      </c>
      <c r="B570" s="4">
        <v>36.853591918945298</v>
      </c>
      <c r="C570" s="4">
        <v>139.967361450195</v>
      </c>
      <c r="D570" s="4">
        <v>45.070510864257798</v>
      </c>
      <c r="E570" s="4">
        <v>26.5836067199707</v>
      </c>
      <c r="F570" s="4">
        <v>304.6943359375</v>
      </c>
      <c r="I570" s="5">
        <f>B570/B569-1</f>
        <v>-1.7114937921526296E-3</v>
      </c>
      <c r="J570" s="5">
        <f>C570/C569-1</f>
        <v>9.1341290824376031E-4</v>
      </c>
      <c r="K570" s="5">
        <f>D570/D569-1</f>
        <v>1.1885299218777234E-2</v>
      </c>
      <c r="L570" s="5">
        <f>E570/E569-1</f>
        <v>5.3115322417407462E-4</v>
      </c>
      <c r="M570" s="5">
        <f>F570/F569-1</f>
        <v>1.7936860375517449E-2</v>
      </c>
      <c r="N570" s="5">
        <f>SUMPRODUCT(I570:M570,$AJ$13:$AN$13)</f>
        <v>1.2893332104099972E-2</v>
      </c>
      <c r="P570" s="2" t="s">
        <v>561</v>
      </c>
      <c r="Q570" s="10" cm="1">
        <f t="array" aca="1" ref="Q570:U570" ca="1">_xlfn.LET(_xlpm.array,_xlfn.RANDARRAY(1,COLUMNS(_xlfn.ANCHORARRAY(Q569)),0,1,FALSE),_xlpm.array/SUM(_xlpm.array))</f>
        <v>0.16411375008521764</v>
      </c>
      <c r="R570" s="2">
        <f ca="1"/>
        <v>0.12457155019437449</v>
      </c>
      <c r="S570" s="2">
        <f ca="1"/>
        <v>0.21690193233310492</v>
      </c>
      <c r="T570" s="2">
        <f ca="1"/>
        <v>0.24464728644327371</v>
      </c>
      <c r="U570" s="2">
        <f ca="1"/>
        <v>0.24976548094402928</v>
      </c>
      <c r="V570" s="12"/>
      <c r="X570" s="2" cm="1">
        <f t="array" aca="1" ref="X570" ca="1">MMULT(MMULT(_xlfn.ANCHORARRAY(Q570),$Q$9:$U$13),TRANSPOSE(_xlfn.ANCHORARRAY(Q570)))</f>
        <v>2.7579898697844836E-4</v>
      </c>
      <c r="Y570" s="2">
        <f t="shared" ca="1" si="22"/>
        <v>1.660719684288858E-2</v>
      </c>
      <c r="Z570" s="2" cm="1">
        <f t="array" aca="1" ref="Z570" ca="1">MMULT(_xlfn.ANCHORARRAY(Q570),TRANSPOSE($Q$3:$U$3))</f>
        <v>9.6759605335385458E-4</v>
      </c>
      <c r="AA570" s="11">
        <f ca="1">AVEDEV(Q570*$Q$3,R570*$R$3,S570*$S$3,T570*$T$3,U570*$U$3)</f>
        <v>8.6058536941461056E-5</v>
      </c>
      <c r="AB570" s="11" cm="1">
        <f t="array" aca="1" ref="AB570" ca="1">MMULT(_xlfn.ANCHORARRAY(Q570),TRANSPOSE($Q$6:$U$6))</f>
        <v>-2.3185027874594054E-2</v>
      </c>
      <c r="AD570" s="2" t="s">
        <v>561</v>
      </c>
      <c r="AE570" s="10" cm="1">
        <f t="array" aca="1" ref="AE570:AI570" ca="1">_xlfn.LET(_xlpm.array,_xlfn.RANDARRAY(1,COLUMNS(_xlfn.ANCHORARRAY(Q569)),-1,1,FALSE),_xlpm.array/SUM(_xlpm.array))</f>
        <v>0.14619779002352204</v>
      </c>
      <c r="AF570" s="10">
        <f ca="1"/>
        <v>0.49947850729099197</v>
      </c>
      <c r="AG570" s="10">
        <f ca="1"/>
        <v>2.712249029902002E-2</v>
      </c>
      <c r="AH570" s="10">
        <f ca="1"/>
        <v>-0.63860316300637288</v>
      </c>
      <c r="AI570" s="10">
        <f ca="1"/>
        <v>0.96580437539283881</v>
      </c>
      <c r="AJ570" s="1"/>
      <c r="AK570" s="2" cm="1">
        <f t="array" aca="1" ref="AK570" ca="1">MMULT(MMULT(_xlfn.ANCHORARRAY(AE570),$Q$9:$U$13),TRANSPOSE(_xlfn.ANCHORARRAY(AE570)))</f>
        <v>5.0050507184787535E-4</v>
      </c>
      <c r="AL570" s="2">
        <f t="shared" ca="1" si="23"/>
        <v>2.2371970674213645E-2</v>
      </c>
      <c r="AM570" s="2" cm="1">
        <f t="array" aca="1" ref="AM570" ca="1">MMULT(_xlfn.ANCHORARRAY(AE571),TRANSPOSE($Q$3:$U$3))</f>
        <v>1.2151318485510755E-3</v>
      </c>
    </row>
    <row r="571" spans="1:39" x14ac:dyDescent="0.35">
      <c r="A571" s="3">
        <v>44656</v>
      </c>
      <c r="B571" s="4">
        <v>36.230785369872997</v>
      </c>
      <c r="C571" s="4">
        <v>139.10731506347599</v>
      </c>
      <c r="D571" s="4">
        <v>44.413337707519503</v>
      </c>
      <c r="E571" s="4">
        <v>26.096805572509702</v>
      </c>
      <c r="F571" s="4">
        <v>300.73773193359301</v>
      </c>
      <c r="I571" s="5">
        <f>B571/B570-1</f>
        <v>-1.6899480258045996E-2</v>
      </c>
      <c r="J571" s="5">
        <f>C571/C570-1</f>
        <v>-6.1446209874080893E-3</v>
      </c>
      <c r="K571" s="5">
        <f>D571/D570-1</f>
        <v>-1.4581000839274938E-2</v>
      </c>
      <c r="L571" s="5">
        <f>E571/E570-1</f>
        <v>-1.8312080546064258E-2</v>
      </c>
      <c r="M571" s="5">
        <f>F571/F570-1</f>
        <v>-1.2985485902562321E-2</v>
      </c>
      <c r="N571" s="5">
        <f>SUMPRODUCT(I571:M571,$AJ$13:$AN$13)</f>
        <v>-1.539725182304242E-2</v>
      </c>
      <c r="P571" s="2" t="s">
        <v>562</v>
      </c>
      <c r="Q571" s="10" cm="1">
        <f t="array" aca="1" ref="Q571:U571" ca="1">_xlfn.LET(_xlpm.array,_xlfn.RANDARRAY(1,COLUMNS(_xlfn.ANCHORARRAY(Q570)),0,1,FALSE),_xlpm.array/SUM(_xlpm.array))</f>
        <v>4.6585454485033047E-2</v>
      </c>
      <c r="R571" s="2">
        <f ca="1"/>
        <v>0.10252731785579498</v>
      </c>
      <c r="S571" s="2">
        <f ca="1"/>
        <v>0.2769457778976801</v>
      </c>
      <c r="T571" s="2">
        <f ca="1"/>
        <v>0.18357278720192294</v>
      </c>
      <c r="U571" s="2">
        <f ca="1"/>
        <v>0.39036866255956892</v>
      </c>
      <c r="V571" s="12"/>
      <c r="X571" s="2" cm="1">
        <f t="array" aca="1" ref="X571" ca="1">MMULT(MMULT(_xlfn.ANCHORARRAY(Q571),$Q$9:$U$13),TRANSPOSE(_xlfn.ANCHORARRAY(Q571)))</f>
        <v>2.8297647222900129E-4</v>
      </c>
      <c r="Y571" s="2">
        <f t="shared" ca="1" si="22"/>
        <v>1.6821904536318155E-2</v>
      </c>
      <c r="Z571" s="2" cm="1">
        <f t="array" aca="1" ref="Z571" ca="1">MMULT(_xlfn.ANCHORARRAY(Q571),TRANSPOSE($Q$3:$U$3))</f>
        <v>1.0344225563555154E-3</v>
      </c>
      <c r="AA571" s="11">
        <f ca="1">AVEDEV(Q571*$Q$3,R571*$R$3,S571*$S$3,T571*$T$3,U571*$U$3)</f>
        <v>1.3382643873718702E-4</v>
      </c>
      <c r="AB571" s="11" cm="1">
        <f t="array" aca="1" ref="AB571" ca="1">MMULT(_xlfn.ANCHORARRAY(Q571),TRANSPOSE($Q$6:$U$6))</f>
        <v>-2.3114979274128228E-2</v>
      </c>
      <c r="AD571" s="2" t="s">
        <v>562</v>
      </c>
      <c r="AE571" s="10" cm="1">
        <f t="array" aca="1" ref="AE571:AI571" ca="1">_xlfn.LET(_xlpm.array,_xlfn.RANDARRAY(1,COLUMNS(_xlfn.ANCHORARRAY(Q570)),-1,1,FALSE),_xlpm.array/SUM(_xlpm.array))</f>
        <v>-0.70025699188331825</v>
      </c>
      <c r="AF571" s="10">
        <f ca="1"/>
        <v>1.1680450786634196</v>
      </c>
      <c r="AG571" s="10">
        <f ca="1"/>
        <v>0.18310746082712104</v>
      </c>
      <c r="AH571" s="10">
        <f ca="1"/>
        <v>0.59861425855844674</v>
      </c>
      <c r="AI571" s="10">
        <f ca="1"/>
        <v>-0.24950980616566898</v>
      </c>
      <c r="AJ571" s="1"/>
      <c r="AK571" s="2" cm="1">
        <f t="array" aca="1" ref="AK571" ca="1">MMULT(MMULT(_xlfn.ANCHORARRAY(AE571),$Q$9:$U$13),TRANSPOSE(_xlfn.ANCHORARRAY(AE571)))</f>
        <v>9.5982767380735931E-4</v>
      </c>
      <c r="AL571" s="2">
        <f t="shared" ca="1" si="23"/>
        <v>3.0981085742874784E-2</v>
      </c>
      <c r="AM571" s="2" cm="1">
        <f t="array" aca="1" ref="AM571" ca="1">MMULT(_xlfn.ANCHORARRAY(AE572),TRANSPOSE($Q$3:$U$3))</f>
        <v>1.5746139096178987E-3</v>
      </c>
    </row>
    <row r="572" spans="1:39" x14ac:dyDescent="0.35">
      <c r="A572" s="3">
        <v>44657</v>
      </c>
      <c r="B572" s="4">
        <v>35.833644866943303</v>
      </c>
      <c r="C572" s="4">
        <v>140.342025756835</v>
      </c>
      <c r="D572" s="4">
        <v>43.007740020751903</v>
      </c>
      <c r="E572" s="4">
        <v>26.3931159973144</v>
      </c>
      <c r="F572" s="4">
        <v>289.72894287109301</v>
      </c>
      <c r="I572" s="5">
        <f>B572/B571-1</f>
        <v>-1.0961410272379291E-2</v>
      </c>
      <c r="J572" s="5">
        <f>C572/C571-1</f>
        <v>8.8759580529291782E-3</v>
      </c>
      <c r="K572" s="5">
        <f>D572/D571-1</f>
        <v>-3.1648098506445344E-2</v>
      </c>
      <c r="L572" s="5">
        <f>E572/E571-1</f>
        <v>1.135427951062451E-2</v>
      </c>
      <c r="M572" s="5">
        <f>F572/F571-1</f>
        <v>-3.6605945624843983E-2</v>
      </c>
      <c r="N572" s="5">
        <f>SUMPRODUCT(I572:M572,$AJ$13:$AN$13)</f>
        <v>-2.052161119692756E-2</v>
      </c>
      <c r="P572" s="2" t="s">
        <v>563</v>
      </c>
      <c r="Q572" s="10" cm="1">
        <f t="array" aca="1" ref="Q572:U572" ca="1">_xlfn.LET(_xlpm.array,_xlfn.RANDARRAY(1,COLUMNS(_xlfn.ANCHORARRAY(Q571)),0,1,FALSE),_xlpm.array/SUM(_xlpm.array))</f>
        <v>8.581693964850165E-2</v>
      </c>
      <c r="R572" s="2">
        <f ca="1"/>
        <v>0.29960255620373905</v>
      </c>
      <c r="S572" s="2">
        <f ca="1"/>
        <v>0.39916560453083749</v>
      </c>
      <c r="T572" s="2">
        <f ca="1"/>
        <v>6.8933426833947348E-2</v>
      </c>
      <c r="U572" s="2">
        <f ca="1"/>
        <v>0.14648147278297449</v>
      </c>
      <c r="V572" s="12"/>
      <c r="X572" s="2" cm="1">
        <f t="array" aca="1" ref="X572" ca="1">MMULT(MMULT(_xlfn.ANCHORARRAY(Q572),$Q$9:$U$13),TRANSPOSE(_xlfn.ANCHORARRAY(Q572)))</f>
        <v>3.4308011510756422E-4</v>
      </c>
      <c r="Y572" s="2">
        <f t="shared" ca="1" si="22"/>
        <v>1.8522421955769287E-2</v>
      </c>
      <c r="Z572" s="2" cm="1">
        <f t="array" aca="1" ref="Z572" ca="1">MMULT(_xlfn.ANCHORARRAY(Q572),TRANSPOSE($Q$3:$U$3))</f>
        <v>1.0931033568803484E-3</v>
      </c>
      <c r="AA572" s="11">
        <f ca="1">AVEDEV(Q572*$Q$3,R572*$R$3,S572*$S$3,T572*$T$3,U572*$U$3)</f>
        <v>1.7191415736837512E-4</v>
      </c>
      <c r="AB572" s="11" cm="1">
        <f t="array" aca="1" ref="AB572" ca="1">MMULT(_xlfn.ANCHORARRAY(Q572),TRANSPOSE($Q$6:$U$6))</f>
        <v>-2.354663187937385E-2</v>
      </c>
      <c r="AD572" s="2" t="s">
        <v>563</v>
      </c>
      <c r="AE572" s="10" cm="1">
        <f t="array" aca="1" ref="AE572:AI572" ca="1">_xlfn.LET(_xlpm.array,_xlfn.RANDARRAY(1,COLUMNS(_xlfn.ANCHORARRAY(Q571)),-1,1,FALSE),_xlpm.array/SUM(_xlpm.array))</f>
        <v>0.55060587931900684</v>
      </c>
      <c r="AF572" s="10">
        <f ca="1"/>
        <v>0.52810928317889516</v>
      </c>
      <c r="AG572" s="10">
        <f ca="1"/>
        <v>1.1924191316094135</v>
      </c>
      <c r="AH572" s="10">
        <f ca="1"/>
        <v>-0.21472365757776254</v>
      </c>
      <c r="AI572" s="10">
        <f ca="1"/>
        <v>-1.0564106365295531</v>
      </c>
      <c r="AJ572" s="1"/>
      <c r="AK572" s="2" cm="1">
        <f t="array" aca="1" ref="AK572" ca="1">MMULT(MMULT(_xlfn.ANCHORARRAY(AE572),$Q$9:$U$13),TRANSPOSE(_xlfn.ANCHORARRAY(AE572)))</f>
        <v>1.5313023184827766E-3</v>
      </c>
      <c r="AL572" s="2">
        <f t="shared" ca="1" si="23"/>
        <v>3.9131858101587466E-2</v>
      </c>
      <c r="AM572" s="2" cm="1">
        <f t="array" aca="1" ref="AM572" ca="1">MMULT(_xlfn.ANCHORARRAY(AE573),TRANSPOSE($Q$3:$U$3))</f>
        <v>1.0152150439639949E-3</v>
      </c>
    </row>
    <row r="573" spans="1:39" x14ac:dyDescent="0.35">
      <c r="A573" s="3">
        <v>44658</v>
      </c>
      <c r="B573" s="4">
        <v>35.553825378417898</v>
      </c>
      <c r="C573" s="4">
        <v>142.29205322265599</v>
      </c>
      <c r="D573" s="4">
        <v>43.528003692626903</v>
      </c>
      <c r="E573" s="4">
        <v>26.5483303070068</v>
      </c>
      <c r="F573" s="4">
        <v>291.53796386718699</v>
      </c>
      <c r="I573" s="5">
        <f>B573/B572-1</f>
        <v>-7.808848069026264E-3</v>
      </c>
      <c r="J573" s="5">
        <f>C573/C572-1</f>
        <v>1.3894821991523365E-2</v>
      </c>
      <c r="K573" s="5">
        <f>D573/D572-1</f>
        <v>1.2096977698059952E-2</v>
      </c>
      <c r="L573" s="5">
        <f>E573/E572-1</f>
        <v>5.8808633928708609E-3</v>
      </c>
      <c r="M573" s="5">
        <f>F573/F572-1</f>
        <v>6.243839425110087E-3</v>
      </c>
      <c r="N573" s="5">
        <f>SUMPRODUCT(I573:M573,$AJ$13:$AN$13)</f>
        <v>1.2935370573509592E-2</v>
      </c>
      <c r="P573" s="2" t="s">
        <v>564</v>
      </c>
      <c r="Q573" s="10" cm="1">
        <f t="array" aca="1" ref="Q573:U573" ca="1">_xlfn.LET(_xlpm.array,_xlfn.RANDARRAY(1,COLUMNS(_xlfn.ANCHORARRAY(Q572)),0,1,FALSE),_xlpm.array/SUM(_xlpm.array))</f>
        <v>0.23348485577215372</v>
      </c>
      <c r="R573" s="2">
        <f ca="1"/>
        <v>0.18307561220817248</v>
      </c>
      <c r="S573" s="2">
        <f ca="1"/>
        <v>0.18031008433680579</v>
      </c>
      <c r="T573" s="2">
        <f ca="1"/>
        <v>0.17101471662613169</v>
      </c>
      <c r="U573" s="2">
        <f ca="1"/>
        <v>0.23211473105673644</v>
      </c>
      <c r="V573" s="12"/>
      <c r="X573" s="2" cm="1">
        <f t="array" aca="1" ref="X573" ca="1">MMULT(MMULT(_xlfn.ANCHORARRAY(Q573),$Q$9:$U$13),TRANSPOSE(_xlfn.ANCHORARRAY(Q573)))</f>
        <v>2.7020510777342769E-4</v>
      </c>
      <c r="Y573" s="2">
        <f t="shared" ca="1" si="22"/>
        <v>1.6437916771094435E-2</v>
      </c>
      <c r="Z573" s="2" cm="1">
        <f t="array" aca="1" ref="Z573" ca="1">MMULT(_xlfn.ANCHORARRAY(Q573),TRANSPOSE($Q$3:$U$3))</f>
        <v>8.9742588080481893E-4</v>
      </c>
      <c r="AA573" s="11">
        <f ca="1">AVEDEV(Q573*$Q$3,R573*$R$3,S573*$S$3,T573*$T$3,U573*$U$3)</f>
        <v>4.5335416085101688E-5</v>
      </c>
      <c r="AB573" s="11" cm="1">
        <f t="array" aca="1" ref="AB573" ca="1">MMULT(_xlfn.ANCHORARRAY(Q573),TRANSPOSE($Q$6:$U$6))</f>
        <v>-2.2687516683611242E-2</v>
      </c>
      <c r="AD573" s="2" t="s">
        <v>564</v>
      </c>
      <c r="AE573" s="10" cm="1">
        <f t="array" aca="1" ref="AE573:AI573" ca="1">_xlfn.LET(_xlpm.array,_xlfn.RANDARRAY(1,COLUMNS(_xlfn.ANCHORARRAY(Q572)),-1,1,FALSE),_xlpm.array/SUM(_xlpm.array))</f>
        <v>0.17956302295426163</v>
      </c>
      <c r="AF573" s="10">
        <f ca="1"/>
        <v>0.1640662089495715</v>
      </c>
      <c r="AG573" s="10">
        <f ca="1"/>
        <v>0.39998498385750708</v>
      </c>
      <c r="AH573" s="10">
        <f ca="1"/>
        <v>-0.16173771153750832</v>
      </c>
      <c r="AI573" s="10">
        <f ca="1"/>
        <v>0.41812349577616814</v>
      </c>
      <c r="AJ573" s="1"/>
      <c r="AK573" s="2" cm="1">
        <f t="array" aca="1" ref="AK573" ca="1">MMULT(MMULT(_xlfn.ANCHORARRAY(AE573),$Q$9:$U$13),TRANSPOSE(_xlfn.ANCHORARRAY(AE573)))</f>
        <v>3.6518311858093353E-4</v>
      </c>
      <c r="AL573" s="2">
        <f t="shared" ca="1" si="23"/>
        <v>1.9109765005905582E-2</v>
      </c>
      <c r="AM573" s="2" cm="1">
        <f t="array" aca="1" ref="AM573" ca="1">MMULT(_xlfn.ANCHORARRAY(AE574),TRANSPOSE($Q$3:$U$3))</f>
        <v>1.7827448498825525E-3</v>
      </c>
    </row>
    <row r="574" spans="1:39" x14ac:dyDescent="0.35">
      <c r="A574" s="3">
        <v>44659</v>
      </c>
      <c r="B574" s="4">
        <v>35.806564331054602</v>
      </c>
      <c r="C574" s="4">
        <v>144.701904296875</v>
      </c>
      <c r="D574" s="4">
        <v>43.254184722900298</v>
      </c>
      <c r="E574" s="4">
        <v>27.5148811340332</v>
      </c>
      <c r="F574" s="4">
        <v>287.28158569335898</v>
      </c>
      <c r="I574" s="5">
        <f>B574/B573-1</f>
        <v>7.108628957550156E-3</v>
      </c>
      <c r="J574" s="5">
        <f>C574/C573-1</f>
        <v>1.6935949827416641E-2</v>
      </c>
      <c r="K574" s="5">
        <f>D574/D573-1</f>
        <v>-6.290639278111132E-3</v>
      </c>
      <c r="L574" s="5">
        <f>E574/E573-1</f>
        <v>3.6407217171443129E-2</v>
      </c>
      <c r="M574" s="5">
        <f>F574/F573-1</f>
        <v>-1.4599738975219823E-2</v>
      </c>
      <c r="N574" s="5">
        <f>SUMPRODUCT(I574:M574,$AJ$13:$AN$13)</f>
        <v>6.24839972889855E-3</v>
      </c>
      <c r="P574" s="2" t="s">
        <v>565</v>
      </c>
      <c r="Q574" s="10" cm="1">
        <f t="array" aca="1" ref="Q574:U574" ca="1">_xlfn.LET(_xlpm.array,_xlfn.RANDARRAY(1,COLUMNS(_xlfn.ANCHORARRAY(Q573)),0,1,FALSE),_xlpm.array/SUM(_xlpm.array))</f>
        <v>0.25317387240444722</v>
      </c>
      <c r="R574" s="2">
        <f ca="1"/>
        <v>8.2914288837724101E-2</v>
      </c>
      <c r="S574" s="2">
        <f ca="1"/>
        <v>0.36845698022211132</v>
      </c>
      <c r="T574" s="2">
        <f ca="1"/>
        <v>0.21545065568416039</v>
      </c>
      <c r="U574" s="2">
        <f ca="1"/>
        <v>8.0004202851556863E-2</v>
      </c>
      <c r="V574" s="12"/>
      <c r="X574" s="2" cm="1">
        <f t="array" aca="1" ref="X574" ca="1">MMULT(MMULT(_xlfn.ANCHORARRAY(Q574),$Q$9:$U$13),TRANSPOSE(_xlfn.ANCHORARRAY(Q574)))</f>
        <v>3.4106865383194733E-4</v>
      </c>
      <c r="Y574" s="2">
        <f t="shared" ca="1" si="22"/>
        <v>1.8468044125785149E-2</v>
      </c>
      <c r="Z574" s="2" cm="1">
        <f t="array" aca="1" ref="Z574" ca="1">MMULT(_xlfn.ANCHORARRAY(Q574),TRANSPOSE($Q$3:$U$3))</f>
        <v>1.0688959426087593E-3</v>
      </c>
      <c r="AA574" s="11">
        <f ca="1">AVEDEV(Q574*$Q$3,R574*$R$3,S574*$S$3,T574*$T$3,U574*$U$3)</f>
        <v>1.563696494279476E-4</v>
      </c>
      <c r="AB574" s="11" cm="1">
        <f t="array" aca="1" ref="AB574" ca="1">MMULT(_xlfn.ANCHORARRAY(Q574),TRANSPOSE($Q$6:$U$6))</f>
        <v>-2.4214397094426389E-2</v>
      </c>
      <c r="AD574" s="2" t="s">
        <v>565</v>
      </c>
      <c r="AE574" s="10" cm="1">
        <f t="array" aca="1" ref="AE574:AI574" ca="1">_xlfn.LET(_xlpm.array,_xlfn.RANDARRAY(1,COLUMNS(_xlfn.ANCHORARRAY(Q573)),-1,1,FALSE),_xlpm.array/SUM(_xlpm.array))</f>
        <v>-1.5445940037602199</v>
      </c>
      <c r="AF574" s="10">
        <f ca="1"/>
        <v>0.48363898039311404</v>
      </c>
      <c r="AG574" s="10">
        <f ca="1"/>
        <v>0.1599782180264574</v>
      </c>
      <c r="AH574" s="10">
        <f ca="1"/>
        <v>1.9505620620933</v>
      </c>
      <c r="AI574" s="10">
        <f ca="1"/>
        <v>-4.958525675265147E-2</v>
      </c>
      <c r="AJ574" s="1"/>
      <c r="AK574" s="2" cm="1">
        <f t="array" aca="1" ref="AK574" ca="1">MMULT(MMULT(_xlfn.ANCHORARRAY(AE574),$Q$9:$U$13),TRANSPOSE(_xlfn.ANCHORARRAY(AE574)))</f>
        <v>2.3179208704188353E-3</v>
      </c>
      <c r="AL574" s="2">
        <f t="shared" ca="1" si="23"/>
        <v>4.8144790688285637E-2</v>
      </c>
      <c r="AM574" s="2" cm="1">
        <f t="array" aca="1" ref="AM574" ca="1">MMULT(_xlfn.ANCHORARRAY(AE575),TRANSPOSE($Q$3:$U$3))</f>
        <v>-3.8439491293135467E-2</v>
      </c>
    </row>
    <row r="575" spans="1:39" x14ac:dyDescent="0.35">
      <c r="A575" s="3">
        <v>44662</v>
      </c>
      <c r="B575" s="4">
        <v>35.734355926513601</v>
      </c>
      <c r="C575" s="4">
        <v>140.98066711425699</v>
      </c>
      <c r="D575" s="4">
        <v>42.852581024169901</v>
      </c>
      <c r="E575" s="4">
        <v>26.3860683441162</v>
      </c>
      <c r="F575" s="4">
        <v>275.95355224609301</v>
      </c>
      <c r="I575" s="5">
        <f>B575/B574-1</f>
        <v>-2.0166247695083683E-3</v>
      </c>
      <c r="J575" s="5">
        <f>C575/C574-1</f>
        <v>-2.571657367399538E-2</v>
      </c>
      <c r="K575" s="5">
        <f>D575/D574-1</f>
        <v>-9.2847362932210187E-3</v>
      </c>
      <c r="L575" s="5">
        <f>E575/E574-1</f>
        <v>-4.1025537577946136E-2</v>
      </c>
      <c r="M575" s="5">
        <f>F575/F574-1</f>
        <v>-3.9431811892591595E-2</v>
      </c>
      <c r="N575" s="5">
        <f>SUMPRODUCT(I575:M575,$AJ$13:$AN$13)</f>
        <v>-3.575003961624728E-2</v>
      </c>
      <c r="P575" s="2" t="s">
        <v>566</v>
      </c>
      <c r="Q575" s="10" cm="1">
        <f t="array" aca="1" ref="Q575:U575" ca="1">_xlfn.LET(_xlpm.array,_xlfn.RANDARRAY(1,COLUMNS(_xlfn.ANCHORARRAY(Q574)),0,1,FALSE),_xlpm.array/SUM(_xlpm.array))</f>
        <v>0.16474063098800015</v>
      </c>
      <c r="R575" s="2">
        <f ca="1"/>
        <v>0.18665095198661261</v>
      </c>
      <c r="S575" s="2">
        <f ca="1"/>
        <v>0.40682151468948041</v>
      </c>
      <c r="T575" s="2">
        <f ca="1"/>
        <v>0.22282996042076492</v>
      </c>
      <c r="U575" s="2">
        <f ca="1"/>
        <v>1.8956941915141891E-2</v>
      </c>
      <c r="V575" s="12"/>
      <c r="X575" s="2" cm="1">
        <f t="array" aca="1" ref="X575" ca="1">MMULT(MMULT(_xlfn.ANCHORARRAY(Q575),$Q$9:$U$13),TRANSPOSE(_xlfn.ANCHORARRAY(Q575)))</f>
        <v>3.6755233089742778E-4</v>
      </c>
      <c r="Y575" s="2">
        <f t="shared" ca="1" si="22"/>
        <v>1.9171654359950989E-2</v>
      </c>
      <c r="Z575" s="2" cm="1">
        <f t="array" aca="1" ref="Z575" ca="1">MMULT(_xlfn.ANCHORARRAY(Q575),TRANSPOSE($Q$3:$U$3))</f>
        <v>1.1228532689380117E-3</v>
      </c>
      <c r="AA575" s="11">
        <f ca="1">AVEDEV(Q575*$Q$3,R575*$R$3,S575*$S$3,T575*$T$3,U575*$U$3)</f>
        <v>1.7567362031168244E-4</v>
      </c>
      <c r="AB575" s="11" cm="1">
        <f t="array" aca="1" ref="AB575" ca="1">MMULT(_xlfn.ANCHORARRAY(Q575),TRANSPOSE($Q$6:$U$6))</f>
        <v>-2.4438815677111488E-2</v>
      </c>
      <c r="AD575" s="2" t="s">
        <v>566</v>
      </c>
      <c r="AE575" s="10" cm="1">
        <f t="array" aca="1" ref="AE575:AI575" ca="1">_xlfn.LET(_xlpm.array,_xlfn.RANDARRAY(1,COLUMNS(_xlfn.ANCHORARRAY(Q574)),-1,1,FALSE),_xlpm.array/SUM(_xlpm.array))</f>
        <v>16.374424310051392</v>
      </c>
      <c r="AF575" s="10">
        <f ca="1"/>
        <v>-47.701809173430433</v>
      </c>
      <c r="AG575" s="10">
        <f ca="1"/>
        <v>-65.825189265961484</v>
      </c>
      <c r="AH575" s="10">
        <f ca="1"/>
        <v>77.502428431424519</v>
      </c>
      <c r="AI575" s="10">
        <f ca="1"/>
        <v>20.65014569791601</v>
      </c>
      <c r="AJ575" s="1"/>
      <c r="AK575" s="2" cm="1">
        <f t="array" aca="1" ref="AK575" ca="1">MMULT(MMULT(_xlfn.ANCHORARRAY(AE575),$Q$9:$U$13),TRANSPOSE(_xlfn.ANCHORARRAY(AE575)))</f>
        <v>4.3951888366267662</v>
      </c>
      <c r="AL575" s="2">
        <f t="shared" ca="1" si="23"/>
        <v>2.0964705666015839</v>
      </c>
      <c r="AM575" s="2" cm="1">
        <f t="array" aca="1" ref="AM575" ca="1">MMULT(_xlfn.ANCHORARRAY(AE576),TRANSPOSE($Q$3:$U$3))</f>
        <v>1.1173354823719595E-3</v>
      </c>
    </row>
    <row r="576" spans="1:39" x14ac:dyDescent="0.35">
      <c r="A576" s="3">
        <v>44663</v>
      </c>
      <c r="B576" s="4">
        <v>35.355255126953097</v>
      </c>
      <c r="C576" s="4">
        <v>143.91848754882801</v>
      </c>
      <c r="D576" s="4">
        <v>42.989486694335902</v>
      </c>
      <c r="E576" s="4">
        <v>26.611824035644499</v>
      </c>
      <c r="F576" s="4">
        <v>272.85791015625</v>
      </c>
      <c r="I576" s="5">
        <f>B576/B575-1</f>
        <v>-1.0608860569366718E-2</v>
      </c>
      <c r="J576" s="5">
        <f>C576/C575-1</f>
        <v>2.0838463136155339E-2</v>
      </c>
      <c r="K576" s="5">
        <f>D576/D575-1</f>
        <v>3.1948057011730313E-3</v>
      </c>
      <c r="L576" s="5">
        <f>E576/E575-1</f>
        <v>8.5558670046665952E-3</v>
      </c>
      <c r="M576" s="5">
        <f>F576/F575-1</f>
        <v>-1.12179823910451E-2</v>
      </c>
      <c r="N576" s="5">
        <f>SUMPRODUCT(I576:M576,$AJ$13:$AN$13)</f>
        <v>4.2994305715331454E-3</v>
      </c>
      <c r="P576" s="2" t="s">
        <v>567</v>
      </c>
      <c r="Q576" s="10" cm="1">
        <f t="array" aca="1" ref="Q576:U576" ca="1">_xlfn.LET(_xlpm.array,_xlfn.RANDARRAY(1,COLUMNS(_xlfn.ANCHORARRAY(Q575)),0,1,FALSE),_xlpm.array/SUM(_xlpm.array))</f>
        <v>0.38909444981522201</v>
      </c>
      <c r="R576" s="2">
        <f ca="1"/>
        <v>0.38022376737177788</v>
      </c>
      <c r="S576" s="2">
        <f ca="1"/>
        <v>2.6902276390930461E-2</v>
      </c>
      <c r="T576" s="2">
        <f ca="1"/>
        <v>3.3886966391813877E-2</v>
      </c>
      <c r="U576" s="2">
        <f ca="1"/>
        <v>0.16989254003025583</v>
      </c>
      <c r="V576" s="12"/>
      <c r="X576" s="2" cm="1">
        <f t="array" aca="1" ref="X576" ca="1">MMULT(MMULT(_xlfn.ANCHORARRAY(Q576),$Q$9:$U$13),TRANSPOSE(_xlfn.ANCHORARRAY(Q576)))</f>
        <v>2.9389012705653293E-4</v>
      </c>
      <c r="Y576" s="2">
        <f t="shared" ca="1" si="22"/>
        <v>1.7143223939986695E-2</v>
      </c>
      <c r="Z576" s="2" cm="1">
        <f t="array" aca="1" ref="Z576" ca="1">MMULT(_xlfn.ANCHORARRAY(Q576),TRANSPOSE($Q$3:$U$3))</f>
        <v>6.8366181710069929E-4</v>
      </c>
      <c r="AA576" s="11">
        <f ca="1">AVEDEV(Q576*$Q$3,R576*$R$3,S576*$S$3,T576*$T$3,U576*$U$3)</f>
        <v>8.0778123791675686E-5</v>
      </c>
      <c r="AB576" s="11" cm="1">
        <f t="array" aca="1" ref="AB576" ca="1">MMULT(_xlfn.ANCHORARRAY(Q576),TRANSPOSE($Q$6:$U$6))</f>
        <v>-2.1242802182709495E-2</v>
      </c>
      <c r="AD576" s="2" t="s">
        <v>567</v>
      </c>
      <c r="AE576" s="10" cm="1">
        <f t="array" aca="1" ref="AE576:AI576" ca="1">_xlfn.LET(_xlpm.array,_xlfn.RANDARRAY(1,COLUMNS(_xlfn.ANCHORARRAY(Q575)),-1,1,FALSE),_xlpm.array/SUM(_xlpm.array))</f>
        <v>-0.22753587755006896</v>
      </c>
      <c r="AF576" s="10">
        <f ca="1"/>
        <v>-0.26634616922674009</v>
      </c>
      <c r="AG576" s="10">
        <f ca="1"/>
        <v>0.19766544424915328</v>
      </c>
      <c r="AH576" s="10">
        <f ca="1"/>
        <v>0.44808216758893932</v>
      </c>
      <c r="AI576" s="10">
        <f ca="1"/>
        <v>0.84813443493871643</v>
      </c>
      <c r="AJ576" s="1"/>
      <c r="AK576" s="2" cm="1">
        <f t="array" aca="1" ref="AK576" ca="1">MMULT(MMULT(_xlfn.ANCHORARRAY(AE576),$Q$9:$U$13),TRANSPOSE(_xlfn.ANCHORARRAY(AE576)))</f>
        <v>3.8672381111785176E-4</v>
      </c>
      <c r="AL576" s="2">
        <f t="shared" ca="1" si="23"/>
        <v>1.966529458507682E-2</v>
      </c>
      <c r="AM576" s="2" cm="1">
        <f t="array" aca="1" ref="AM576" ca="1">MMULT(_xlfn.ANCHORARRAY(AE577),TRANSPOSE($Q$3:$U$3))</f>
        <v>1.4418465394594277E-3</v>
      </c>
    </row>
    <row r="577" spans="1:39" x14ac:dyDescent="0.35">
      <c r="A577" s="3">
        <v>44664</v>
      </c>
      <c r="B577" s="4">
        <v>35.039340972900298</v>
      </c>
      <c r="C577" s="4">
        <v>146.18359375</v>
      </c>
      <c r="D577" s="4">
        <v>43.181163787841797</v>
      </c>
      <c r="E577" s="4">
        <v>27.155073165893501</v>
      </c>
      <c r="F577" s="4">
        <v>278.23660278320301</v>
      </c>
      <c r="I577" s="5">
        <f>B577/B576-1</f>
        <v>-8.9354228365321475E-3</v>
      </c>
      <c r="J577" s="5">
        <f>C577/C576-1</f>
        <v>1.5738813266804819E-2</v>
      </c>
      <c r="K577" s="5">
        <f>D577/D576-1</f>
        <v>4.4586969569737622E-3</v>
      </c>
      <c r="L577" s="5">
        <f>E577/E576-1</f>
        <v>2.0413825430431354E-2</v>
      </c>
      <c r="M577" s="5">
        <f>F577/F576-1</f>
        <v>1.9712430634218903E-2</v>
      </c>
      <c r="N577" s="5">
        <f>SUMPRODUCT(I577:M577,$AJ$13:$AN$13)</f>
        <v>2.0513484217917044E-2</v>
      </c>
      <c r="P577" s="2" t="s">
        <v>568</v>
      </c>
      <c r="Q577" s="10" cm="1">
        <f t="array" aca="1" ref="Q577:U577" ca="1">_xlfn.LET(_xlpm.array,_xlfn.RANDARRAY(1,COLUMNS(_xlfn.ANCHORARRAY(Q576)),0,1,FALSE),_xlpm.array/SUM(_xlpm.array))</f>
        <v>0.23200448588520686</v>
      </c>
      <c r="R577" s="2">
        <f ca="1"/>
        <v>0.18624641484426938</v>
      </c>
      <c r="S577" s="2">
        <f ca="1"/>
        <v>0.230368504366952</v>
      </c>
      <c r="T577" s="2">
        <f ca="1"/>
        <v>0.10147305771120087</v>
      </c>
      <c r="U577" s="2">
        <f ca="1"/>
        <v>0.2499075371923708</v>
      </c>
      <c r="V577" s="12"/>
      <c r="X577" s="2" cm="1">
        <f t="array" aca="1" ref="X577" ca="1">MMULT(MMULT(_xlfn.ANCHORARRAY(Q577),$Q$9:$U$13),TRANSPOSE(_xlfn.ANCHORARRAY(Q577)))</f>
        <v>2.7681100644660027E-4</v>
      </c>
      <c r="Y577" s="2">
        <f t="shared" ca="1" si="22"/>
        <v>1.6637638247257339E-2</v>
      </c>
      <c r="Z577" s="2" cm="1">
        <f t="array" aca="1" ref="Z577" ca="1">MMULT(_xlfn.ANCHORARRAY(Q577),TRANSPOSE($Q$3:$U$3))</f>
        <v>9.2284779102298081E-4</v>
      </c>
      <c r="AA577" s="11">
        <f ca="1">AVEDEV(Q577*$Q$3,R577*$R$3,S577*$S$3,T577*$T$3,U577*$U$3)</f>
        <v>7.8448898697705912E-5</v>
      </c>
      <c r="AB577" s="11" cm="1">
        <f t="array" aca="1" ref="AB577" ca="1">MMULT(_xlfn.ANCHORARRAY(Q577),TRANSPOSE($Q$6:$U$6))</f>
        <v>-2.2688235160885854E-2</v>
      </c>
      <c r="AD577" s="2" t="s">
        <v>568</v>
      </c>
      <c r="AE577" s="10" cm="1">
        <f t="array" aca="1" ref="AE577:AI577" ca="1">_xlfn.LET(_xlpm.array,_xlfn.RANDARRAY(1,COLUMNS(_xlfn.ANCHORARRAY(Q576)),-1,1,FALSE),_xlpm.array/SUM(_xlpm.array))</f>
        <v>-2.6455299918925353E-3</v>
      </c>
      <c r="AF577" s="10">
        <f ca="1"/>
        <v>-0.57297127563834127</v>
      </c>
      <c r="AG577" s="10">
        <f ca="1"/>
        <v>0.71665497007749812</v>
      </c>
      <c r="AH577" s="10">
        <f ca="1"/>
        <v>0.15877913009628922</v>
      </c>
      <c r="AI577" s="10">
        <f ca="1"/>
        <v>0.70018270545644645</v>
      </c>
      <c r="AJ577" s="1"/>
      <c r="AK577" s="2" cm="1">
        <f t="array" aca="1" ref="AK577" ca="1">MMULT(MMULT(_xlfn.ANCHORARRAY(AE577),$Q$9:$U$13),TRANSPOSE(_xlfn.ANCHORARRAY(AE577)))</f>
        <v>7.3935742051312503E-4</v>
      </c>
      <c r="AL577" s="2">
        <f t="shared" ca="1" si="23"/>
        <v>2.7191127606502916E-2</v>
      </c>
      <c r="AM577" s="2" cm="1">
        <f t="array" aca="1" ref="AM577" ca="1">MMULT(_xlfn.ANCHORARRAY(AE578),TRANSPOSE($Q$3:$U$3))</f>
        <v>1.0580628774962246E-3</v>
      </c>
    </row>
    <row r="578" spans="1:39" x14ac:dyDescent="0.35">
      <c r="A578" s="3">
        <v>44665</v>
      </c>
      <c r="B578" s="4">
        <v>33.911087036132798</v>
      </c>
      <c r="C578" s="4">
        <v>146.11544799804599</v>
      </c>
      <c r="D578" s="4">
        <v>42.843452453613203</v>
      </c>
      <c r="E578" s="4">
        <v>27.028087615966701</v>
      </c>
      <c r="F578" s="4">
        <v>270.70068359375</v>
      </c>
      <c r="I578" s="5">
        <f>B578/B577-1</f>
        <v>-3.219963348169419E-2</v>
      </c>
      <c r="J578" s="5">
        <f>C578/C577-1</f>
        <v>-4.6616552655387444E-4</v>
      </c>
      <c r="K578" s="5">
        <f>D578/D577-1</f>
        <v>-7.8208020489637375E-3</v>
      </c>
      <c r="L578" s="5">
        <f>E578/E577-1</f>
        <v>-4.6763103583271626E-3</v>
      </c>
      <c r="M578" s="5">
        <f>F578/F577-1</f>
        <v>-2.708457159867228E-2</v>
      </c>
      <c r="N578" s="5">
        <f>SUMPRODUCT(I578:M578,$AJ$13:$AN$13)</f>
        <v>-5.9767696916198402E-3</v>
      </c>
      <c r="P578" s="2" t="s">
        <v>569</v>
      </c>
      <c r="Q578" s="10" cm="1">
        <f t="array" aca="1" ref="Q578:U578" ca="1">_xlfn.LET(_xlpm.array,_xlfn.RANDARRAY(1,COLUMNS(_xlfn.ANCHORARRAY(Q577)),0,1,FALSE),_xlpm.array/SUM(_xlpm.array))</f>
        <v>7.1537248829866854E-2</v>
      </c>
      <c r="R578" s="2">
        <f ca="1"/>
        <v>0.52381418362350296</v>
      </c>
      <c r="S578" s="2">
        <f ca="1"/>
        <v>0.21895052433083032</v>
      </c>
      <c r="T578" s="2">
        <f ca="1"/>
        <v>0.11973511642518225</v>
      </c>
      <c r="U578" s="2">
        <f ca="1"/>
        <v>6.5962926790617576E-2</v>
      </c>
      <c r="V578" s="12"/>
      <c r="X578" s="2" cm="1">
        <f t="array" aca="1" ref="X578" ca="1">MMULT(MMULT(_xlfn.ANCHORARRAY(Q578),$Q$9:$U$13),TRANSPOSE(_xlfn.ANCHORARRAY(Q578)))</f>
        <v>3.3021970506151235E-4</v>
      </c>
      <c r="Y578" s="2">
        <f t="shared" ca="1" si="22"/>
        <v>1.8171948301200738E-2</v>
      </c>
      <c r="Z578" s="2" cm="1">
        <f t="array" aca="1" ref="Z578" ca="1">MMULT(_xlfn.ANCHORARRAY(Q578),TRANSPOSE($Q$3:$U$3))</f>
        <v>9.4721937251050184E-4</v>
      </c>
      <c r="AA578" s="11">
        <f ca="1">AVEDEV(Q578*$Q$3,R578*$R$3,S578*$S$3,T578*$T$3,U578*$U$3)</f>
        <v>1.4367905728868111E-4</v>
      </c>
      <c r="AB578" s="11" cm="1">
        <f t="array" aca="1" ref="AB578" ca="1">MMULT(_xlfn.ANCHORARRAY(Q578),TRANSPOSE($Q$6:$U$6))</f>
        <v>-2.2621115527958816E-2</v>
      </c>
      <c r="AD578" s="2" t="s">
        <v>569</v>
      </c>
      <c r="AE578" s="10" cm="1">
        <f t="array" aca="1" ref="AE578:AI578" ca="1">_xlfn.LET(_xlpm.array,_xlfn.RANDARRAY(1,COLUMNS(_xlfn.ANCHORARRAY(Q577)),-1,1,FALSE),_xlpm.array/SUM(_xlpm.array))</f>
        <v>8.0655236749743064E-2</v>
      </c>
      <c r="AF578" s="10">
        <f ca="1"/>
        <v>0.31643083999191568</v>
      </c>
      <c r="AG578" s="10">
        <f ca="1"/>
        <v>0.4104500974948142</v>
      </c>
      <c r="AH578" s="10">
        <f ca="1"/>
        <v>-0.10818511172818389</v>
      </c>
      <c r="AI578" s="10">
        <f ca="1"/>
        <v>0.3006489374917109</v>
      </c>
      <c r="AJ578" s="1"/>
      <c r="AK578" s="2" cm="1">
        <f t="array" aca="1" ref="AK578" ca="1">MMULT(MMULT(_xlfn.ANCHORARRAY(AE578),$Q$9:$U$13),TRANSPOSE(_xlfn.ANCHORARRAY(AE578)))</f>
        <v>3.5044878145626054E-4</v>
      </c>
      <c r="AL578" s="2">
        <f t="shared" ca="1" si="23"/>
        <v>1.8720277280432053E-2</v>
      </c>
      <c r="AM578" s="2" cm="1">
        <f t="array" aca="1" ref="AM578" ca="1">MMULT(_xlfn.ANCHORARRAY(AE579),TRANSPOSE($Q$3:$U$3))</f>
        <v>1.6232061343059169E-3</v>
      </c>
    </row>
    <row r="579" spans="1:39" x14ac:dyDescent="0.35">
      <c r="A579" s="3">
        <v>44669</v>
      </c>
      <c r="B579" s="4">
        <v>35.0664253234863</v>
      </c>
      <c r="C579" s="4">
        <v>148.07398986816401</v>
      </c>
      <c r="D579" s="4">
        <v>43.299816131591797</v>
      </c>
      <c r="E579" s="4">
        <v>27.4019966125488</v>
      </c>
      <c r="F579" s="4">
        <v>271.36825561523398</v>
      </c>
      <c r="I579" s="5">
        <f>B579/B578-1</f>
        <v>3.4069632923370063E-2</v>
      </c>
      <c r="J579" s="5">
        <f>C579/C578-1</f>
        <v>1.3404071211855717E-2</v>
      </c>
      <c r="K579" s="5">
        <f>D579/D578-1</f>
        <v>1.065188848804155E-2</v>
      </c>
      <c r="L579" s="5">
        <f>E579/E578-1</f>
        <v>1.3834089999072541E-2</v>
      </c>
      <c r="M579" s="5">
        <f>F579/F578-1</f>
        <v>2.46608916025437E-3</v>
      </c>
      <c r="N579" s="5">
        <f>SUMPRODUCT(I579:M579,$AJ$13:$AN$13)</f>
        <v>2.541469471330958E-3</v>
      </c>
      <c r="P579" s="2" t="s">
        <v>570</v>
      </c>
      <c r="Q579" s="10" cm="1">
        <f t="array" aca="1" ref="Q579:U579" ca="1">_xlfn.LET(_xlpm.array,_xlfn.RANDARRAY(1,COLUMNS(_xlfn.ANCHORARRAY(Q578)),0,1,FALSE),_xlpm.array/SUM(_xlpm.array))</f>
        <v>0.10518016333730973</v>
      </c>
      <c r="R579" s="2">
        <f ca="1"/>
        <v>0.11622238838615197</v>
      </c>
      <c r="S579" s="2">
        <f ca="1"/>
        <v>0.33239083069763431</v>
      </c>
      <c r="T579" s="2">
        <f ca="1"/>
        <v>9.8255551180108772E-2</v>
      </c>
      <c r="U579" s="2">
        <f ca="1"/>
        <v>0.34795106639879531</v>
      </c>
      <c r="V579" s="12"/>
      <c r="X579" s="2" cm="1">
        <f t="array" aca="1" ref="X579" ca="1">MMULT(MMULT(_xlfn.ANCHORARRAY(Q579),$Q$9:$U$13),TRANSPOSE(_xlfn.ANCHORARRAY(Q579)))</f>
        <v>3.0159443382440411E-4</v>
      </c>
      <c r="Y579" s="2">
        <f t="shared" ca="1" si="22"/>
        <v>1.7366474421263635E-2</v>
      </c>
      <c r="Z579" s="2" cm="1">
        <f t="array" aca="1" ref="Z579" ca="1">MMULT(_xlfn.ANCHORARRAY(Q579),TRANSPOSE($Q$3:$U$3))</f>
        <v>1.0446417712250192E-3</v>
      </c>
      <c r="AA579" s="11">
        <f ca="1">AVEDEV(Q579*$Q$3,R579*$R$3,S579*$S$3,T579*$T$3,U579*$U$3)</f>
        <v>1.5523118365622993E-4</v>
      </c>
      <c r="AB579" s="11" cm="1">
        <f t="array" aca="1" ref="AB579" ca="1">MMULT(_xlfn.ANCHORARRAY(Q579),TRANSPOSE($Q$6:$U$6))</f>
        <v>-2.3167914857298182E-2</v>
      </c>
      <c r="AD579" s="2" t="s">
        <v>570</v>
      </c>
      <c r="AE579" s="10" cm="1">
        <f t="array" aca="1" ref="AE579:AI579" ca="1">_xlfn.LET(_xlpm.array,_xlfn.RANDARRAY(1,COLUMNS(_xlfn.ANCHORARRAY(Q578)),-1,1,FALSE),_xlpm.array/SUM(_xlpm.array))</f>
        <v>-0.60469288106794949</v>
      </c>
      <c r="AF579" s="10">
        <f ca="1"/>
        <v>0.77626878022541845</v>
      </c>
      <c r="AG579" s="10">
        <f ca="1"/>
        <v>0.65245905475632715</v>
      </c>
      <c r="AH579" s="10">
        <f ca="1"/>
        <v>0.66012429799441918</v>
      </c>
      <c r="AI579" s="10">
        <f ca="1"/>
        <v>-0.48415925190821529</v>
      </c>
      <c r="AJ579" s="1"/>
      <c r="AK579" s="2" cm="1">
        <f t="array" aca="1" ref="AK579" ca="1">MMULT(MMULT(_xlfn.ANCHORARRAY(AE579),$Q$9:$U$13),TRANSPOSE(_xlfn.ANCHORARRAY(AE579)))</f>
        <v>1.0448160336016591E-3</v>
      </c>
      <c r="AL579" s="2">
        <f t="shared" ca="1" si="23"/>
        <v>3.2323614179136269E-2</v>
      </c>
      <c r="AM579" s="2" cm="1">
        <f t="array" aca="1" ref="AM579" ca="1">MMULT(_xlfn.ANCHORARRAY(AE580),TRANSPOSE($Q$3:$U$3))</f>
        <v>1.3507838839550595E-3</v>
      </c>
    </row>
    <row r="580" spans="1:39" x14ac:dyDescent="0.35">
      <c r="A580" s="3">
        <v>44670</v>
      </c>
      <c r="B580" s="4">
        <v>35.716304779052699</v>
      </c>
      <c r="C580" s="4">
        <v>146.31982421875</v>
      </c>
      <c r="D580" s="4">
        <v>44.108654022216797</v>
      </c>
      <c r="E580" s="4">
        <v>26.936363220214801</v>
      </c>
      <c r="F580" s="4">
        <v>275.99230957031199</v>
      </c>
      <c r="I580" s="5">
        <f>B580/B579-1</f>
        <v>1.8532811644508707E-2</v>
      </c>
      <c r="J580" s="5">
        <f>C580/C579-1</f>
        <v>-1.1846548141073332E-2</v>
      </c>
      <c r="K580" s="5">
        <f>D580/D579-1</f>
        <v>1.8679938228071791E-2</v>
      </c>
      <c r="L580" s="5">
        <f>E580/E579-1</f>
        <v>-1.6992681187354086E-2</v>
      </c>
      <c r="M580" s="5">
        <f>F580/F579-1</f>
        <v>1.7039774768771609E-2</v>
      </c>
      <c r="N580" s="5">
        <f>SUMPRODUCT(I580:M580,$AJ$13:$AN$13)</f>
        <v>2.5064367429681557E-3</v>
      </c>
      <c r="P580" s="2" t="s">
        <v>571</v>
      </c>
      <c r="Q580" s="10" cm="1">
        <f t="array" aca="1" ref="Q580:U580" ca="1">_xlfn.LET(_xlpm.array,_xlfn.RANDARRAY(1,COLUMNS(_xlfn.ANCHORARRAY(Q579)),0,1,FALSE),_xlpm.array/SUM(_xlpm.array))</f>
        <v>0.32717065478891011</v>
      </c>
      <c r="R580" s="2">
        <f ca="1"/>
        <v>0.19425443267004128</v>
      </c>
      <c r="S580" s="2">
        <f ca="1"/>
        <v>0.34743254451573258</v>
      </c>
      <c r="T580" s="2">
        <f ca="1"/>
        <v>4.317544070621445E-2</v>
      </c>
      <c r="U580" s="2">
        <f ca="1"/>
        <v>8.7966927319101509E-2</v>
      </c>
      <c r="V580" s="12"/>
      <c r="X580" s="2" cm="1">
        <f t="array" aca="1" ref="X580" ca="1">MMULT(MMULT(_xlfn.ANCHORARRAY(Q580),$Q$9:$U$13),TRANSPOSE(_xlfn.ANCHORARRAY(Q580)))</f>
        <v>3.3744119503358283E-4</v>
      </c>
      <c r="Y580" s="2">
        <f t="shared" ca="1" si="22"/>
        <v>1.8369572532685209E-2</v>
      </c>
      <c r="Z580" s="2" cm="1">
        <f t="array" aca="1" ref="Z580" ca="1">MMULT(_xlfn.ANCHORARRAY(Q580),TRANSPOSE($Q$3:$U$3))</f>
        <v>9.8375676053970794E-4</v>
      </c>
      <c r="AA580" s="11">
        <f ca="1">AVEDEV(Q580*$Q$3,R580*$R$3,S580*$S$3,T580*$T$3,U580*$U$3)</f>
        <v>1.4699174752431783E-4</v>
      </c>
      <c r="AB580" s="11" cm="1">
        <f t="array" aca="1" ref="AB580" ca="1">MMULT(_xlfn.ANCHORARRAY(Q580),TRANSPOSE($Q$6:$U$6))</f>
        <v>-2.3361279765326752E-2</v>
      </c>
      <c r="AD580" s="2" t="s">
        <v>571</v>
      </c>
      <c r="AE580" s="10" cm="1">
        <f t="array" aca="1" ref="AE580:AI580" ca="1">_xlfn.LET(_xlpm.array,_xlfn.RANDARRAY(1,COLUMNS(_xlfn.ANCHORARRAY(Q579)),-1,1,FALSE),_xlpm.array/SUM(_xlpm.array))</f>
        <v>1.1777885004575281</v>
      </c>
      <c r="AF580" s="10">
        <f ca="1"/>
        <v>-1.5788797191040627</v>
      </c>
      <c r="AG580" s="10">
        <f ca="1"/>
        <v>0.73469307028398934</v>
      </c>
      <c r="AH580" s="10">
        <f ca="1"/>
        <v>0.78787597060248582</v>
      </c>
      <c r="AI580" s="10">
        <f ca="1"/>
        <v>-0.12147782223994072</v>
      </c>
      <c r="AJ580" s="1"/>
      <c r="AK580" s="2" cm="1">
        <f t="array" aca="1" ref="AK580" ca="1">MMULT(MMULT(_xlfn.ANCHORARRAY(AE580),$Q$9:$U$13),TRANSPOSE(_xlfn.ANCHORARRAY(AE580)))</f>
        <v>1.1916067843005813E-3</v>
      </c>
      <c r="AL580" s="2">
        <f t="shared" ca="1" si="23"/>
        <v>3.4519657940086566E-2</v>
      </c>
      <c r="AM580" s="2" cm="1">
        <f t="array" aca="1" ref="AM580" ca="1">MMULT(_xlfn.ANCHORARRAY(AE581),TRANSPOSE($Q$3:$U$3))</f>
        <v>1.0984496875229345E-3</v>
      </c>
    </row>
    <row r="581" spans="1:39" x14ac:dyDescent="0.35">
      <c r="A581" s="3">
        <v>44671</v>
      </c>
      <c r="B581" s="4">
        <v>35.797534942626903</v>
      </c>
      <c r="C581" s="4">
        <v>146.91589355468699</v>
      </c>
      <c r="D581" s="4">
        <v>45.036949157714801</v>
      </c>
      <c r="E581" s="4">
        <v>27.140962600708001</v>
      </c>
      <c r="F581" s="4">
        <v>277.01773071289</v>
      </c>
      <c r="I581" s="5">
        <f>B581/B580-1</f>
        <v>2.274316004321042E-3</v>
      </c>
      <c r="J581" s="5">
        <f>C581/C580-1</f>
        <v>4.0737428377843887E-3</v>
      </c>
      <c r="K581" s="5">
        <f>D581/D580-1</f>
        <v>2.1045646394705964E-2</v>
      </c>
      <c r="L581" s="5">
        <f>E581/E580-1</f>
        <v>7.5956571724447031E-3</v>
      </c>
      <c r="M581" s="5">
        <f>F581/F580-1</f>
        <v>3.7153975202224299E-3</v>
      </c>
      <c r="N581" s="5">
        <f>SUMPRODUCT(I581:M581,$AJ$13:$AN$13)</f>
        <v>1.4956899925616466E-2</v>
      </c>
      <c r="P581" s="2" t="s">
        <v>572</v>
      </c>
      <c r="Q581" s="10" cm="1">
        <f t="array" aca="1" ref="Q581:U581" ca="1">_xlfn.LET(_xlpm.array,_xlfn.RANDARRAY(1,COLUMNS(_xlfn.ANCHORARRAY(Q580)),0,1,FALSE),_xlpm.array/SUM(_xlpm.array))</f>
        <v>0.17585724293246607</v>
      </c>
      <c r="R581" s="2">
        <f ca="1"/>
        <v>0.26502115027847667</v>
      </c>
      <c r="S581" s="2">
        <f ca="1"/>
        <v>9.448027464260858E-2</v>
      </c>
      <c r="T581" s="2">
        <f ca="1"/>
        <v>0.27540591941030901</v>
      </c>
      <c r="U581" s="2">
        <f ca="1"/>
        <v>0.1892354127361397</v>
      </c>
      <c r="V581" s="12"/>
      <c r="X581" s="2" cm="1">
        <f t="array" aca="1" ref="X581" ca="1">MMULT(MMULT(_xlfn.ANCHORARRAY(Q581),$Q$9:$U$13),TRANSPOSE(_xlfn.ANCHORARRAY(Q581)))</f>
        <v>2.8167461646707491E-4</v>
      </c>
      <c r="Y581" s="2">
        <f t="shared" ca="1" si="22"/>
        <v>1.6783164673775768E-2</v>
      </c>
      <c r="Z581" s="2" cm="1">
        <f t="array" aca="1" ref="Z581" ca="1">MMULT(_xlfn.ANCHORARRAY(Q581),TRANSPOSE($Q$3:$U$3))</f>
        <v>8.6244044768383338E-4</v>
      </c>
      <c r="AA581" s="11">
        <f ca="1">AVEDEV(Q581*$Q$3,R581*$R$3,S581*$S$3,T581*$T$3,U581*$U$3)</f>
        <v>5.1964807142744791E-5</v>
      </c>
      <c r="AB581" s="11" cm="1">
        <f t="array" aca="1" ref="AB581" ca="1">MMULT(_xlfn.ANCHORARRAY(Q581),TRANSPOSE($Q$6:$U$6))</f>
        <v>-2.2563585042312258E-2</v>
      </c>
      <c r="AD581" s="2" t="s">
        <v>572</v>
      </c>
      <c r="AE581" s="10" cm="1">
        <f t="array" aca="1" ref="AE581:AI581" ca="1">_xlfn.LET(_xlpm.array,_xlfn.RANDARRAY(1,COLUMNS(_xlfn.ANCHORARRAY(Q580)),-1,1,FALSE),_xlpm.array/SUM(_xlpm.array))</f>
        <v>0.68965027583507454</v>
      </c>
      <c r="AF581" s="10">
        <f ca="1"/>
        <v>-0.27448876388501764</v>
      </c>
      <c r="AG581" s="10">
        <f ca="1"/>
        <v>0.50000401087005586</v>
      </c>
      <c r="AH581" s="10">
        <f ca="1"/>
        <v>0.27841619259636657</v>
      </c>
      <c r="AI581" s="10">
        <f ca="1"/>
        <v>-0.19358171541647937</v>
      </c>
      <c r="AJ581" s="1"/>
      <c r="AK581" s="2" cm="1">
        <f t="array" aca="1" ref="AK581" ca="1">MMULT(MMULT(_xlfn.ANCHORARRAY(AE581),$Q$9:$U$13),TRANSPOSE(_xlfn.ANCHORARRAY(AE581)))</f>
        <v>5.2858085750963856E-4</v>
      </c>
      <c r="AL581" s="2">
        <f t="shared" ca="1" si="23"/>
        <v>2.2990886401129437E-2</v>
      </c>
      <c r="AM581" s="2" cm="1">
        <f t="array" aca="1" ref="AM581" ca="1">MMULT(_xlfn.ANCHORARRAY(AE582),TRANSPOSE($Q$3:$U$3))</f>
        <v>-1.6019613229129662E-3</v>
      </c>
    </row>
    <row r="582" spans="1:39" x14ac:dyDescent="0.35">
      <c r="A582" s="3">
        <v>44672</v>
      </c>
      <c r="B582" s="4">
        <v>35.120574951171797</v>
      </c>
      <c r="C582" s="4">
        <v>140.14619445800699</v>
      </c>
      <c r="D582" s="4">
        <v>44.310844421386697</v>
      </c>
      <c r="E582" s="4">
        <v>26.012140274047798</v>
      </c>
      <c r="F582" s="4">
        <v>271.64874267578102</v>
      </c>
      <c r="I582" s="5">
        <f>B582/B581-1</f>
        <v>-1.8910799096643838E-2</v>
      </c>
      <c r="J582" s="5">
        <f>C582/C581-1</f>
        <v>-4.607873888171321E-2</v>
      </c>
      <c r="K582" s="5">
        <f>D582/D581-1</f>
        <v>-1.6122422808555692E-2</v>
      </c>
      <c r="L582" s="5">
        <f>E582/E581-1</f>
        <v>-4.1591093995713924E-2</v>
      </c>
      <c r="M582" s="5">
        <f>F582/F581-1</f>
        <v>-1.9381387694181851E-2</v>
      </c>
      <c r="N582" s="5">
        <f>SUMPRODUCT(I582:M582,$AJ$13:$AN$13)</f>
        <v>-2.7323612563660754E-2</v>
      </c>
      <c r="P582" s="2" t="s">
        <v>573</v>
      </c>
      <c r="Q582" s="10" cm="1">
        <f t="array" aca="1" ref="Q582:U582" ca="1">_xlfn.LET(_xlpm.array,_xlfn.RANDARRAY(1,COLUMNS(_xlfn.ANCHORARRAY(Q581)),0,1,FALSE),_xlpm.array/SUM(_xlpm.array))</f>
        <v>6.188873276129063E-2</v>
      </c>
      <c r="R582" s="2">
        <f ca="1"/>
        <v>0.39822866043844635</v>
      </c>
      <c r="S582" s="2">
        <f ca="1"/>
        <v>0.19061179766912664</v>
      </c>
      <c r="T582" s="2">
        <f ca="1"/>
        <v>0.22672165041810513</v>
      </c>
      <c r="U582" s="2">
        <f ca="1"/>
        <v>0.12254915871303128</v>
      </c>
      <c r="V582" s="12"/>
      <c r="X582" s="2" cm="1">
        <f t="array" aca="1" ref="X582" ca="1">MMULT(MMULT(_xlfn.ANCHORARRAY(Q582),$Q$9:$U$13),TRANSPOSE(_xlfn.ANCHORARRAY(Q582)))</f>
        <v>3.0939605848695571E-4</v>
      </c>
      <c r="Y582" s="2">
        <f t="shared" ca="1" si="22"/>
        <v>1.7589657713752014E-2</v>
      </c>
      <c r="Z582" s="2" cm="1">
        <f t="array" aca="1" ref="Z582" ca="1">MMULT(_xlfn.ANCHORARRAY(Q582),TRANSPOSE($Q$3:$U$3))</f>
        <v>9.571654543730154E-4</v>
      </c>
      <c r="AA582" s="11">
        <f ca="1">AVEDEV(Q582*$Q$3,R582*$R$3,S582*$S$3,T582*$T$3,U582*$U$3)</f>
        <v>1.0307170946147819E-4</v>
      </c>
      <c r="AB582" s="11" cm="1">
        <f t="array" aca="1" ref="AB582" ca="1">MMULT(_xlfn.ANCHORARRAY(Q582),TRANSPOSE($Q$6:$U$6))</f>
        <v>-2.2887461928352962E-2</v>
      </c>
      <c r="AD582" s="2" t="s">
        <v>573</v>
      </c>
      <c r="AE582" s="10" cm="1">
        <f t="array" aca="1" ref="AE582:AI582" ca="1">_xlfn.LET(_xlpm.array,_xlfn.RANDARRAY(1,COLUMNS(_xlfn.ANCHORARRAY(Q581)),-1,1,FALSE),_xlpm.array/SUM(_xlpm.array))</f>
        <v>0.24312984251573044</v>
      </c>
      <c r="AF582" s="10">
        <f ca="1"/>
        <v>3.8941258338889266</v>
      </c>
      <c r="AG582" s="10">
        <f ca="1"/>
        <v>-2.348626375842974</v>
      </c>
      <c r="AH582" s="10">
        <f ca="1"/>
        <v>-0.59127107524006095</v>
      </c>
      <c r="AI582" s="10">
        <f ca="1"/>
        <v>-0.19735822532162253</v>
      </c>
      <c r="AJ582" s="1"/>
      <c r="AK582" s="2" cm="1">
        <f t="array" aca="1" ref="AK582" ca="1">MMULT(MMULT(_xlfn.ANCHORARRAY(AE582),$Q$9:$U$13),TRANSPOSE(_xlfn.ANCHORARRAY(AE582)))</f>
        <v>7.0886040941222084E-3</v>
      </c>
      <c r="AL582" s="2">
        <f t="shared" ca="1" si="23"/>
        <v>8.4193848315195857E-2</v>
      </c>
      <c r="AM582" s="2" cm="1">
        <f t="array" aca="1" ref="AM582" ca="1">MMULT(_xlfn.ANCHORARRAY(AE583),TRANSPOSE($Q$3:$U$3))</f>
        <v>1.212618537013053E-2</v>
      </c>
    </row>
    <row r="583" spans="1:39" x14ac:dyDescent="0.35">
      <c r="A583" s="3">
        <v>44673</v>
      </c>
      <c r="B583" s="4">
        <v>33.902053833007798</v>
      </c>
      <c r="C583" s="4">
        <v>137.05509948730401</v>
      </c>
      <c r="D583" s="4">
        <v>43.0792236328125</v>
      </c>
      <c r="E583" s="4">
        <v>25.334854125976499</v>
      </c>
      <c r="F583" s="4">
        <v>265.08996582031199</v>
      </c>
      <c r="I583" s="5">
        <f>B583/B582-1</f>
        <v>-3.4695363611162655E-2</v>
      </c>
      <c r="J583" s="5">
        <f>C583/C582-1</f>
        <v>-2.2056217670820777E-2</v>
      </c>
      <c r="K583" s="5">
        <f>D583/D582-1</f>
        <v>-2.7795019586215663E-2</v>
      </c>
      <c r="L583" s="5">
        <f>E583/E582-1</f>
        <v>-2.6037309538386011E-2</v>
      </c>
      <c r="M583" s="5">
        <f>F583/F582-1</f>
        <v>-2.4144329883010296E-2</v>
      </c>
      <c r="N583" s="5">
        <f>SUMPRODUCT(I583:M583,$AJ$13:$AN$13)</f>
        <v>-2.3946561557019703E-2</v>
      </c>
      <c r="P583" s="2" t="s">
        <v>574</v>
      </c>
      <c r="Q583" s="10" cm="1">
        <f t="array" aca="1" ref="Q583:U583" ca="1">_xlfn.LET(_xlpm.array,_xlfn.RANDARRAY(1,COLUMNS(_xlfn.ANCHORARRAY(Q582)),0,1,FALSE),_xlpm.array/SUM(_xlpm.array))</f>
        <v>0.25073519966144814</v>
      </c>
      <c r="R583" s="2">
        <f ca="1"/>
        <v>0.27377959401582158</v>
      </c>
      <c r="S583" s="2">
        <f ca="1"/>
        <v>3.1634986745669516E-2</v>
      </c>
      <c r="T583" s="2">
        <f ca="1"/>
        <v>0.1454111083094678</v>
      </c>
      <c r="U583" s="2">
        <f ca="1"/>
        <v>0.29843911126759282</v>
      </c>
      <c r="V583" s="12"/>
      <c r="X583" s="2" cm="1">
        <f t="array" aca="1" ref="X583" ca="1">MMULT(MMULT(_xlfn.ANCHORARRAY(Q583),$Q$9:$U$13),TRANSPOSE(_xlfn.ANCHORARRAY(Q583)))</f>
        <v>2.5783954494846894E-4</v>
      </c>
      <c r="Y583" s="2">
        <f t="shared" ca="1" si="22"/>
        <v>1.6057382879799215E-2</v>
      </c>
      <c r="Z583" s="2" cm="1">
        <f t="array" aca="1" ref="Z583" ca="1">MMULT(_xlfn.ANCHORARRAY(Q583),TRANSPOSE($Q$3:$U$3))</f>
        <v>7.555517900056743E-4</v>
      </c>
      <c r="AA583" s="11">
        <f ca="1">AVEDEV(Q583*$Q$3,R583*$R$3,S583*$S$3,T583*$T$3,U583*$U$3)</f>
        <v>5.038645124007348E-5</v>
      </c>
      <c r="AB583" s="11" cm="1">
        <f t="array" aca="1" ref="AB583" ca="1">MMULT(_xlfn.ANCHORARRAY(Q583),TRANSPOSE($Q$6:$U$6))</f>
        <v>-2.1582795807673701E-2</v>
      </c>
      <c r="AD583" s="2" t="s">
        <v>574</v>
      </c>
      <c r="AE583" s="10" cm="1">
        <f t="array" aca="1" ref="AE583:AI583" ca="1">_xlfn.LET(_xlpm.array,_xlfn.RANDARRAY(1,COLUMNS(_xlfn.ANCHORARRAY(Q582)),-1,1,FALSE),_xlpm.array/SUM(_xlpm.array))</f>
        <v>2.5629163500513581</v>
      </c>
      <c r="AF583" s="10">
        <f ca="1"/>
        <v>-8.5318804958683057</v>
      </c>
      <c r="AG583" s="10">
        <f ca="1"/>
        <v>12.505026186658791</v>
      </c>
      <c r="AH583" s="10">
        <f ca="1"/>
        <v>3.816787729704795</v>
      </c>
      <c r="AI583" s="10">
        <f ca="1"/>
        <v>-9.3528497705466389</v>
      </c>
      <c r="AJ583" s="1"/>
      <c r="AK583" s="2" cm="1">
        <f t="array" aca="1" ref="AK583" ca="1">MMULT(MMULT(_xlfn.ANCHORARRAY(AE583),$Q$9:$U$13),TRANSPOSE(_xlfn.ANCHORARRAY(AE583)))</f>
        <v>0.11676508989415249</v>
      </c>
      <c r="AL583" s="2">
        <f t="shared" ca="1" si="23"/>
        <v>0.34170907201031769</v>
      </c>
      <c r="AM583" s="2" cm="1">
        <f t="array" aca="1" ref="AM583" ca="1">MMULT(_xlfn.ANCHORARRAY(AE584),TRANSPOSE($Q$3:$U$3))</f>
        <v>3.0542933104021016E-3</v>
      </c>
    </row>
    <row r="584" spans="1:39" x14ac:dyDescent="0.35">
      <c r="A584" s="3">
        <v>44676</v>
      </c>
      <c r="B584" s="4">
        <v>33.658348083496001</v>
      </c>
      <c r="C584" s="4">
        <v>134.10881042480401</v>
      </c>
      <c r="D584" s="4">
        <v>43.446876525878899</v>
      </c>
      <c r="E584" s="4">
        <v>24.3753643035888</v>
      </c>
      <c r="F584" s="4">
        <v>271.56170654296801</v>
      </c>
      <c r="I584" s="5">
        <f>B584/B583-1</f>
        <v>-7.1885246455044571E-3</v>
      </c>
      <c r="J584" s="5">
        <f>C584/C583-1</f>
        <v>-2.14971137412725E-2</v>
      </c>
      <c r="K584" s="5">
        <f>D584/D583-1</f>
        <v>8.5343435202107631E-3</v>
      </c>
      <c r="L584" s="5">
        <f>E584/E583-1</f>
        <v>-3.7872324727692419E-2</v>
      </c>
      <c r="M584" s="5">
        <f>F584/F583-1</f>
        <v>2.4413374918320407E-2</v>
      </c>
      <c r="N584" s="5">
        <f>SUMPRODUCT(I584:M584,$AJ$13:$AN$13)</f>
        <v>-2.314001519882725E-3</v>
      </c>
      <c r="P584" s="2" t="s">
        <v>575</v>
      </c>
      <c r="Q584" s="10" cm="1">
        <f t="array" aca="1" ref="Q584:U584" ca="1">_xlfn.LET(_xlpm.array,_xlfn.RANDARRAY(1,COLUMNS(_xlfn.ANCHORARRAY(Q583)),0,1,FALSE),_xlpm.array/SUM(_xlpm.array))</f>
        <v>0.2818772443053682</v>
      </c>
      <c r="R584" s="2">
        <f ca="1"/>
        <v>0.12939383291524675</v>
      </c>
      <c r="S584" s="2">
        <f ca="1"/>
        <v>0.2189295039624361</v>
      </c>
      <c r="T584" s="2">
        <f ca="1"/>
        <v>0.11359263516524185</v>
      </c>
      <c r="U584" s="2">
        <f ca="1"/>
        <v>0.25620678365170702</v>
      </c>
      <c r="V584" s="12"/>
      <c r="X584" s="2" cm="1">
        <f t="array" aca="1" ref="X584" ca="1">MMULT(MMULT(_xlfn.ANCHORARRAY(Q584),$Q$9:$U$13),TRANSPOSE(_xlfn.ANCHORARRAY(Q584)))</f>
        <v>2.7596026110800941E-4</v>
      </c>
      <c r="Y584" s="2">
        <f t="shared" ca="1" si="22"/>
        <v>1.6612051682679336E-2</v>
      </c>
      <c r="Z584" s="2" cm="1">
        <f t="array" aca="1" ref="Z584" ca="1">MMULT(_xlfn.ANCHORARRAY(Q584),TRANSPOSE($Q$3:$U$3))</f>
        <v>9.0530208305566822E-4</v>
      </c>
      <c r="AA584" s="11">
        <f ca="1">AVEDEV(Q584*$Q$3,R584*$R$3,S584*$S$3,T584*$T$3,U584*$U$3)</f>
        <v>7.5752634853736708E-5</v>
      </c>
      <c r="AB584" s="11" cm="1">
        <f t="array" aca="1" ref="AB584" ca="1">MMULT(_xlfn.ANCHORARRAY(Q584),TRANSPOSE($Q$6:$U$6))</f>
        <v>-2.2716006022431089E-2</v>
      </c>
      <c r="AD584" s="2" t="s">
        <v>575</v>
      </c>
      <c r="AE584" s="10" cm="1">
        <f t="array" aca="1" ref="AE584:AI584" ca="1">_xlfn.LET(_xlpm.array,_xlfn.RANDARRAY(1,COLUMNS(_xlfn.ANCHORARRAY(Q583)),-1,1,FALSE),_xlpm.array/SUM(_xlpm.array))</f>
        <v>-1.3326187169109289</v>
      </c>
      <c r="AF584" s="10">
        <f ca="1"/>
        <v>-1.3585547283041877</v>
      </c>
      <c r="AG584" s="10">
        <f ca="1"/>
        <v>2.5170988742103906</v>
      </c>
      <c r="AH584" s="10">
        <f ca="1"/>
        <v>-1.0208018102074554</v>
      </c>
      <c r="AI584" s="10">
        <f ca="1"/>
        <v>2.1948763812121812</v>
      </c>
      <c r="AJ584" s="1"/>
      <c r="AK584" s="2" cm="1">
        <f t="array" aca="1" ref="AK584" ca="1">MMULT(MMULT(_xlfn.ANCHORARRAY(AE584),$Q$9:$U$13),TRANSPOSE(_xlfn.ANCHORARRAY(AE584)))</f>
        <v>8.4264876733834877E-3</v>
      </c>
      <c r="AL584" s="2">
        <f t="shared" ca="1" si="23"/>
        <v>9.1795902269020097E-2</v>
      </c>
      <c r="AM584" s="2" cm="1">
        <f t="array" aca="1" ref="AM584" ca="1">MMULT(_xlfn.ANCHORARRAY(AE585),TRANSPOSE($Q$3:$U$3))</f>
        <v>1.090133551236069E-3</v>
      </c>
    </row>
    <row r="585" spans="1:39" x14ac:dyDescent="0.35">
      <c r="A585" s="3">
        <v>44677</v>
      </c>
      <c r="B585" s="4">
        <v>32.900161743163999</v>
      </c>
      <c r="C585" s="4">
        <v>133.29129028320301</v>
      </c>
      <c r="D585" s="4">
        <v>42.748336791992102</v>
      </c>
      <c r="E585" s="4">
        <v>25.532396316528299</v>
      </c>
      <c r="F585" s="4">
        <v>261.404205322265</v>
      </c>
      <c r="I585" s="5">
        <f>B585/B584-1</f>
        <v>-2.2525952208087507E-2</v>
      </c>
      <c r="J585" s="5">
        <f>C585/C584-1</f>
        <v>-6.0959465601955198E-3</v>
      </c>
      <c r="K585" s="5">
        <f>D585/D584-1</f>
        <v>-1.6078019635559215E-2</v>
      </c>
      <c r="L585" s="5">
        <f>E585/E584-1</f>
        <v>4.7467270582255416E-2</v>
      </c>
      <c r="M585" s="5">
        <f>F585/F584-1</f>
        <v>-3.7404026326133821E-2</v>
      </c>
      <c r="N585" s="5">
        <f>SUMPRODUCT(I585:M585,$AJ$13:$AN$13)</f>
        <v>8.0278609044609171E-3</v>
      </c>
      <c r="P585" s="2" t="s">
        <v>576</v>
      </c>
      <c r="Q585" s="10" cm="1">
        <f t="array" aca="1" ref="Q585:U585" ca="1">_xlfn.LET(_xlpm.array,_xlfn.RANDARRAY(1,COLUMNS(_xlfn.ANCHORARRAY(Q584)),0,1,FALSE),_xlpm.array/SUM(_xlpm.array))</f>
        <v>0.13253116574088178</v>
      </c>
      <c r="R585" s="2">
        <f ca="1"/>
        <v>2.6472959770122092E-2</v>
      </c>
      <c r="S585" s="2">
        <f ca="1"/>
        <v>0.22140773455040372</v>
      </c>
      <c r="T585" s="2">
        <f ca="1"/>
        <v>0.33532252573820232</v>
      </c>
      <c r="U585" s="2">
        <f ca="1"/>
        <v>0.28426561420039009</v>
      </c>
      <c r="V585" s="12"/>
      <c r="X585" s="2" cm="1">
        <f t="array" aca="1" ref="X585" ca="1">MMULT(MMULT(_xlfn.ANCHORARRAY(Q585),$Q$9:$U$13),TRANSPOSE(_xlfn.ANCHORARRAY(Q585)))</f>
        <v>2.8128929104689622E-4</v>
      </c>
      <c r="Y585" s="2">
        <f t="shared" ca="1" si="22"/>
        <v>1.6771681223028783E-2</v>
      </c>
      <c r="Z585" s="2" cm="1">
        <f t="array" aca="1" ref="Z585" ca="1">MMULT(_xlfn.ANCHORARRAY(Q585),TRANSPOSE($Q$3:$U$3))</f>
        <v>1.0062492643552283E-3</v>
      </c>
      <c r="AA585" s="11">
        <f ca="1">AVEDEV(Q585*$Q$3,R585*$R$3,S585*$S$3,T585*$T$3,U585*$U$3)</f>
        <v>1.2632385965610866E-4</v>
      </c>
      <c r="AB585" s="11" cm="1">
        <f t="array" aca="1" ref="AB585" ca="1">MMULT(_xlfn.ANCHORARRAY(Q585),TRANSPOSE($Q$6:$U$6))</f>
        <v>-2.3580344474880815E-2</v>
      </c>
      <c r="AD585" s="2" t="s">
        <v>576</v>
      </c>
      <c r="AE585" s="10" cm="1">
        <f t="array" aca="1" ref="AE585:AI585" ca="1">_xlfn.LET(_xlpm.array,_xlfn.RANDARRAY(1,COLUMNS(_xlfn.ANCHORARRAY(Q584)),-1,1,FALSE),_xlpm.array/SUM(_xlpm.array))</f>
        <v>-4.7053899763078617E-2</v>
      </c>
      <c r="AF585" s="10">
        <f ca="1"/>
        <v>0.56535155115609981</v>
      </c>
      <c r="AG585" s="10">
        <f ca="1"/>
        <v>0.33585174334079071</v>
      </c>
      <c r="AH585" s="10">
        <f ca="1"/>
        <v>0.17225536249592163</v>
      </c>
      <c r="AI585" s="10">
        <f ca="1"/>
        <v>-2.6404757229733594E-2</v>
      </c>
      <c r="AJ585" s="1"/>
      <c r="AK585" s="2" cm="1">
        <f t="array" aca="1" ref="AK585" ca="1">MMULT(MMULT(_xlfn.ANCHORARRAY(AE585),$Q$9:$U$13),TRANSPOSE(_xlfn.ANCHORARRAY(AE585)))</f>
        <v>3.9629101037310705E-4</v>
      </c>
      <c r="AL585" s="2">
        <f t="shared" ca="1" si="23"/>
        <v>1.990705931003138E-2</v>
      </c>
      <c r="AM585" s="2" cm="1">
        <f t="array" aca="1" ref="AM585" ca="1">MMULT(_xlfn.ANCHORARRAY(AE586),TRANSPOSE($Q$3:$U$3))</f>
        <v>6.9610762570958089E-4</v>
      </c>
    </row>
    <row r="586" spans="1:39" x14ac:dyDescent="0.35">
      <c r="A586" s="3">
        <v>44678</v>
      </c>
      <c r="B586" s="4">
        <v>32.719631195068303</v>
      </c>
      <c r="C586" s="4">
        <v>133.04435729980401</v>
      </c>
      <c r="D586" s="4">
        <v>42.785102844238203</v>
      </c>
      <c r="E586" s="4">
        <v>24.967988967895501</v>
      </c>
      <c r="F586" s="4">
        <v>273.98016357421801</v>
      </c>
      <c r="I586" s="5">
        <f>B586/B585-1</f>
        <v>-5.487223725676893E-3</v>
      </c>
      <c r="J586" s="5">
        <f>C586/C585-1</f>
        <v>-1.8525815368307663E-3</v>
      </c>
      <c r="K586" s="5">
        <f>D586/D585-1</f>
        <v>8.6005807489075714E-4</v>
      </c>
      <c r="L586" s="5">
        <f>E586/E585-1</f>
        <v>-2.2105537672052811E-2</v>
      </c>
      <c r="M586" s="5">
        <f>F586/F585-1</f>
        <v>4.8109242299484434E-2</v>
      </c>
      <c r="N586" s="5">
        <f>SUMPRODUCT(I586:M586,$AJ$13:$AN$13)</f>
        <v>7.8372228176351623E-3</v>
      </c>
      <c r="P586" s="2" t="s">
        <v>577</v>
      </c>
      <c r="Q586" s="10" cm="1">
        <f t="array" aca="1" ref="Q586:U586" ca="1">_xlfn.LET(_xlpm.array,_xlfn.RANDARRAY(1,COLUMNS(_xlfn.ANCHORARRAY(Q585)),0,1,FALSE),_xlpm.array/SUM(_xlpm.array))</f>
        <v>0.19295267871444033</v>
      </c>
      <c r="R586" s="2">
        <f ca="1"/>
        <v>0.24061534478625324</v>
      </c>
      <c r="S586" s="2">
        <f ca="1"/>
        <v>0.21435616383392572</v>
      </c>
      <c r="T586" s="2">
        <f ca="1"/>
        <v>2.5022535444400189E-2</v>
      </c>
      <c r="U586" s="2">
        <f ca="1"/>
        <v>0.3270532772209806</v>
      </c>
      <c r="V586" s="12"/>
      <c r="X586" s="2" cm="1">
        <f t="array" aca="1" ref="X586" ca="1">MMULT(MMULT(_xlfn.ANCHORARRAY(Q586),$Q$9:$U$13),TRANSPOSE(_xlfn.ANCHORARRAY(Q586)))</f>
        <v>2.6991416861689964E-4</v>
      </c>
      <c r="Y586" s="2">
        <f t="shared" ca="1" si="22"/>
        <v>1.6429064751741034E-2</v>
      </c>
      <c r="Z586" s="2" cm="1">
        <f t="array" aca="1" ref="Z586" ca="1">MMULT(_xlfn.ANCHORARRAY(Q586),TRANSPOSE($Q$3:$U$3))</f>
        <v>8.9760016977115864E-4</v>
      </c>
      <c r="AA586" s="11">
        <f ca="1">AVEDEV(Q586*$Q$3,R586*$R$3,S586*$S$3,T586*$T$3,U586*$U$3)</f>
        <v>9.5688982254289932E-5</v>
      </c>
      <c r="AB586" s="11" cm="1">
        <f t="array" aca="1" ref="AB586" ca="1">MMULT(_xlfn.ANCHORARRAY(Q586),TRANSPOSE($Q$6:$U$6))</f>
        <v>-2.2158712256638687E-2</v>
      </c>
      <c r="AD586" s="2" t="s">
        <v>577</v>
      </c>
      <c r="AE586" s="10" cm="1">
        <f t="array" aca="1" ref="AE586:AI586" ca="1">_xlfn.LET(_xlpm.array,_xlfn.RANDARRAY(1,COLUMNS(_xlfn.ANCHORARRAY(Q585)),-1,1,FALSE),_xlpm.array/SUM(_xlpm.array))</f>
        <v>0.76262915796845065</v>
      </c>
      <c r="AF586" s="10">
        <f ca="1"/>
        <v>0.57138984175730756</v>
      </c>
      <c r="AG586" s="10">
        <f ca="1"/>
        <v>1.1099226848954629E-2</v>
      </c>
      <c r="AH586" s="10">
        <f ca="1"/>
        <v>0.53431654285874131</v>
      </c>
      <c r="AI586" s="10">
        <f ca="1"/>
        <v>-0.87943476943345422</v>
      </c>
      <c r="AJ586" s="1"/>
      <c r="AK586" s="2" cm="1">
        <f t="array" aca="1" ref="AK586" ca="1">MMULT(MMULT(_xlfn.ANCHORARRAY(AE586),$Q$9:$U$13),TRANSPOSE(_xlfn.ANCHORARRAY(AE586)))</f>
        <v>1.0670577450875875E-3</v>
      </c>
      <c r="AL586" s="2">
        <f t="shared" ca="1" si="23"/>
        <v>3.2665849829563401E-2</v>
      </c>
      <c r="AM586" s="2" cm="1">
        <f t="array" aca="1" ref="AM586" ca="1">MMULT(_xlfn.ANCHORARRAY(AE587),TRANSPOSE($Q$3:$U$3))</f>
        <v>1.3486153978022183E-3</v>
      </c>
    </row>
    <row r="587" spans="1:39" x14ac:dyDescent="0.35">
      <c r="A587" s="3">
        <v>44679</v>
      </c>
      <c r="B587" s="4">
        <v>33.225090026855398</v>
      </c>
      <c r="C587" s="4">
        <v>137.77040100097599</v>
      </c>
      <c r="D587" s="4">
        <v>44.228122711181598</v>
      </c>
      <c r="E587" s="4">
        <v>24.608179092407202</v>
      </c>
      <c r="F587" s="4">
        <v>280.18099975585898</v>
      </c>
      <c r="I587" s="5">
        <f>B587/B586-1</f>
        <v>1.5448182431325286E-2</v>
      </c>
      <c r="J587" s="5">
        <f>C587/C586-1</f>
        <v>3.5522315993621989E-2</v>
      </c>
      <c r="K587" s="5">
        <f>D587/D586-1</f>
        <v>3.372715667406001E-2</v>
      </c>
      <c r="L587" s="5">
        <f>E587/E586-1</f>
        <v>-1.441084726330788E-2</v>
      </c>
      <c r="M587" s="5">
        <f>F587/F586-1</f>
        <v>2.2632427474849726E-2</v>
      </c>
      <c r="N587" s="5">
        <f>SUMPRODUCT(I587:M587,$AJ$13:$AN$13)</f>
        <v>1.2755923533173074E-2</v>
      </c>
      <c r="P587" s="2" t="s">
        <v>578</v>
      </c>
      <c r="Q587" s="10" cm="1">
        <f t="array" aca="1" ref="Q587:U587" ca="1">_xlfn.LET(_xlpm.array,_xlfn.RANDARRAY(1,COLUMNS(_xlfn.ANCHORARRAY(Q586)),0,1,FALSE),_xlpm.array/SUM(_xlpm.array))</f>
        <v>8.013578976447144E-3</v>
      </c>
      <c r="R587" s="2">
        <f ca="1"/>
        <v>0.52631675983052228</v>
      </c>
      <c r="S587" s="2">
        <f ca="1"/>
        <v>3.8869126887779916E-2</v>
      </c>
      <c r="T587" s="2">
        <f ca="1"/>
        <v>6.7328843996259588E-2</v>
      </c>
      <c r="U587" s="2">
        <f ca="1"/>
        <v>0.35947169030899107</v>
      </c>
      <c r="V587" s="12"/>
      <c r="X587" s="2" cm="1">
        <f t="array" aca="1" ref="X587" ca="1">MMULT(MMULT(_xlfn.ANCHORARRAY(Q587),$Q$9:$U$13),TRANSPOSE(_xlfn.ANCHORARRAY(Q587)))</f>
        <v>2.7028653706539634E-4</v>
      </c>
      <c r="Y587" s="2">
        <f t="shared" ca="1" si="22"/>
        <v>1.6440393458351181E-2</v>
      </c>
      <c r="Z587" s="2" cm="1">
        <f t="array" aca="1" ref="Z587" ca="1">MMULT(_xlfn.ANCHORARRAY(Q587),TRANSPOSE($Q$3:$U$3))</f>
        <v>7.9526100878286464E-4</v>
      </c>
      <c r="AA587" s="11">
        <f ca="1">AVEDEV(Q587*$Q$3,R587*$R$3,S587*$S$3,T587*$T$3,U587*$U$3)</f>
        <v>1.3647037661912854E-4</v>
      </c>
      <c r="AB587" s="11" cm="1">
        <f t="array" aca="1" ref="AB587" ca="1">MMULT(_xlfn.ANCHORARRAY(Q587),TRANSPOSE($Q$6:$U$6))</f>
        <v>-2.1000049611382104E-2</v>
      </c>
      <c r="AD587" s="2" t="s">
        <v>578</v>
      </c>
      <c r="AE587" s="10" cm="1">
        <f t="array" aca="1" ref="AE587:AI587" ca="1">_xlfn.LET(_xlpm.array,_xlfn.RANDARRAY(1,COLUMNS(_xlfn.ANCHORARRAY(Q586)),-1,1,FALSE),_xlpm.array/SUM(_xlpm.array))</f>
        <v>-4.703652065346383E-2</v>
      </c>
      <c r="AF587" s="10">
        <f ca="1"/>
        <v>4.4769935879162163E-2</v>
      </c>
      <c r="AG587" s="10">
        <f ca="1"/>
        <v>0.87431088119281863</v>
      </c>
      <c r="AH587" s="10">
        <f ca="1"/>
        <v>-0.69293458887891224</v>
      </c>
      <c r="AI587" s="10">
        <f ca="1"/>
        <v>0.82089029246039535</v>
      </c>
      <c r="AJ587" s="1"/>
      <c r="AK587" s="2" cm="1">
        <f t="array" aca="1" ref="AK587" ca="1">MMULT(MMULT(_xlfn.ANCHORARRAY(AE587),$Q$9:$U$13),TRANSPOSE(_xlfn.ANCHORARRAY(AE587)))</f>
        <v>1.1371562378686042E-3</v>
      </c>
      <c r="AL587" s="2">
        <f t="shared" ca="1" si="23"/>
        <v>3.3721747254088184E-2</v>
      </c>
      <c r="AM587" s="2" cm="1">
        <f t="array" aca="1" ref="AM587" ca="1">MMULT(_xlfn.ANCHORARRAY(AE588),TRANSPOSE($Q$3:$U$3))</f>
        <v>1.105183637394808E-3</v>
      </c>
    </row>
    <row r="588" spans="1:39" x14ac:dyDescent="0.35">
      <c r="A588" s="3">
        <v>44680</v>
      </c>
      <c r="B588" s="4">
        <v>32.205146789550703</v>
      </c>
      <c r="C588" s="4">
        <v>133.41050720214801</v>
      </c>
      <c r="D588" s="4">
        <v>43.207901000976499</v>
      </c>
      <c r="E588" s="4">
        <v>24.043775558471602</v>
      </c>
      <c r="F588" s="4">
        <v>268.46603393554602</v>
      </c>
      <c r="I588" s="5">
        <f>B588/B587-1</f>
        <v>-3.0697982653479339E-2</v>
      </c>
      <c r="J588" s="5">
        <f>C588/C587-1</f>
        <v>-3.1646084842252176E-2</v>
      </c>
      <c r="K588" s="5">
        <f>D588/D587-1</f>
        <v>-2.3067262358552942E-2</v>
      </c>
      <c r="L588" s="5">
        <f>E588/E587-1</f>
        <v>-2.2935607377375877E-2</v>
      </c>
      <c r="M588" s="5">
        <f>F588/F587-1</f>
        <v>-4.1812135121657157E-2</v>
      </c>
      <c r="N588" s="5">
        <f>SUMPRODUCT(I588:M588,$AJ$13:$AN$13)</f>
        <v>-2.6779431666525407E-2</v>
      </c>
      <c r="P588" s="2" t="s">
        <v>579</v>
      </c>
      <c r="Q588" s="10" cm="1">
        <f t="array" aca="1" ref="Q588:U588" ca="1">_xlfn.LET(_xlpm.array,_xlfn.RANDARRAY(1,COLUMNS(_xlfn.ANCHORARRAY(Q587)),0,1,FALSE),_xlpm.array/SUM(_xlpm.array))</f>
        <v>0.22235087499677436</v>
      </c>
      <c r="R588" s="2">
        <f ca="1"/>
        <v>0.16714588217199816</v>
      </c>
      <c r="S588" s="2">
        <f ca="1"/>
        <v>8.9534533774601355E-2</v>
      </c>
      <c r="T588" s="2">
        <f ca="1"/>
        <v>0.10432168663239008</v>
      </c>
      <c r="U588" s="2">
        <f ca="1"/>
        <v>0.41664702242423607</v>
      </c>
      <c r="V588" s="12"/>
      <c r="X588" s="2" cm="1">
        <f t="array" aca="1" ref="X588" ca="1">MMULT(MMULT(_xlfn.ANCHORARRAY(Q588),$Q$9:$U$13),TRANSPOSE(_xlfn.ANCHORARRAY(Q588)))</f>
        <v>2.4639989648881093E-4</v>
      </c>
      <c r="Y588" s="2">
        <f t="shared" ca="1" si="22"/>
        <v>1.5697130199141845E-2</v>
      </c>
      <c r="Z588" s="2" cm="1">
        <f t="array" aca="1" ref="Z588" ca="1">MMULT(_xlfn.ANCHORARRAY(Q588),TRANSPOSE($Q$3:$U$3))</f>
        <v>8.0572048753798091E-4</v>
      </c>
      <c r="AA588" s="11">
        <f ca="1">AVEDEV(Q588*$Q$3,R588*$R$3,S588*$S$3,T588*$T$3,U588*$U$3)</f>
        <v>6.3011987326387609E-5</v>
      </c>
      <c r="AB588" s="11" cm="1">
        <f t="array" aca="1" ref="AB588" ca="1">MMULT(_xlfn.ANCHORARRAY(Q588),TRANSPOSE($Q$6:$U$6))</f>
        <v>-2.1690445899650419E-2</v>
      </c>
      <c r="AD588" s="2" t="s">
        <v>579</v>
      </c>
      <c r="AE588" s="10" cm="1">
        <f t="array" aca="1" ref="AE588:AI588" ca="1">_xlfn.LET(_xlpm.array,_xlfn.RANDARRAY(1,COLUMNS(_xlfn.ANCHORARRAY(Q587)),-1,1,FALSE),_xlpm.array/SUM(_xlpm.array))</f>
        <v>-0.40028995221330288</v>
      </c>
      <c r="AF588" s="10">
        <f ca="1"/>
        <v>0.7122113471592687</v>
      </c>
      <c r="AG588" s="10">
        <f ca="1"/>
        <v>3.3851517777898875E-2</v>
      </c>
      <c r="AH588" s="10">
        <f ca="1"/>
        <v>0.90815931132280192</v>
      </c>
      <c r="AI588" s="10">
        <f ca="1"/>
        <v>-0.2539322240466666</v>
      </c>
      <c r="AJ588" s="1"/>
      <c r="AK588" s="2" cm="1">
        <f t="array" aca="1" ref="AK588" ca="1">MMULT(MMULT(_xlfn.ANCHORARRAY(AE588),$Q$9:$U$13),TRANSPOSE(_xlfn.ANCHORARRAY(AE588)))</f>
        <v>8.9415711614251577E-4</v>
      </c>
      <c r="AL588" s="2">
        <f t="shared" ca="1" si="23"/>
        <v>2.9902460034962271E-2</v>
      </c>
      <c r="AM588" s="2" cm="1">
        <f t="array" aca="1" ref="AM588" ca="1">MMULT(_xlfn.ANCHORARRAY(AE589),TRANSPOSE($Q$3:$U$3))</f>
        <v>8.5701022917878094E-4</v>
      </c>
    </row>
    <row r="589" spans="1:39" x14ac:dyDescent="0.35">
      <c r="A589" s="3">
        <v>44683</v>
      </c>
      <c r="B589" s="4">
        <v>32.620349884033203</v>
      </c>
      <c r="C589" s="4">
        <v>136.03324890136699</v>
      </c>
      <c r="D589" s="4">
        <v>43.658279418945298</v>
      </c>
      <c r="E589" s="4">
        <v>23.8744506835937</v>
      </c>
      <c r="F589" s="4">
        <v>275.18939208984301</v>
      </c>
      <c r="I589" s="5">
        <f>B589/B588-1</f>
        <v>1.2892445334769187E-2</v>
      </c>
      <c r="J589" s="5">
        <f>C589/C588-1</f>
        <v>1.9659183929530366E-2</v>
      </c>
      <c r="K589" s="5">
        <f>D589/D588-1</f>
        <v>1.042351994739632E-2</v>
      </c>
      <c r="L589" s="5">
        <f>E589/E588-1</f>
        <v>-7.0423579884999477E-3</v>
      </c>
      <c r="M589" s="5">
        <f>F589/F588-1</f>
        <v>2.5043608145643992E-2</v>
      </c>
      <c r="N589" s="5">
        <f>SUMPRODUCT(I589:M589,$AJ$13:$AN$13)</f>
        <v>6.1296343032598496E-3</v>
      </c>
      <c r="P589" s="2" t="s">
        <v>580</v>
      </c>
      <c r="Q589" s="10" cm="1">
        <f t="array" aca="1" ref="Q589:U589" ca="1">_xlfn.LET(_xlpm.array,_xlfn.RANDARRAY(1,COLUMNS(_xlfn.ANCHORARRAY(Q588)),0,1,FALSE),_xlpm.array/SUM(_xlpm.array))</f>
        <v>0.19358154958779983</v>
      </c>
      <c r="R589" s="2">
        <f ca="1"/>
        <v>0.37196347305783517</v>
      </c>
      <c r="S589" s="2">
        <f ca="1"/>
        <v>0.11541871389220063</v>
      </c>
      <c r="T589" s="2">
        <f ca="1"/>
        <v>0.19291381891473416</v>
      </c>
      <c r="U589" s="2">
        <f ca="1"/>
        <v>0.12612244454743013</v>
      </c>
      <c r="V589" s="12"/>
      <c r="X589" s="2" cm="1">
        <f t="array" aca="1" ref="X589" ca="1">MMULT(MMULT(_xlfn.ANCHORARRAY(Q589),$Q$9:$U$13),TRANSPOSE(_xlfn.ANCHORARRAY(Q589)))</f>
        <v>2.9536237687251748E-4</v>
      </c>
      <c r="Y589" s="2">
        <f t="shared" ca="1" si="22"/>
        <v>1.7186109998266551E-2</v>
      </c>
      <c r="Z589" s="2" cm="1">
        <f t="array" aca="1" ref="Z589" ca="1">MMULT(_xlfn.ANCHORARRAY(Q589),TRANSPOSE($Q$3:$U$3))</f>
        <v>8.5099872428566654E-4</v>
      </c>
      <c r="AA589" s="11">
        <f ca="1">AVEDEV(Q589*$Q$3,R589*$R$3,S589*$S$3,T589*$T$3,U589*$U$3)</f>
        <v>5.8218864146650501E-5</v>
      </c>
      <c r="AB589" s="11" cm="1">
        <f t="array" aca="1" ref="AB589" ca="1">MMULT(_xlfn.ANCHORARRAY(Q589),TRANSPOSE($Q$6:$U$6))</f>
        <v>-2.2371773934978276E-2</v>
      </c>
      <c r="AD589" s="2" t="s">
        <v>580</v>
      </c>
      <c r="AE589" s="10" cm="1">
        <f t="array" aca="1" ref="AE589:AI589" ca="1">_xlfn.LET(_xlpm.array,_xlfn.RANDARRAY(1,COLUMNS(_xlfn.ANCHORARRAY(Q588)),-1,1,FALSE),_xlpm.array/SUM(_xlpm.array))</f>
        <v>0.41395330185017121</v>
      </c>
      <c r="AF589" s="10">
        <f ca="1"/>
        <v>0.43000303933812323</v>
      </c>
      <c r="AG589" s="10">
        <f ca="1"/>
        <v>0.28799920210807017</v>
      </c>
      <c r="AH589" s="10">
        <f ca="1"/>
        <v>-0.13307672180508837</v>
      </c>
      <c r="AI589" s="10">
        <f ca="1"/>
        <v>1.1211785087238007E-3</v>
      </c>
      <c r="AJ589" s="1"/>
      <c r="AK589" s="2" cm="1">
        <f t="array" aca="1" ref="AK589" ca="1">MMULT(MMULT(_xlfn.ANCHORARRAY(AE589),$Q$9:$U$13),TRANSPOSE(_xlfn.ANCHORARRAY(AE589)))</f>
        <v>3.681147564906388E-4</v>
      </c>
      <c r="AL589" s="2">
        <f t="shared" ca="1" si="23"/>
        <v>1.9186316907907019E-2</v>
      </c>
      <c r="AM589" s="2" cm="1">
        <f t="array" aca="1" ref="AM589" ca="1">MMULT(_xlfn.ANCHORARRAY(AE590),TRANSPOSE($Q$3:$U$3))</f>
        <v>1.0876934562480559E-3</v>
      </c>
    </row>
    <row r="590" spans="1:39" x14ac:dyDescent="0.35">
      <c r="A590" s="3">
        <v>44684</v>
      </c>
      <c r="B590" s="4">
        <v>33.513931274413999</v>
      </c>
      <c r="C590" s="4">
        <v>138.36647033691401</v>
      </c>
      <c r="D590" s="4">
        <v>43.979969024658203</v>
      </c>
      <c r="E590" s="4">
        <v>24.481185913085898</v>
      </c>
      <c r="F590" s="4">
        <v>272.58709716796801</v>
      </c>
      <c r="I590" s="5">
        <f>B590/B589-1</f>
        <v>2.739337234448791E-2</v>
      </c>
      <c r="J590" s="5">
        <f>C590/C589-1</f>
        <v>1.715184673152037E-2</v>
      </c>
      <c r="K590" s="5">
        <f>D590/D589-1</f>
        <v>7.3683528071724069E-3</v>
      </c>
      <c r="L590" s="5">
        <f>E590/E589-1</f>
        <v>2.5413578621481747E-2</v>
      </c>
      <c r="M590" s="5">
        <f>F590/F589-1</f>
        <v>-9.4563780315536361E-3</v>
      </c>
      <c r="N590" s="5">
        <f>SUMPRODUCT(I590:M590,$AJ$13:$AN$13)</f>
        <v>4.0678415188811932E-3</v>
      </c>
      <c r="P590" s="2" t="s">
        <v>581</v>
      </c>
      <c r="Q590" s="10" cm="1">
        <f t="array" aca="1" ref="Q590:U590" ca="1">_xlfn.LET(_xlpm.array,_xlfn.RANDARRAY(1,COLUMNS(_xlfn.ANCHORARRAY(Q589)),0,1,FALSE),_xlpm.array/SUM(_xlpm.array))</f>
        <v>0.21186685169816791</v>
      </c>
      <c r="R590" s="2">
        <f ca="1"/>
        <v>0.11147843522392244</v>
      </c>
      <c r="S590" s="2">
        <f ca="1"/>
        <v>0.20206158835613428</v>
      </c>
      <c r="T590" s="2">
        <f ca="1"/>
        <v>0.23998702370402578</v>
      </c>
      <c r="U590" s="2">
        <f ca="1"/>
        <v>0.23460610101774959</v>
      </c>
      <c r="V590" s="12"/>
      <c r="X590" s="2" cm="1">
        <f t="array" aca="1" ref="X590" ca="1">MMULT(MMULT(_xlfn.ANCHORARRAY(Q590),$Q$9:$U$13),TRANSPOSE(_xlfn.ANCHORARRAY(Q590)))</f>
        <v>2.7486935822801546E-4</v>
      </c>
      <c r="Y590" s="2">
        <f t="shared" ca="1" si="22"/>
        <v>1.6579184486216911E-2</v>
      </c>
      <c r="Z590" s="2" cm="1">
        <f t="array" aca="1" ref="Z590" ca="1">MMULT(_xlfn.ANCHORARRAY(Q590),TRANSPOSE($Q$3:$U$3))</f>
        <v>9.4184884027774269E-4</v>
      </c>
      <c r="AA590" s="11">
        <f ca="1">AVEDEV(Q590*$Q$3,R590*$R$3,S590*$S$3,T590*$T$3,U590*$U$3)</f>
        <v>7.8633397304406745E-5</v>
      </c>
      <c r="AB590" s="11" cm="1">
        <f t="array" aca="1" ref="AB590" ca="1">MMULT(_xlfn.ANCHORARRAY(Q590),TRANSPOSE($Q$6:$U$6))</f>
        <v>-2.312185700994868E-2</v>
      </c>
      <c r="AD590" s="2" t="s">
        <v>581</v>
      </c>
      <c r="AE590" s="10" cm="1">
        <f t="array" aca="1" ref="AE590:AI590" ca="1">_xlfn.LET(_xlpm.array,_xlfn.RANDARRAY(1,COLUMNS(_xlfn.ANCHORARRAY(Q589)),-1,1,FALSE),_xlpm.array/SUM(_xlpm.array))</f>
        <v>0.29830184889580502</v>
      </c>
      <c r="AF590" s="10">
        <f ca="1"/>
        <v>-0.30268280652905849</v>
      </c>
      <c r="AG590" s="10">
        <f ca="1"/>
        <v>0.38070903673830903</v>
      </c>
      <c r="AH590" s="10">
        <f ca="1"/>
        <v>0.24078146627353436</v>
      </c>
      <c r="AI590" s="10">
        <f ca="1"/>
        <v>0.38289045462141014</v>
      </c>
      <c r="AJ590" s="1"/>
      <c r="AK590" s="2" cm="1">
        <f t="array" aca="1" ref="AK590" ca="1">MMULT(MMULT(_xlfn.ANCHORARRAY(AE590),$Q$9:$U$13),TRANSPOSE(_xlfn.ANCHORARRAY(AE590)))</f>
        <v>3.6011136805444823E-4</v>
      </c>
      <c r="AL590" s="2">
        <f t="shared" ca="1" si="23"/>
        <v>1.897660053999262E-2</v>
      </c>
      <c r="AM590" s="2" cm="1">
        <f t="array" aca="1" ref="AM590" ca="1">MMULT(_xlfn.ANCHORARRAY(AE591),TRANSPOSE($Q$3:$U$3))</f>
        <v>-5.4229590698782193E-3</v>
      </c>
    </row>
    <row r="591" spans="1:39" x14ac:dyDescent="0.35">
      <c r="A591" s="3">
        <v>44685</v>
      </c>
      <c r="B591" s="4">
        <v>34.858818054199197</v>
      </c>
      <c r="C591" s="4">
        <v>142.70930480957</v>
      </c>
      <c r="D591" s="4">
        <v>44.8623237609863</v>
      </c>
      <c r="E591" s="4">
        <v>25.384239196777301</v>
      </c>
      <c r="F591" s="4">
        <v>280.51965332031199</v>
      </c>
      <c r="I591" s="5">
        <f>B591/B590-1</f>
        <v>4.0129185942800571E-2</v>
      </c>
      <c r="J591" s="5">
        <f>C591/C590-1</f>
        <v>3.1386465681183084E-2</v>
      </c>
      <c r="K591" s="5">
        <f>D591/D590-1</f>
        <v>2.0062650245010083E-2</v>
      </c>
      <c r="L591" s="5">
        <f>E591/E590-1</f>
        <v>3.6887644532313857E-2</v>
      </c>
      <c r="M591" s="5">
        <f>F591/F590-1</f>
        <v>2.9100996469601625E-2</v>
      </c>
      <c r="N591" s="5">
        <f>SUMPRODUCT(I591:M591,$AJ$13:$AN$13)</f>
        <v>2.4768963570455337E-2</v>
      </c>
      <c r="P591" s="2" t="s">
        <v>582</v>
      </c>
      <c r="Q591" s="10" cm="1">
        <f t="array" aca="1" ref="Q591:U591" ca="1">_xlfn.LET(_xlpm.array,_xlfn.RANDARRAY(1,COLUMNS(_xlfn.ANCHORARRAY(Q590)),0,1,FALSE),_xlpm.array/SUM(_xlpm.array))</f>
        <v>3.7255077374317401E-2</v>
      </c>
      <c r="R591" s="2">
        <f ca="1"/>
        <v>0.2865703550457393</v>
      </c>
      <c r="S591" s="2">
        <f ca="1"/>
        <v>0.17912258419894078</v>
      </c>
      <c r="T591" s="2">
        <f ca="1"/>
        <v>0.12855165928069426</v>
      </c>
      <c r="U591" s="2">
        <f ca="1"/>
        <v>0.36850032410030825</v>
      </c>
      <c r="V591" s="12"/>
      <c r="X591" s="2" cm="1">
        <f t="array" aca="1" ref="X591" ca="1">MMULT(MMULT(_xlfn.ANCHORARRAY(Q591),$Q$9:$U$13),TRANSPOSE(_xlfn.ANCHORARRAY(Q591)))</f>
        <v>2.6110485790344507E-4</v>
      </c>
      <c r="Y591" s="2">
        <f t="shared" ca="1" si="22"/>
        <v>1.6158739366158643E-2</v>
      </c>
      <c r="Z591" s="2" cm="1">
        <f t="array" aca="1" ref="Z591" ca="1">MMULT(_xlfn.ANCHORARRAY(Q591),TRANSPOSE($Q$3:$U$3))</f>
        <v>9.3227428871064185E-4</v>
      </c>
      <c r="AA591" s="11">
        <f ca="1">AVEDEV(Q591*$Q$3,R591*$R$3,S591*$S$3,T591*$T$3,U591*$U$3)</f>
        <v>8.9057754161611034E-5</v>
      </c>
      <c r="AB591" s="11" cm="1">
        <f t="array" aca="1" ref="AB591" ca="1">MMULT(_xlfn.ANCHORARRAY(Q591),TRANSPOSE($Q$6:$U$6))</f>
        <v>-2.2223738264248186E-2</v>
      </c>
      <c r="AD591" s="2" t="s">
        <v>582</v>
      </c>
      <c r="AE591" s="10" cm="1">
        <f t="array" aca="1" ref="AE591:AI591" ca="1">_xlfn.LET(_xlpm.array,_xlfn.RANDARRAY(1,COLUMNS(_xlfn.ANCHORARRAY(Q590)),-1,1,FALSE),_xlpm.array/SUM(_xlpm.array))</f>
        <v>6.1161271730192288</v>
      </c>
      <c r="AF591" s="10">
        <f ca="1"/>
        <v>5.9546406930234248</v>
      </c>
      <c r="AG591" s="10">
        <f ca="1"/>
        <v>-3.3511438257088808</v>
      </c>
      <c r="AH591" s="10">
        <f ca="1"/>
        <v>-5.9709653737591708</v>
      </c>
      <c r="AI591" s="10">
        <f ca="1"/>
        <v>-1.7486586665746024</v>
      </c>
      <c r="AJ591" s="1"/>
      <c r="AK591" s="2" cm="1">
        <f t="array" aca="1" ref="AK591" ca="1">MMULT(MMULT(_xlfn.ANCHORARRAY(AE591),$Q$9:$U$13),TRANSPOSE(_xlfn.ANCHORARRAY(AE591)))</f>
        <v>3.0516051533546858E-2</v>
      </c>
      <c r="AL591" s="2">
        <f t="shared" ca="1" si="23"/>
        <v>0.17468844132783043</v>
      </c>
      <c r="AM591" s="2" cm="1">
        <f t="array" aca="1" ref="AM591" ca="1">MMULT(_xlfn.ANCHORARRAY(AE592),TRANSPOSE($Q$3:$U$3))</f>
        <v>1.1450234970686092E-3</v>
      </c>
    </row>
    <row r="592" spans="1:39" x14ac:dyDescent="0.35">
      <c r="A592" s="3">
        <v>44686</v>
      </c>
      <c r="B592" s="4">
        <v>33.884006500244098</v>
      </c>
      <c r="C592" s="4">
        <v>141.57676696777301</v>
      </c>
      <c r="D592" s="4">
        <v>43.4376831054687</v>
      </c>
      <c r="E592" s="4">
        <v>24.565851211547798</v>
      </c>
      <c r="F592" s="4">
        <v>268.30163574218699</v>
      </c>
      <c r="I592" s="5">
        <f>B592/B591-1</f>
        <v>-2.7964561289468892E-2</v>
      </c>
      <c r="J592" s="5">
        <f>C592/C591-1</f>
        <v>-7.9359775685842182E-3</v>
      </c>
      <c r="K592" s="5">
        <f>D592/D591-1</f>
        <v>-3.1755837328170555E-2</v>
      </c>
      <c r="L592" s="5">
        <f>E592/E591-1</f>
        <v>-3.2240004472279149E-2</v>
      </c>
      <c r="M592" s="5">
        <f>F592/F591-1</f>
        <v>-4.3554943240193711E-2</v>
      </c>
      <c r="N592" s="5">
        <f>SUMPRODUCT(I592:M592,$AJ$13:$AN$13)</f>
        <v>-3.7800378247196093E-2</v>
      </c>
      <c r="P592" s="2" t="s">
        <v>583</v>
      </c>
      <c r="Q592" s="10" cm="1">
        <f t="array" aca="1" ref="Q592:U592" ca="1">_xlfn.LET(_xlpm.array,_xlfn.RANDARRAY(1,COLUMNS(_xlfn.ANCHORARRAY(Q591)),0,1,FALSE),_xlpm.array/SUM(_xlpm.array))</f>
        <v>0.23767683742451967</v>
      </c>
      <c r="R592" s="2">
        <f ca="1"/>
        <v>1.8020262916973867E-2</v>
      </c>
      <c r="S592" s="2">
        <f ca="1"/>
        <v>0.21499724994761538</v>
      </c>
      <c r="T592" s="2">
        <f ca="1"/>
        <v>8.404066862766596E-2</v>
      </c>
      <c r="U592" s="2">
        <f ca="1"/>
        <v>0.4452649810832251</v>
      </c>
      <c r="V592" s="12"/>
      <c r="X592" s="2" cm="1">
        <f t="array" aca="1" ref="X592" ca="1">MMULT(MMULT(_xlfn.ANCHORARRAY(Q592),$Q$9:$U$13),TRANSPOSE(_xlfn.ANCHORARRAY(Q592)))</f>
        <v>2.7393153839823175E-4</v>
      </c>
      <c r="Y592" s="2">
        <f t="shared" ca="1" si="22"/>
        <v>1.6550877269747116E-2</v>
      </c>
      <c r="Z592" s="2" cm="1">
        <f t="array" aca="1" ref="Z592" ca="1">MMULT(_xlfn.ANCHORARRAY(Q592),TRANSPOSE($Q$3:$U$3))</f>
        <v>9.0953316767096318E-4</v>
      </c>
      <c r="AA592" s="11">
        <f ca="1">AVEDEV(Q592*$Q$3,R592*$R$3,S592*$S$3,T592*$T$3,U592*$U$3)</f>
        <v>1.3036202153649201E-4</v>
      </c>
      <c r="AB592" s="11" cm="1">
        <f t="array" aca="1" ref="AB592" ca="1">MMULT(_xlfn.ANCHORARRAY(Q592),TRANSPOSE($Q$6:$U$6))</f>
        <v>-2.2421955148941422E-2</v>
      </c>
      <c r="AD592" s="2" t="s">
        <v>583</v>
      </c>
      <c r="AE592" s="10" cm="1">
        <f t="array" aca="1" ref="AE592:AI592" ca="1">_xlfn.LET(_xlpm.array,_xlfn.RANDARRAY(1,COLUMNS(_xlfn.ANCHORARRAY(Q591)),-1,1,FALSE),_xlpm.array/SUM(_xlpm.array))</f>
        <v>0.55649799888123652</v>
      </c>
      <c r="AF592" s="10">
        <f ca="1"/>
        <v>0.79509047608688643</v>
      </c>
      <c r="AG592" s="10">
        <f ca="1"/>
        <v>0.79831713978296803</v>
      </c>
      <c r="AH592" s="10">
        <f ca="1"/>
        <v>-0.52725052055495092</v>
      </c>
      <c r="AI592" s="10">
        <f ca="1"/>
        <v>-0.62265509419614018</v>
      </c>
      <c r="AJ592" s="1"/>
      <c r="AK592" s="2" cm="1">
        <f t="array" aca="1" ref="AK592" ca="1">MMULT(MMULT(_xlfn.ANCHORARRAY(AE592),$Q$9:$U$13),TRANSPOSE(_xlfn.ANCHORARRAY(AE592)))</f>
        <v>9.8833623584604932E-4</v>
      </c>
      <c r="AL592" s="2">
        <f t="shared" ca="1" si="23"/>
        <v>3.1437815379667354E-2</v>
      </c>
      <c r="AM592" s="2" cm="1">
        <f t="array" aca="1" ref="AM592" ca="1">MMULT(_xlfn.ANCHORARRAY(AE593),TRANSPOSE($Q$3:$U$3))</f>
        <v>-9.6777634987067827E-4</v>
      </c>
    </row>
    <row r="593" spans="1:39" x14ac:dyDescent="0.35">
      <c r="A593" s="3">
        <v>44687</v>
      </c>
      <c r="B593" s="4">
        <v>33.802768707275298</v>
      </c>
      <c r="C593" s="4">
        <v>145.34909057617099</v>
      </c>
      <c r="D593" s="4">
        <v>41.893558502197202</v>
      </c>
      <c r="E593" s="4">
        <v>25.193748474121001</v>
      </c>
      <c r="F593" s="4">
        <v>265.76708984375</v>
      </c>
      <c r="I593" s="5">
        <f>B593/B592-1</f>
        <v>-2.3975261888884436E-3</v>
      </c>
      <c r="J593" s="5">
        <f>C593/C592-1</f>
        <v>2.6645075242159422E-2</v>
      </c>
      <c r="K593" s="5">
        <f>D593/D592-1</f>
        <v>-3.5548042457105522E-2</v>
      </c>
      <c r="L593" s="5">
        <f>E593/E592-1</f>
        <v>2.555976005741023E-2</v>
      </c>
      <c r="M593" s="5">
        <f>F593/F592-1</f>
        <v>-9.4466285731945598E-3</v>
      </c>
      <c r="N593" s="5">
        <f>SUMPRODUCT(I593:M593,$AJ$13:$AN$13)</f>
        <v>-9.9010785679388685E-3</v>
      </c>
      <c r="P593" s="2" t="s">
        <v>584</v>
      </c>
      <c r="Q593" s="10" cm="1">
        <f t="array" aca="1" ref="Q593:U593" ca="1">_xlfn.LET(_xlpm.array,_xlfn.RANDARRAY(1,COLUMNS(_xlfn.ANCHORARRAY(Q592)),0,1,FALSE),_xlpm.array/SUM(_xlpm.array))</f>
        <v>5.8228788666361039E-2</v>
      </c>
      <c r="R593" s="2">
        <f ca="1"/>
        <v>0.28598141691930395</v>
      </c>
      <c r="S593" s="2">
        <f ca="1"/>
        <v>0.31658213752898107</v>
      </c>
      <c r="T593" s="2">
        <f ca="1"/>
        <v>0.10342662622092355</v>
      </c>
      <c r="U593" s="2">
        <f ca="1"/>
        <v>0.2357810306644304</v>
      </c>
      <c r="V593" s="12"/>
      <c r="X593" s="2" cm="1">
        <f t="array" aca="1" ref="X593" ca="1">MMULT(MMULT(_xlfn.ANCHORARRAY(Q593),$Q$9:$U$13),TRANSPOSE(_xlfn.ANCHORARRAY(Q593)))</f>
        <v>3.0297700014900322E-4</v>
      </c>
      <c r="Y593" s="2">
        <f t="shared" ca="1" si="22"/>
        <v>1.7406234519533603E-2</v>
      </c>
      <c r="Z593" s="2" cm="1">
        <f t="array" aca="1" ref="Z593" ca="1">MMULT(_xlfn.ANCHORARRAY(Q593),TRANSPOSE($Q$3:$U$3))</f>
        <v>1.0385594316522804E-3</v>
      </c>
      <c r="AA593" s="11">
        <f ca="1">AVEDEV(Q593*$Q$3,R593*$R$3,S593*$S$3,T593*$T$3,U593*$U$3)</f>
        <v>1.2301626457972634E-4</v>
      </c>
      <c r="AB593" s="11" cm="1">
        <f t="array" aca="1" ref="AB593" ca="1">MMULT(_xlfn.ANCHORARRAY(Q593),TRANSPOSE($Q$6:$U$6))</f>
        <v>-2.3093195588187329E-2</v>
      </c>
      <c r="AD593" s="2" t="s">
        <v>584</v>
      </c>
      <c r="AE593" s="10" cm="1">
        <f t="array" aca="1" ref="AE593:AI593" ca="1">_xlfn.LET(_xlpm.array,_xlfn.RANDARRAY(1,COLUMNS(_xlfn.ANCHORARRAY(Q592)),-1,1,FALSE),_xlpm.array/SUM(_xlpm.array))</f>
        <v>2.1514067010799605</v>
      </c>
      <c r="AF593" s="10">
        <f ca="1"/>
        <v>3.6529176144579565</v>
      </c>
      <c r="AG593" s="10">
        <f ca="1"/>
        <v>-0.29092058746449373</v>
      </c>
      <c r="AH593" s="10">
        <f ca="1"/>
        <v>-3.1319680706505308</v>
      </c>
      <c r="AI593" s="10">
        <f ca="1"/>
        <v>-1.3814356574228928</v>
      </c>
      <c r="AJ593" s="1"/>
      <c r="AK593" s="2" cm="1">
        <f t="array" aca="1" ref="AK593" ca="1">MMULT(MMULT(_xlfn.ANCHORARRAY(AE593),$Q$9:$U$13),TRANSPOSE(_xlfn.ANCHORARRAY(AE593)))</f>
        <v>5.9884605287557225E-3</v>
      </c>
      <c r="AL593" s="2">
        <f t="shared" ca="1" si="23"/>
        <v>7.738514410890325E-2</v>
      </c>
      <c r="AM593" s="2" cm="1">
        <f t="array" aca="1" ref="AM593" ca="1">MMULT(_xlfn.ANCHORARRAY(AE594),TRANSPOSE($Q$3:$U$3))</f>
        <v>7.434537554265317E-4</v>
      </c>
    </row>
    <row r="594" spans="1:39" x14ac:dyDescent="0.35">
      <c r="A594" s="3">
        <v>44690</v>
      </c>
      <c r="B594" s="4">
        <v>32.827945709228501</v>
      </c>
      <c r="C594" s="4">
        <v>135.60748291015599</v>
      </c>
      <c r="D594" s="4">
        <v>41.535102844238203</v>
      </c>
      <c r="E594" s="4">
        <v>22.9079055786132</v>
      </c>
      <c r="F594" s="4">
        <v>255.94825744628901</v>
      </c>
      <c r="I594" s="5">
        <f>B594/B593-1</f>
        <v>-2.8838554808588435E-2</v>
      </c>
      <c r="J594" s="5">
        <f>C594/C593-1</f>
        <v>-6.7022143911590892E-2</v>
      </c>
      <c r="K594" s="5">
        <f>D594/D593-1</f>
        <v>-8.5563430459171252E-3</v>
      </c>
      <c r="L594" s="5">
        <f>E594/E593-1</f>
        <v>-9.0730559521772558E-2</v>
      </c>
      <c r="M594" s="5">
        <f>F594/F593-1</f>
        <v>-3.6945253090718277E-2</v>
      </c>
      <c r="N594" s="5">
        <f>SUMPRODUCT(I594:M594,$AJ$13:$AN$13)</f>
        <v>-4.8654652730385758E-2</v>
      </c>
      <c r="P594" s="2" t="s">
        <v>585</v>
      </c>
      <c r="Q594" s="10" cm="1">
        <f t="array" aca="1" ref="Q594:U594" ca="1">_xlfn.LET(_xlpm.array,_xlfn.RANDARRAY(1,COLUMNS(_xlfn.ANCHORARRAY(Q593)),0,1,FALSE),_xlpm.array/SUM(_xlpm.array))</f>
        <v>0.27541897296223128</v>
      </c>
      <c r="R594" s="2">
        <f ca="1"/>
        <v>0.18124383652720288</v>
      </c>
      <c r="S594" s="2">
        <f ca="1"/>
        <v>0.15730445118732025</v>
      </c>
      <c r="T594" s="2">
        <f ca="1"/>
        <v>0.35839488882242382</v>
      </c>
      <c r="U594" s="2">
        <f ca="1"/>
        <v>2.763785050082165E-2</v>
      </c>
      <c r="V594" s="12"/>
      <c r="X594" s="2" cm="1">
        <f t="array" aca="1" ref="X594" ca="1">MMULT(MMULT(_xlfn.ANCHORARRAY(Q594),$Q$9:$U$13),TRANSPOSE(_xlfn.ANCHORARRAY(Q594)))</f>
        <v>3.2820441531960517E-4</v>
      </c>
      <c r="Y594" s="2">
        <f t="shared" ca="1" si="22"/>
        <v>1.8116412871195146E-2</v>
      </c>
      <c r="Z594" s="2" cm="1">
        <f t="array" aca="1" ref="Z594" ca="1">MMULT(_xlfn.ANCHORARRAY(Q594),TRANSPOSE($Q$3:$U$3))</f>
        <v>9.1507580873550283E-4</v>
      </c>
      <c r="AA594" s="11">
        <f ca="1">AVEDEV(Q594*$Q$3,R594*$R$3,S594*$S$3,T594*$T$3,U594*$U$3)</f>
        <v>1.022298333908644E-4</v>
      </c>
      <c r="AB594" s="11" cm="1">
        <f t="array" aca="1" ref="AB594" ca="1">MMULT(_xlfn.ANCHORARRAY(Q594),TRANSPOSE($Q$6:$U$6))</f>
        <v>-2.3530418834722764E-2</v>
      </c>
      <c r="AD594" s="2" t="s">
        <v>585</v>
      </c>
      <c r="AE594" s="10" cm="1">
        <f t="array" aca="1" ref="AE594:AI594" ca="1">_xlfn.LET(_xlpm.array,_xlfn.RANDARRAY(1,COLUMNS(_xlfn.ANCHORARRAY(Q593)),-1,1,FALSE),_xlpm.array/SUM(_xlpm.array))</f>
        <v>0.3222882037818674</v>
      </c>
      <c r="AF594" s="10">
        <f ca="1"/>
        <v>0.41420451329885938</v>
      </c>
      <c r="AG594" s="10">
        <f ca="1"/>
        <v>-2.9312645566519312E-2</v>
      </c>
      <c r="AH594" s="10">
        <f ca="1"/>
        <v>0.39266900921033504</v>
      </c>
      <c r="AI594" s="10">
        <f ca="1"/>
        <v>-9.9849080724542391E-2</v>
      </c>
      <c r="AJ594" s="1"/>
      <c r="AK594" s="2" cm="1">
        <f t="array" aca="1" ref="AK594" ca="1">MMULT(MMULT(_xlfn.ANCHORARRAY(AE594),$Q$9:$U$13),TRANSPOSE(_xlfn.ANCHORARRAY(AE594)))</f>
        <v>4.275544690576165E-4</v>
      </c>
      <c r="AL594" s="2">
        <f t="shared" ca="1" si="23"/>
        <v>2.0677390286436451E-2</v>
      </c>
      <c r="AM594" s="2" cm="1">
        <f t="array" aca="1" ref="AM594" ca="1">MMULT(_xlfn.ANCHORARRAY(AE595),TRANSPOSE($Q$3:$U$3))</f>
        <v>1.0146306141996457E-3</v>
      </c>
    </row>
    <row r="595" spans="1:39" x14ac:dyDescent="0.35">
      <c r="A595" s="3">
        <v>44691</v>
      </c>
      <c r="B595" s="4">
        <v>32.277351379394503</v>
      </c>
      <c r="C595" s="4">
        <v>136.91032409667901</v>
      </c>
      <c r="D595" s="4">
        <v>41.820022583007798</v>
      </c>
      <c r="E595" s="4">
        <v>23.366481781005799</v>
      </c>
      <c r="F595" s="4">
        <v>260.70764160156199</v>
      </c>
      <c r="I595" s="5">
        <f>B595/B594-1</f>
        <v>-1.6772122590638316E-2</v>
      </c>
      <c r="J595" s="5">
        <f>C595/C594-1</f>
        <v>9.607443177646724E-3</v>
      </c>
      <c r="K595" s="5">
        <f>D595/D594-1</f>
        <v>6.859733556892289E-3</v>
      </c>
      <c r="L595" s="5">
        <f>E595/E594-1</f>
        <v>2.001825094044074E-2</v>
      </c>
      <c r="M595" s="5">
        <f>F595/F594-1</f>
        <v>1.8595102786631568E-2</v>
      </c>
      <c r="N595" s="5">
        <f>SUMPRODUCT(I595:M595,$AJ$13:$AN$13)</f>
        <v>2.3672916882196016E-2</v>
      </c>
      <c r="P595" s="2" t="s">
        <v>586</v>
      </c>
      <c r="Q595" s="10" cm="1">
        <f t="array" aca="1" ref="Q595:U595" ca="1">_xlfn.LET(_xlpm.array,_xlfn.RANDARRAY(1,COLUMNS(_xlfn.ANCHORARRAY(Q594)),0,1,FALSE),_xlpm.array/SUM(_xlpm.array))</f>
        <v>5.8210838573074637E-2</v>
      </c>
      <c r="R595" s="2">
        <f ca="1"/>
        <v>4.3660173678461894E-2</v>
      </c>
      <c r="S595" s="2">
        <f ca="1"/>
        <v>0.39675180314845865</v>
      </c>
      <c r="T595" s="2">
        <f ca="1"/>
        <v>0.31818426386467763</v>
      </c>
      <c r="U595" s="2">
        <f ca="1"/>
        <v>0.18319292073532731</v>
      </c>
      <c r="V595" s="12"/>
      <c r="X595" s="2" cm="1">
        <f t="array" aca="1" ref="X595" ca="1">MMULT(MMULT(_xlfn.ANCHORARRAY(Q595),$Q$9:$U$13),TRANSPOSE(_xlfn.ANCHORARRAY(Q595)))</f>
        <v>3.4595130982324296E-4</v>
      </c>
      <c r="Y595" s="2">
        <f t="shared" ca="1" si="22"/>
        <v>1.8599766391630915E-2</v>
      </c>
      <c r="Z595" s="2" cm="1">
        <f t="array" aca="1" ref="Z595" ca="1">MMULT(_xlfn.ANCHORARRAY(Q595),TRANSPOSE($Q$3:$U$3))</f>
        <v>1.1709713373580424E-3</v>
      </c>
      <c r="AA595" s="11">
        <f ca="1">AVEDEV(Q595*$Q$3,R595*$R$3,S595*$S$3,T595*$T$3,U595*$U$3)</f>
        <v>2.0039967744251542E-4</v>
      </c>
      <c r="AB595" s="11" cm="1">
        <f t="array" aca="1" ref="AB595" ca="1">MMULT(_xlfn.ANCHORARRAY(Q595),TRANSPOSE($Q$6:$U$6))</f>
        <v>-2.4623398632970497E-2</v>
      </c>
      <c r="AD595" s="2" t="s">
        <v>586</v>
      </c>
      <c r="AE595" s="10" cm="1">
        <f t="array" aca="1" ref="AE595:AI595" ca="1">_xlfn.LET(_xlpm.array,_xlfn.RANDARRAY(1,COLUMNS(_xlfn.ANCHORARRAY(Q594)),-1,1,FALSE),_xlpm.array/SUM(_xlpm.array))</f>
        <v>1.3067305909612081</v>
      </c>
      <c r="AF595" s="10">
        <f ca="1"/>
        <v>0.57730944176963384</v>
      </c>
      <c r="AG595" s="10">
        <f ca="1"/>
        <v>0.70097516903689316</v>
      </c>
      <c r="AH595" s="10">
        <f ca="1"/>
        <v>1.1047175601962066E-2</v>
      </c>
      <c r="AI595" s="10">
        <f ca="1"/>
        <v>-1.5960623773696974</v>
      </c>
      <c r="AJ595" s="1"/>
      <c r="AK595" s="2" cm="1">
        <f t="array" aca="1" ref="AK595" ca="1">MMULT(MMULT(_xlfn.ANCHORARRAY(AE595),$Q$9:$U$13),TRANSPOSE(_xlfn.ANCHORARRAY(AE595)))</f>
        <v>1.8482210834644638E-3</v>
      </c>
      <c r="AL595" s="2">
        <f t="shared" ca="1" si="23"/>
        <v>4.2990941876917092E-2</v>
      </c>
      <c r="AM595" s="2" cm="1">
        <f t="array" aca="1" ref="AM595" ca="1">MMULT(_xlfn.ANCHORARRAY(AE596),TRANSPOSE($Q$3:$U$3))</f>
        <v>1.6687212279401726E-3</v>
      </c>
    </row>
    <row r="596" spans="1:39" x14ac:dyDescent="0.35">
      <c r="A596" s="3">
        <v>44692</v>
      </c>
      <c r="B596" s="4">
        <v>32.105857849121001</v>
      </c>
      <c r="C596" s="4">
        <v>138.93699645996</v>
      </c>
      <c r="D596" s="4">
        <v>40.818183898925703</v>
      </c>
      <c r="E596" s="4">
        <v>23.662799835205</v>
      </c>
      <c r="F596" s="4">
        <v>252.04975891113199</v>
      </c>
      <c r="I596" s="5">
        <f>B596/B595-1</f>
        <v>-5.3131227608402831E-3</v>
      </c>
      <c r="J596" s="5">
        <f>C596/C595-1</f>
        <v>1.4802918455220748E-2</v>
      </c>
      <c r="K596" s="5">
        <f>D596/D595-1</f>
        <v>-2.3955957510390258E-2</v>
      </c>
      <c r="L596" s="5">
        <f>E596/E595-1</f>
        <v>1.2681329477682635E-2</v>
      </c>
      <c r="M596" s="5">
        <f>F596/F595-1</f>
        <v>-3.3209163479994142E-2</v>
      </c>
      <c r="N596" s="5">
        <f>SUMPRODUCT(I596:M596,$AJ$13:$AN$13)</f>
        <v>-1.6589507460382902E-2</v>
      </c>
      <c r="P596" s="2" t="s">
        <v>587</v>
      </c>
      <c r="Q596" s="10" cm="1">
        <f t="array" aca="1" ref="Q596:U596" ca="1">_xlfn.LET(_xlpm.array,_xlfn.RANDARRAY(1,COLUMNS(_xlfn.ANCHORARRAY(Q595)),0,1,FALSE),_xlpm.array/SUM(_xlpm.array))</f>
        <v>0.18500615364967729</v>
      </c>
      <c r="R596" s="2">
        <f ca="1"/>
        <v>0.30314949901739507</v>
      </c>
      <c r="S596" s="2">
        <f ca="1"/>
        <v>1.5584151904140441E-2</v>
      </c>
      <c r="T596" s="2">
        <f ca="1"/>
        <v>0.31727744491245552</v>
      </c>
      <c r="U596" s="2">
        <f ca="1"/>
        <v>0.1789827505163317</v>
      </c>
      <c r="V596" s="12"/>
      <c r="X596" s="2" cm="1">
        <f t="array" aca="1" ref="X596" ca="1">MMULT(MMULT(_xlfn.ANCHORARRAY(Q596),$Q$9:$U$13),TRANSPOSE(_xlfn.ANCHORARRAY(Q596)))</f>
        <v>2.9716967385864473E-4</v>
      </c>
      <c r="Y596" s="2">
        <f t="shared" ca="1" si="22"/>
        <v>1.7238609974665729E-2</v>
      </c>
      <c r="Z596" s="2" cm="1">
        <f t="array" aca="1" ref="Z596" ca="1">MMULT(_xlfn.ANCHORARRAY(Q596),TRANSPOSE($Q$3:$U$3))</f>
        <v>8.0174067176707014E-4</v>
      </c>
      <c r="AA596" s="11">
        <f ca="1">AVEDEV(Q596*$Q$3,R596*$R$3,S596*$S$3,T596*$T$3,U596*$U$3)</f>
        <v>8.9924561975481018E-5</v>
      </c>
      <c r="AB596" s="11" cm="1">
        <f t="array" aca="1" ref="AB596" ca="1">MMULT(_xlfn.ANCHORARRAY(Q596),TRANSPOSE($Q$6:$U$6))</f>
        <v>-2.2251823379241486E-2</v>
      </c>
      <c r="AD596" s="2" t="s">
        <v>587</v>
      </c>
      <c r="AE596" s="10" cm="1">
        <f t="array" aca="1" ref="AE596:AI596" ca="1">_xlfn.LET(_xlpm.array,_xlfn.RANDARRAY(1,COLUMNS(_xlfn.ANCHORARRAY(Q595)),-1,1,FALSE),_xlpm.array/SUM(_xlpm.array))</f>
        <v>-0.81339963210892585</v>
      </c>
      <c r="AF596" s="10">
        <f ca="1"/>
        <v>-0.46861505537732118</v>
      </c>
      <c r="AG596" s="10">
        <f ca="1"/>
        <v>0.57956489085782825</v>
      </c>
      <c r="AH596" s="10">
        <f ca="1"/>
        <v>0.70489235414678664</v>
      </c>
      <c r="AI596" s="10">
        <f ca="1"/>
        <v>0.99755744248163225</v>
      </c>
      <c r="AJ596" s="1"/>
      <c r="AK596" s="2" cm="1">
        <f t="array" aca="1" ref="AK596" ca="1">MMULT(MMULT(_xlfn.ANCHORARRAY(AE596),$Q$9:$U$13),TRANSPOSE(_xlfn.ANCHORARRAY(AE596)))</f>
        <v>8.8884395372843862E-4</v>
      </c>
      <c r="AL596" s="2">
        <f t="shared" ca="1" si="23"/>
        <v>2.9813486104923032E-2</v>
      </c>
      <c r="AM596" s="2" cm="1">
        <f t="array" aca="1" ref="AM596" ca="1">MMULT(_xlfn.ANCHORARRAY(AE597),TRANSPOSE($Q$3:$U$3))</f>
        <v>-2.879741902482507E-3</v>
      </c>
    </row>
    <row r="597" spans="1:39" x14ac:dyDescent="0.35">
      <c r="A597" s="3">
        <v>44693</v>
      </c>
      <c r="B597" s="4">
        <v>31.6545505523681</v>
      </c>
      <c r="C597" s="4">
        <v>140.25686645507801</v>
      </c>
      <c r="D597" s="4">
        <v>40.202373504638601</v>
      </c>
      <c r="E597" s="4">
        <v>24.098350524902301</v>
      </c>
      <c r="F597" s="4">
        <v>247.01934814453099</v>
      </c>
      <c r="I597" s="5">
        <f>B597/B596-1</f>
        <v>-1.4056852144359033E-2</v>
      </c>
      <c r="J597" s="5">
        <f>C597/C596-1</f>
        <v>9.4997734854473936E-3</v>
      </c>
      <c r="K597" s="5">
        <f>D597/D596-1</f>
        <v>-1.5086668133300063E-2</v>
      </c>
      <c r="L597" s="5">
        <f>E597/E596-1</f>
        <v>1.8406557665644474E-2</v>
      </c>
      <c r="M597" s="5">
        <f>F597/F596-1</f>
        <v>-1.9958006658417848E-2</v>
      </c>
      <c r="N597" s="5">
        <f>SUMPRODUCT(I597:M597,$AJ$13:$AN$13)</f>
        <v>-2.1673228259551447E-3</v>
      </c>
      <c r="P597" s="2" t="s">
        <v>588</v>
      </c>
      <c r="Q597" s="10" cm="1">
        <f t="array" aca="1" ref="Q597:U597" ca="1">_xlfn.LET(_xlpm.array,_xlfn.RANDARRAY(1,COLUMNS(_xlfn.ANCHORARRAY(Q596)),0,1,FALSE),_xlpm.array/SUM(_xlpm.array))</f>
        <v>0.20966501396186238</v>
      </c>
      <c r="R597" s="2">
        <f ca="1"/>
        <v>6.1430775776579877E-2</v>
      </c>
      <c r="S597" s="2">
        <f ca="1"/>
        <v>0.47941561862351506</v>
      </c>
      <c r="T597" s="2">
        <f ca="1"/>
        <v>0.20550508184694613</v>
      </c>
      <c r="U597" s="2">
        <f ca="1"/>
        <v>4.3983509791096526E-2</v>
      </c>
      <c r="V597" s="12"/>
      <c r="X597" s="2" cm="1">
        <f t="array" aca="1" ref="X597" ca="1">MMULT(MMULT(_xlfn.ANCHORARRAY(Q597),$Q$9:$U$13),TRANSPOSE(_xlfn.ANCHORARRAY(Q597)))</f>
        <v>3.9348111104245756E-4</v>
      </c>
      <c r="Y597" s="2">
        <f t="shared" ca="1" si="22"/>
        <v>1.9836358311001986E-2</v>
      </c>
      <c r="Z597" s="2" cm="1">
        <f t="array" aca="1" ref="Z597" ca="1">MMULT(_xlfn.ANCHORARRAY(Q597),TRANSPOSE($Q$3:$U$3))</f>
        <v>1.1735804098057484E-3</v>
      </c>
      <c r="AA597" s="11">
        <f ca="1">AVEDEV(Q597*$Q$3,R597*$R$3,S597*$S$3,T597*$T$3,U597*$U$3)</f>
        <v>2.1754210134170785E-4</v>
      </c>
      <c r="AB597" s="11" cm="1">
        <f t="array" aca="1" ref="AB597" ca="1">MMULT(_xlfn.ANCHORARRAY(Q597),TRANSPOSE($Q$6:$U$6))</f>
        <v>-2.4868991353310287E-2</v>
      </c>
      <c r="AD597" s="2" t="s">
        <v>588</v>
      </c>
      <c r="AE597" s="10" cm="1">
        <f t="array" aca="1" ref="AE597:AI597" ca="1">_xlfn.LET(_xlpm.array,_xlfn.RANDARRAY(1,COLUMNS(_xlfn.ANCHORARRAY(Q596)),-1,1,FALSE),_xlpm.array/SUM(_xlpm.array))</f>
        <v>0.20681618109066582</v>
      </c>
      <c r="AF597" s="10">
        <f ca="1"/>
        <v>4.6336084668341107</v>
      </c>
      <c r="AG597" s="10">
        <f ca="1"/>
        <v>-2.5426440369457675</v>
      </c>
      <c r="AH597" s="10">
        <f ca="1"/>
        <v>-4.855167818069539</v>
      </c>
      <c r="AI597" s="10">
        <f ca="1"/>
        <v>3.5573872070905299</v>
      </c>
      <c r="AJ597" s="1"/>
      <c r="AK597" s="2" cm="1">
        <f t="array" aca="1" ref="AK597" ca="1">MMULT(MMULT(_xlfn.ANCHORARRAY(AE597),$Q$9:$U$13),TRANSPOSE(_xlfn.ANCHORARRAY(AE597)))</f>
        <v>1.3214515470671026E-2</v>
      </c>
      <c r="AL597" s="2">
        <f t="shared" ca="1" si="23"/>
        <v>0.11495440605157779</v>
      </c>
      <c r="AM597" s="2" cm="1">
        <f t="array" aca="1" ref="AM597" ca="1">MMULT(_xlfn.ANCHORARRAY(AE598),TRANSPOSE($Q$3:$U$3))</f>
        <v>2.9691060085928491E-3</v>
      </c>
    </row>
    <row r="598" spans="1:39" x14ac:dyDescent="0.35">
      <c r="A598" s="3">
        <v>44694</v>
      </c>
      <c r="B598" s="4">
        <v>31.7448120117187</v>
      </c>
      <c r="C598" s="4">
        <v>142.94773864746</v>
      </c>
      <c r="D598" s="4">
        <v>41.443191528320298</v>
      </c>
      <c r="E598" s="4">
        <v>24.198314666748001</v>
      </c>
      <c r="F598" s="4">
        <v>252.60110473632801</v>
      </c>
      <c r="I598" s="5">
        <f>B598/B597-1</f>
        <v>2.851452880408889E-3</v>
      </c>
      <c r="J598" s="5">
        <f>C598/C597-1</f>
        <v>1.9185315203400943E-2</v>
      </c>
      <c r="K598" s="5">
        <f>D598/D597-1</f>
        <v>3.0864297689750408E-2</v>
      </c>
      <c r="L598" s="5">
        <f>E598/E597-1</f>
        <v>4.148173616380868E-3</v>
      </c>
      <c r="M598" s="5">
        <f>F598/F597-1</f>
        <v>2.2596434788302977E-2</v>
      </c>
      <c r="N598" s="5">
        <f>SUMPRODUCT(I598:M598,$AJ$13:$AN$13)</f>
        <v>2.4103481135890351E-2</v>
      </c>
      <c r="P598" s="2" t="s">
        <v>589</v>
      </c>
      <c r="Q598" s="10" cm="1">
        <f t="array" aca="1" ref="Q598:U598" ca="1">_xlfn.LET(_xlpm.array,_xlfn.RANDARRAY(1,COLUMNS(_xlfn.ANCHORARRAY(Q597)),0,1,FALSE),_xlpm.array/SUM(_xlpm.array))</f>
        <v>2.0240415734449228E-2</v>
      </c>
      <c r="R598" s="2">
        <f ca="1"/>
        <v>0.25585793159847625</v>
      </c>
      <c r="S598" s="2">
        <f ca="1"/>
        <v>4.9867277911455357E-2</v>
      </c>
      <c r="T598" s="2">
        <f ca="1"/>
        <v>0.37222283696425718</v>
      </c>
      <c r="U598" s="2">
        <f ca="1"/>
        <v>0.30181153779136205</v>
      </c>
      <c r="V598" s="12"/>
      <c r="X598" s="2" cm="1">
        <f t="array" aca="1" ref="X598" ca="1">MMULT(MMULT(_xlfn.ANCHORARRAY(Q598),$Q$9:$U$13),TRANSPOSE(_xlfn.ANCHORARRAY(Q598)))</f>
        <v>2.8308681744266086E-4</v>
      </c>
      <c r="Y598" s="2">
        <f t="shared" ca="1" si="22"/>
        <v>1.6825184024035544E-2</v>
      </c>
      <c r="Z598" s="2" cm="1">
        <f t="array" aca="1" ref="Z598" ca="1">MMULT(_xlfn.ANCHORARRAY(Q598),TRANSPOSE($Q$3:$U$3))</f>
        <v>8.8921999817551296E-4</v>
      </c>
      <c r="AA598" s="11">
        <f ca="1">AVEDEV(Q598*$Q$3,R598*$R$3,S598*$S$3,T598*$T$3,U598*$U$3)</f>
        <v>1.0576655441864161E-4</v>
      </c>
      <c r="AB598" s="11" cm="1">
        <f t="array" aca="1" ref="AB598" ca="1">MMULT(_xlfn.ANCHORARRAY(Q598),TRANSPOSE($Q$6:$U$6))</f>
        <v>-2.2503203683044752E-2</v>
      </c>
      <c r="AD598" s="2" t="s">
        <v>589</v>
      </c>
      <c r="AE598" s="10" cm="1">
        <f t="array" aca="1" ref="AE598:AI598" ca="1">_xlfn.LET(_xlpm.array,_xlfn.RANDARRAY(1,COLUMNS(_xlfn.ANCHORARRAY(Q597)),-1,1,FALSE),_xlpm.array/SUM(_xlpm.array))</f>
        <v>-1.4180432126962055</v>
      </c>
      <c r="AF598" s="10">
        <f ca="1"/>
        <v>-1.6401392770966918</v>
      </c>
      <c r="AG598" s="10">
        <f ca="1"/>
        <v>1.719845630915336</v>
      </c>
      <c r="AH598" s="10">
        <f ca="1"/>
        <v>1.1917527817552895</v>
      </c>
      <c r="AI598" s="10">
        <f ca="1"/>
        <v>1.1465840771222719</v>
      </c>
      <c r="AJ598" s="1"/>
      <c r="AK598" s="2" cm="1">
        <f t="array" aca="1" ref="AK598" ca="1">MMULT(MMULT(_xlfn.ANCHORARRAY(AE598),$Q$9:$U$13),TRANSPOSE(_xlfn.ANCHORARRAY(AE598)))</f>
        <v>3.7154867892611201E-3</v>
      </c>
      <c r="AL598" s="2">
        <f t="shared" ca="1" si="23"/>
        <v>6.0954792996622667E-2</v>
      </c>
      <c r="AM598" s="2" cm="1">
        <f t="array" aca="1" ref="AM598" ca="1">MMULT(_xlfn.ANCHORARRAY(AE599),TRANSPOSE($Q$3:$U$3))</f>
        <v>1.4128255327871435E-3</v>
      </c>
    </row>
    <row r="599" spans="1:39" x14ac:dyDescent="0.35">
      <c r="A599" s="3">
        <v>44697</v>
      </c>
      <c r="B599" s="4">
        <v>31.419872283935501</v>
      </c>
      <c r="C599" s="4">
        <v>147.32466125488199</v>
      </c>
      <c r="D599" s="4">
        <v>41.388046264648402</v>
      </c>
      <c r="E599" s="4">
        <v>24.0626525878906</v>
      </c>
      <c r="F599" s="4">
        <v>252.96870422363199</v>
      </c>
      <c r="I599" s="5">
        <f>B599/B598-1</f>
        <v>-1.0235994708781004E-2</v>
      </c>
      <c r="J599" s="5">
        <f>C599/C598-1</f>
        <v>3.0619040558706789E-2</v>
      </c>
      <c r="K599" s="5">
        <f>D599/D598-1</f>
        <v>-1.3306229959199056E-3</v>
      </c>
      <c r="L599" s="5">
        <f>E599/E598-1</f>
        <v>-5.6062614576964931E-3</v>
      </c>
      <c r="M599" s="5">
        <f>F599/F598-1</f>
        <v>1.455256847303632E-3</v>
      </c>
      <c r="N599" s="5">
        <f>SUMPRODUCT(I599:M599,$AJ$13:$AN$13)</f>
        <v>-8.6900446822894763E-4</v>
      </c>
      <c r="P599" s="2" t="s">
        <v>590</v>
      </c>
      <c r="Q599" s="10" cm="1">
        <f t="array" aca="1" ref="Q599:U599" ca="1">_xlfn.LET(_xlpm.array,_xlfn.RANDARRAY(1,COLUMNS(_xlfn.ANCHORARRAY(Q598)),0,1,FALSE),_xlpm.array/SUM(_xlpm.array))</f>
        <v>0.15064355538765553</v>
      </c>
      <c r="R599" s="2">
        <f ca="1"/>
        <v>0.2643533678960916</v>
      </c>
      <c r="S599" s="2">
        <f ca="1"/>
        <v>1.6708054262376409E-2</v>
      </c>
      <c r="T599" s="2">
        <f ca="1"/>
        <v>0.33882523276887422</v>
      </c>
      <c r="U599" s="2">
        <f ca="1"/>
        <v>0.22946978968500217</v>
      </c>
      <c r="V599" s="12"/>
      <c r="X599" s="2" cm="1">
        <f t="array" aca="1" ref="X599" ca="1">MMULT(MMULT(_xlfn.ANCHORARRAY(Q599),$Q$9:$U$13),TRANSPOSE(_xlfn.ANCHORARRAY(Q599)))</f>
        <v>2.8690505876736332E-4</v>
      </c>
      <c r="Y599" s="2">
        <f t="shared" ca="1" si="22"/>
        <v>1.6938272012438676E-2</v>
      </c>
      <c r="Z599" s="2" cm="1">
        <f t="array" aca="1" ref="Z599" ca="1">MMULT(_xlfn.ANCHORARRAY(Q599),TRANSPOSE($Q$3:$U$3))</f>
        <v>8.1839957233453917E-4</v>
      </c>
      <c r="AA599" s="11">
        <f ca="1">AVEDEV(Q599*$Q$3,R599*$R$3,S599*$S$3,T599*$T$3,U599*$U$3)</f>
        <v>8.9464765679354117E-5</v>
      </c>
      <c r="AB599" s="11" cm="1">
        <f t="array" aca="1" ref="AB599" ca="1">MMULT(_xlfn.ANCHORARRAY(Q599),TRANSPOSE($Q$6:$U$6))</f>
        <v>-2.2299139115427344E-2</v>
      </c>
      <c r="AD599" s="2" t="s">
        <v>590</v>
      </c>
      <c r="AE599" s="10" cm="1">
        <f t="array" aca="1" ref="AE599:AI599" ca="1">_xlfn.LET(_xlpm.array,_xlfn.RANDARRAY(1,COLUMNS(_xlfn.ANCHORARRAY(Q598)),-1,1,FALSE),_xlpm.array/SUM(_xlpm.array))</f>
        <v>0.40026939913379189</v>
      </c>
      <c r="AF599" s="10">
        <f ca="1"/>
        <v>-0.10974569513212215</v>
      </c>
      <c r="AG599" s="10">
        <f ca="1"/>
        <v>0.85154240192600783</v>
      </c>
      <c r="AH599" s="10">
        <f ca="1"/>
        <v>5.9529491675658956E-2</v>
      </c>
      <c r="AI599" s="10">
        <f ca="1"/>
        <v>-0.20159559760333651</v>
      </c>
      <c r="AJ599" s="1"/>
      <c r="AK599" s="2" cm="1">
        <f t="array" aca="1" ref="AK599" ca="1">MMULT(MMULT(_xlfn.ANCHORARRAY(AE599),$Q$9:$U$13),TRANSPOSE(_xlfn.ANCHORARRAY(AE599)))</f>
        <v>7.3698799078928691E-4</v>
      </c>
      <c r="AL599" s="2">
        <f t="shared" ca="1" si="23"/>
        <v>2.7147522737614328E-2</v>
      </c>
      <c r="AM599" s="2" cm="1">
        <f t="array" aca="1" ref="AM599" ca="1">MMULT(_xlfn.ANCHORARRAY(AE600),TRANSPOSE($Q$3:$U$3))</f>
        <v>4.259882343484073E-4</v>
      </c>
    </row>
    <row r="600" spans="1:39" x14ac:dyDescent="0.35">
      <c r="A600" s="3">
        <v>44698</v>
      </c>
      <c r="B600" s="4">
        <v>32.484958648681598</v>
      </c>
      <c r="C600" s="4">
        <v>148.19320678710901</v>
      </c>
      <c r="D600" s="4">
        <v>42.840248107910099</v>
      </c>
      <c r="E600" s="4">
        <v>24.519624710083001</v>
      </c>
      <c r="F600" s="4">
        <v>258.11517333984301</v>
      </c>
      <c r="I600" s="5">
        <f>B600/B599-1</f>
        <v>3.3898494402558654E-2</v>
      </c>
      <c r="J600" s="5">
        <f>C600/C599-1</f>
        <v>5.8954524302239353E-3</v>
      </c>
      <c r="K600" s="5">
        <f>D600/D599-1</f>
        <v>3.5087470280086519E-2</v>
      </c>
      <c r="L600" s="5">
        <f>E600/E599-1</f>
        <v>1.8990928806509544E-2</v>
      </c>
      <c r="M600" s="5">
        <f>F600/F599-1</f>
        <v>2.0344291725751917E-2</v>
      </c>
      <c r="N600" s="5">
        <f>SUMPRODUCT(I600:M600,$AJ$13:$AN$13)</f>
        <v>2.3941606084637621E-2</v>
      </c>
      <c r="P600" s="2" t="s">
        <v>591</v>
      </c>
      <c r="Q600" s="10" cm="1">
        <f t="array" aca="1" ref="Q600:U600" ca="1">_xlfn.LET(_xlpm.array,_xlfn.RANDARRAY(1,COLUMNS(_xlfn.ANCHORARRAY(Q599)),0,1,FALSE),_xlpm.array/SUM(_xlpm.array))</f>
        <v>0.13829955998331656</v>
      </c>
      <c r="R600" s="2">
        <f ca="1"/>
        <v>0.35528584132528584</v>
      </c>
      <c r="S600" s="2">
        <f ca="1"/>
        <v>8.8230591198934019E-2</v>
      </c>
      <c r="T600" s="2">
        <f ca="1"/>
        <v>0.27309930692153445</v>
      </c>
      <c r="U600" s="2">
        <f ca="1"/>
        <v>0.14508470057092915</v>
      </c>
      <c r="V600" s="12"/>
      <c r="X600" s="2" cm="1">
        <f t="array" aca="1" ref="X600" ca="1">MMULT(MMULT(_xlfn.ANCHORARRAY(Q600),$Q$9:$U$13),TRANSPOSE(_xlfn.ANCHORARRAY(Q600)))</f>
        <v>2.9908064921385896E-4</v>
      </c>
      <c r="Y600" s="2">
        <f t="shared" ca="1" si="22"/>
        <v>1.7293948340788432E-2</v>
      </c>
      <c r="Z600" s="2" cm="1">
        <f t="array" aca="1" ref="Z600" ca="1">MMULT(_xlfn.ANCHORARRAY(Q600),TRANSPOSE($Q$3:$U$3))</f>
        <v>8.6299189210852336E-4</v>
      </c>
      <c r="AA600" s="11">
        <f ca="1">AVEDEV(Q600*$Q$3,R600*$R$3,S600*$S$3,T600*$T$3,U600*$U$3)</f>
        <v>7.7299906973203117E-5</v>
      </c>
      <c r="AB600" s="11" cm="1">
        <f t="array" aca="1" ref="AB600" ca="1">MMULT(_xlfn.ANCHORARRAY(Q600),TRANSPOSE($Q$6:$U$6))</f>
        <v>-2.249491433364665E-2</v>
      </c>
      <c r="AD600" s="2" t="s">
        <v>591</v>
      </c>
      <c r="AE600" s="10" cm="1">
        <f t="array" aca="1" ref="AE600:AI600" ca="1">_xlfn.LET(_xlpm.array,_xlfn.RANDARRAY(1,COLUMNS(_xlfn.ANCHORARRAY(Q599)),-1,1,FALSE),_xlpm.array/SUM(_xlpm.array))</f>
        <v>1.4840000043418724</v>
      </c>
      <c r="AF600" s="10">
        <f ca="1"/>
        <v>0.3545445779065291</v>
      </c>
      <c r="AG600" s="10">
        <f ca="1"/>
        <v>0.12359377349522203</v>
      </c>
      <c r="AH600" s="10">
        <f ca="1"/>
        <v>-0.20241475854141577</v>
      </c>
      <c r="AI600" s="10">
        <f ca="1"/>
        <v>-0.75972359720220772</v>
      </c>
      <c r="AJ600" s="1"/>
      <c r="AK600" s="2" cm="1">
        <f t="array" aca="1" ref="AK600" ca="1">MMULT(MMULT(_xlfn.ANCHORARRAY(AE600),$Q$9:$U$13),TRANSPOSE(_xlfn.ANCHORARRAY(AE600)))</f>
        <v>1.0582425416878422E-3</v>
      </c>
      <c r="AL600" s="2">
        <f t="shared" ca="1" si="23"/>
        <v>3.2530640044238938E-2</v>
      </c>
      <c r="AM600" s="2" cm="1">
        <f t="array" aca="1" ref="AM600" ca="1">MMULT(_xlfn.ANCHORARRAY(AE601),TRANSPOSE($Q$3:$U$3))</f>
        <v>1.3730635712916218E-3</v>
      </c>
    </row>
    <row r="601" spans="1:39" x14ac:dyDescent="0.35">
      <c r="A601" s="3">
        <v>44699</v>
      </c>
      <c r="B601" s="4">
        <v>31.4830627441406</v>
      </c>
      <c r="C601" s="4">
        <v>144.286849975585</v>
      </c>
      <c r="D601" s="4">
        <v>39.807155609130803</v>
      </c>
      <c r="E601" s="4">
        <v>24.262575149536101</v>
      </c>
      <c r="F601" s="4">
        <v>246.36328125</v>
      </c>
      <c r="I601" s="5">
        <f>B601/B600-1</f>
        <v>-3.0841840230621975E-2</v>
      </c>
      <c r="J601" s="5">
        <f>C601/C600-1</f>
        <v>-2.6359891227239474E-2</v>
      </c>
      <c r="K601" s="5">
        <f>D601/D600-1</f>
        <v>-7.0800068457569476E-2</v>
      </c>
      <c r="L601" s="5">
        <f>E601/E600-1</f>
        <v>-1.0483421487327838E-2</v>
      </c>
      <c r="M601" s="5">
        <f>F601/F600-1</f>
        <v>-4.5529644529537561E-2</v>
      </c>
      <c r="N601" s="5">
        <f>SUMPRODUCT(I601:M601,$AJ$13:$AN$13)</f>
        <v>-4.7187630215232548E-2</v>
      </c>
      <c r="P601" s="2" t="s">
        <v>592</v>
      </c>
      <c r="Q601" s="10" cm="1">
        <f t="array" aca="1" ref="Q601:U601" ca="1">_xlfn.LET(_xlpm.array,_xlfn.RANDARRAY(1,COLUMNS(_xlfn.ANCHORARRAY(Q600)),0,1,FALSE),_xlpm.array/SUM(_xlpm.array))</f>
        <v>0.26971117854429927</v>
      </c>
      <c r="R601" s="2">
        <f ca="1"/>
        <v>0.17232495783735149</v>
      </c>
      <c r="S601" s="2">
        <f ca="1"/>
        <v>0.34188427911472163</v>
      </c>
      <c r="T601" s="2">
        <f ca="1"/>
        <v>0.1284934423300336</v>
      </c>
      <c r="U601" s="2">
        <f ca="1"/>
        <v>8.7586142173594103E-2</v>
      </c>
      <c r="V601" s="12"/>
      <c r="X601" s="2" cm="1">
        <f t="array" aca="1" ref="X601" ca="1">MMULT(MMULT(_xlfn.ANCHORARRAY(Q601),$Q$9:$U$13),TRANSPOSE(_xlfn.ANCHORARRAY(Q601)))</f>
        <v>3.2985300480403175E-4</v>
      </c>
      <c r="Y601" s="2">
        <f t="shared" ca="1" si="22"/>
        <v>1.8161855764321878E-2</v>
      </c>
      <c r="Z601" s="2" cm="1">
        <f t="array" aca="1" ref="Z601" ca="1">MMULT(_xlfn.ANCHORARRAY(Q601),TRANSPOSE($Q$3:$U$3))</f>
        <v>1.0164001379381899E-3</v>
      </c>
      <c r="AA601" s="11">
        <f ca="1">AVEDEV(Q601*$Q$3,R601*$R$3,S601*$S$3,T601*$T$3,U601*$U$3)</f>
        <v>1.4077612241203665E-4</v>
      </c>
      <c r="AB601" s="11" cm="1">
        <f t="array" aca="1" ref="AB601" ca="1">MMULT(_xlfn.ANCHORARRAY(Q601),TRANSPOSE($Q$6:$U$6))</f>
        <v>-2.3656516769387025E-2</v>
      </c>
      <c r="AD601" s="2" t="s">
        <v>592</v>
      </c>
      <c r="AE601" s="10" cm="1">
        <f t="array" aca="1" ref="AE601:AI601" ca="1">_xlfn.LET(_xlpm.array,_xlfn.RANDARRAY(1,COLUMNS(_xlfn.ANCHORARRAY(Q600)),-1,1,FALSE),_xlpm.array/SUM(_xlpm.array))</f>
        <v>2.2787170795597344E-2</v>
      </c>
      <c r="AF601" s="10">
        <f ca="1"/>
        <v>-0.27585252444103747</v>
      </c>
      <c r="AG601" s="10">
        <f ca="1"/>
        <v>0.61677829301200626</v>
      </c>
      <c r="AH601" s="10">
        <f ca="1"/>
        <v>0.29056079069706908</v>
      </c>
      <c r="AI601" s="10">
        <f ca="1"/>
        <v>0.34572626993636479</v>
      </c>
      <c r="AJ601" s="1"/>
      <c r="AK601" s="2" cm="1">
        <f t="array" aca="1" ref="AK601" ca="1">MMULT(MMULT(_xlfn.ANCHORARRAY(AE601),$Q$9:$U$13),TRANSPOSE(_xlfn.ANCHORARRAY(AE601)))</f>
        <v>4.9743360422366658E-4</v>
      </c>
      <c r="AL601" s="2">
        <f t="shared" ca="1" si="23"/>
        <v>2.2303219593226144E-2</v>
      </c>
      <c r="AM601" s="2" cm="1">
        <f t="array" aca="1" ref="AM601" ca="1">MMULT(_xlfn.ANCHORARRAY(AE602),TRANSPOSE($Q$3:$U$3))</f>
        <v>9.1846086383405383E-4</v>
      </c>
    </row>
    <row r="602" spans="1:39" x14ac:dyDescent="0.35">
      <c r="A602" s="3">
        <v>44700</v>
      </c>
      <c r="B602" s="4">
        <v>31.0949382781982</v>
      </c>
      <c r="C602" s="4">
        <v>143.256591796875</v>
      </c>
      <c r="D602" s="4">
        <v>37.775890350341797</v>
      </c>
      <c r="E602" s="4">
        <v>24.505346298217699</v>
      </c>
      <c r="F602" s="4">
        <v>245.45182800292901</v>
      </c>
      <c r="I602" s="5">
        <f>B602/B601-1</f>
        <v>-1.232804028936596E-2</v>
      </c>
      <c r="J602" s="5">
        <f>C602/C601-1</f>
        <v>-7.1403470162688665E-3</v>
      </c>
      <c r="K602" s="5">
        <f>D602/D601-1</f>
        <v>-5.1027641329969398E-2</v>
      </c>
      <c r="L602" s="5">
        <f>E602/E601-1</f>
        <v>1.0005992652690088E-2</v>
      </c>
      <c r="M602" s="5">
        <f>F602/F601-1</f>
        <v>-3.6996310588430781E-3</v>
      </c>
      <c r="N602" s="5">
        <f>SUMPRODUCT(I602:M602,$AJ$13:$AN$13)</f>
        <v>-1.9329813584935719E-2</v>
      </c>
      <c r="P602" s="2" t="s">
        <v>593</v>
      </c>
      <c r="Q602" s="10" cm="1">
        <f t="array" aca="1" ref="Q602:U602" ca="1">_xlfn.LET(_xlpm.array,_xlfn.RANDARRAY(1,COLUMNS(_xlfn.ANCHORARRAY(Q601)),0,1,FALSE),_xlpm.array/SUM(_xlpm.array))</f>
        <v>0.2513038156686595</v>
      </c>
      <c r="R602" s="2">
        <f ca="1"/>
        <v>0.24439439869904039</v>
      </c>
      <c r="S602" s="2">
        <f ca="1"/>
        <v>0.17195713287493838</v>
      </c>
      <c r="T602" s="2">
        <f ca="1"/>
        <v>9.5707080825438523E-2</v>
      </c>
      <c r="U602" s="2">
        <f ca="1"/>
        <v>0.23663757193192334</v>
      </c>
      <c r="V602" s="12"/>
      <c r="X602" s="2" cm="1">
        <f t="array" aca="1" ref="X602" ca="1">MMULT(MMULT(_xlfn.ANCHORARRAY(Q602),$Q$9:$U$13),TRANSPOSE(_xlfn.ANCHORARRAY(Q602)))</f>
        <v>2.6983312769570154E-4</v>
      </c>
      <c r="Y602" s="2">
        <f t="shared" ref="Y602:Y665" ca="1" si="24">SQRT(X602)</f>
        <v>1.6426598177824329E-2</v>
      </c>
      <c r="Z602" s="2" cm="1">
        <f t="array" aca="1" ref="Z602" ca="1">MMULT(_xlfn.ANCHORARRAY(Q602),TRANSPOSE($Q$3:$U$3))</f>
        <v>8.6421821460663285E-4</v>
      </c>
      <c r="AA602" s="11">
        <f ca="1">AVEDEV(Q602*$Q$3,R602*$R$3,S602*$S$3,T602*$T$3,U602*$U$3)</f>
        <v>4.8074828670496691E-5</v>
      </c>
      <c r="AB602" s="11" cm="1">
        <f t="array" aca="1" ref="AB602" ca="1">MMULT(_xlfn.ANCHORARRAY(Q602),TRANSPOSE($Q$6:$U$6))</f>
        <v>-2.230491813900462E-2</v>
      </c>
      <c r="AD602" s="2" t="s">
        <v>593</v>
      </c>
      <c r="AE602" s="10" cm="1">
        <f t="array" aca="1" ref="AE602:AI602" ca="1">_xlfn.LET(_xlpm.array,_xlfn.RANDARRAY(1,COLUMNS(_xlfn.ANCHORARRAY(Q601)),-1,1,FALSE),_xlpm.array/SUM(_xlpm.array))</f>
        <v>-0.11480421403970151</v>
      </c>
      <c r="AF602" s="10">
        <f ca="1"/>
        <v>0.37776412688423733</v>
      </c>
      <c r="AG602" s="10">
        <f ca="1"/>
        <v>7.833533647076317E-2</v>
      </c>
      <c r="AH602" s="10">
        <f ca="1"/>
        <v>0.27232110293223027</v>
      </c>
      <c r="AI602" s="10">
        <f ca="1"/>
        <v>0.38638364775247069</v>
      </c>
      <c r="AJ602" s="1"/>
      <c r="AK602" s="2" cm="1">
        <f t="array" aca="1" ref="AK602" ca="1">MMULT(MMULT(_xlfn.ANCHORARRAY(AE602),$Q$9:$U$13),TRANSPOSE(_xlfn.ANCHORARRAY(AE602)))</f>
        <v>2.7962585233609188E-4</v>
      </c>
      <c r="AL602" s="2">
        <f t="shared" ref="AL602:AL665" ca="1" si="25">SQRT(AK602)</f>
        <v>1.6722016993655157E-2</v>
      </c>
      <c r="AM602" s="2" cm="1">
        <f t="array" aca="1" ref="AM602" ca="1">MMULT(_xlfn.ANCHORARRAY(AE603),TRANSPOSE($Q$3:$U$3))</f>
        <v>2.4069299130546188E-3</v>
      </c>
    </row>
    <row r="603" spans="1:39" x14ac:dyDescent="0.35">
      <c r="A603" s="3">
        <v>44701</v>
      </c>
      <c r="B603" s="4">
        <v>30.562395095825099</v>
      </c>
      <c r="C603" s="4">
        <v>144.08078002929599</v>
      </c>
      <c r="D603" s="4">
        <v>36.810821533203097</v>
      </c>
      <c r="E603" s="4">
        <v>24.262575149536101</v>
      </c>
      <c r="F603" s="4">
        <v>244.88943481445301</v>
      </c>
      <c r="I603" s="5">
        <f>B603/B602-1</f>
        <v>-1.7126362419779606E-2</v>
      </c>
      <c r="J603" s="5">
        <f>C603/C602-1</f>
        <v>5.7532307734196042E-3</v>
      </c>
      <c r="K603" s="5">
        <f>D603/D602-1</f>
        <v>-2.5547215649676103E-2</v>
      </c>
      <c r="L603" s="5">
        <f>E603/E602-1</f>
        <v>-9.9068646379119052E-3</v>
      </c>
      <c r="M603" s="5">
        <f>F603/F602-1</f>
        <v>-2.2912568753380436E-3</v>
      </c>
      <c r="N603" s="5">
        <f>SUMPRODUCT(I603:M603,$AJ$13:$AN$13)</f>
        <v>-1.3931480681858191E-2</v>
      </c>
      <c r="P603" s="2" t="s">
        <v>594</v>
      </c>
      <c r="Q603" s="10" cm="1">
        <f t="array" aca="1" ref="Q603:U603" ca="1">_xlfn.LET(_xlpm.array,_xlfn.RANDARRAY(1,COLUMNS(_xlfn.ANCHORARRAY(Q602)),0,1,FALSE),_xlpm.array/SUM(_xlpm.array))</f>
        <v>0.27093009314888084</v>
      </c>
      <c r="R603" s="2">
        <f ca="1"/>
        <v>5.0764338049931863E-2</v>
      </c>
      <c r="S603" s="2">
        <f ca="1"/>
        <v>8.7384297738836464E-2</v>
      </c>
      <c r="T603" s="2">
        <f ca="1"/>
        <v>0.40678132170898978</v>
      </c>
      <c r="U603" s="2">
        <f ca="1"/>
        <v>0.18413994935336103</v>
      </c>
      <c r="V603" s="12"/>
      <c r="X603" s="2" cm="1">
        <f t="array" aca="1" ref="X603" ca="1">MMULT(MMULT(_xlfn.ANCHORARRAY(Q603),$Q$9:$U$13),TRANSPOSE(_xlfn.ANCHORARRAY(Q603)))</f>
        <v>2.9204571953114593E-4</v>
      </c>
      <c r="Y603" s="2">
        <f t="shared" ca="1" si="24"/>
        <v>1.7089345204868031E-2</v>
      </c>
      <c r="Z603" s="2" cm="1">
        <f t="array" aca="1" ref="Z603" ca="1">MMULT(_xlfn.ANCHORARRAY(Q603),TRANSPOSE($Q$3:$U$3))</f>
        <v>8.7309638060856665E-4</v>
      </c>
      <c r="AA603" s="11">
        <f ca="1">AVEDEV(Q603*$Q$3,R603*$R$3,S603*$S$3,T603*$T$3,U603*$U$3)</f>
        <v>9.6382195618096848E-5</v>
      </c>
      <c r="AB603" s="11" cm="1">
        <f t="array" aca="1" ref="AB603" ca="1">MMULT(_xlfn.ANCHORARRAY(Q603),TRANSPOSE($Q$6:$U$6))</f>
        <v>-2.3215139935773316E-2</v>
      </c>
      <c r="AD603" s="2" t="s">
        <v>594</v>
      </c>
      <c r="AE603" s="10" cm="1">
        <f t="array" aca="1" ref="AE603:AI603" ca="1">_xlfn.LET(_xlpm.array,_xlfn.RANDARRAY(1,COLUMNS(_xlfn.ANCHORARRAY(Q602)),-1,1,FALSE),_xlpm.array/SUM(_xlpm.array))</f>
        <v>-0.95898111578362899</v>
      </c>
      <c r="AF603" s="10">
        <f ca="1"/>
        <v>-1.2288963670352593</v>
      </c>
      <c r="AG603" s="10">
        <f ca="1"/>
        <v>1.6590693735155044</v>
      </c>
      <c r="AH603" s="10">
        <f ca="1"/>
        <v>-0.28013380838083296</v>
      </c>
      <c r="AI603" s="10">
        <f ca="1"/>
        <v>1.8089419176842167</v>
      </c>
      <c r="AJ603" s="1"/>
      <c r="AK603" s="2" cm="1">
        <f t="array" aca="1" ref="AK603" ca="1">MMULT(MMULT(_xlfn.ANCHORARRAY(AE603),$Q$9:$U$13),TRANSPOSE(_xlfn.ANCHORARRAY(AE603)))</f>
        <v>4.0791963276516265E-3</v>
      </c>
      <c r="AL603" s="2">
        <f t="shared" ca="1" si="25"/>
        <v>6.3868586391524484E-2</v>
      </c>
      <c r="AM603" s="2" cm="1">
        <f t="array" aca="1" ref="AM603" ca="1">MMULT(_xlfn.ANCHORARRAY(AE604),TRANSPOSE($Q$3:$U$3))</f>
        <v>1.2992600103793371E-3</v>
      </c>
    </row>
    <row r="604" spans="1:39" x14ac:dyDescent="0.35">
      <c r="A604" s="3">
        <v>44704</v>
      </c>
      <c r="B604" s="4">
        <v>32.376636505126903</v>
      </c>
      <c r="C604" s="4">
        <v>147.42909240722599</v>
      </c>
      <c r="D604" s="4">
        <v>37.88618850708</v>
      </c>
      <c r="E604" s="4">
        <v>25.140827178955</v>
      </c>
      <c r="F604" s="4">
        <v>252.73373413085901</v>
      </c>
      <c r="I604" s="5">
        <f>B604/B603-1</f>
        <v>5.9361885860497621E-2</v>
      </c>
      <c r="J604" s="5">
        <f>C604/C603-1</f>
        <v>2.3239132778495319E-2</v>
      </c>
      <c r="K604" s="5">
        <f>D604/D603-1</f>
        <v>2.921333806437687E-2</v>
      </c>
      <c r="L604" s="5">
        <f>E604/E603-1</f>
        <v>3.6197807693784334E-2</v>
      </c>
      <c r="M604" s="5">
        <f>F604/F603-1</f>
        <v>3.2032003840220424E-2</v>
      </c>
      <c r="N604" s="5">
        <f>SUMPRODUCT(I604:M604,$AJ$13:$AN$13)</f>
        <v>2.4894803912675303E-2</v>
      </c>
      <c r="P604" s="2" t="s">
        <v>595</v>
      </c>
      <c r="Q604" s="10" cm="1">
        <f t="array" aca="1" ref="Q604:U604" ca="1">_xlfn.LET(_xlpm.array,_xlfn.RANDARRAY(1,COLUMNS(_xlfn.ANCHORARRAY(Q603)),0,1,FALSE),_xlpm.array/SUM(_xlpm.array))</f>
        <v>0.22296472179473917</v>
      </c>
      <c r="R604" s="2">
        <f ca="1"/>
        <v>0.10073794124278718</v>
      </c>
      <c r="S604" s="2">
        <f ca="1"/>
        <v>0.28117367811131727</v>
      </c>
      <c r="T604" s="2">
        <f ca="1"/>
        <v>0.22730081067691885</v>
      </c>
      <c r="U604" s="2">
        <f ca="1"/>
        <v>0.16782284817423751</v>
      </c>
      <c r="V604" s="12"/>
      <c r="X604" s="2" cm="1">
        <f t="array" aca="1" ref="X604" ca="1">MMULT(MMULT(_xlfn.ANCHORARRAY(Q604),$Q$9:$U$13),TRANSPOSE(_xlfn.ANCHORARRAY(Q604)))</f>
        <v>3.0003297125667669E-4</v>
      </c>
      <c r="Y604" s="2">
        <f t="shared" ca="1" si="24"/>
        <v>1.7321459847734449E-2</v>
      </c>
      <c r="Z604" s="2" cm="1">
        <f t="array" aca="1" ref="Z604" ca="1">MMULT(_xlfn.ANCHORARRAY(Q604),TRANSPOSE($Q$3:$U$3))</f>
        <v>1.0040843795088921E-3</v>
      </c>
      <c r="AA604" s="11">
        <f ca="1">AVEDEV(Q604*$Q$3,R604*$R$3,S604*$S$3,T604*$T$3,U604*$U$3)</f>
        <v>1.1488276799762427E-4</v>
      </c>
      <c r="AB604" s="11" cm="1">
        <f t="array" aca="1" ref="AB604" ca="1">MMULT(_xlfn.ANCHORARRAY(Q604),TRANSPOSE($Q$6:$U$6))</f>
        <v>-2.3624862732602406E-2</v>
      </c>
      <c r="AD604" s="2" t="s">
        <v>595</v>
      </c>
      <c r="AE604" s="10" cm="1">
        <f t="array" aca="1" ref="AE604:AI604" ca="1">_xlfn.LET(_xlpm.array,_xlfn.RANDARRAY(1,COLUMNS(_xlfn.ANCHORARRAY(Q603)),-1,1,FALSE),_xlpm.array/SUM(_xlpm.array))</f>
        <v>0.6608776072143282</v>
      </c>
      <c r="AF604" s="10">
        <f ca="1"/>
        <v>-0.39288344142826154</v>
      </c>
      <c r="AG604" s="10">
        <f ca="1"/>
        <v>0.88782064442543041</v>
      </c>
      <c r="AH604" s="10">
        <f ca="1"/>
        <v>-0.281876656851338</v>
      </c>
      <c r="AI604" s="10">
        <f ca="1"/>
        <v>0.12606184663984094</v>
      </c>
      <c r="AJ604" s="1"/>
      <c r="AK604" s="2" cm="1">
        <f t="array" aca="1" ref="AK604" ca="1">MMULT(MMULT(_xlfn.ANCHORARRAY(AE604),$Q$9:$U$13),TRANSPOSE(_xlfn.ANCHORARRAY(AE604)))</f>
        <v>9.4188194057574575E-4</v>
      </c>
      <c r="AL604" s="2">
        <f t="shared" ca="1" si="25"/>
        <v>3.0690095154230879E-2</v>
      </c>
      <c r="AM604" s="2" cm="1">
        <f t="array" aca="1" ref="AM604" ca="1">MMULT(_xlfn.ANCHORARRAY(AE605),TRANSPOSE($Q$3:$U$3))</f>
        <v>4.7932954819430431E-3</v>
      </c>
    </row>
    <row r="605" spans="1:39" x14ac:dyDescent="0.35">
      <c r="A605" s="3">
        <v>44705</v>
      </c>
      <c r="B605" s="4">
        <v>32.178070068359297</v>
      </c>
      <c r="C605" s="4">
        <v>148.21894836425699</v>
      </c>
      <c r="D605" s="4">
        <v>37.573684692382798</v>
      </c>
      <c r="E605" s="4">
        <v>25.412157058715799</v>
      </c>
      <c r="F605" s="4">
        <v>251.73497009277301</v>
      </c>
      <c r="I605" s="5">
        <f>B605/B604-1</f>
        <v>-6.1330162179188408E-3</v>
      </c>
      <c r="J605" s="5">
        <f>C605/C604-1</f>
        <v>5.3575311638578427E-3</v>
      </c>
      <c r="K605" s="5">
        <f>D605/D604-1</f>
        <v>-8.2484891463495691E-3</v>
      </c>
      <c r="L605" s="5">
        <f>E605/E604-1</f>
        <v>1.0792400656885581E-2</v>
      </c>
      <c r="M605" s="5">
        <f>F605/F604-1</f>
        <v>-3.9518429999885196E-3</v>
      </c>
      <c r="N605" s="5">
        <f>SUMPRODUCT(I605:M605,$AJ$13:$AN$13)</f>
        <v>1.026187711801127E-3</v>
      </c>
      <c r="P605" s="2" t="s">
        <v>596</v>
      </c>
      <c r="Q605" s="10" cm="1">
        <f t="array" aca="1" ref="Q605:U605" ca="1">_xlfn.LET(_xlpm.array,_xlfn.RANDARRAY(1,COLUMNS(_xlfn.ANCHORARRAY(Q604)),0,1,FALSE),_xlpm.array/SUM(_xlpm.array))</f>
        <v>0.23642912604865945</v>
      </c>
      <c r="R605" s="2">
        <f ca="1"/>
        <v>0.14961010270724143</v>
      </c>
      <c r="S605" s="2">
        <f ca="1"/>
        <v>0.22804857302689829</v>
      </c>
      <c r="T605" s="2">
        <f ca="1"/>
        <v>0.18826486510201987</v>
      </c>
      <c r="U605" s="2">
        <f ca="1"/>
        <v>0.19764733311518101</v>
      </c>
      <c r="V605" s="12"/>
      <c r="X605" s="2" cm="1">
        <f t="array" aca="1" ref="X605" ca="1">MMULT(MMULT(_xlfn.ANCHORARRAY(Q605),$Q$9:$U$13),TRANSPOSE(_xlfn.ANCHORARRAY(Q605)))</f>
        <v>2.8282480467063691E-4</v>
      </c>
      <c r="Y605" s="2">
        <f t="shared" ca="1" si="24"/>
        <v>1.6817395894449205E-2</v>
      </c>
      <c r="Z605" s="2" cm="1">
        <f t="array" aca="1" ref="Z605" ca="1">MMULT(_xlfn.ANCHORARRAY(Q605),TRANSPOSE($Q$3:$U$3))</f>
        <v>9.43272342041909E-4</v>
      </c>
      <c r="AA605" s="11">
        <f ca="1">AVEDEV(Q605*$Q$3,R605*$R$3,S605*$S$3,T605*$T$3,U605*$U$3)</f>
        <v>7.4150693073708355E-5</v>
      </c>
      <c r="AB605" s="11" cm="1">
        <f t="array" aca="1" ref="AB605" ca="1">MMULT(_xlfn.ANCHORARRAY(Q605),TRANSPOSE($Q$6:$U$6))</f>
        <v>-2.3098197012174519E-2</v>
      </c>
      <c r="AD605" s="2" t="s">
        <v>596</v>
      </c>
      <c r="AE605" s="10" cm="1">
        <f t="array" aca="1" ref="AE605:AI605" ca="1">_xlfn.LET(_xlpm.array,_xlfn.RANDARRAY(1,COLUMNS(_xlfn.ANCHORARRAY(Q604)),-1,1,FALSE),_xlpm.array/SUM(_xlpm.array))</f>
        <v>-2.1946032463293408</v>
      </c>
      <c r="AF605" s="10">
        <f ca="1"/>
        <v>-3.7258200583018208</v>
      </c>
      <c r="AG605" s="10">
        <f ca="1"/>
        <v>4.3288331221497192</v>
      </c>
      <c r="AH605" s="10">
        <f ca="1"/>
        <v>-1.4907984372107905</v>
      </c>
      <c r="AI605" s="10">
        <f ca="1"/>
        <v>4.0823886196922325</v>
      </c>
      <c r="AJ605" s="1"/>
      <c r="AK605" s="2" cm="1">
        <f t="array" aca="1" ref="AK605" ca="1">MMULT(MMULT(_xlfn.ANCHORARRAY(AE605),$Q$9:$U$13),TRANSPOSE(_xlfn.ANCHORARRAY(AE605)))</f>
        <v>2.8319314966874141E-2</v>
      </c>
      <c r="AL605" s="2">
        <f t="shared" ca="1" si="25"/>
        <v>0.16828343640083579</v>
      </c>
      <c r="AM605" s="2" cm="1">
        <f t="array" aca="1" ref="AM605" ca="1">MMULT(_xlfn.ANCHORARRAY(AE606),TRANSPOSE($Q$3:$U$3))</f>
        <v>4.2123237156394813E-4</v>
      </c>
    </row>
    <row r="606" spans="1:39" x14ac:dyDescent="0.35">
      <c r="A606" s="3">
        <v>44706</v>
      </c>
      <c r="B606" s="4">
        <v>32.349563598632798</v>
      </c>
      <c r="C606" s="4">
        <v>150.59710693359301</v>
      </c>
      <c r="D606" s="4">
        <v>39.797962188720703</v>
      </c>
      <c r="E606" s="4">
        <v>26.3903694152832</v>
      </c>
      <c r="F606" s="4">
        <v>254.54693603515599</v>
      </c>
      <c r="I606" s="5">
        <f>B606/B605-1</f>
        <v>5.3295157201529442E-3</v>
      </c>
      <c r="J606" s="5">
        <f>C606/C605-1</f>
        <v>1.6044902460726984E-2</v>
      </c>
      <c r="K606" s="5">
        <f>D606/D605-1</f>
        <v>5.9197747427438996E-2</v>
      </c>
      <c r="L606" s="5">
        <f>E606/E605-1</f>
        <v>3.849387339717758E-2</v>
      </c>
      <c r="M606" s="5">
        <f>F606/F605-1</f>
        <v>1.1170342925922006E-2</v>
      </c>
      <c r="N606" s="5">
        <f>SUMPRODUCT(I606:M606,$AJ$13:$AN$13)</f>
        <v>5.0473539934542198E-2</v>
      </c>
      <c r="P606" s="2" t="s">
        <v>597</v>
      </c>
      <c r="Q606" s="10" cm="1">
        <f t="array" aca="1" ref="Q606:U606" ca="1">_xlfn.LET(_xlpm.array,_xlfn.RANDARRAY(1,COLUMNS(_xlfn.ANCHORARRAY(Q605)),0,1,FALSE),_xlpm.array/SUM(_xlpm.array))</f>
        <v>0.30347219580724388</v>
      </c>
      <c r="R606" s="2">
        <f ca="1"/>
        <v>8.6534597311093198E-2</v>
      </c>
      <c r="S606" s="2">
        <f ca="1"/>
        <v>0.15181445894394857</v>
      </c>
      <c r="T606" s="2">
        <f ca="1"/>
        <v>0.26891054267858444</v>
      </c>
      <c r="U606" s="2">
        <f ca="1"/>
        <v>0.18926820525912974</v>
      </c>
      <c r="V606" s="12"/>
      <c r="X606" s="2" cm="1">
        <f t="array" aca="1" ref="X606" ca="1">MMULT(MMULT(_xlfn.ANCHORARRAY(Q606),$Q$9:$U$13),TRANSPOSE(_xlfn.ANCHORARRAY(Q606)))</f>
        <v>2.7946142902079719E-4</v>
      </c>
      <c r="Y606" s="2">
        <f t="shared" ca="1" si="24"/>
        <v>1.6717099898630659E-2</v>
      </c>
      <c r="Z606" s="2" cm="1">
        <f t="array" aca="1" ref="Z606" ca="1">MMULT(_xlfn.ANCHORARRAY(Q606),TRANSPOSE($Q$3:$U$3))</f>
        <v>8.834624708384095E-4</v>
      </c>
      <c r="AA606" s="11">
        <f ca="1">AVEDEV(Q606*$Q$3,R606*$R$3,S606*$S$3,T606*$T$3,U606*$U$3)</f>
        <v>6.7154170550692805E-5</v>
      </c>
      <c r="AB606" s="11" cm="1">
        <f t="array" aca="1" ref="AB606" ca="1">MMULT(_xlfn.ANCHORARRAY(Q606),TRANSPOSE($Q$6:$U$6))</f>
        <v>-2.3038438319143019E-2</v>
      </c>
      <c r="AD606" s="2" t="s">
        <v>597</v>
      </c>
      <c r="AE606" s="10" cm="1">
        <f t="array" aca="1" ref="AE606:AI606" ca="1">_xlfn.LET(_xlpm.array,_xlfn.RANDARRAY(1,COLUMNS(_xlfn.ANCHORARRAY(Q605)),-1,1,FALSE),_xlpm.array/SUM(_xlpm.array))</f>
        <v>1.0233614779921327</v>
      </c>
      <c r="AF606" s="10">
        <f ca="1"/>
        <v>-1.3205051535109202</v>
      </c>
      <c r="AG606" s="10">
        <f ca="1"/>
        <v>-0.19179285279517821</v>
      </c>
      <c r="AH606" s="10">
        <f ca="1"/>
        <v>0.14819142848593767</v>
      </c>
      <c r="AI606" s="10">
        <f ca="1"/>
        <v>1.3407450998280279</v>
      </c>
      <c r="AJ606" s="1"/>
      <c r="AK606" s="2" cm="1">
        <f t="array" aca="1" ref="AK606" ca="1">MMULT(MMULT(_xlfn.ANCHORARRAY(AE606),$Q$9:$U$13),TRANSPOSE(_xlfn.ANCHORARRAY(AE606)))</f>
        <v>1.072187006573559E-3</v>
      </c>
      <c r="AL606" s="2">
        <f t="shared" ca="1" si="25"/>
        <v>3.2744266774101985E-2</v>
      </c>
      <c r="AM606" s="2" cm="1">
        <f t="array" aca="1" ref="AM606" ca="1">MMULT(_xlfn.ANCHORARRAY(AE607),TRANSPOSE($Q$3:$U$3))</f>
        <v>1.2890416717700838E-2</v>
      </c>
    </row>
    <row r="607" spans="1:39" x14ac:dyDescent="0.35">
      <c r="A607" s="3">
        <v>44707</v>
      </c>
      <c r="B607" s="4">
        <v>33.098731994628899</v>
      </c>
      <c r="C607" s="4">
        <v>151.61019897460901</v>
      </c>
      <c r="D607" s="4">
        <v>40.3770141601562</v>
      </c>
      <c r="E607" s="4">
        <v>26.6902656555175</v>
      </c>
      <c r="F607" s="4">
        <v>257.82421875</v>
      </c>
      <c r="I607" s="5">
        <f>B607/B606-1</f>
        <v>2.3158531759227996E-2</v>
      </c>
      <c r="J607" s="5">
        <f>C607/C606-1</f>
        <v>6.7271680156693048E-3</v>
      </c>
      <c r="K607" s="5">
        <f>D607/D606-1</f>
        <v>1.4549789476397068E-2</v>
      </c>
      <c r="L607" s="5">
        <f>E607/E606-1</f>
        <v>1.1363851544291981E-2</v>
      </c>
      <c r="M607" s="5">
        <f>F607/F606-1</f>
        <v>1.287496430281676E-2</v>
      </c>
      <c r="N607" s="5">
        <f>SUMPRODUCT(I607:M607,$AJ$13:$AN$13)</f>
        <v>1.0268190221797537E-2</v>
      </c>
      <c r="P607" s="2" t="s">
        <v>598</v>
      </c>
      <c r="Q607" s="10" cm="1">
        <f t="array" aca="1" ref="Q607:U607" ca="1">_xlfn.LET(_xlpm.array,_xlfn.RANDARRAY(1,COLUMNS(_xlfn.ANCHORARRAY(Q606)),0,1,FALSE),_xlpm.array/SUM(_xlpm.array))</f>
        <v>4.8482033047855942E-2</v>
      </c>
      <c r="R607" s="2">
        <f ca="1"/>
        <v>0.1563431947880872</v>
      </c>
      <c r="S607" s="2">
        <f ca="1"/>
        <v>0.24520425509835653</v>
      </c>
      <c r="T607" s="2">
        <f ca="1"/>
        <v>0.32374073247449714</v>
      </c>
      <c r="U607" s="2">
        <f ca="1"/>
        <v>0.2262297845912033</v>
      </c>
      <c r="V607" s="12"/>
      <c r="X607" s="2" cm="1">
        <f t="array" aca="1" ref="X607" ca="1">MMULT(MMULT(_xlfn.ANCHORARRAY(Q607),$Q$9:$U$13),TRANSPOSE(_xlfn.ANCHORARRAY(Q607)))</f>
        <v>2.9568075542407793E-4</v>
      </c>
      <c r="Y607" s="2">
        <f t="shared" ca="1" si="24"/>
        <v>1.7195370174092731E-2</v>
      </c>
      <c r="Z607" s="2" cm="1">
        <f t="array" aca="1" ref="Z607" ca="1">MMULT(_xlfn.ANCHORARRAY(Q607),TRANSPOSE($Q$3:$U$3))</f>
        <v>1.0407924085825257E-3</v>
      </c>
      <c r="AA607" s="11">
        <f ca="1">AVEDEV(Q607*$Q$3,R607*$R$3,S607*$S$3,T607*$T$3,U607*$U$3)</f>
        <v>1.2505360536309344E-4</v>
      </c>
      <c r="AB607" s="11" cm="1">
        <f t="array" aca="1" ref="AB607" ca="1">MMULT(_xlfn.ANCHORARRAY(Q607),TRANSPOSE($Q$6:$U$6))</f>
        <v>-2.3625777996323458E-2</v>
      </c>
      <c r="AD607" s="2" t="s">
        <v>598</v>
      </c>
      <c r="AE607" s="10" cm="1">
        <f t="array" aca="1" ref="AE607:AI607" ca="1">_xlfn.LET(_xlpm.array,_xlfn.RANDARRAY(1,COLUMNS(_xlfn.ANCHORARRAY(Q606)),-1,1,FALSE),_xlpm.array/SUM(_xlpm.array))</f>
        <v>-10.338055925757951</v>
      </c>
      <c r="AF607" s="10">
        <f ca="1"/>
        <v>-3.2088418415332871</v>
      </c>
      <c r="AG607" s="10">
        <f ca="1"/>
        <v>7.6852191447092526</v>
      </c>
      <c r="AH607" s="10">
        <f ca="1"/>
        <v>10.745045883235434</v>
      </c>
      <c r="AI607" s="10">
        <f ca="1"/>
        <v>-3.8833672606534484</v>
      </c>
      <c r="AJ607" s="1"/>
      <c r="AK607" s="2" cm="1">
        <f t="array" aca="1" ref="AK607" ca="1">MMULT(MMULT(_xlfn.ANCHORARRAY(AE607),$Q$9:$U$13),TRANSPOSE(_xlfn.ANCHORARRAY(AE607)))</f>
        <v>9.5915526537668772E-2</v>
      </c>
      <c r="AL607" s="2">
        <f t="shared" ca="1" si="25"/>
        <v>0.30970231923198244</v>
      </c>
      <c r="AM607" s="2" cm="1">
        <f t="array" aca="1" ref="AM607" ca="1">MMULT(_xlfn.ANCHORARRAY(AE608),TRANSPOSE($Q$3:$U$3))</f>
        <v>1.9959389790547111E-3</v>
      </c>
    </row>
    <row r="608" spans="1:39" x14ac:dyDescent="0.35">
      <c r="A608" s="3">
        <v>44708</v>
      </c>
      <c r="B608" s="4">
        <v>33.414646148681598</v>
      </c>
      <c r="C608" s="4">
        <v>153.06115722656199</v>
      </c>
      <c r="D608" s="4">
        <v>45.570045471191399</v>
      </c>
      <c r="E608" s="4">
        <v>26.890184402465799</v>
      </c>
      <c r="F608" s="4">
        <v>264.94134521484301</v>
      </c>
      <c r="I608" s="5">
        <f>B608/B607-1</f>
        <v>9.5445998989920344E-3</v>
      </c>
      <c r="J608" s="5">
        <f>C608/C607-1</f>
        <v>9.5703208739670309E-3</v>
      </c>
      <c r="K608" s="5">
        <f>D608/D607-1</f>
        <v>0.12861355449506351</v>
      </c>
      <c r="L608" s="5">
        <f>E608/E607-1</f>
        <v>7.4903243575237255E-3</v>
      </c>
      <c r="M608" s="5">
        <f>F608/F607-1</f>
        <v>2.7604569110492028E-2</v>
      </c>
      <c r="N608" s="5">
        <f>SUMPRODUCT(I608:M608,$AJ$13:$AN$13)</f>
        <v>7.661268703933205E-2</v>
      </c>
      <c r="P608" s="2" t="s">
        <v>599</v>
      </c>
      <c r="Q608" s="10" cm="1">
        <f t="array" aca="1" ref="Q608:U608" ca="1">_xlfn.LET(_xlpm.array,_xlfn.RANDARRAY(1,COLUMNS(_xlfn.ANCHORARRAY(Q607)),0,1,FALSE),_xlpm.array/SUM(_xlpm.array))</f>
        <v>0.1145116299616121</v>
      </c>
      <c r="R608" s="2">
        <f ca="1"/>
        <v>0.11227736129323299</v>
      </c>
      <c r="S608" s="2">
        <f ca="1"/>
        <v>0.25886320609510205</v>
      </c>
      <c r="T608" s="2">
        <f ca="1"/>
        <v>0.22612677659374467</v>
      </c>
      <c r="U608" s="2">
        <f ca="1"/>
        <v>0.28822102605630817</v>
      </c>
      <c r="V608" s="12"/>
      <c r="X608" s="2" cm="1">
        <f t="array" aca="1" ref="X608" ca="1">MMULT(MMULT(_xlfn.ANCHORARRAY(Q608),$Q$9:$U$13),TRANSPOSE(_xlfn.ANCHORARRAY(Q608)))</f>
        <v>2.8103972279086749E-4</v>
      </c>
      <c r="Y608" s="2">
        <f t="shared" ca="1" si="24"/>
        <v>1.6764239403887892E-2</v>
      </c>
      <c r="Z608" s="2" cm="1">
        <f t="array" aca="1" ref="Z608" ca="1">MMULT(_xlfn.ANCHORARRAY(Q608),TRANSPOSE($Q$3:$U$3))</f>
        <v>1.0120454066024596E-3</v>
      </c>
      <c r="AA608" s="11">
        <f ca="1">AVEDEV(Q608*$Q$3,R608*$R$3,S608*$S$3,T608*$T$3,U608*$U$3)</f>
        <v>1.0585149715487971E-4</v>
      </c>
      <c r="AB608" s="11" cm="1">
        <f t="array" aca="1" ref="AB608" ca="1">MMULT(_xlfn.ANCHORARRAY(Q608),TRANSPOSE($Q$6:$U$6))</f>
        <v>-2.3307284757971922E-2</v>
      </c>
      <c r="AD608" s="2" t="s">
        <v>599</v>
      </c>
      <c r="AE608" s="10" cm="1">
        <f t="array" aca="1" ref="AE608:AI608" ca="1">_xlfn.LET(_xlpm.array,_xlfn.RANDARRAY(1,COLUMNS(_xlfn.ANCHORARRAY(Q607)),-1,1,FALSE),_xlpm.array/SUM(_xlpm.array))</f>
        <v>-1.2307293117903224</v>
      </c>
      <c r="AF608" s="10">
        <f ca="1"/>
        <v>0.4391449526293657</v>
      </c>
      <c r="AG608" s="10">
        <f ca="1"/>
        <v>1.0555214811040554</v>
      </c>
      <c r="AH608" s="10">
        <f ca="1"/>
        <v>9.2005110134776677E-2</v>
      </c>
      <c r="AI608" s="10">
        <f ca="1"/>
        <v>0.64405776792212477</v>
      </c>
      <c r="AJ608" s="1"/>
      <c r="AK608" s="2" cm="1">
        <f t="array" aca="1" ref="AK608" ca="1">MMULT(MMULT(_xlfn.ANCHORARRAY(AE608),$Q$9:$U$13),TRANSPOSE(_xlfn.ANCHORARRAY(AE608)))</f>
        <v>1.3260489953225833E-3</v>
      </c>
      <c r="AL608" s="2">
        <f t="shared" ca="1" si="25"/>
        <v>3.6414955654546437E-2</v>
      </c>
      <c r="AM608" s="2" cm="1">
        <f t="array" aca="1" ref="AM608" ca="1">MMULT(_xlfn.ANCHORARRAY(AE609),TRANSPOSE($Q$3:$U$3))</f>
        <v>1.2266776915968785E-3</v>
      </c>
    </row>
    <row r="609" spans="1:39" x14ac:dyDescent="0.35">
      <c r="A609" s="3">
        <v>44712</v>
      </c>
      <c r="B609" s="4">
        <v>33.577117919921797</v>
      </c>
      <c r="C609" s="4">
        <v>149.95323181152301</v>
      </c>
      <c r="D609" s="4">
        <v>45.900928497314403</v>
      </c>
      <c r="E609" s="4">
        <v>26.890184402465799</v>
      </c>
      <c r="F609" s="4">
        <v>263.61291503906199</v>
      </c>
      <c r="I609" s="5">
        <f>B609/B608-1</f>
        <v>4.8622921373240313E-3</v>
      </c>
      <c r="J609" s="5">
        <f>C609/C608-1</f>
        <v>-2.0305121634737189E-2</v>
      </c>
      <c r="K609" s="5">
        <f>D609/D608-1</f>
        <v>7.2609764309359281E-3</v>
      </c>
      <c r="L609" s="5">
        <f>E609/E608-1</f>
        <v>0</v>
      </c>
      <c r="M609" s="5">
        <f>F609/F608-1</f>
        <v>-5.0140538642762245E-3</v>
      </c>
      <c r="N609" s="5">
        <f>SUMPRODUCT(I609:M609,$AJ$13:$AN$13)</f>
        <v>1.3646580787587549E-3</v>
      </c>
      <c r="P609" s="2" t="s">
        <v>600</v>
      </c>
      <c r="Q609" s="10" cm="1">
        <f t="array" aca="1" ref="Q609:U609" ca="1">_xlfn.LET(_xlpm.array,_xlfn.RANDARRAY(1,COLUMNS(_xlfn.ANCHORARRAY(Q608)),0,1,FALSE),_xlpm.array/SUM(_xlpm.array))</f>
        <v>0.2488753201675579</v>
      </c>
      <c r="R609" s="2">
        <f ca="1"/>
        <v>0.29079522367262595</v>
      </c>
      <c r="S609" s="2">
        <f ca="1"/>
        <v>4.4831118901054526E-3</v>
      </c>
      <c r="T609" s="2">
        <f ca="1"/>
        <v>0.27743131004235422</v>
      </c>
      <c r="U609" s="2">
        <f ca="1"/>
        <v>0.17841503422735641</v>
      </c>
      <c r="V609" s="12"/>
      <c r="X609" s="2" cm="1">
        <f t="array" aca="1" ref="X609" ca="1">MMULT(MMULT(_xlfn.ANCHORARRAY(Q609),$Q$9:$U$13),TRANSPOSE(_xlfn.ANCHORARRAY(Q609)))</f>
        <v>2.9238280967577157E-4</v>
      </c>
      <c r="Y609" s="2">
        <f t="shared" ca="1" si="24"/>
        <v>1.7099204942796948E-2</v>
      </c>
      <c r="Z609" s="2" cm="1">
        <f t="array" aca="1" ref="Z609" ca="1">MMULT(_xlfn.ANCHORARRAY(Q609),TRANSPOSE($Q$3:$U$3))</f>
        <v>7.6601055032012185E-4</v>
      </c>
      <c r="AA609" s="11">
        <f ca="1">AVEDEV(Q609*$Q$3,R609*$R$3,S609*$S$3,T609*$T$3,U609*$U$3)</f>
        <v>7.5749754164419834E-5</v>
      </c>
      <c r="AB609" s="11" cm="1">
        <f t="array" aca="1" ref="AB609" ca="1">MMULT(_xlfn.ANCHORARRAY(Q609),TRANSPOSE($Q$6:$U$6))</f>
        <v>-2.2061970407012722E-2</v>
      </c>
      <c r="AD609" s="2" t="s">
        <v>600</v>
      </c>
      <c r="AE609" s="10" cm="1">
        <f t="array" aca="1" ref="AE609:AI609" ca="1">_xlfn.LET(_xlpm.array,_xlfn.RANDARRAY(1,COLUMNS(_xlfn.ANCHORARRAY(Q608)),-1,1,FALSE),_xlpm.array/SUM(_xlpm.array))</f>
        <v>-0.22328461124303242</v>
      </c>
      <c r="AF609" s="10">
        <f ca="1"/>
        <v>0.21919370951581166</v>
      </c>
      <c r="AG609" s="10">
        <f ca="1"/>
        <v>0.36876064517443474</v>
      </c>
      <c r="AH609" s="10">
        <f ca="1"/>
        <v>0.37113988918889695</v>
      </c>
      <c r="AI609" s="10">
        <f ca="1"/>
        <v>0.26419036736388912</v>
      </c>
      <c r="AJ609" s="1"/>
      <c r="AK609" s="2" cm="1">
        <f t="array" aca="1" ref="AK609" ca="1">MMULT(MMULT(_xlfn.ANCHORARRAY(AE609),$Q$9:$U$13),TRANSPOSE(_xlfn.ANCHORARRAY(AE609)))</f>
        <v>3.6622191573697552E-4</v>
      </c>
      <c r="AL609" s="2">
        <f t="shared" ca="1" si="25"/>
        <v>1.9136925451518474E-2</v>
      </c>
      <c r="AM609" s="2" cm="1">
        <f t="array" aca="1" ref="AM609" ca="1">MMULT(_xlfn.ANCHORARRAY(AE610),TRANSPOSE($Q$3:$U$3))</f>
        <v>5.2564949668992226E-4</v>
      </c>
    </row>
    <row r="610" spans="1:39" x14ac:dyDescent="0.35">
      <c r="A610" s="3">
        <v>44713</v>
      </c>
      <c r="B610" s="4">
        <v>33.098731994628899</v>
      </c>
      <c r="C610" s="4">
        <v>151.37840270996</v>
      </c>
      <c r="D610" s="4">
        <v>46.571884155273402</v>
      </c>
      <c r="E610" s="4">
        <v>26.361808776855401</v>
      </c>
      <c r="F610" s="4">
        <v>264.14633178710898</v>
      </c>
      <c r="I610" s="5">
        <f>B610/B609-1</f>
        <v>-1.4247379016680384E-2</v>
      </c>
      <c r="J610" s="5">
        <f>C610/C609-1</f>
        <v>9.5041025873205953E-3</v>
      </c>
      <c r="K610" s="5">
        <f>D610/D609-1</f>
        <v>1.4617474633400018E-2</v>
      </c>
      <c r="L610" s="5">
        <f>E610/E609-1</f>
        <v>-1.9649386471367825E-2</v>
      </c>
      <c r="M610" s="5">
        <f>F610/F609-1</f>
        <v>2.0234848811104822E-3</v>
      </c>
      <c r="N610" s="5">
        <f>SUMPRODUCT(I610:M610,$AJ$13:$AN$13)</f>
        <v>2.914713742087452E-3</v>
      </c>
      <c r="P610" s="2" t="s">
        <v>601</v>
      </c>
      <c r="Q610" s="10" cm="1">
        <f t="array" aca="1" ref="Q610:U610" ca="1">_xlfn.LET(_xlpm.array,_xlfn.RANDARRAY(1,COLUMNS(_xlfn.ANCHORARRAY(Q609)),0,1,FALSE),_xlpm.array/SUM(_xlpm.array))</f>
        <v>0.44941150137362196</v>
      </c>
      <c r="R610" s="2">
        <f ca="1"/>
        <v>2.9245735502502167E-3</v>
      </c>
      <c r="S610" s="2">
        <f ca="1"/>
        <v>0.17358253602899265</v>
      </c>
      <c r="T610" s="2">
        <f ca="1"/>
        <v>0.12254234147090534</v>
      </c>
      <c r="U610" s="2">
        <f ca="1"/>
        <v>0.25153904757622986</v>
      </c>
      <c r="V610" s="12"/>
      <c r="X610" s="2" cm="1">
        <f t="array" aca="1" ref="X610" ca="1">MMULT(MMULT(_xlfn.ANCHORARRAY(Q610),$Q$9:$U$13),TRANSPOSE(_xlfn.ANCHORARRAY(Q610)))</f>
        <v>2.8617080707941706E-4</v>
      </c>
      <c r="Y610" s="2">
        <f t="shared" ca="1" si="24"/>
        <v>1.6916583788679589E-2</v>
      </c>
      <c r="Z610" s="2" cm="1">
        <f t="array" aca="1" ref="Z610" ca="1">MMULT(_xlfn.ANCHORARRAY(Q610),TRANSPOSE($Q$3:$U$3))</f>
        <v>8.3002747527606666E-4</v>
      </c>
      <c r="AA610" s="11">
        <f ca="1">AVEDEV(Q610*$Q$3,R610*$R$3,S610*$S$3,T610*$T$3,U610*$U$3)</f>
        <v>8.187359899309813E-5</v>
      </c>
      <c r="AB610" s="11" cm="1">
        <f t="array" aca="1" ref="AB610" ca="1">MMULT(_xlfn.ANCHORARRAY(Q610),TRANSPOSE($Q$6:$U$6))</f>
        <v>-2.2631097064404748E-2</v>
      </c>
      <c r="AD610" s="2" t="s">
        <v>601</v>
      </c>
      <c r="AE610" s="10" cm="1">
        <f t="array" aca="1" ref="AE610:AI610" ca="1">_xlfn.LET(_xlpm.array,_xlfn.RANDARRAY(1,COLUMNS(_xlfn.ANCHORARRAY(Q609)),-1,1,FALSE),_xlpm.array/SUM(_xlpm.array))</f>
        <v>0.60983236325582268</v>
      </c>
      <c r="AF610" s="10">
        <f ca="1"/>
        <v>0.74873124901367782</v>
      </c>
      <c r="AG610" s="10">
        <f ca="1"/>
        <v>0.26074838300203906</v>
      </c>
      <c r="AH610" s="10">
        <f ca="1"/>
        <v>-1.0936949730708458</v>
      </c>
      <c r="AI610" s="10">
        <f ca="1"/>
        <v>0.47438297779930627</v>
      </c>
      <c r="AJ610" s="1"/>
      <c r="AK610" s="2" cm="1">
        <f t="array" aca="1" ref="AK610" ca="1">MMULT(MMULT(_xlfn.ANCHORARRAY(AE610),$Q$9:$U$13),TRANSPOSE(_xlfn.ANCHORARRAY(AE610)))</f>
        <v>7.7944407322549599E-4</v>
      </c>
      <c r="AL610" s="2">
        <f t="shared" ca="1" si="25"/>
        <v>2.791852562771709E-2</v>
      </c>
      <c r="AM610" s="2" cm="1">
        <f t="array" aca="1" ref="AM610" ca="1">MMULT(_xlfn.ANCHORARRAY(AE611),TRANSPOSE($Q$3:$U$3))</f>
        <v>3.2398828878635252E-3</v>
      </c>
    </row>
    <row r="611" spans="1:39" x14ac:dyDescent="0.35">
      <c r="A611" s="3">
        <v>44714</v>
      </c>
      <c r="B611" s="4">
        <v>33.316596984863203</v>
      </c>
      <c r="C611" s="4">
        <v>151.10365295410099</v>
      </c>
      <c r="D611" s="4">
        <v>47.132549285888601</v>
      </c>
      <c r="E611" s="4">
        <v>26.2404251098632</v>
      </c>
      <c r="F611" s="4">
        <v>266.24066162109301</v>
      </c>
      <c r="I611" s="5">
        <f>B611/B610-1</f>
        <v>6.5822760300804362E-3</v>
      </c>
      <c r="J611" s="5">
        <f>C611/C610-1</f>
        <v>-1.8149864904138946E-3</v>
      </c>
      <c r="K611" s="5">
        <f>D611/D610-1</f>
        <v>1.2038704054701865E-2</v>
      </c>
      <c r="L611" s="5">
        <f>E611/E610-1</f>
        <v>-4.6045272545475191E-3</v>
      </c>
      <c r="M611" s="5">
        <f>F611/F610-1</f>
        <v>7.9286727921399347E-3</v>
      </c>
      <c r="N611" s="5">
        <f>SUMPRODUCT(I611:M611,$AJ$13:$AN$13)</f>
        <v>4.9210494695956803E-3</v>
      </c>
      <c r="P611" s="2" t="s">
        <v>602</v>
      </c>
      <c r="Q611" s="10" cm="1">
        <f t="array" aca="1" ref="Q611:U611" ca="1">_xlfn.LET(_xlpm.array,_xlfn.RANDARRAY(1,COLUMNS(_xlfn.ANCHORARRAY(Q610)),0,1,FALSE),_xlpm.array/SUM(_xlpm.array))</f>
        <v>8.6154505650966731E-2</v>
      </c>
      <c r="R611" s="2">
        <f ca="1"/>
        <v>4.1737027913169515E-2</v>
      </c>
      <c r="S611" s="2">
        <f ca="1"/>
        <v>0.3282863744209481</v>
      </c>
      <c r="T611" s="2">
        <f ca="1"/>
        <v>0.27664012044982755</v>
      </c>
      <c r="U611" s="2">
        <f ca="1"/>
        <v>0.26718197156508811</v>
      </c>
      <c r="V611" s="12"/>
      <c r="X611" s="2" cm="1">
        <f t="array" aca="1" ref="X611" ca="1">MMULT(MMULT(_xlfn.ANCHORARRAY(Q611),$Q$9:$U$13),TRANSPOSE(_xlfn.ANCHORARRAY(Q611)))</f>
        <v>3.0788483187967557E-4</v>
      </c>
      <c r="Y611" s="2">
        <f t="shared" ca="1" si="24"/>
        <v>1.7546647311656879E-2</v>
      </c>
      <c r="Z611" s="2" cm="1">
        <f t="array" aca="1" ref="Z611" ca="1">MMULT(_xlfn.ANCHORARRAY(Q611),TRANSPOSE($Q$3:$U$3))</f>
        <v>1.0943784737144603E-3</v>
      </c>
      <c r="AA611" s="11">
        <f ca="1">AVEDEV(Q611*$Q$3,R611*$R$3,S611*$S$3,T611*$T$3,U611*$U$3)</f>
        <v>1.5120248857562437E-4</v>
      </c>
      <c r="AB611" s="11" cm="1">
        <f t="array" aca="1" ref="AB611" ca="1">MMULT(_xlfn.ANCHORARRAY(Q611),TRANSPOSE($Q$6:$U$6))</f>
        <v>-2.3973962116978352E-2</v>
      </c>
      <c r="AD611" s="2" t="s">
        <v>602</v>
      </c>
      <c r="AE611" s="10" cm="1">
        <f t="array" aca="1" ref="AE611:AI611" ca="1">_xlfn.LET(_xlpm.array,_xlfn.RANDARRAY(1,COLUMNS(_xlfn.ANCHORARRAY(Q610)),-1,1,FALSE),_xlpm.array/SUM(_xlpm.array))</f>
        <v>-1.1886358597662352</v>
      </c>
      <c r="AF611" s="10">
        <f ca="1"/>
        <v>-1.3520668679098502</v>
      </c>
      <c r="AG611" s="10">
        <f ca="1"/>
        <v>2.3368952796904945</v>
      </c>
      <c r="AH611" s="10">
        <f ca="1"/>
        <v>0.44974558017922023</v>
      </c>
      <c r="AI611" s="10">
        <f ca="1"/>
        <v>0.75406186780637074</v>
      </c>
      <c r="AJ611" s="1"/>
      <c r="AK611" s="2" cm="1">
        <f t="array" aca="1" ref="AK611" ca="1">MMULT(MMULT(_xlfn.ANCHORARRAY(AE611),$Q$9:$U$13),TRANSPOSE(_xlfn.ANCHORARRAY(AE611)))</f>
        <v>4.798418414653993E-3</v>
      </c>
      <c r="AL611" s="2">
        <f t="shared" ca="1" si="25"/>
        <v>6.9270617253305841E-2</v>
      </c>
      <c r="AM611" s="2" cm="1">
        <f t="array" aca="1" ref="AM611" ca="1">MMULT(_xlfn.ANCHORARRAY(AE612),TRANSPOSE($Q$3:$U$3))</f>
        <v>-4.8742364359683139E-4</v>
      </c>
    </row>
    <row r="612" spans="1:39" x14ac:dyDescent="0.35">
      <c r="A612" s="3">
        <v>44715</v>
      </c>
      <c r="B612" s="4">
        <v>32.853618621826101</v>
      </c>
      <c r="C612" s="4">
        <v>152.47734069824199</v>
      </c>
      <c r="D612" s="4">
        <v>46.893577575683501</v>
      </c>
      <c r="E612" s="4">
        <v>26.497478485107401</v>
      </c>
      <c r="F612" s="4">
        <v>261.81915283203102</v>
      </c>
      <c r="I612" s="5">
        <f>B612/B611-1</f>
        <v>-1.389632810480157E-2</v>
      </c>
      <c r="J612" s="5">
        <f>C612/C611-1</f>
        <v>9.0910293516084373E-3</v>
      </c>
      <c r="K612" s="5">
        <f>D612/D611-1</f>
        <v>-5.0702054912324934E-3</v>
      </c>
      <c r="L612" s="5">
        <f>E612/E611-1</f>
        <v>9.7960827299090614E-3</v>
      </c>
      <c r="M612" s="5">
        <f>F612/F611-1</f>
        <v>-1.6607188256445138E-2</v>
      </c>
      <c r="N612" s="5">
        <f>SUMPRODUCT(I612:M612,$AJ$13:$AN$13)</f>
        <v>1.1096754336960279E-4</v>
      </c>
      <c r="P612" s="2" t="s">
        <v>603</v>
      </c>
      <c r="Q612" s="10" cm="1">
        <f t="array" aca="1" ref="Q612:U612" ca="1">_xlfn.LET(_xlpm.array,_xlfn.RANDARRAY(1,COLUMNS(_xlfn.ANCHORARRAY(Q611)),0,1,FALSE),_xlpm.array/SUM(_xlpm.array))</f>
        <v>0.21438977933763748</v>
      </c>
      <c r="R612" s="2">
        <f ca="1"/>
        <v>0.12224198614678593</v>
      </c>
      <c r="S612" s="2">
        <f ca="1"/>
        <v>0.22955569704710466</v>
      </c>
      <c r="T612" s="2">
        <f ca="1"/>
        <v>1.8385659825619911E-5</v>
      </c>
      <c r="U612" s="2">
        <f ca="1"/>
        <v>0.43379415180864633</v>
      </c>
      <c r="V612" s="12"/>
      <c r="X612" s="2" cm="1">
        <f t="array" aca="1" ref="X612" ca="1">MMULT(MMULT(_xlfn.ANCHORARRAY(Q612),$Q$9:$U$13),TRANSPOSE(_xlfn.ANCHORARRAY(Q612)))</f>
        <v>2.7813418672584754E-4</v>
      </c>
      <c r="Y612" s="2">
        <f t="shared" ca="1" si="24"/>
        <v>1.6677355507569165E-2</v>
      </c>
      <c r="Z612" s="2" cm="1">
        <f t="array" aca="1" ref="Z612" ca="1">MMULT(_xlfn.ANCHORARRAY(Q612),TRANSPOSE($Q$3:$U$3))</f>
        <v>9.0283519832851068E-4</v>
      </c>
      <c r="AA612" s="11">
        <f ca="1">AVEDEV(Q612*$Q$3,R612*$R$3,S612*$S$3,T612*$T$3,U612*$U$3)</f>
        <v>1.3738146534346806E-4</v>
      </c>
      <c r="AB612" s="11" cm="1">
        <f t="array" aca="1" ref="AB612" ca="1">MMULT(_xlfn.ANCHORARRAY(Q612),TRANSPOSE($Q$6:$U$6))</f>
        <v>-2.2115699404898392E-2</v>
      </c>
      <c r="AD612" s="2" t="s">
        <v>603</v>
      </c>
      <c r="AE612" s="10" cm="1">
        <f t="array" aca="1" ref="AE612:AI612" ca="1">_xlfn.LET(_xlpm.array,_xlfn.RANDARRAY(1,COLUMNS(_xlfn.ANCHORARRAY(Q611)),-1,1,FALSE),_xlpm.array/SUM(_xlpm.array))</f>
        <v>0.42251605796638309</v>
      </c>
      <c r="AF612" s="10">
        <f ca="1"/>
        <v>0.99989781039657144</v>
      </c>
      <c r="AG612" s="10">
        <f ca="1"/>
        <v>-1.3626984280357013</v>
      </c>
      <c r="AH612" s="10">
        <f ca="1"/>
        <v>0.23957003330384391</v>
      </c>
      <c r="AI612" s="10">
        <f ca="1"/>
        <v>0.70071452636890286</v>
      </c>
      <c r="AJ612" s="1"/>
      <c r="AK612" s="2" cm="1">
        <f t="array" aca="1" ref="AK612" ca="1">MMULT(MMULT(_xlfn.ANCHORARRAY(AE612),$Q$9:$U$13),TRANSPOSE(_xlfn.ANCHORARRAY(AE612)))</f>
        <v>1.6770703341851582E-3</v>
      </c>
      <c r="AL612" s="2">
        <f t="shared" ca="1" si="25"/>
        <v>4.0952049206177198E-2</v>
      </c>
      <c r="AM612" s="2" cm="1">
        <f t="array" aca="1" ref="AM612" ca="1">MMULT(_xlfn.ANCHORARRAY(AE613),TRANSPOSE($Q$3:$U$3))</f>
        <v>1.4211098544968889E-3</v>
      </c>
    </row>
    <row r="613" spans="1:39" x14ac:dyDescent="0.35">
      <c r="A613" s="3">
        <v>44718</v>
      </c>
      <c r="B613" s="4">
        <v>32.817314147949197</v>
      </c>
      <c r="C613" s="4">
        <v>151.81628417968699</v>
      </c>
      <c r="D613" s="4">
        <v>45.992855072021399</v>
      </c>
      <c r="E613" s="4">
        <v>26.468915939331001</v>
      </c>
      <c r="F613" s="4">
        <v>260.58770751953102</v>
      </c>
      <c r="I613" s="5">
        <f>B613/B612-1</f>
        <v>-1.105037295732969E-3</v>
      </c>
      <c r="J613" s="5">
        <f>C613/C612-1</f>
        <v>-4.335441027026099E-3</v>
      </c>
      <c r="K613" s="5">
        <f>D613/D612-1</f>
        <v>-1.9207800944775144E-2</v>
      </c>
      <c r="L613" s="5">
        <f>E613/E612-1</f>
        <v>-1.077934483179277E-3</v>
      </c>
      <c r="M613" s="5">
        <f>F613/F612-1</f>
        <v>-4.7034195137359847E-3</v>
      </c>
      <c r="N613" s="5">
        <f>SUMPRODUCT(I613:M613,$AJ$13:$AN$13)</f>
        <v>-1.1614178034242235E-2</v>
      </c>
      <c r="P613" s="2" t="s">
        <v>604</v>
      </c>
      <c r="Q613" s="10" cm="1">
        <f t="array" aca="1" ref="Q613:U613" ca="1">_xlfn.LET(_xlpm.array,_xlfn.RANDARRAY(1,COLUMNS(_xlfn.ANCHORARRAY(Q612)),0,1,FALSE),_xlpm.array/SUM(_xlpm.array))</f>
        <v>9.2159049029000725E-2</v>
      </c>
      <c r="R613" s="2">
        <f ca="1"/>
        <v>0.30465384777013954</v>
      </c>
      <c r="S613" s="2">
        <f ca="1"/>
        <v>0.34467137120685959</v>
      </c>
      <c r="T613" s="2">
        <f ca="1"/>
        <v>0.12976040927819565</v>
      </c>
      <c r="U613" s="2">
        <f ca="1"/>
        <v>0.12875532271580459</v>
      </c>
      <c r="V613" s="12"/>
      <c r="X613" s="2" cm="1">
        <f t="array" aca="1" ref="X613" ca="1">MMULT(MMULT(_xlfn.ANCHORARRAY(Q613),$Q$9:$U$13),TRANSPOSE(_xlfn.ANCHORARRAY(Q613)))</f>
        <v>3.2612730021446532E-4</v>
      </c>
      <c r="Y613" s="2">
        <f t="shared" ca="1" si="24"/>
        <v>1.8058994994585534E-2</v>
      </c>
      <c r="Z613" s="2" cm="1">
        <f t="array" aca="1" ref="Z613" ca="1">MMULT(_xlfn.ANCHORARRAY(Q613),TRANSPOSE($Q$3:$U$3))</f>
        <v>1.0601006569596145E-3</v>
      </c>
      <c r="AA613" s="11">
        <f ca="1">AVEDEV(Q613*$Q$3,R613*$R$3,S613*$S$3,T613*$T$3,U613*$U$3)</f>
        <v>1.4327057867541315E-4</v>
      </c>
      <c r="AB613" s="11" cm="1">
        <f t="array" aca="1" ref="AB613" ca="1">MMULT(_xlfn.ANCHORARRAY(Q613),TRANSPOSE($Q$6:$U$6))</f>
        <v>-2.3481949630548879E-2</v>
      </c>
      <c r="AD613" s="2" t="s">
        <v>604</v>
      </c>
      <c r="AE613" s="10" cm="1">
        <f t="array" aca="1" ref="AE613:AI613" ca="1">_xlfn.LET(_xlpm.array,_xlfn.RANDARRAY(1,COLUMNS(_xlfn.ANCHORARRAY(Q612)),-1,1,FALSE),_xlpm.array/SUM(_xlpm.array))</f>
        <v>-2.6409144629533327E-2</v>
      </c>
      <c r="AF613" s="10">
        <f ca="1"/>
        <v>0.97062707828904227</v>
      </c>
      <c r="AG613" s="10">
        <f ca="1"/>
        <v>0.38746290153594526</v>
      </c>
      <c r="AH613" s="10">
        <f ca="1"/>
        <v>1.3638619596945065</v>
      </c>
      <c r="AI613" s="10">
        <f ca="1"/>
        <v>-1.6955427948899606</v>
      </c>
      <c r="AJ613" s="1"/>
      <c r="AK613" s="2" cm="1">
        <f t="array" aca="1" ref="AK613" ca="1">MMULT(MMULT(_xlfn.ANCHORARRAY(AE613),$Q$9:$U$13),TRANSPOSE(_xlfn.ANCHORARRAY(AE613)))</f>
        <v>2.7403186672934916E-3</v>
      </c>
      <c r="AL613" s="2">
        <f t="shared" ca="1" si="25"/>
        <v>5.2348053137566554E-2</v>
      </c>
      <c r="AM613" s="2" cm="1">
        <f t="array" aca="1" ref="AM613" ca="1">MMULT(_xlfn.ANCHORARRAY(AE614),TRANSPOSE($Q$3:$U$3))</f>
        <v>1.4589045434018444E-3</v>
      </c>
    </row>
    <row r="614" spans="1:39" x14ac:dyDescent="0.35">
      <c r="A614" s="3">
        <v>44719</v>
      </c>
      <c r="B614" s="4">
        <v>32.998870849609297</v>
      </c>
      <c r="C614" s="4">
        <v>154.70956420898401</v>
      </c>
      <c r="D614" s="4">
        <v>47.013072967529297</v>
      </c>
      <c r="E614" s="4">
        <v>27.047275543212798</v>
      </c>
      <c r="F614" s="4">
        <v>264.22384643554602</v>
      </c>
      <c r="I614" s="5">
        <f>B614/B613-1</f>
        <v>5.5323449335795694E-3</v>
      </c>
      <c r="J614" s="5">
        <f>C614/C613-1</f>
        <v>1.9057771338103491E-2</v>
      </c>
      <c r="K614" s="5">
        <f>D614/D613-1</f>
        <v>2.2182095325682827E-2</v>
      </c>
      <c r="L614" s="5">
        <f>E614/E613-1</f>
        <v>2.185052101141749E-2</v>
      </c>
      <c r="M614" s="5">
        <f>F614/F613-1</f>
        <v>1.3953608750875146E-2</v>
      </c>
      <c r="N614" s="5">
        <f>SUMPRODUCT(I614:M614,$AJ$13:$AN$13)</f>
        <v>2.4196160420873618E-2</v>
      </c>
      <c r="P614" s="2" t="s">
        <v>605</v>
      </c>
      <c r="Q614" s="10" cm="1">
        <f t="array" aca="1" ref="Q614:U614" ca="1">_xlfn.LET(_xlpm.array,_xlfn.RANDARRAY(1,COLUMNS(_xlfn.ANCHORARRAY(Q613)),0,1,FALSE),_xlpm.array/SUM(_xlpm.array))</f>
        <v>3.6531776490189717E-2</v>
      </c>
      <c r="R614" s="2">
        <f ca="1"/>
        <v>0.1771911089763043</v>
      </c>
      <c r="S614" s="2">
        <f ca="1"/>
        <v>0.2927591752722295</v>
      </c>
      <c r="T614" s="2">
        <f ca="1"/>
        <v>0.49309947396529547</v>
      </c>
      <c r="U614" s="2">
        <f ca="1"/>
        <v>4.184652959810336E-4</v>
      </c>
      <c r="V614" s="12"/>
      <c r="X614" s="2" cm="1">
        <f t="array" aca="1" ref="X614" ca="1">MMULT(MMULT(_xlfn.ANCHORARRAY(Q614),$Q$9:$U$13),TRANSPOSE(_xlfn.ANCHORARRAY(Q614)))</f>
        <v>3.8634504299523629E-4</v>
      </c>
      <c r="Y614" s="2">
        <f t="shared" ca="1" si="24"/>
        <v>1.9655661855944619E-2</v>
      </c>
      <c r="Z614" s="2" cm="1">
        <f t="array" aca="1" ref="Z614" ca="1">MMULT(_xlfn.ANCHORARRAY(Q614),TRANSPOSE($Q$3:$U$3))</f>
        <v>1.1274790649082064E-3</v>
      </c>
      <c r="AA614" s="11">
        <f ca="1">AVEDEV(Q614*$Q$3,R614*$R$3,S614*$S$3,T614*$T$3,U614*$U$3)</f>
        <v>2.1128334756308583E-4</v>
      </c>
      <c r="AB614" s="11" cm="1">
        <f t="array" aca="1" ref="AB614" ca="1">MMULT(_xlfn.ANCHORARRAY(Q614),TRANSPOSE($Q$6:$U$6))</f>
        <v>-2.480434870622716E-2</v>
      </c>
      <c r="AD614" s="2" t="s">
        <v>605</v>
      </c>
      <c r="AE614" s="10" cm="1">
        <f t="array" aca="1" ref="AE614:AI614" ca="1">_xlfn.LET(_xlpm.array,_xlfn.RANDARRAY(1,COLUMNS(_xlfn.ANCHORARRAY(Q613)),-1,1,FALSE),_xlpm.array/SUM(_xlpm.array))</f>
        <v>0.17878382097852086</v>
      </c>
      <c r="AF614" s="10">
        <f ca="1"/>
        <v>0.78860389976275391</v>
      </c>
      <c r="AG614" s="10">
        <f ca="1"/>
        <v>0.99566312855666872</v>
      </c>
      <c r="AH614" s="10">
        <f ca="1"/>
        <v>-0.34348987271966153</v>
      </c>
      <c r="AI614" s="10">
        <f ca="1"/>
        <v>-0.61956097657828202</v>
      </c>
      <c r="AJ614" s="1"/>
      <c r="AK614" s="2" cm="1">
        <f t="array" aca="1" ref="AK614" ca="1">MMULT(MMULT(_xlfn.ANCHORARRAY(AE614),$Q$9:$U$13),TRANSPOSE(_xlfn.ANCHORARRAY(AE614)))</f>
        <v>1.0814264526761133E-3</v>
      </c>
      <c r="AL614" s="2">
        <f t="shared" ca="1" si="25"/>
        <v>3.2885049075166567E-2</v>
      </c>
      <c r="AM614" s="2" cm="1">
        <f t="array" aca="1" ref="AM614" ca="1">MMULT(_xlfn.ANCHORARRAY(AE615),TRANSPOSE($Q$3:$U$3))</f>
        <v>-1.4933801985499032E-4</v>
      </c>
    </row>
    <row r="615" spans="1:39" x14ac:dyDescent="0.35">
      <c r="A615" s="3">
        <v>44720</v>
      </c>
      <c r="B615" s="4">
        <v>32.581279754638601</v>
      </c>
      <c r="C615" s="4">
        <v>155.50799560546801</v>
      </c>
      <c r="D615" s="4">
        <v>46.259387969970703</v>
      </c>
      <c r="E615" s="4">
        <v>26.954448699951101</v>
      </c>
      <c r="F615" s="4">
        <v>262.19732666015602</v>
      </c>
      <c r="I615" s="5">
        <f>B615/B614-1</f>
        <v>-1.2654708607268583E-2</v>
      </c>
      <c r="J615" s="5">
        <f>C615/C614-1</f>
        <v>5.1608405761227605E-3</v>
      </c>
      <c r="K615" s="5">
        <f>D615/D614-1</f>
        <v>-1.6031391908355896E-2</v>
      </c>
      <c r="L615" s="5">
        <f>E615/E614-1</f>
        <v>-3.4320219466611457E-3</v>
      </c>
      <c r="M615" s="5">
        <f>F615/F614-1</f>
        <v>-7.6697081006439349E-3</v>
      </c>
      <c r="N615" s="5">
        <f>SUMPRODUCT(I615:M615,$AJ$13:$AN$13)</f>
        <v>-9.0219437307836742E-3</v>
      </c>
      <c r="P615" s="2" t="s">
        <v>606</v>
      </c>
      <c r="Q615" s="10" cm="1">
        <f t="array" aca="1" ref="Q615:U615" ca="1">_xlfn.LET(_xlpm.array,_xlfn.RANDARRAY(1,COLUMNS(_xlfn.ANCHORARRAY(Q614)),0,1,FALSE),_xlpm.array/SUM(_xlpm.array))</f>
        <v>0.27690333665140654</v>
      </c>
      <c r="R615" s="2">
        <f ca="1"/>
        <v>0.13768881846593262</v>
      </c>
      <c r="S615" s="2">
        <f ca="1"/>
        <v>0.29790581941041472</v>
      </c>
      <c r="T615" s="2">
        <f ca="1"/>
        <v>0.26729642532321229</v>
      </c>
      <c r="U615" s="2">
        <f ca="1"/>
        <v>2.0205600149033623E-2</v>
      </c>
      <c r="V615" s="12"/>
      <c r="X615" s="2" cm="1">
        <f t="array" aca="1" ref="X615" ca="1">MMULT(MMULT(_xlfn.ANCHORARRAY(Q615),$Q$9:$U$13),TRANSPOSE(_xlfn.ANCHORARRAY(Q615)))</f>
        <v>3.3690831708700354E-4</v>
      </c>
      <c r="Y615" s="2">
        <f t="shared" ca="1" si="24"/>
        <v>1.835506243756756E-2</v>
      </c>
      <c r="Z615" s="2" cm="1">
        <f t="array" aca="1" ref="Z615" ca="1">MMULT(_xlfn.ANCHORARRAY(Q615),TRANSPOSE($Q$3:$U$3))</f>
        <v>1.0136090511311798E-3</v>
      </c>
      <c r="AA615" s="11">
        <f ca="1">AVEDEV(Q615*$Q$3,R615*$R$3,S615*$S$3,T615*$T$3,U615*$U$3)</f>
        <v>1.4057210667033817E-4</v>
      </c>
      <c r="AB615" s="11" cm="1">
        <f t="array" aca="1" ref="AB615" ca="1">MMULT(_xlfn.ANCHORARRAY(Q615),TRANSPOSE($Q$6:$U$6))</f>
        <v>-2.4040824775628925E-2</v>
      </c>
      <c r="AD615" s="2" t="s">
        <v>606</v>
      </c>
      <c r="AE615" s="10" cm="1">
        <f t="array" aca="1" ref="AE615:AI615" ca="1">_xlfn.LET(_xlpm.array,_xlfn.RANDARRAY(1,COLUMNS(_xlfn.ANCHORARRAY(Q614)),-1,1,FALSE),_xlpm.array/SUM(_xlpm.array))</f>
        <v>0.22412464802006418</v>
      </c>
      <c r="AF615" s="10">
        <f ca="1"/>
        <v>1.4641018312487151</v>
      </c>
      <c r="AG615" s="10">
        <f ca="1"/>
        <v>-0.73754152828738351</v>
      </c>
      <c r="AH615" s="10">
        <f ca="1"/>
        <v>-0.67121604082763042</v>
      </c>
      <c r="AI615" s="10">
        <f ca="1"/>
        <v>0.72053108984623471</v>
      </c>
      <c r="AJ615" s="1"/>
      <c r="AK615" s="2" cm="1">
        <f t="array" aca="1" ref="AK615" ca="1">MMULT(MMULT(_xlfn.ANCHORARRAY(AE615),$Q$9:$U$13),TRANSPOSE(_xlfn.ANCHORARRAY(AE615)))</f>
        <v>9.2520391636237041E-4</v>
      </c>
      <c r="AL615" s="2">
        <f t="shared" ca="1" si="25"/>
        <v>3.0417164831101049E-2</v>
      </c>
      <c r="AM615" s="2" cm="1">
        <f t="array" aca="1" ref="AM615" ca="1">MMULT(_xlfn.ANCHORARRAY(AE616),TRANSPOSE($Q$3:$U$3))</f>
        <v>1.3532996147751228E-3</v>
      </c>
    </row>
    <row r="616" spans="1:39" x14ac:dyDescent="0.35">
      <c r="A616" s="3">
        <v>44721</v>
      </c>
      <c r="B616" s="4">
        <v>31.328496932983398</v>
      </c>
      <c r="C616" s="4">
        <v>152.40869140625</v>
      </c>
      <c r="D616" s="4">
        <v>46.277767181396399</v>
      </c>
      <c r="E616" s="4">
        <v>26.333248138427699</v>
      </c>
      <c r="F616" s="4">
        <v>256.74801635742102</v>
      </c>
      <c r="I616" s="5">
        <f>B616/B615-1</f>
        <v>-3.8451001037699939E-2</v>
      </c>
      <c r="J616" s="5">
        <f>C616/C615-1</f>
        <v>-1.9930191930973784E-2</v>
      </c>
      <c r="K616" s="5">
        <f>D616/D615-1</f>
        <v>3.9730770838608542E-4</v>
      </c>
      <c r="L616" s="5">
        <f>E616/E615-1</f>
        <v>-2.3046309291591238E-2</v>
      </c>
      <c r="M616" s="5">
        <f>F616/F615-1</f>
        <v>-2.0783241279183851E-2</v>
      </c>
      <c r="N616" s="5">
        <f>SUMPRODUCT(I616:M616,$AJ$13:$AN$13)</f>
        <v>-5.7307383820637539E-3</v>
      </c>
      <c r="P616" s="2" t="s">
        <v>607</v>
      </c>
      <c r="Q616" s="10" cm="1">
        <f t="array" aca="1" ref="Q616:U616" ca="1">_xlfn.LET(_xlpm.array,_xlfn.RANDARRAY(1,COLUMNS(_xlfn.ANCHORARRAY(Q615)),0,1,FALSE),_xlpm.array/SUM(_xlpm.array))</f>
        <v>0.10940585712958058</v>
      </c>
      <c r="R616" s="2">
        <f ca="1"/>
        <v>0.40497315007054202</v>
      </c>
      <c r="S616" s="2">
        <f ca="1"/>
        <v>0.39623878406621171</v>
      </c>
      <c r="T616" s="2">
        <f ca="1"/>
        <v>2.4188595114273827E-2</v>
      </c>
      <c r="U616" s="2">
        <f ca="1"/>
        <v>6.5193613619392049E-2</v>
      </c>
      <c r="V616" s="12"/>
      <c r="X616" s="2" cm="1">
        <f t="array" aca="1" ref="X616" ca="1">MMULT(MMULT(_xlfn.ANCHORARRAY(Q616),$Q$9:$U$13),TRANSPOSE(_xlfn.ANCHORARRAY(Q616)))</f>
        <v>3.6047529090017761E-4</v>
      </c>
      <c r="Y616" s="2">
        <f t="shared" ca="1" si="24"/>
        <v>1.8986186844655712E-2</v>
      </c>
      <c r="Z616" s="2" cm="1">
        <f t="array" aca="1" ref="Z616" ca="1">MMULT(_xlfn.ANCHORARRAY(Q616),TRANSPOSE($Q$3:$U$3))</f>
        <v>1.069399483394642E-3</v>
      </c>
      <c r="AA616" s="11">
        <f ca="1">AVEDEV(Q616*$Q$3,R616*$R$3,S616*$S$3,T616*$T$3,U616*$U$3)</f>
        <v>2.0458380256023313E-4</v>
      </c>
      <c r="AB616" s="11" cm="1">
        <f t="array" aca="1" ref="AB616" ca="1">MMULT(_xlfn.ANCHORARRAY(Q616),TRANSPOSE($Q$6:$U$6))</f>
        <v>-2.338520444621774E-2</v>
      </c>
      <c r="AD616" s="2" t="s">
        <v>607</v>
      </c>
      <c r="AE616" s="10" cm="1">
        <f t="array" aca="1" ref="AE616:AI616" ca="1">_xlfn.LET(_xlpm.array,_xlfn.RANDARRAY(1,COLUMNS(_xlfn.ANCHORARRAY(Q615)),-1,1,FALSE),_xlpm.array/SUM(_xlpm.array))</f>
        <v>0.50461519707215763</v>
      </c>
      <c r="AF616" s="10">
        <f ca="1"/>
        <v>-1.1725000380332458</v>
      </c>
      <c r="AG616" s="10">
        <f ca="1"/>
        <v>0.53334068966089698</v>
      </c>
      <c r="AH616" s="10">
        <f ca="1"/>
        <v>0.85343202008647034</v>
      </c>
      <c r="AI616" s="10">
        <f ca="1"/>
        <v>0.28111213121372086</v>
      </c>
      <c r="AJ616" s="1"/>
      <c r="AK616" s="2" cm="1">
        <f t="array" aca="1" ref="AK616" ca="1">MMULT(MMULT(_xlfn.ANCHORARRAY(AE616),$Q$9:$U$13),TRANSPOSE(_xlfn.ANCHORARRAY(AE616)))</f>
        <v>7.1305608627983267E-4</v>
      </c>
      <c r="AL616" s="2">
        <f t="shared" ca="1" si="25"/>
        <v>2.6703110048828256E-2</v>
      </c>
      <c r="AM616" s="2" cm="1">
        <f t="array" aca="1" ref="AM616" ca="1">MMULT(_xlfn.ANCHORARRAY(AE617),TRANSPOSE($Q$3:$U$3))</f>
        <v>9.7334370401546506E-4</v>
      </c>
    </row>
    <row r="617" spans="1:39" x14ac:dyDescent="0.35">
      <c r="A617" s="3">
        <v>44722</v>
      </c>
      <c r="B617" s="4">
        <v>30.11203956604</v>
      </c>
      <c r="C617" s="4">
        <v>150.58851623535099</v>
      </c>
      <c r="D617" s="4">
        <v>45.184017181396399</v>
      </c>
      <c r="E617" s="4">
        <v>25.626369476318299</v>
      </c>
      <c r="F617" s="4">
        <v>245.30636596679599</v>
      </c>
      <c r="I617" s="5">
        <f>B617/B616-1</f>
        <v>-3.8829100851713094E-2</v>
      </c>
      <c r="J617" s="5">
        <f>C617/C616-1</f>
        <v>-1.1942725536874255E-2</v>
      </c>
      <c r="K617" s="5">
        <f>D617/D616-1</f>
        <v>-2.363445919317575E-2</v>
      </c>
      <c r="L617" s="5">
        <f>E617/E616-1</f>
        <v>-2.6843580343507423E-2</v>
      </c>
      <c r="M617" s="5">
        <f>F617/F616-1</f>
        <v>-4.4563734329682303E-2</v>
      </c>
      <c r="N617" s="5">
        <f>SUMPRODUCT(I617:M617,$AJ$13:$AN$13)</f>
        <v>-2.8113829886752994E-2</v>
      </c>
      <c r="P617" s="2" t="s">
        <v>608</v>
      </c>
      <c r="Q617" s="10" cm="1">
        <f t="array" aca="1" ref="Q617:U617" ca="1">_xlfn.LET(_xlpm.array,_xlfn.RANDARRAY(1,COLUMNS(_xlfn.ANCHORARRAY(Q616)),0,1,FALSE),_xlpm.array/SUM(_xlpm.array))</f>
        <v>0.10459280377239008</v>
      </c>
      <c r="R617" s="2">
        <f ca="1"/>
        <v>0.33942882106277777</v>
      </c>
      <c r="S617" s="2">
        <f ca="1"/>
        <v>6.9921549180236076E-2</v>
      </c>
      <c r="T617" s="2">
        <f ca="1"/>
        <v>0.2498967167194007</v>
      </c>
      <c r="U617" s="2">
        <f ca="1"/>
        <v>0.23616010926519537</v>
      </c>
      <c r="V617" s="12"/>
      <c r="X617" s="2" cm="1">
        <f t="array" aca="1" ref="X617" ca="1">MMULT(MMULT(_xlfn.ANCHORARRAY(Q617),$Q$9:$U$13),TRANSPOSE(_xlfn.ANCHORARRAY(Q617)))</f>
        <v>2.7745637718496835E-4</v>
      </c>
      <c r="Y617" s="2">
        <f t="shared" ca="1" si="24"/>
        <v>1.6657021858212481E-2</v>
      </c>
      <c r="Z617" s="2" cm="1">
        <f t="array" aca="1" ref="Z617" ca="1">MMULT(_xlfn.ANCHORARRAY(Q617),TRANSPOSE($Q$3:$U$3))</f>
        <v>8.5050245648197131E-4</v>
      </c>
      <c r="AA617" s="11">
        <f ca="1">AVEDEV(Q617*$Q$3,R617*$R$3,S617*$S$3,T617*$T$3,U617*$U$3)</f>
        <v>6.9395773063251376E-5</v>
      </c>
      <c r="AB617" s="11" cm="1">
        <f t="array" aca="1" ref="AB617" ca="1">MMULT(_xlfn.ANCHORARRAY(Q617),TRANSPOSE($Q$6:$U$6))</f>
        <v>-2.219224782275515E-2</v>
      </c>
      <c r="AD617" s="2" t="s">
        <v>608</v>
      </c>
      <c r="AE617" s="10" cm="1">
        <f t="array" aca="1" ref="AE617:AI617" ca="1">_xlfn.LET(_xlpm.array,_xlfn.RANDARRAY(1,COLUMNS(_xlfn.ANCHORARRAY(Q616)),-1,1,FALSE),_xlpm.array/SUM(_xlpm.array))</f>
        <v>6.581444276584035E-2</v>
      </c>
      <c r="AF617" s="10">
        <f ca="1"/>
        <v>0.32581289982280348</v>
      </c>
      <c r="AG617" s="10">
        <f ca="1"/>
        <v>0.27982294404269359</v>
      </c>
      <c r="AH617" s="10">
        <f ca="1"/>
        <v>-1.4615491073646037E-2</v>
      </c>
      <c r="AI617" s="10">
        <f ca="1"/>
        <v>0.34316520444230858</v>
      </c>
      <c r="AJ617" s="1"/>
      <c r="AK617" s="2" cm="1">
        <f t="array" aca="1" ref="AK617" ca="1">MMULT(MMULT(_xlfn.ANCHORARRAY(AE617),$Q$9:$U$13),TRANSPOSE(_xlfn.ANCHORARRAY(AE617)))</f>
        <v>2.8950614193156468E-4</v>
      </c>
      <c r="AL617" s="2">
        <f t="shared" ca="1" si="25"/>
        <v>1.7014880015197423E-2</v>
      </c>
      <c r="AM617" s="2" cm="1">
        <f t="array" aca="1" ref="AM617" ca="1">MMULT(_xlfn.ANCHORARRAY(AE618),TRANSPOSE($Q$3:$U$3))</f>
        <v>-7.7921938848061381E-2</v>
      </c>
    </row>
    <row r="618" spans="1:39" x14ac:dyDescent="0.35">
      <c r="A618" s="3">
        <v>44725</v>
      </c>
      <c r="B618" s="4">
        <v>29.068052291870099</v>
      </c>
      <c r="C618" s="4">
        <v>143.66012573242099</v>
      </c>
      <c r="D618" s="4">
        <v>43.428493499755803</v>
      </c>
      <c r="E618" s="4">
        <v>24.2911376953125</v>
      </c>
      <c r="F618" s="4">
        <v>234.90223693847599</v>
      </c>
      <c r="I618" s="5">
        <f>B618/B617-1</f>
        <v>-3.4670095058831452E-2</v>
      </c>
      <c r="J618" s="5">
        <f>C618/C617-1</f>
        <v>-4.6008757348414253E-2</v>
      </c>
      <c r="K618" s="5">
        <f>D618/D617-1</f>
        <v>-3.8852757925282422E-2</v>
      </c>
      <c r="L618" s="5">
        <f>E618/E617-1</f>
        <v>-5.2103821504630443E-2</v>
      </c>
      <c r="M618" s="5">
        <f>F618/F617-1</f>
        <v>-4.2412796697368527E-2</v>
      </c>
      <c r="N618" s="5">
        <f>SUMPRODUCT(I618:M618,$AJ$13:$AN$13)</f>
        <v>-4.7208858843720301E-2</v>
      </c>
      <c r="P618" s="2" t="s">
        <v>609</v>
      </c>
      <c r="Q618" s="10" cm="1">
        <f t="array" aca="1" ref="Q618:U618" ca="1">_xlfn.LET(_xlpm.array,_xlfn.RANDARRAY(1,COLUMNS(_xlfn.ANCHORARRAY(Q617)),0,1,FALSE),_xlpm.array/SUM(_xlpm.array))</f>
        <v>0.26294946986309953</v>
      </c>
      <c r="R618" s="2">
        <f ca="1"/>
        <v>0.21856787926871879</v>
      </c>
      <c r="S618" s="2">
        <f ca="1"/>
        <v>0.24943185408303953</v>
      </c>
      <c r="T618" s="2">
        <f ca="1"/>
        <v>0.24800020238328319</v>
      </c>
      <c r="U618" s="2">
        <f ca="1"/>
        <v>2.1050594401859048E-2</v>
      </c>
      <c r="V618" s="12"/>
      <c r="X618" s="2" cm="1">
        <f t="array" aca="1" ref="X618" ca="1">MMULT(MMULT(_xlfn.ANCHORARRAY(Q618),$Q$9:$U$13),TRANSPOSE(_xlfn.ANCHORARRAY(Q618)))</f>
        <v>3.2782083838644739E-4</v>
      </c>
      <c r="Y618" s="2">
        <f t="shared" ca="1" si="24"/>
        <v>1.8105823328046902E-2</v>
      </c>
      <c r="Z618" s="2" cm="1">
        <f t="array" aca="1" ref="Z618" ca="1">MMULT(_xlfn.ANCHORARRAY(Q618),TRANSPOSE($Q$3:$U$3))</f>
        <v>9.6778928723531121E-4</v>
      </c>
      <c r="AA618" s="11">
        <f ca="1">AVEDEV(Q618*$Q$3,R618*$R$3,S618*$S$3,T618*$T$3,U618*$U$3)</f>
        <v>1.0852922528944578E-4</v>
      </c>
      <c r="AB618" s="11" cm="1">
        <f t="array" aca="1" ref="AB618" ca="1">MMULT(_xlfn.ANCHORARRAY(Q618),TRANSPOSE($Q$6:$U$6))</f>
        <v>-2.3620655927265467E-2</v>
      </c>
      <c r="AD618" s="2" t="s">
        <v>609</v>
      </c>
      <c r="AE618" s="10" cm="1">
        <f t="array" aca="1" ref="AE618:AI618" ca="1">_xlfn.LET(_xlpm.array,_xlfn.RANDARRAY(1,COLUMNS(_xlfn.ANCHORARRAY(Q617)),-1,1,FALSE),_xlpm.array/SUM(_xlpm.array))</f>
        <v>1.6105258930766302</v>
      </c>
      <c r="AF618" s="10">
        <f ca="1"/>
        <v>135.86103424299873</v>
      </c>
      <c r="AG618" s="10">
        <f ca="1"/>
        <v>-49.351869258353922</v>
      </c>
      <c r="AH618" s="10">
        <f ca="1"/>
        <v>-121.39667917579288</v>
      </c>
      <c r="AI618" s="10">
        <f ca="1"/>
        <v>34.276988298071437</v>
      </c>
      <c r="AJ618" s="1"/>
      <c r="AK618" s="2" cm="1">
        <f t="array" aca="1" ref="AK618" ca="1">MMULT(MMULT(_xlfn.ANCHORARRAY(AE618),$Q$9:$U$13),TRANSPOSE(_xlfn.ANCHORARRAY(AE618)))</f>
        <v>6.4696234306562141</v>
      </c>
      <c r="AL618" s="2">
        <f t="shared" ca="1" si="25"/>
        <v>2.5435454449756181</v>
      </c>
      <c r="AM618" s="2" cm="1">
        <f t="array" aca="1" ref="AM618" ca="1">MMULT(_xlfn.ANCHORARRAY(AE619),TRANSPOSE($Q$3:$U$3))</f>
        <v>9.2491048077178331E-4</v>
      </c>
    </row>
    <row r="619" spans="1:39" x14ac:dyDescent="0.35">
      <c r="A619" s="3">
        <v>44726</v>
      </c>
      <c r="B619" s="4">
        <v>28.559688568115199</v>
      </c>
      <c r="C619" s="4">
        <v>143.84898376464801</v>
      </c>
      <c r="D619" s="4">
        <v>43.520401000976499</v>
      </c>
      <c r="E619" s="4">
        <v>24.8694972991943</v>
      </c>
      <c r="F619" s="4">
        <v>237.06454467773401</v>
      </c>
      <c r="I619" s="5">
        <f>B619/B618-1</f>
        <v>-1.7488743953342989E-2</v>
      </c>
      <c r="J619" s="5">
        <f>C619/C618-1</f>
        <v>1.3146169214608427E-3</v>
      </c>
      <c r="K619" s="5">
        <f>D619/D618-1</f>
        <v>2.1162949440374224E-3</v>
      </c>
      <c r="L619" s="5">
        <f>E619/E618-1</f>
        <v>2.3809490157943758E-2</v>
      </c>
      <c r="M619" s="5">
        <f>F619/F618-1</f>
        <v>9.205138986498218E-3</v>
      </c>
      <c r="N619" s="5">
        <f>SUMPRODUCT(I619:M619,$AJ$13:$AN$13)</f>
        <v>2.0316883636885101E-2</v>
      </c>
      <c r="P619" s="2" t="s">
        <v>610</v>
      </c>
      <c r="Q619" s="10" cm="1">
        <f t="array" aca="1" ref="Q619:U619" ca="1">_xlfn.LET(_xlpm.array,_xlfn.RANDARRAY(1,COLUMNS(_xlfn.ANCHORARRAY(Q618)),0,1,FALSE),_xlpm.array/SUM(_xlpm.array))</f>
        <v>0.24343859370499057</v>
      </c>
      <c r="R619" s="2">
        <f ca="1"/>
        <v>0.30237395178217197</v>
      </c>
      <c r="S619" s="2">
        <f ca="1"/>
        <v>0.23126194831888303</v>
      </c>
      <c r="T619" s="2">
        <f ca="1"/>
        <v>0.15925581295220889</v>
      </c>
      <c r="U619" s="2">
        <f ca="1"/>
        <v>6.3669693241745443E-2</v>
      </c>
      <c r="V619" s="12"/>
      <c r="X619" s="2" cm="1">
        <f t="array" aca="1" ref="X619" ca="1">MMULT(MMULT(_xlfn.ANCHORARRAY(Q619),$Q$9:$U$13),TRANSPOSE(_xlfn.ANCHORARRAY(Q619)))</f>
        <v>3.125462116746796E-4</v>
      </c>
      <c r="Y619" s="2">
        <f t="shared" ca="1" si="24"/>
        <v>1.7678976544887422E-2</v>
      </c>
      <c r="Z619" s="2" cm="1">
        <f t="array" aca="1" ref="Z619" ca="1">MMULT(_xlfn.ANCHORARRAY(Q619),TRANSPOSE($Q$3:$U$3))</f>
        <v>9.3149807565420187E-4</v>
      </c>
      <c r="AA619" s="11">
        <f ca="1">AVEDEV(Q619*$Q$3,R619*$R$3,S619*$S$3,T619*$T$3,U619*$U$3)</f>
        <v>8.9510247870798907E-5</v>
      </c>
      <c r="AB619" s="11" cm="1">
        <f t="array" aca="1" ref="AB619" ca="1">MMULT(_xlfn.ANCHORARRAY(Q619),TRANSPOSE($Q$6:$U$6))</f>
        <v>-2.3056823946465358E-2</v>
      </c>
      <c r="AD619" s="2" t="s">
        <v>610</v>
      </c>
      <c r="AE619" s="10" cm="1">
        <f t="array" aca="1" ref="AE619:AI619" ca="1">_xlfn.LET(_xlpm.array,_xlfn.RANDARRAY(1,COLUMNS(_xlfn.ANCHORARRAY(Q618)),-1,1,FALSE),_xlpm.array/SUM(_xlpm.array))</f>
        <v>0.10625413833894674</v>
      </c>
      <c r="AF619" s="10">
        <f ca="1"/>
        <v>0.36484372723493164</v>
      </c>
      <c r="AG619" s="10">
        <f ca="1"/>
        <v>0.26504100110861456</v>
      </c>
      <c r="AH619" s="10">
        <f ca="1"/>
        <v>-0.10810699096945826</v>
      </c>
      <c r="AI619" s="10">
        <f ca="1"/>
        <v>0.37196812428696535</v>
      </c>
      <c r="AJ619" s="1"/>
      <c r="AK619" s="2" cm="1">
        <f t="array" aca="1" ref="AK619" ca="1">MMULT(MMULT(_xlfn.ANCHORARRAY(AE619),$Q$9:$U$13),TRANSPOSE(_xlfn.ANCHORARRAY(AE619)))</f>
        <v>2.9409589361710357E-4</v>
      </c>
      <c r="AL619" s="2">
        <f t="shared" ca="1" si="25"/>
        <v>1.7149224286162439E-2</v>
      </c>
      <c r="AM619" s="2" cm="1">
        <f t="array" aca="1" ref="AM619" ca="1">MMULT(_xlfn.ANCHORARRAY(AE620),TRANSPOSE($Q$3:$U$3))</f>
        <v>2.0322003341219199E-3</v>
      </c>
    </row>
    <row r="620" spans="1:39" x14ac:dyDescent="0.35">
      <c r="A620" s="3">
        <v>44727</v>
      </c>
      <c r="B620" s="4">
        <v>29.095293045043899</v>
      </c>
      <c r="C620" s="4">
        <v>141.02435302734301</v>
      </c>
      <c r="D620" s="4">
        <v>44.035121917724602</v>
      </c>
      <c r="E620" s="4">
        <v>25.604944229125898</v>
      </c>
      <c r="F620" s="4">
        <v>244.11372375488199</v>
      </c>
      <c r="I620" s="5">
        <f>B620/B619-1</f>
        <v>1.8753862656845088E-2</v>
      </c>
      <c r="J620" s="5">
        <f>C620/C619-1</f>
        <v>-1.9636084061089965E-2</v>
      </c>
      <c r="K620" s="5">
        <f>D620/D619-1</f>
        <v>1.1827117970180323E-2</v>
      </c>
      <c r="L620" s="5">
        <f>E620/E619-1</f>
        <v>2.9572247524095374E-2</v>
      </c>
      <c r="M620" s="5">
        <f>F620/F619-1</f>
        <v>2.9735273516883876E-2</v>
      </c>
      <c r="N620" s="5">
        <f>SUMPRODUCT(I620:M620,$AJ$13:$AN$13)</f>
        <v>2.51282732738091E-2</v>
      </c>
      <c r="P620" s="2" t="s">
        <v>611</v>
      </c>
      <c r="Q620" s="10" cm="1">
        <f t="array" aca="1" ref="Q620:U620" ca="1">_xlfn.LET(_xlpm.array,_xlfn.RANDARRAY(1,COLUMNS(_xlfn.ANCHORARRAY(Q619)),0,1,FALSE),_xlpm.array/SUM(_xlpm.array))</f>
        <v>1.9456484211179036E-2</v>
      </c>
      <c r="R620" s="2">
        <f ca="1"/>
        <v>0.17660839058821673</v>
      </c>
      <c r="S620" s="2">
        <f ca="1"/>
        <v>0.15526036706332852</v>
      </c>
      <c r="T620" s="2">
        <f ca="1"/>
        <v>0.253795263189174</v>
      </c>
      <c r="U620" s="2">
        <f ca="1"/>
        <v>0.39487949494810171</v>
      </c>
      <c r="V620" s="12"/>
      <c r="X620" s="2" cm="1">
        <f t="array" aca="1" ref="X620" ca="1">MMULT(MMULT(_xlfn.ANCHORARRAY(Q620),$Q$9:$U$13),TRANSPOSE(_xlfn.ANCHORARRAY(Q620)))</f>
        <v>2.6022261800677282E-4</v>
      </c>
      <c r="Y620" s="2">
        <f t="shared" ca="1" si="24"/>
        <v>1.6131417110928997E-2</v>
      </c>
      <c r="Z620" s="2" cm="1">
        <f t="array" aca="1" ref="Z620" ca="1">MMULT(_xlfn.ANCHORARRAY(Q620),TRANSPOSE($Q$3:$U$3))</f>
        <v>9.5230466139972954E-4</v>
      </c>
      <c r="AA620" s="11">
        <f ca="1">AVEDEV(Q620*$Q$3,R620*$R$3,S620*$S$3,T620*$T$3,U620*$U$3)</f>
        <v>9.6826734497930804E-5</v>
      </c>
      <c r="AB620" s="11" cm="1">
        <f t="array" aca="1" ref="AB620" ca="1">MMULT(_xlfn.ANCHORARRAY(Q620),TRANSPOSE($Q$6:$U$6))</f>
        <v>-2.2608702094007959E-2</v>
      </c>
      <c r="AD620" s="2" t="s">
        <v>611</v>
      </c>
      <c r="AE620" s="10" cm="1">
        <f t="array" aca="1" ref="AE620:AI620" ca="1">_xlfn.LET(_xlpm.array,_xlfn.RANDARRAY(1,COLUMNS(_xlfn.ANCHORARRAY(Q619)),-1,1,FALSE),_xlpm.array/SUM(_xlpm.array))</f>
        <v>5.1044642337268346E-2</v>
      </c>
      <c r="AF620" s="10">
        <f ca="1"/>
        <v>-0.63595488133261791</v>
      </c>
      <c r="AG620" s="10">
        <f ca="1"/>
        <v>2.0787522003880126</v>
      </c>
      <c r="AH620" s="10">
        <f ca="1"/>
        <v>-2.0545073164220007</v>
      </c>
      <c r="AI620" s="10">
        <f ca="1"/>
        <v>1.5606653550293377</v>
      </c>
      <c r="AJ620" s="1"/>
      <c r="AK620" s="2" cm="1">
        <f t="array" aca="1" ref="AK620" ca="1">MMULT(MMULT(_xlfn.ANCHORARRAY(AE620),$Q$9:$U$13),TRANSPOSE(_xlfn.ANCHORARRAY(AE620)))</f>
        <v>6.532004331417522E-3</v>
      </c>
      <c r="AL620" s="2">
        <f t="shared" ca="1" si="25"/>
        <v>8.0820816201134238E-2</v>
      </c>
      <c r="AM620" s="2" cm="1">
        <f t="array" aca="1" ref="AM620" ca="1">MMULT(_xlfn.ANCHORARRAY(AE621),TRANSPOSE($Q$3:$U$3))</f>
        <v>1.1300980545403121E-3</v>
      </c>
    </row>
    <row r="621" spans="1:39" x14ac:dyDescent="0.35">
      <c r="A621" s="3">
        <v>44728</v>
      </c>
      <c r="B621" s="4">
        <v>28.913730621337798</v>
      </c>
      <c r="C621" s="4">
        <v>133.48637390136699</v>
      </c>
      <c r="D621" s="4">
        <v>42.178482055663999</v>
      </c>
      <c r="E621" s="4">
        <v>24.576744079589801</v>
      </c>
      <c r="F621" s="4">
        <v>237.52992248535099</v>
      </c>
      <c r="I621" s="5">
        <f>B621/B620-1</f>
        <v>-6.2402679163606756E-3</v>
      </c>
      <c r="J621" s="5">
        <f>C621/C620-1</f>
        <v>-5.3451612889261035E-2</v>
      </c>
      <c r="K621" s="5">
        <f>D621/D620-1</f>
        <v>-4.2162705159067282E-2</v>
      </c>
      <c r="L621" s="5">
        <f>E621/E620-1</f>
        <v>-4.0156312793937166E-2</v>
      </c>
      <c r="M621" s="5">
        <f>F621/F620-1</f>
        <v>-2.6970221781311587E-2</v>
      </c>
      <c r="N621" s="5">
        <f>SUMPRODUCT(I621:M621,$AJ$13:$AN$13)</f>
        <v>-4.6169621469989937E-2</v>
      </c>
      <c r="P621" s="2" t="s">
        <v>612</v>
      </c>
      <c r="Q621" s="10" cm="1">
        <f t="array" aca="1" ref="Q621:U621" ca="1">_xlfn.LET(_xlpm.array,_xlfn.RANDARRAY(1,COLUMNS(_xlfn.ANCHORARRAY(Q620)),0,1,FALSE),_xlpm.array/SUM(_xlpm.array))</f>
        <v>3.0379686596548716E-2</v>
      </c>
      <c r="R621" s="2">
        <f ca="1"/>
        <v>0.38502827154435737</v>
      </c>
      <c r="S621" s="2">
        <f ca="1"/>
        <v>0.10959527955758107</v>
      </c>
      <c r="T621" s="2">
        <f ca="1"/>
        <v>0.35219251678655478</v>
      </c>
      <c r="U621" s="2">
        <f ca="1"/>
        <v>0.12280424551495808</v>
      </c>
      <c r="V621" s="12"/>
      <c r="X621" s="2" cm="1">
        <f t="array" aca="1" ref="X621" ca="1">MMULT(MMULT(_xlfn.ANCHORARRAY(Q621),$Q$9:$U$13),TRANSPOSE(_xlfn.ANCHORARRAY(Q621)))</f>
        <v>3.2574826615276064E-4</v>
      </c>
      <c r="Y621" s="2">
        <f t="shared" ca="1" si="24"/>
        <v>1.804849761483655E-2</v>
      </c>
      <c r="Z621" s="2" cm="1">
        <f t="array" aca="1" ref="Z621" ca="1">MMULT(_xlfn.ANCHORARRAY(Q621),TRANSPOSE($Q$3:$U$3))</f>
        <v>9.2831906254274815E-4</v>
      </c>
      <c r="AA621" s="11">
        <f ca="1">AVEDEV(Q621*$Q$3,R621*$R$3,S621*$S$3,T621*$T$3,U621*$U$3)</f>
        <v>1.0785638441810784E-4</v>
      </c>
      <c r="AB621" s="11" cm="1">
        <f t="array" aca="1" ref="AB621" ca="1">MMULT(_xlfn.ANCHORARRAY(Q621),TRANSPOSE($Q$6:$U$6))</f>
        <v>-2.289740499905079E-2</v>
      </c>
      <c r="AD621" s="2" t="s">
        <v>612</v>
      </c>
      <c r="AE621" s="10" cm="1">
        <f t="array" aca="1" ref="AE621:AI621" ca="1">_xlfn.LET(_xlpm.array,_xlfn.RANDARRAY(1,COLUMNS(_xlfn.ANCHORARRAY(Q620)),-1,1,FALSE),_xlpm.array/SUM(_xlpm.array))</f>
        <v>-2.0446800598697794E-3</v>
      </c>
      <c r="AF621" s="10">
        <f ca="1"/>
        <v>-4.5243702994807657E-2</v>
      </c>
      <c r="AG621" s="10">
        <f ca="1"/>
        <v>0.26397646984797024</v>
      </c>
      <c r="AH621" s="10">
        <f ca="1"/>
        <v>0.53106838407355239</v>
      </c>
      <c r="AI621" s="10">
        <f ca="1"/>
        <v>0.25224352913315479</v>
      </c>
      <c r="AJ621" s="1"/>
      <c r="AK621" s="2" cm="1">
        <f t="array" aca="1" ref="AK621" ca="1">MMULT(MMULT(_xlfn.ANCHORARRAY(AE621),$Q$9:$U$13),TRANSPOSE(_xlfn.ANCHORARRAY(AE621)))</f>
        <v>3.331949014037434E-4</v>
      </c>
      <c r="AL621" s="2">
        <f t="shared" ca="1" si="25"/>
        <v>1.825362707528954E-2</v>
      </c>
      <c r="AM621" s="2" cm="1">
        <f t="array" aca="1" ref="AM621" ca="1">MMULT(_xlfn.ANCHORARRAY(AE622),TRANSPOSE($Q$3:$U$3))</f>
        <v>1.2714366733404209E-3</v>
      </c>
    </row>
    <row r="622" spans="1:39" x14ac:dyDescent="0.35">
      <c r="A622" s="3">
        <v>44729</v>
      </c>
      <c r="B622" s="4">
        <v>28.977277755737301</v>
      </c>
      <c r="C622" s="4">
        <v>127.390701293945</v>
      </c>
      <c r="D622" s="4">
        <v>43.740989685058501</v>
      </c>
      <c r="E622" s="4">
        <v>24.305419921875</v>
      </c>
      <c r="F622" s="4">
        <v>240.12852478027301</v>
      </c>
      <c r="I622" s="5">
        <f>B622/B621-1</f>
        <v>2.197818580788935E-3</v>
      </c>
      <c r="J622" s="5">
        <f>C622/C621-1</f>
        <v>-4.5665129924992054E-2</v>
      </c>
      <c r="K622" s="5">
        <f>D622/D621-1</f>
        <v>3.7045136601464801E-2</v>
      </c>
      <c r="L622" s="5">
        <f>E622/E621-1</f>
        <v>-1.1039873989660332E-2</v>
      </c>
      <c r="M622" s="5">
        <f>F622/F621-1</f>
        <v>1.0940105009642709E-2</v>
      </c>
      <c r="N622" s="5">
        <f>SUMPRODUCT(I622:M622,$AJ$13:$AN$13)</f>
        <v>1.8644862844927262E-2</v>
      </c>
      <c r="P622" s="2" t="s">
        <v>613</v>
      </c>
      <c r="Q622" s="10" cm="1">
        <f t="array" aca="1" ref="Q622:U622" ca="1">_xlfn.LET(_xlpm.array,_xlfn.RANDARRAY(1,COLUMNS(_xlfn.ANCHORARRAY(Q621)),0,1,FALSE),_xlpm.array/SUM(_xlpm.array))</f>
        <v>0.2619824345361334</v>
      </c>
      <c r="R622" s="2">
        <f ca="1"/>
        <v>0.15039209893898534</v>
      </c>
      <c r="S622" s="2">
        <f ca="1"/>
        <v>0.22079786390578479</v>
      </c>
      <c r="T622" s="2">
        <f ca="1"/>
        <v>0.17140596796724314</v>
      </c>
      <c r="U622" s="2">
        <f ca="1"/>
        <v>0.19542163465185319</v>
      </c>
      <c r="V622" s="12"/>
      <c r="X622" s="2" cm="1">
        <f t="array" aca="1" ref="X622" ca="1">MMULT(MMULT(_xlfn.ANCHORARRAY(Q622),$Q$9:$U$13),TRANSPOSE(_xlfn.ANCHORARRAY(Q622)))</f>
        <v>2.8216464029586581E-4</v>
      </c>
      <c r="Y622" s="2">
        <f t="shared" ca="1" si="24"/>
        <v>1.6797757001929328E-2</v>
      </c>
      <c r="Z622" s="2" cm="1">
        <f t="array" aca="1" ref="Z622" ca="1">MMULT(_xlfn.ANCHORARRAY(Q622),TRANSPOSE($Q$3:$U$3))</f>
        <v>9.2612993013002892E-4</v>
      </c>
      <c r="AA622" s="11">
        <f ca="1">AVEDEV(Q622*$Q$3,R622*$R$3,S622*$S$3,T622*$T$3,U622*$U$3)</f>
        <v>6.9339966268703974E-5</v>
      </c>
      <c r="AB622" s="11" cm="1">
        <f t="array" aca="1" ref="AB622" ca="1">MMULT(_xlfn.ANCHORARRAY(Q622),TRANSPOSE($Q$6:$U$6))</f>
        <v>-2.3000585307982296E-2</v>
      </c>
      <c r="AD622" s="2" t="s">
        <v>613</v>
      </c>
      <c r="AE622" s="10" cm="1">
        <f t="array" aca="1" ref="AE622:AI622" ca="1">_xlfn.LET(_xlpm.array,_xlfn.RANDARRAY(1,COLUMNS(_xlfn.ANCHORARRAY(Q621)),-1,1,FALSE),_xlpm.array/SUM(_xlpm.array))</f>
        <v>8.8996879403173593E-2</v>
      </c>
      <c r="AF622" s="10">
        <f ca="1"/>
        <v>-0.42654355363215979</v>
      </c>
      <c r="AG622" s="10">
        <f ca="1"/>
        <v>0.47258179428338248</v>
      </c>
      <c r="AH622" s="10">
        <f ca="1"/>
        <v>0.4231064506950975</v>
      </c>
      <c r="AI622" s="10">
        <f ca="1"/>
        <v>0.44185842925050622</v>
      </c>
      <c r="AJ622" s="1"/>
      <c r="AK622" s="2" cm="1">
        <f t="array" aca="1" ref="AK622" ca="1">MMULT(MMULT(_xlfn.ANCHORARRAY(AE622),$Q$9:$U$13),TRANSPOSE(_xlfn.ANCHORARRAY(AE622)))</f>
        <v>4.3175684560213279E-4</v>
      </c>
      <c r="AL622" s="2">
        <f t="shared" ca="1" si="25"/>
        <v>2.0778759481791323E-2</v>
      </c>
      <c r="AM622" s="2" cm="1">
        <f t="array" aca="1" ref="AM622" ca="1">MMULT(_xlfn.ANCHORARRAY(AE623),TRANSPOSE($Q$3:$U$3))</f>
        <v>1.7446395460071359E-3</v>
      </c>
    </row>
    <row r="623" spans="1:39" x14ac:dyDescent="0.35">
      <c r="A623" s="3">
        <v>44733</v>
      </c>
      <c r="B623" s="4">
        <v>29.821535110473601</v>
      </c>
      <c r="C623" s="4">
        <v>132.72225952148401</v>
      </c>
      <c r="D623" s="4">
        <v>45.248355865478501</v>
      </c>
      <c r="E623" s="4">
        <v>24.9194831848144</v>
      </c>
      <c r="F623" s="4">
        <v>246.03356933593699</v>
      </c>
      <c r="I623" s="5">
        <f>B623/B622-1</f>
        <v>2.9135150715430491E-2</v>
      </c>
      <c r="J623" s="5">
        <f>C623/C622-1</f>
        <v>4.1852020385984234E-2</v>
      </c>
      <c r="K623" s="5">
        <f>D623/D622-1</f>
        <v>3.4461181406119534E-2</v>
      </c>
      <c r="L623" s="5">
        <f>E623/E622-1</f>
        <v>2.5264458088491537E-2</v>
      </c>
      <c r="M623" s="5">
        <f>F623/F622-1</f>
        <v>2.4591183246835513E-2</v>
      </c>
      <c r="N623" s="5">
        <f>SUMPRODUCT(I623:M623,$AJ$13:$AN$13)</f>
        <v>2.816514238291578E-2</v>
      </c>
      <c r="P623" s="2" t="s">
        <v>614</v>
      </c>
      <c r="Q623" s="10" cm="1">
        <f t="array" aca="1" ref="Q623:U623" ca="1">_xlfn.LET(_xlpm.array,_xlfn.RANDARRAY(1,COLUMNS(_xlfn.ANCHORARRAY(Q622)),0,1,FALSE),_xlpm.array/SUM(_xlpm.array))</f>
        <v>0.1581338322470501</v>
      </c>
      <c r="R623" s="2">
        <f ca="1"/>
        <v>0.60783523164927511</v>
      </c>
      <c r="S623" s="2">
        <f ca="1"/>
        <v>0.16304333168916688</v>
      </c>
      <c r="T623" s="2">
        <f ca="1"/>
        <v>5.8324249847008782E-3</v>
      </c>
      <c r="U623" s="2">
        <f ca="1"/>
        <v>6.5155179429807059E-2</v>
      </c>
      <c r="V623" s="12"/>
      <c r="X623" s="2" cm="1">
        <f t="array" aca="1" ref="X623" ca="1">MMULT(MMULT(_xlfn.ANCHORARRAY(Q623),$Q$9:$U$13),TRANSPOSE(_xlfn.ANCHORARRAY(Q623)))</f>
        <v>3.2997602227784325E-4</v>
      </c>
      <c r="Y623" s="2">
        <f t="shared" ca="1" si="24"/>
        <v>1.8165242147514665E-2</v>
      </c>
      <c r="Z623" s="2" cm="1">
        <f t="array" aca="1" ref="Z623" ca="1">MMULT(_xlfn.ANCHORARRAY(Q623),TRANSPOSE($Q$3:$U$3))</f>
        <v>8.4481113817539159E-4</v>
      </c>
      <c r="AA623" s="11">
        <f ca="1">AVEDEV(Q623*$Q$3,R623*$R$3,S623*$S$3,T623*$T$3,U623*$U$3)</f>
        <v>1.4828922524241965E-4</v>
      </c>
      <c r="AB623" s="11" cm="1">
        <f t="array" aca="1" ref="AB623" ca="1">MMULT(_xlfn.ANCHORARRAY(Q623),TRANSPOSE($Q$6:$U$6))</f>
        <v>-2.1822722530672082E-2</v>
      </c>
      <c r="AD623" s="2" t="s">
        <v>614</v>
      </c>
      <c r="AE623" s="10" cm="1">
        <f t="array" aca="1" ref="AE623:AI623" ca="1">_xlfn.LET(_xlpm.array,_xlfn.RANDARRAY(1,COLUMNS(_xlfn.ANCHORARRAY(Q622)),-1,1,FALSE),_xlpm.array/SUM(_xlpm.array))</f>
        <v>-0.44962414503892417</v>
      </c>
      <c r="AF623" s="10">
        <f ca="1"/>
        <v>-0.88570998354926866</v>
      </c>
      <c r="AG623" s="10">
        <f ca="1"/>
        <v>0.74971054350863708</v>
      </c>
      <c r="AH623" s="10">
        <f ca="1"/>
        <v>0.738573561293426</v>
      </c>
      <c r="AI623" s="10">
        <f ca="1"/>
        <v>0.8470500237861297</v>
      </c>
      <c r="AJ623" s="1"/>
      <c r="AK623" s="2" cm="1">
        <f t="array" aca="1" ref="AK623" ca="1">MMULT(MMULT(_xlfn.ANCHORARRAY(AE623),$Q$9:$U$13),TRANSPOSE(_xlfn.ANCHORARRAY(AE623)))</f>
        <v>9.8366025818089325E-4</v>
      </c>
      <c r="AL623" s="2">
        <f t="shared" ca="1" si="25"/>
        <v>3.1363358528398923E-2</v>
      </c>
      <c r="AM623" s="2" cm="1">
        <f t="array" aca="1" ref="AM623" ca="1">MMULT(_xlfn.ANCHORARRAY(AE624),TRANSPOSE($Q$3:$U$3))</f>
        <v>4.4358221612668196E-4</v>
      </c>
    </row>
    <row r="624" spans="1:39" x14ac:dyDescent="0.35">
      <c r="A624" s="3">
        <v>44734</v>
      </c>
      <c r="B624" s="4">
        <v>29.594581604003899</v>
      </c>
      <c r="C624" s="4">
        <v>126.952835083007</v>
      </c>
      <c r="D624" s="4">
        <v>44.678497314453097</v>
      </c>
      <c r="E624" s="4">
        <v>23.562831878662099</v>
      </c>
      <c r="F624" s="4">
        <v>245.442123413085</v>
      </c>
      <c r="I624" s="5">
        <f>B624/B623-1</f>
        <v>-7.6103897947893406E-3</v>
      </c>
      <c r="J624" s="5">
        <f>C624/C623-1</f>
        <v>-4.3469908207395269E-2</v>
      </c>
      <c r="K624" s="5">
        <f>D624/D623-1</f>
        <v>-1.2594016735537727E-2</v>
      </c>
      <c r="L624" s="5">
        <f>E624/E623-1</f>
        <v>-5.4441390140026136E-2</v>
      </c>
      <c r="M624" s="5">
        <f>F624/F623-1</f>
        <v>-2.4039236777662065E-3</v>
      </c>
      <c r="N624" s="5">
        <f>SUMPRODUCT(I624:M624,$AJ$13:$AN$13)</f>
        <v>-2.9173297896653204E-2</v>
      </c>
      <c r="P624" s="2" t="s">
        <v>615</v>
      </c>
      <c r="Q624" s="10" cm="1">
        <f t="array" aca="1" ref="Q624:U624" ca="1">_xlfn.LET(_xlpm.array,_xlfn.RANDARRAY(1,COLUMNS(_xlfn.ANCHORARRAY(Q623)),0,1,FALSE),_xlpm.array/SUM(_xlpm.array))</f>
        <v>0.18626201486371768</v>
      </c>
      <c r="R624" s="2">
        <f ca="1"/>
        <v>0.19085430422216787</v>
      </c>
      <c r="S624" s="2">
        <f ca="1"/>
        <v>0.21871589455622584</v>
      </c>
      <c r="T624" s="2">
        <f ca="1"/>
        <v>0.19372273658771966</v>
      </c>
      <c r="U624" s="2">
        <f ca="1"/>
        <v>0.21044504977016903</v>
      </c>
      <c r="V624" s="12"/>
      <c r="X624" s="2" cm="1">
        <f t="array" aca="1" ref="X624" ca="1">MMULT(MMULT(_xlfn.ANCHORARRAY(Q624),$Q$9:$U$13),TRANSPOSE(_xlfn.ANCHORARRAY(Q624)))</f>
        <v>2.7932735200507456E-4</v>
      </c>
      <c r="Y624" s="2">
        <f t="shared" ca="1" si="24"/>
        <v>1.671308924182105E-2</v>
      </c>
      <c r="Z624" s="2" cm="1">
        <f t="array" aca="1" ref="Z624" ca="1">MMULT(_xlfn.ANCHORARRAY(Q624),TRANSPOSE($Q$3:$U$3))</f>
        <v>9.481011829269065E-4</v>
      </c>
      <c r="AA624" s="11">
        <f ca="1">AVEDEV(Q624*$Q$3,R624*$R$3,S624*$S$3,T624*$T$3,U624*$U$3)</f>
        <v>6.9545909705769291E-5</v>
      </c>
      <c r="AB624" s="11" cm="1">
        <f t="array" aca="1" ref="AB624" ca="1">MMULT(_xlfn.ANCHORARRAY(Q624),TRANSPOSE($Q$6:$U$6))</f>
        <v>-2.3005296128387184E-2</v>
      </c>
      <c r="AD624" s="2" t="s">
        <v>615</v>
      </c>
      <c r="AE624" s="10" cm="1">
        <f t="array" aca="1" ref="AE624:AI624" ca="1">_xlfn.LET(_xlpm.array,_xlfn.RANDARRAY(1,COLUMNS(_xlfn.ANCHORARRAY(Q623)),-1,1,FALSE),_xlpm.array/SUM(_xlpm.array))</f>
        <v>0.58242484678263717</v>
      </c>
      <c r="AF624" s="10">
        <f ca="1"/>
        <v>0.44534621929484142</v>
      </c>
      <c r="AG624" s="10">
        <f ca="1"/>
        <v>-0.1756974896051135</v>
      </c>
      <c r="AH624" s="10">
        <f ca="1"/>
        <v>-2.1231449176813071E-2</v>
      </c>
      <c r="AI624" s="10">
        <f ca="1"/>
        <v>0.16915787270444796</v>
      </c>
      <c r="AJ624" s="1"/>
      <c r="AK624" s="2" cm="1">
        <f t="array" aca="1" ref="AK624" ca="1">MMULT(MMULT(_xlfn.ANCHORARRAY(AE624),$Q$9:$U$13),TRANSPOSE(_xlfn.ANCHORARRAY(AE624)))</f>
        <v>3.7021424293722638E-4</v>
      </c>
      <c r="AL624" s="2">
        <f t="shared" ca="1" si="25"/>
        <v>1.9240952235719165E-2</v>
      </c>
      <c r="AM624" s="2" cm="1">
        <f t="array" aca="1" ref="AM624" ca="1">MMULT(_xlfn.ANCHORARRAY(AE625),TRANSPOSE($Q$3:$U$3))</f>
        <v>1.057042129595099E-3</v>
      </c>
    </row>
    <row r="625" spans="1:39" x14ac:dyDescent="0.35">
      <c r="A625" s="3">
        <v>44735</v>
      </c>
      <c r="B625" s="4">
        <v>29.1225261688232</v>
      </c>
      <c r="C625" s="4">
        <v>122.28236389160099</v>
      </c>
      <c r="D625" s="4">
        <v>45.073719024658203</v>
      </c>
      <c r="E625" s="4">
        <v>23.070154190063398</v>
      </c>
      <c r="F625" s="4">
        <v>250.99806213378901</v>
      </c>
      <c r="I625" s="5">
        <f>B625/B624-1</f>
        <v>-1.5950738601313241E-2</v>
      </c>
      <c r="J625" s="5">
        <f>C625/C624-1</f>
        <v>-3.6789026321092044E-2</v>
      </c>
      <c r="K625" s="5">
        <f>D625/D624-1</f>
        <v>8.8459042707611513E-3</v>
      </c>
      <c r="L625" s="5">
        <f>E625/E624-1</f>
        <v>-2.0909103419137653E-2</v>
      </c>
      <c r="M625" s="5">
        <f>F625/F624-1</f>
        <v>2.2636451491878651E-2</v>
      </c>
      <c r="N625" s="5">
        <f>SUMPRODUCT(I625:M625,$AJ$13:$AN$13)</f>
        <v>8.215959020151712E-3</v>
      </c>
      <c r="P625" s="2" t="s">
        <v>616</v>
      </c>
      <c r="Q625" s="10" cm="1">
        <f t="array" aca="1" ref="Q625:U625" ca="1">_xlfn.LET(_xlpm.array,_xlfn.RANDARRAY(1,COLUMNS(_xlfn.ANCHORARRAY(Q624)),0,1,FALSE),_xlpm.array/SUM(_xlpm.array))</f>
        <v>0.24021146614362263</v>
      </c>
      <c r="R625" s="2">
        <f ca="1"/>
        <v>0.13722392991943511</v>
      </c>
      <c r="S625" s="2">
        <f ca="1"/>
        <v>0.16037532133903629</v>
      </c>
      <c r="T625" s="2">
        <f ca="1"/>
        <v>0.24659055044492253</v>
      </c>
      <c r="U625" s="2">
        <f ca="1"/>
        <v>0.2155987321529835</v>
      </c>
      <c r="V625" s="12"/>
      <c r="X625" s="2" cm="1">
        <f t="array" aca="1" ref="X625" ca="1">MMULT(MMULT(_xlfn.ANCHORARRAY(Q625),$Q$9:$U$13),TRANSPOSE(_xlfn.ANCHORARRAY(Q625)))</f>
        <v>2.7301370569555018E-4</v>
      </c>
      <c r="Y625" s="2">
        <f t="shared" ca="1" si="24"/>
        <v>1.6523126389867936E-2</v>
      </c>
      <c r="Z625" s="2" cm="1">
        <f t="array" aca="1" ref="Z625" ca="1">MMULT(_xlfn.ANCHORARRAY(Q625),TRANSPOSE($Q$3:$U$3))</f>
        <v>8.9956513727281124E-4</v>
      </c>
      <c r="AA625" s="11">
        <f ca="1">AVEDEV(Q625*$Q$3,R625*$R$3,S625*$S$3,T625*$T$3,U625*$U$3)</f>
        <v>6.1017888245239814E-5</v>
      </c>
      <c r="AB625" s="11" cm="1">
        <f t="array" aca="1" ref="AB625" ca="1">MMULT(_xlfn.ANCHORARRAY(Q625),TRANSPOSE($Q$6:$U$6))</f>
        <v>-2.2916411569623554E-2</v>
      </c>
      <c r="AD625" s="2" t="s">
        <v>616</v>
      </c>
      <c r="AE625" s="10" cm="1">
        <f t="array" aca="1" ref="AE625:AI625" ca="1">_xlfn.LET(_xlpm.array,_xlfn.RANDARRAY(1,COLUMNS(_xlfn.ANCHORARRAY(Q624)),-1,1,FALSE),_xlpm.array/SUM(_xlpm.array))</f>
        <v>-0.48680074784678984</v>
      </c>
      <c r="AF625" s="10">
        <f ca="1"/>
        <v>0.95233508690648838</v>
      </c>
      <c r="AG625" s="10">
        <f ca="1"/>
        <v>0.27913585511146283</v>
      </c>
      <c r="AH625" s="10">
        <f ca="1"/>
        <v>-0.15415873502863797</v>
      </c>
      <c r="AI625" s="10">
        <f ca="1"/>
        <v>0.4094885408574766</v>
      </c>
      <c r="AJ625" s="1"/>
      <c r="AK625" s="2" cm="1">
        <f t="array" aca="1" ref="AK625" ca="1">MMULT(MMULT(_xlfn.ANCHORARRAY(AE625),$Q$9:$U$13),TRANSPOSE(_xlfn.ANCHORARRAY(AE625)))</f>
        <v>4.307063451050816E-4</v>
      </c>
      <c r="AL625" s="2">
        <f t="shared" ca="1" si="25"/>
        <v>2.0753465857660539E-2</v>
      </c>
      <c r="AM625" s="2" cm="1">
        <f t="array" aca="1" ref="AM625" ca="1">MMULT(_xlfn.ANCHORARRAY(AE626),TRANSPOSE($Q$3:$U$3))</f>
        <v>3.7220145972440824E-4</v>
      </c>
    </row>
    <row r="626" spans="1:39" x14ac:dyDescent="0.35">
      <c r="A626" s="3">
        <v>44736</v>
      </c>
      <c r="B626" s="4">
        <v>29.331321716308501</v>
      </c>
      <c r="C626" s="4">
        <v>124.291381835937</v>
      </c>
      <c r="D626" s="4">
        <v>46.185863494872997</v>
      </c>
      <c r="E626" s="4">
        <v>23.234378814697202</v>
      </c>
      <c r="F626" s="4">
        <v>259.56964111328102</v>
      </c>
      <c r="I626" s="5">
        <f>B626/B625-1</f>
        <v>7.1695548069874437E-3</v>
      </c>
      <c r="J626" s="5">
        <f>C626/C625-1</f>
        <v>1.6429335191106897E-2</v>
      </c>
      <c r="K626" s="5">
        <f>D626/D625-1</f>
        <v>2.4673900762579137E-2</v>
      </c>
      <c r="L626" s="5">
        <f>E626/E625-1</f>
        <v>7.1184883846393543E-3</v>
      </c>
      <c r="M626" s="5">
        <f>F626/F625-1</f>
        <v>3.4149980707512961E-2</v>
      </c>
      <c r="N626" s="5">
        <f>SUMPRODUCT(I626:M626,$AJ$13:$AN$13)</f>
        <v>2.4969063098810605E-2</v>
      </c>
      <c r="P626" s="2" t="s">
        <v>617</v>
      </c>
      <c r="Q626" s="10" cm="1">
        <f t="array" aca="1" ref="Q626:U626" ca="1">_xlfn.LET(_xlpm.array,_xlfn.RANDARRAY(1,COLUMNS(_xlfn.ANCHORARRAY(Q625)),0,1,FALSE),_xlpm.array/SUM(_xlpm.array))</f>
        <v>4.5283292596759291E-2</v>
      </c>
      <c r="R626" s="2">
        <f ca="1"/>
        <v>0.57665988037813132</v>
      </c>
      <c r="S626" s="2">
        <f ca="1"/>
        <v>0.15500857187582801</v>
      </c>
      <c r="T626" s="2">
        <f ca="1"/>
        <v>0.15993655365794099</v>
      </c>
      <c r="U626" s="2">
        <f ca="1"/>
        <v>6.3111701491340377E-2</v>
      </c>
      <c r="V626" s="12"/>
      <c r="X626" s="2" cm="1">
        <f t="array" aca="1" ref="X626" ca="1">MMULT(MMULT(_xlfn.ANCHORARRAY(Q626),$Q$9:$U$13),TRANSPOSE(_xlfn.ANCHORARRAY(Q626)))</f>
        <v>3.3822354015165888E-4</v>
      </c>
      <c r="Y626" s="2">
        <f t="shared" ca="1" si="24"/>
        <v>1.8390854796655288E-2</v>
      </c>
      <c r="Z626" s="2" cm="1">
        <f t="array" aca="1" ref="Z626" ca="1">MMULT(_xlfn.ANCHORARRAY(Q626),TRANSPOSE($Q$3:$U$3))</f>
        <v>9.0751381515709524E-4</v>
      </c>
      <c r="AA626" s="11">
        <f ca="1">AVEDEV(Q626*$Q$3,R626*$R$3,S626*$S$3,T626*$T$3,U626*$U$3)</f>
        <v>1.2393123091695093E-4</v>
      </c>
      <c r="AB626" s="11" cm="1">
        <f t="array" aca="1" ref="AB626" ca="1">MMULT(_xlfn.ANCHORARRAY(Q626),TRANSPOSE($Q$6:$U$6))</f>
        <v>-2.2360488987190012E-2</v>
      </c>
      <c r="AD626" s="2" t="s">
        <v>617</v>
      </c>
      <c r="AE626" s="10" cm="1">
        <f t="array" aca="1" ref="AE626:AI626" ca="1">_xlfn.LET(_xlpm.array,_xlfn.RANDARRAY(1,COLUMNS(_xlfn.ANCHORARRAY(Q625)),-1,1,FALSE),_xlpm.array/SUM(_xlpm.array))</f>
        <v>1.028740504914448</v>
      </c>
      <c r="AF626" s="10">
        <f ca="1"/>
        <v>0.19563883739967566</v>
      </c>
      <c r="AG626" s="10">
        <f ca="1"/>
        <v>-8.9874071707487069E-2</v>
      </c>
      <c r="AH626" s="10">
        <f ca="1"/>
        <v>-0.17402302676333142</v>
      </c>
      <c r="AI626" s="10">
        <f ca="1"/>
        <v>3.9517756156694853E-2</v>
      </c>
      <c r="AJ626" s="1"/>
      <c r="AK626" s="2" cm="1">
        <f t="array" aca="1" ref="AK626" ca="1">MMULT(MMULT(_xlfn.ANCHORARRAY(AE626),$Q$9:$U$13),TRANSPOSE(_xlfn.ANCHORARRAY(AE626)))</f>
        <v>5.0146796546099892E-4</v>
      </c>
      <c r="AL626" s="2">
        <f t="shared" ca="1" si="25"/>
        <v>2.2393480423127596E-2</v>
      </c>
      <c r="AM626" s="2" cm="1">
        <f t="array" aca="1" ref="AM626" ca="1">MMULT(_xlfn.ANCHORARRAY(AE627),TRANSPOSE($Q$3:$U$3))</f>
        <v>-0.60837163924499083</v>
      </c>
    </row>
    <row r="627" spans="1:39" x14ac:dyDescent="0.35">
      <c r="A627" s="3">
        <v>44739</v>
      </c>
      <c r="B627" s="4">
        <v>29.367630004882798</v>
      </c>
      <c r="C627" s="4">
        <v>126.6953125</v>
      </c>
      <c r="D627" s="4">
        <v>46.176670074462798</v>
      </c>
      <c r="E627" s="4">
        <v>24.3911037445068</v>
      </c>
      <c r="F627" s="4">
        <v>256.84500122070301</v>
      </c>
      <c r="I627" s="5">
        <f>B627/B626-1</f>
        <v>1.2378674553252811E-3</v>
      </c>
      <c r="J627" s="5">
        <f>C627/C626-1</f>
        <v>1.9341088887692592E-2</v>
      </c>
      <c r="K627" s="5">
        <f>D627/D626-1</f>
        <v>-1.9905269090014777E-4</v>
      </c>
      <c r="L627" s="5">
        <f>E627/E626-1</f>
        <v>4.9785059417120969E-2</v>
      </c>
      <c r="M627" s="5">
        <f>F627/F626-1</f>
        <v>-1.049675871528033E-2</v>
      </c>
      <c r="N627" s="5">
        <f>SUMPRODUCT(I627:M627,$AJ$13:$AN$13)</f>
        <v>1.8660695484531715E-2</v>
      </c>
      <c r="P627" s="2" t="s">
        <v>618</v>
      </c>
      <c r="Q627" s="10" cm="1">
        <f t="array" aca="1" ref="Q627:U627" ca="1">_xlfn.LET(_xlpm.array,_xlfn.RANDARRAY(1,COLUMNS(_xlfn.ANCHORARRAY(Q626)),0,1,FALSE),_xlpm.array/SUM(_xlpm.array))</f>
        <v>0.46104378724730027</v>
      </c>
      <c r="R627" s="2">
        <f ca="1"/>
        <v>0.38309343247863797</v>
      </c>
      <c r="S627" s="2">
        <f ca="1"/>
        <v>3.0186236741373447E-2</v>
      </c>
      <c r="T627" s="2">
        <f ca="1"/>
        <v>6.0637025776346151E-2</v>
      </c>
      <c r="U627" s="2">
        <f ca="1"/>
        <v>6.5039517756342147E-2</v>
      </c>
      <c r="V627" s="12"/>
      <c r="X627" s="2" cm="1">
        <f t="array" aca="1" ref="X627" ca="1">MMULT(MMULT(_xlfn.ANCHORARRAY(Q627),$Q$9:$U$13),TRANSPOSE(_xlfn.ANCHORARRAY(Q627)))</f>
        <v>3.2576403484293516E-4</v>
      </c>
      <c r="Y627" s="2">
        <f t="shared" ca="1" si="24"/>
        <v>1.8048934451732467E-2</v>
      </c>
      <c r="Z627" s="2" cm="1">
        <f t="array" aca="1" ref="Z627" ca="1">MMULT(_xlfn.ANCHORARRAY(Q627),TRANSPOSE($Q$3:$U$3))</f>
        <v>6.7478957791590184E-4</v>
      </c>
      <c r="AA627" s="11">
        <f ca="1">AVEDEV(Q627*$Q$3,R627*$R$3,S627*$S$3,T627*$T$3,U627*$U$3)</f>
        <v>9.766309096515757E-5</v>
      </c>
      <c r="AB627" s="11" cm="1">
        <f t="array" aca="1" ref="AB627" ca="1">MMULT(_xlfn.ANCHORARRAY(Q627),TRANSPOSE($Q$6:$U$6))</f>
        <v>-2.1508299298981057E-2</v>
      </c>
      <c r="AD627" s="2" t="s">
        <v>618</v>
      </c>
      <c r="AE627" s="10" cm="1">
        <f t="array" aca="1" ref="AE627:AI627" ca="1">_xlfn.LET(_xlpm.array,_xlfn.RANDARRAY(1,COLUMNS(_xlfn.ANCHORARRAY(Q626)),-1,1,FALSE),_xlpm.array/SUM(_xlpm.array))</f>
        <v>-19.457427940743255</v>
      </c>
      <c r="AF627" s="10">
        <f ca="1"/>
        <v>643.02565067768342</v>
      </c>
      <c r="AG627" s="10">
        <f ca="1"/>
        <v>-536.35297301078094</v>
      </c>
      <c r="AH627" s="10">
        <f ca="1"/>
        <v>-510.45146999813323</v>
      </c>
      <c r="AI627" s="10">
        <f ca="1"/>
        <v>424.23622027197393</v>
      </c>
      <c r="AJ627" s="1"/>
      <c r="AK627" s="2" cm="1">
        <f t="array" aca="1" ref="AK627" ca="1">MMULT(MMULT(_xlfn.ANCHORARRAY(AE627),$Q$9:$U$13),TRANSPOSE(_xlfn.ANCHORARRAY(AE627)))</f>
        <v>287.75614888466481</v>
      </c>
      <c r="AL627" s="2">
        <f t="shared" ca="1" si="25"/>
        <v>16.963376694652066</v>
      </c>
      <c r="AM627" s="2" cm="1">
        <f t="array" aca="1" ref="AM627" ca="1">MMULT(_xlfn.ANCHORARRAY(AE628),TRANSPOSE($Q$3:$U$3))</f>
        <v>1.3893274410909273E-3</v>
      </c>
    </row>
    <row r="628" spans="1:39" x14ac:dyDescent="0.35">
      <c r="A628" s="3">
        <v>44740</v>
      </c>
      <c r="B628" s="4">
        <v>29.2859287261962</v>
      </c>
      <c r="C628" s="4">
        <v>128.73002624511699</v>
      </c>
      <c r="D628" s="4">
        <v>44.981807708740199</v>
      </c>
      <c r="E628" s="4">
        <v>25.262210845947202</v>
      </c>
      <c r="F628" s="4">
        <v>248.69039916992099</v>
      </c>
      <c r="I628" s="5">
        <f>B628/B627-1</f>
        <v>-2.7820181156263946E-3</v>
      </c>
      <c r="J628" s="5">
        <f>C628/C627-1</f>
        <v>1.605989759973947E-2</v>
      </c>
      <c r="K628" s="5">
        <f>D628/D627-1</f>
        <v>-2.5875888490785703E-2</v>
      </c>
      <c r="L628" s="5">
        <f>E628/E627-1</f>
        <v>3.5714132110015173E-2</v>
      </c>
      <c r="M628" s="5">
        <f>F628/F627-1</f>
        <v>-3.1749117218656253E-2</v>
      </c>
      <c r="N628" s="5">
        <f>SUMPRODUCT(I628:M628,$AJ$13:$AN$13)</f>
        <v>-7.1124241147175818E-3</v>
      </c>
      <c r="P628" s="2" t="s">
        <v>619</v>
      </c>
      <c r="Q628" s="10" cm="1">
        <f t="array" aca="1" ref="Q628:U628" ca="1">_xlfn.LET(_xlpm.array,_xlfn.RANDARRAY(1,COLUMNS(_xlfn.ANCHORARRAY(Q627)),0,1,FALSE),_xlpm.array/SUM(_xlpm.array))</f>
        <v>0.19562460617754721</v>
      </c>
      <c r="R628" s="2">
        <f ca="1"/>
        <v>0.24160411341025181</v>
      </c>
      <c r="S628" s="2">
        <f ca="1"/>
        <v>7.7776555671753192E-2</v>
      </c>
      <c r="T628" s="2">
        <f ca="1"/>
        <v>0.31821829556264797</v>
      </c>
      <c r="U628" s="2">
        <f ca="1"/>
        <v>0.16677642917779983</v>
      </c>
      <c r="V628" s="12"/>
      <c r="X628" s="2" cm="1">
        <f t="array" aca="1" ref="X628" ca="1">MMULT(MMULT(_xlfn.ANCHORARRAY(Q628),$Q$9:$U$13),TRANSPOSE(_xlfn.ANCHORARRAY(Q628)))</f>
        <v>2.903877579621778E-4</v>
      </c>
      <c r="Y628" s="2">
        <f t="shared" ca="1" si="24"/>
        <v>1.7040767528552749E-2</v>
      </c>
      <c r="Z628" s="2" cm="1">
        <f t="array" aca="1" ref="Z628" ca="1">MMULT(_xlfn.ANCHORARRAY(Q628),TRANSPOSE($Q$3:$U$3))</f>
        <v>8.5482026600874059E-4</v>
      </c>
      <c r="AA628" s="11">
        <f ca="1">AVEDEV(Q628*$Q$3,R628*$R$3,S628*$S$3,T628*$T$3,U628*$U$3)</f>
        <v>6.3839165003777673E-5</v>
      </c>
      <c r="AB628" s="11" cm="1">
        <f t="array" aca="1" ref="AB628" ca="1">MMULT(_xlfn.ANCHORARRAY(Q628),TRANSPOSE($Q$6:$U$6))</f>
        <v>-2.2680060845912821E-2</v>
      </c>
      <c r="AD628" s="2" t="s">
        <v>619</v>
      </c>
      <c r="AE628" s="10" cm="1">
        <f t="array" aca="1" ref="AE628:AI628" ca="1">_xlfn.LET(_xlpm.array,_xlfn.RANDARRAY(1,COLUMNS(_xlfn.ANCHORARRAY(Q627)),-1,1,FALSE),_xlpm.array/SUM(_xlpm.array))</f>
        <v>-0.12142273825307955</v>
      </c>
      <c r="AF628" s="10">
        <f ca="1"/>
        <v>0.51800635648210114</v>
      </c>
      <c r="AG628" s="10">
        <f ca="1"/>
        <v>0.54205109724123957</v>
      </c>
      <c r="AH628" s="10">
        <f ca="1"/>
        <v>0.566844033393198</v>
      </c>
      <c r="AI628" s="10">
        <f ca="1"/>
        <v>-0.50547874886345912</v>
      </c>
      <c r="AJ628" s="1"/>
      <c r="AK628" s="2" cm="1">
        <f t="array" aca="1" ref="AK628" ca="1">MMULT(MMULT(_xlfn.ANCHORARRAY(AE628),$Q$9:$U$13),TRANSPOSE(_xlfn.ANCHORARRAY(AE628)))</f>
        <v>7.7299359555898725E-4</v>
      </c>
      <c r="AL628" s="2">
        <f t="shared" ca="1" si="25"/>
        <v>2.7802762372810857E-2</v>
      </c>
      <c r="AM628" s="2" cm="1">
        <f t="array" aca="1" ref="AM628" ca="1">MMULT(_xlfn.ANCHORARRAY(AE629),TRANSPOSE($Q$3:$U$3))</f>
        <v>-1.2854641739032113E-3</v>
      </c>
    </row>
    <row r="629" spans="1:39" x14ac:dyDescent="0.35">
      <c r="A629" s="3">
        <v>44741</v>
      </c>
      <c r="B629" s="4">
        <v>28.922805786132798</v>
      </c>
      <c r="C629" s="4">
        <v>126.18872833251901</v>
      </c>
      <c r="D629" s="4">
        <v>43.557174682617102</v>
      </c>
      <c r="E629" s="4">
        <v>24.905197143554599</v>
      </c>
      <c r="F629" s="4">
        <v>252.35557556152301</v>
      </c>
      <c r="I629" s="5">
        <f>B629/B628-1</f>
        <v>-1.2399229113010501E-2</v>
      </c>
      <c r="J629" s="5">
        <f>C629/C628-1</f>
        <v>-1.9741298799699214E-2</v>
      </c>
      <c r="K629" s="5">
        <f>D629/D628-1</f>
        <v>-3.1671315553782886E-2</v>
      </c>
      <c r="L629" s="5">
        <f>E629/E628-1</f>
        <v>-1.413232216965199E-2</v>
      </c>
      <c r="M629" s="5">
        <f>F629/F628-1</f>
        <v>1.4737908676151656E-2</v>
      </c>
      <c r="N629" s="5">
        <f>SUMPRODUCT(I629:M629,$AJ$13:$AN$13)</f>
        <v>-1.3937885728869705E-2</v>
      </c>
      <c r="P629" s="2" t="s">
        <v>620</v>
      </c>
      <c r="Q629" s="10" cm="1">
        <f t="array" aca="1" ref="Q629:U629" ca="1">_xlfn.LET(_xlpm.array,_xlfn.RANDARRAY(1,COLUMNS(_xlfn.ANCHORARRAY(Q628)),0,1,FALSE),_xlpm.array/SUM(_xlpm.array))</f>
        <v>0.24937374578584889</v>
      </c>
      <c r="R629" s="2">
        <f ca="1"/>
        <v>0.19980081663152782</v>
      </c>
      <c r="S629" s="2">
        <f ca="1"/>
        <v>0.25000862047363004</v>
      </c>
      <c r="T629" s="2">
        <f ca="1"/>
        <v>0.19551205602265687</v>
      </c>
      <c r="U629" s="2">
        <f ca="1"/>
        <v>0.1053047610863363</v>
      </c>
      <c r="V629" s="12"/>
      <c r="X629" s="2" cm="1">
        <f t="array" aca="1" ref="X629" ca="1">MMULT(MMULT(_xlfn.ANCHORARRAY(Q629),$Q$9:$U$13),TRANSPOSE(_xlfn.ANCHORARRAY(Q629)))</f>
        <v>3.0410790653899043E-4</v>
      </c>
      <c r="Y629" s="2">
        <f t="shared" ca="1" si="24"/>
        <v>1.7438689931843804E-2</v>
      </c>
      <c r="Z629" s="2" cm="1">
        <f t="array" aca="1" ref="Z629" ca="1">MMULT(_xlfn.ANCHORARRAY(Q629),TRANSPOSE($Q$3:$U$3))</f>
        <v>9.5894103528845753E-4</v>
      </c>
      <c r="AA629" s="11">
        <f ca="1">AVEDEV(Q629*$Q$3,R629*$R$3,S629*$S$3,T629*$T$3,U629*$U$3)</f>
        <v>8.8870497513834622E-5</v>
      </c>
      <c r="AB629" s="11" cm="1">
        <f t="array" aca="1" ref="AB629" ca="1">MMULT(_xlfn.ANCHORARRAY(Q629),TRANSPOSE($Q$6:$U$6))</f>
        <v>-2.333158812399377E-2</v>
      </c>
      <c r="AD629" s="2" t="s">
        <v>620</v>
      </c>
      <c r="AE629" s="10" cm="1">
        <f t="array" aca="1" ref="AE629:AI629" ca="1">_xlfn.LET(_xlpm.array,_xlfn.RANDARRAY(1,COLUMNS(_xlfn.ANCHORARRAY(Q628)),-1,1,FALSE),_xlpm.array/SUM(_xlpm.array))</f>
        <v>3.19927245348843</v>
      </c>
      <c r="AF629" s="10">
        <f ca="1"/>
        <v>-1.3993075246230846</v>
      </c>
      <c r="AG629" s="10">
        <f ca="1"/>
        <v>-1.7259153394401434</v>
      </c>
      <c r="AH629" s="10">
        <f ca="1"/>
        <v>0.7984697808580784</v>
      </c>
      <c r="AI629" s="10">
        <f ca="1"/>
        <v>0.12748062971671947</v>
      </c>
      <c r="AJ629" s="1"/>
      <c r="AK629" s="2" cm="1">
        <f t="array" aca="1" ref="AK629" ca="1">MMULT(MMULT(_xlfn.ANCHORARRAY(AE629),$Q$9:$U$13),TRANSPOSE(_xlfn.ANCHORARRAY(AE629)))</f>
        <v>4.3562865275659675E-3</v>
      </c>
      <c r="AL629" s="2">
        <f t="shared" ca="1" si="25"/>
        <v>6.6002170627684417E-2</v>
      </c>
      <c r="AM629" s="2" cm="1">
        <f t="array" aca="1" ref="AM629" ca="1">MMULT(_xlfn.ANCHORARRAY(AE630),TRANSPOSE($Q$3:$U$3))</f>
        <v>1.5038452668060507E-3</v>
      </c>
    </row>
    <row r="630" spans="1:39" x14ac:dyDescent="0.35">
      <c r="A630" s="3">
        <v>44742</v>
      </c>
      <c r="B630" s="4">
        <v>28.260105133056602</v>
      </c>
      <c r="C630" s="4">
        <v>124.29997253417901</v>
      </c>
      <c r="D630" s="4">
        <v>42.472599029541001</v>
      </c>
      <c r="E630" s="4">
        <v>24.819513320922798</v>
      </c>
      <c r="F630" s="4">
        <v>249.02975463867099</v>
      </c>
      <c r="I630" s="5">
        <f>B630/B629-1</f>
        <v>-2.2912737373285252E-2</v>
      </c>
      <c r="J630" s="5">
        <f>C630/C629-1</f>
        <v>-1.4967706096244648E-2</v>
      </c>
      <c r="K630" s="5">
        <f>D630/D629-1</f>
        <v>-2.4900045996530951E-2</v>
      </c>
      <c r="L630" s="5">
        <f>E630/E629-1</f>
        <v>-3.4403992924816329E-3</v>
      </c>
      <c r="M630" s="5">
        <f>F630/F629-1</f>
        <v>-1.3179106169743382E-2</v>
      </c>
      <c r="N630" s="5">
        <f>SUMPRODUCT(I630:M630,$AJ$13:$AN$13)</f>
        <v>-1.1857711120686031E-2</v>
      </c>
      <c r="P630" s="2" t="s">
        <v>621</v>
      </c>
      <c r="Q630" s="10" cm="1">
        <f t="array" aca="1" ref="Q630:U630" ca="1">_xlfn.LET(_xlpm.array,_xlfn.RANDARRAY(1,COLUMNS(_xlfn.ANCHORARRAY(Q629)),0,1,FALSE),_xlpm.array/SUM(_xlpm.array))</f>
        <v>4.5325884301607305E-2</v>
      </c>
      <c r="R630" s="2">
        <f ca="1"/>
        <v>0.35346131129875374</v>
      </c>
      <c r="S630" s="2">
        <f ca="1"/>
        <v>0.20880003991830129</v>
      </c>
      <c r="T630" s="2">
        <f ca="1"/>
        <v>0.18651259588840394</v>
      </c>
      <c r="U630" s="2">
        <f ca="1"/>
        <v>0.2059001685929337</v>
      </c>
      <c r="V630" s="12"/>
      <c r="X630" s="2" cm="1">
        <f t="array" aca="1" ref="X630" ca="1">MMULT(MMULT(_xlfn.ANCHORARRAY(Q630),$Q$9:$U$13),TRANSPOSE(_xlfn.ANCHORARRAY(Q630)))</f>
        <v>2.8883266395051814E-4</v>
      </c>
      <c r="Y630" s="2">
        <f t="shared" ca="1" si="24"/>
        <v>1.6995077638849377E-2</v>
      </c>
      <c r="Z630" s="2" cm="1">
        <f t="array" aca="1" ref="Z630" ca="1">MMULT(_xlfn.ANCHORARRAY(Q630),TRANSPOSE($Q$3:$U$3))</f>
        <v>9.682673811716243E-4</v>
      </c>
      <c r="AA630" s="11">
        <f ca="1">AVEDEV(Q630*$Q$3,R630*$R$3,S630*$S$3,T630*$T$3,U630*$U$3)</f>
        <v>8.3958290280794774E-5</v>
      </c>
      <c r="AB630" s="11" cm="1">
        <f t="array" aca="1" ref="AB630" ca="1">MMULT(_xlfn.ANCHORARRAY(Q630),TRANSPOSE($Q$6:$U$6))</f>
        <v>-2.276724121267195E-2</v>
      </c>
      <c r="AD630" s="2" t="s">
        <v>621</v>
      </c>
      <c r="AE630" s="10" cm="1">
        <f t="array" aca="1" ref="AE630:AI630" ca="1">_xlfn.LET(_xlpm.array,_xlfn.RANDARRAY(1,COLUMNS(_xlfn.ANCHORARRAY(Q629)),-1,1,FALSE),_xlpm.array/SUM(_xlpm.array))</f>
        <v>1.0546932434195421E-2</v>
      </c>
      <c r="AF630" s="10">
        <f ca="1"/>
        <v>0.22465250882500007</v>
      </c>
      <c r="AG630" s="10">
        <f ca="1"/>
        <v>0.60975138287029229</v>
      </c>
      <c r="AH630" s="10">
        <f ca="1"/>
        <v>0.87866184248852341</v>
      </c>
      <c r="AI630" s="10">
        <f ca="1"/>
        <v>-0.72361266661801116</v>
      </c>
      <c r="AJ630" s="1"/>
      <c r="AK630" s="2" cm="1">
        <f t="array" aca="1" ref="AK630" ca="1">MMULT(MMULT(_xlfn.ANCHORARRAY(AE630),$Q$9:$U$13),TRANSPOSE(_xlfn.ANCHORARRAY(AE630)))</f>
        <v>1.0062687531629294E-3</v>
      </c>
      <c r="AL630" s="2">
        <f t="shared" ca="1" si="25"/>
        <v>3.1721739441003698E-2</v>
      </c>
      <c r="AM630" s="2" cm="1">
        <f t="array" aca="1" ref="AM630" ca="1">MMULT(_xlfn.ANCHORARRAY(AE631),TRANSPOSE($Q$3:$U$3))</f>
        <v>4.9976812383849939E-5</v>
      </c>
    </row>
    <row r="631" spans="1:39" x14ac:dyDescent="0.35">
      <c r="A631" s="3">
        <v>44743</v>
      </c>
      <c r="B631" s="4">
        <v>28.650463104248001</v>
      </c>
      <c r="C631" s="4">
        <v>125.78524780273401</v>
      </c>
      <c r="D631" s="4">
        <v>39.283256530761697</v>
      </c>
      <c r="E631" s="4">
        <v>24.155473709106399</v>
      </c>
      <c r="F631" s="4">
        <v>251.69622802734301</v>
      </c>
      <c r="I631" s="5">
        <f>B631/B630-1</f>
        <v>1.3813040303759738E-2</v>
      </c>
      <c r="J631" s="5">
        <f>C631/C630-1</f>
        <v>1.1949119845111822E-2</v>
      </c>
      <c r="K631" s="5">
        <f>D631/D630-1</f>
        <v>-7.509176673085205E-2</v>
      </c>
      <c r="L631" s="5">
        <f>E631/E630-1</f>
        <v>-2.6754739435467245E-2</v>
      </c>
      <c r="M631" s="5">
        <f>F631/F630-1</f>
        <v>1.0707448965449728E-2</v>
      </c>
      <c r="N631" s="5">
        <f>SUMPRODUCT(I631:M631,$AJ$13:$AN$13)</f>
        <v>-5.240916080560002E-2</v>
      </c>
      <c r="P631" s="2" t="s">
        <v>622</v>
      </c>
      <c r="Q631" s="10" cm="1">
        <f t="array" aca="1" ref="Q631:U631" ca="1">_xlfn.LET(_xlpm.array,_xlfn.RANDARRAY(1,COLUMNS(_xlfn.ANCHORARRAY(Q630)),0,1,FALSE),_xlpm.array/SUM(_xlpm.array))</f>
        <v>9.7089212824609215E-3</v>
      </c>
      <c r="R631" s="2">
        <f ca="1"/>
        <v>9.508531743506464E-2</v>
      </c>
      <c r="S631" s="2">
        <f ca="1"/>
        <v>0.3074045388618129</v>
      </c>
      <c r="T631" s="2">
        <f ca="1"/>
        <v>0.29651227429015359</v>
      </c>
      <c r="U631" s="2">
        <f ca="1"/>
        <v>0.29128894813050793</v>
      </c>
      <c r="V631" s="12"/>
      <c r="X631" s="2" cm="1">
        <f t="array" aca="1" ref="X631" ca="1">MMULT(MMULT(_xlfn.ANCHORARRAY(Q631),$Q$9:$U$13),TRANSPOSE(_xlfn.ANCHORARRAY(Q631)))</f>
        <v>3.0391556682319578E-4</v>
      </c>
      <c r="Y631" s="2">
        <f t="shared" ca="1" si="24"/>
        <v>1.7433174318614374E-2</v>
      </c>
      <c r="Z631" s="2" cm="1">
        <f t="array" aca="1" ref="Z631" ca="1">MMULT(_xlfn.ANCHORARRAY(Q631),TRANSPOSE($Q$3:$U$3))</f>
        <v>1.099310225243869E-3</v>
      </c>
      <c r="AA631" s="11">
        <f ca="1">AVEDEV(Q631*$Q$3,R631*$R$3,S631*$S$3,T631*$T$3,U631*$U$3)</f>
        <v>1.4614182219635624E-4</v>
      </c>
      <c r="AB631" s="11" cm="1">
        <f t="array" aca="1" ref="AB631" ca="1">MMULT(_xlfn.ANCHORARRAY(Q631),TRANSPOSE($Q$6:$U$6))</f>
        <v>-2.3839339108726446E-2</v>
      </c>
      <c r="AD631" s="2" t="s">
        <v>622</v>
      </c>
      <c r="AE631" s="10" cm="1">
        <f t="array" aca="1" ref="AE631:AI631" ca="1">_xlfn.LET(_xlpm.array,_xlfn.RANDARRAY(1,COLUMNS(_xlfn.ANCHORARRAY(Q630)),-1,1,FALSE),_xlpm.array/SUM(_xlpm.array))</f>
        <v>1.1374448743404246</v>
      </c>
      <c r="AF631" s="10">
        <f ca="1"/>
        <v>-0.96083270280363198</v>
      </c>
      <c r="AG631" s="10">
        <f ca="1"/>
        <v>-0.81166658127388369</v>
      </c>
      <c r="AH631" s="10">
        <f ca="1"/>
        <v>0.93892632729151737</v>
      </c>
      <c r="AI631" s="10">
        <f ca="1"/>
        <v>0.69612808244557378</v>
      </c>
      <c r="AJ631" s="1"/>
      <c r="AK631" s="2" cm="1">
        <f t="array" aca="1" ref="AK631" ca="1">MMULT(MMULT(_xlfn.ANCHORARRAY(AE631),$Q$9:$U$13),TRANSPOSE(_xlfn.ANCHORARRAY(AE631)))</f>
        <v>1.0754109500496192E-3</v>
      </c>
      <c r="AL631" s="2">
        <f t="shared" ca="1" si="25"/>
        <v>3.2793458952199893E-2</v>
      </c>
      <c r="AM631" s="2" cm="1">
        <f t="array" aca="1" ref="AM631" ca="1">MMULT(_xlfn.ANCHORARRAY(AE632),TRANSPOSE($Q$3:$U$3))</f>
        <v>1.1401988176760781E-3</v>
      </c>
    </row>
    <row r="632" spans="1:39" x14ac:dyDescent="0.35">
      <c r="A632" s="3">
        <v>44747</v>
      </c>
      <c r="B632" s="4">
        <v>28.359960556030199</v>
      </c>
      <c r="C632" s="4">
        <v>122.47982025146401</v>
      </c>
      <c r="D632" s="4">
        <v>39.650901794433501</v>
      </c>
      <c r="E632" s="4">
        <v>23.948410034179599</v>
      </c>
      <c r="F632" s="4">
        <v>254.866928100585</v>
      </c>
      <c r="I632" s="5">
        <f>B632/B631-1</f>
        <v>-1.0139541101334859E-2</v>
      </c>
      <c r="J632" s="5">
        <f>C632/C631-1</f>
        <v>-2.6278340338080186E-2</v>
      </c>
      <c r="K632" s="5">
        <f>D632/D631-1</f>
        <v>9.3588285732857379E-3</v>
      </c>
      <c r="L632" s="5">
        <f>E632/E631-1</f>
        <v>-8.572122303225127E-3</v>
      </c>
      <c r="M632" s="5">
        <f>F632/F631-1</f>
        <v>1.25973285261054E-2</v>
      </c>
      <c r="N632" s="5">
        <f>SUMPRODUCT(I632:M632,$AJ$13:$AN$13)</f>
        <v>8.8690066885385652E-3</v>
      </c>
      <c r="P632" s="2" t="s">
        <v>623</v>
      </c>
      <c r="Q632" s="10" cm="1">
        <f t="array" aca="1" ref="Q632:U632" ca="1">_xlfn.LET(_xlpm.array,_xlfn.RANDARRAY(1,COLUMNS(_xlfn.ANCHORARRAY(Q631)),0,1,FALSE),_xlpm.array/SUM(_xlpm.array))</f>
        <v>0.22704376973923168</v>
      </c>
      <c r="R632" s="2">
        <f ca="1"/>
        <v>0.10296619144068218</v>
      </c>
      <c r="S632" s="2">
        <f ca="1"/>
        <v>3.6958115670740033E-2</v>
      </c>
      <c r="T632" s="2">
        <f ca="1"/>
        <v>0.38053231895163458</v>
      </c>
      <c r="U632" s="2">
        <f ca="1"/>
        <v>0.2524996041977115</v>
      </c>
      <c r="V632" s="12"/>
      <c r="X632" s="2" cm="1">
        <f t="array" aca="1" ref="X632" ca="1">MMULT(MMULT(_xlfn.ANCHORARRAY(Q632),$Q$9:$U$13),TRANSPOSE(_xlfn.ANCHORARRAY(Q632)))</f>
        <v>2.7816954180399689E-4</v>
      </c>
      <c r="Y632" s="2">
        <f t="shared" ca="1" si="24"/>
        <v>1.6678415446438458E-2</v>
      </c>
      <c r="Z632" s="2" cm="1">
        <f t="array" aca="1" ref="Z632" ca="1">MMULT(_xlfn.ANCHORARRAY(Q632),TRANSPOSE($Q$3:$U$3))</f>
        <v>8.3248770677028664E-4</v>
      </c>
      <c r="AA632" s="11">
        <f ca="1">AVEDEV(Q632*$Q$3,R632*$R$3,S632*$S$3,T632*$T$3,U632*$U$3)</f>
        <v>9.9555415187927161E-5</v>
      </c>
      <c r="AB632" s="11" cm="1">
        <f t="array" aca="1" ref="AB632" ca="1">MMULT(_xlfn.ANCHORARRAY(Q632),TRANSPOSE($Q$6:$U$6))</f>
        <v>-2.2688520756073322E-2</v>
      </c>
      <c r="AD632" s="2" t="s">
        <v>623</v>
      </c>
      <c r="AE632" s="10" cm="1">
        <f t="array" aca="1" ref="AE632:AI632" ca="1">_xlfn.LET(_xlpm.array,_xlfn.RANDARRAY(1,COLUMNS(_xlfn.ANCHORARRAY(Q631)),-1,1,FALSE),_xlpm.array/SUM(_xlpm.array))</f>
        <v>0.87429579952463765</v>
      </c>
      <c r="AF632" s="10">
        <f ca="1"/>
        <v>-0.9356965390108839</v>
      </c>
      <c r="AG632" s="10">
        <f ca="1"/>
        <v>0.73112280399990326</v>
      </c>
      <c r="AH632" s="10">
        <f ca="1"/>
        <v>-0.23692999410621957</v>
      </c>
      <c r="AI632" s="10">
        <f ca="1"/>
        <v>0.56720792959256261</v>
      </c>
      <c r="AJ632" s="1"/>
      <c r="AK632" s="2" cm="1">
        <f t="array" aca="1" ref="AK632" ca="1">MMULT(MMULT(_xlfn.ANCHORARRAY(AE632),$Q$9:$U$13),TRANSPOSE(_xlfn.ANCHORARRAY(AE632)))</f>
        <v>1.1099794194281113E-3</v>
      </c>
      <c r="AL632" s="2">
        <f t="shared" ca="1" si="25"/>
        <v>3.3316353633435207E-2</v>
      </c>
      <c r="AM632" s="2" cm="1">
        <f t="array" aca="1" ref="AM632" ca="1">MMULT(_xlfn.ANCHORARRAY(AE633),TRANSPOSE($Q$3:$U$3))</f>
        <v>9.8263537582964728E-4</v>
      </c>
    </row>
    <row r="633" spans="1:39" x14ac:dyDescent="0.35">
      <c r="A633" s="3">
        <v>44748</v>
      </c>
      <c r="B633" s="4">
        <v>28.123933792114201</v>
      </c>
      <c r="C633" s="4">
        <v>120.865753173828</v>
      </c>
      <c r="D633" s="4">
        <v>38.786933898925703</v>
      </c>
      <c r="E633" s="4">
        <v>23.484289169311499</v>
      </c>
      <c r="F633" s="4">
        <v>258.12484741210898</v>
      </c>
      <c r="I633" s="5">
        <f>B633/B632-1</f>
        <v>-8.3225349855365893E-3</v>
      </c>
      <c r="J633" s="5">
        <f>C633/C632-1</f>
        <v>-1.3178228661032909E-2</v>
      </c>
      <c r="K633" s="5">
        <f>D633/D632-1</f>
        <v>-2.1789363076455626E-2</v>
      </c>
      <c r="L633" s="5">
        <f>E633/E632-1</f>
        <v>-1.9380028327797061E-2</v>
      </c>
      <c r="M633" s="5">
        <f>F633/F632-1</f>
        <v>1.2782824887496602E-2</v>
      </c>
      <c r="N633" s="5">
        <f>SUMPRODUCT(I633:M633,$AJ$13:$AN$13)</f>
        <v>-1.3291787990081998E-2</v>
      </c>
      <c r="P633" s="2" t="s">
        <v>624</v>
      </c>
      <c r="Q633" s="10" cm="1">
        <f t="array" aca="1" ref="Q633:U633" ca="1">_xlfn.LET(_xlpm.array,_xlfn.RANDARRAY(1,COLUMNS(_xlfn.ANCHORARRAY(Q632)),0,1,FALSE),_xlpm.array/SUM(_xlpm.array))</f>
        <v>0.34130579952821638</v>
      </c>
      <c r="R633" s="2">
        <f ca="1"/>
        <v>0.10648216376571328</v>
      </c>
      <c r="S633" s="2">
        <f ca="1"/>
        <v>0.26940522148438412</v>
      </c>
      <c r="T633" s="2">
        <f ca="1"/>
        <v>7.1362754103389492E-2</v>
      </c>
      <c r="U633" s="2">
        <f ca="1"/>
        <v>0.21144406111829669</v>
      </c>
      <c r="V633" s="12"/>
      <c r="X633" s="2" cm="1">
        <f t="array" aca="1" ref="X633" ca="1">MMULT(MMULT(_xlfn.ANCHORARRAY(Q633),$Q$9:$U$13),TRANSPOSE(_xlfn.ANCHORARRAY(Q633)))</f>
        <v>2.9821770693639764E-4</v>
      </c>
      <c r="Y633" s="2">
        <f t="shared" ca="1" si="24"/>
        <v>1.7268981062483032E-2</v>
      </c>
      <c r="Z633" s="2" cm="1">
        <f t="array" aca="1" ref="Z633" ca="1">MMULT(_xlfn.ANCHORARRAY(Q633),TRANSPOSE($Q$3:$U$3))</f>
        <v>9.2336832302158554E-4</v>
      </c>
      <c r="AA633" s="11">
        <f ca="1">AVEDEV(Q633*$Q$3,R633*$R$3,S633*$S$3,T633*$T$3,U633*$U$3)</f>
        <v>1.011362493531807E-4</v>
      </c>
      <c r="AB633" s="11" cm="1">
        <f t="array" aca="1" ref="AB633" ca="1">MMULT(_xlfn.ANCHORARRAY(Q633),TRANSPOSE($Q$6:$U$6))</f>
        <v>-2.2934995401752815E-2</v>
      </c>
      <c r="AD633" s="2" t="s">
        <v>624</v>
      </c>
      <c r="AE633" s="10" cm="1">
        <f t="array" aca="1" ref="AE633:AI633" ca="1">_xlfn.LET(_xlpm.array,_xlfn.RANDARRAY(1,COLUMNS(_xlfn.ANCHORARRAY(Q632)),-1,1,FALSE),_xlpm.array/SUM(_xlpm.array))</f>
        <v>-0.98769253511884192</v>
      </c>
      <c r="AF633" s="10">
        <f ca="1"/>
        <v>0.74237915379823871</v>
      </c>
      <c r="AG633" s="10">
        <f ca="1"/>
        <v>0.1541578900413538</v>
      </c>
      <c r="AH633" s="10">
        <f ca="1"/>
        <v>-0.55465410473452426</v>
      </c>
      <c r="AI633" s="10">
        <f ca="1"/>
        <v>1.6458095960137735</v>
      </c>
      <c r="AJ633" s="1"/>
      <c r="AK633" s="2" cm="1">
        <f t="array" aca="1" ref="AK633" ca="1">MMULT(MMULT(_xlfn.ANCHORARRAY(AE633),$Q$9:$U$13),TRANSPOSE(_xlfn.ANCHORARRAY(AE633)))</f>
        <v>1.0365448393586871E-3</v>
      </c>
      <c r="AL633" s="2">
        <f t="shared" ca="1" si="25"/>
        <v>3.2195416434000153E-2</v>
      </c>
      <c r="AM633" s="2" cm="1">
        <f t="array" aca="1" ref="AM633" ca="1">MMULT(_xlfn.ANCHORARRAY(AE634),TRANSPOSE($Q$3:$U$3))</f>
        <v>7.2538497288270141E-4</v>
      </c>
    </row>
    <row r="634" spans="1:39" x14ac:dyDescent="0.35">
      <c r="A634" s="3">
        <v>44749</v>
      </c>
      <c r="B634" s="4">
        <v>28.922805786132798</v>
      </c>
      <c r="C634" s="4">
        <v>123.218170166015</v>
      </c>
      <c r="D634" s="4">
        <v>39.467082977294901</v>
      </c>
      <c r="E634" s="4">
        <v>24.3911037445068</v>
      </c>
      <c r="F634" s="4">
        <v>260.24835205078102</v>
      </c>
      <c r="I634" s="5">
        <f>B634/B633-1</f>
        <v>2.840541440339317E-2</v>
      </c>
      <c r="J634" s="5">
        <f>C634/C633-1</f>
        <v>1.9463056576529025E-2</v>
      </c>
      <c r="K634" s="5">
        <f>D634/D633-1</f>
        <v>1.7535520599323062E-2</v>
      </c>
      <c r="L634" s="5">
        <f>E634/E633-1</f>
        <v>3.8613669277258733E-2</v>
      </c>
      <c r="M634" s="5">
        <f>F634/F633-1</f>
        <v>8.2266572163112173E-3</v>
      </c>
      <c r="N634" s="5">
        <f>SUMPRODUCT(I634:M634,$AJ$13:$AN$13)</f>
        <v>2.1067966388666731E-2</v>
      </c>
      <c r="P634" s="2" t="s">
        <v>625</v>
      </c>
      <c r="Q634" s="10" cm="1">
        <f t="array" aca="1" ref="Q634:U634" ca="1">_xlfn.LET(_xlpm.array,_xlfn.RANDARRAY(1,COLUMNS(_xlfn.ANCHORARRAY(Q633)),0,1,FALSE),_xlpm.array/SUM(_xlpm.array))</f>
        <v>0.27551138091743937</v>
      </c>
      <c r="R634" s="2">
        <f ca="1"/>
        <v>9.6012734752450021E-2</v>
      </c>
      <c r="S634" s="2">
        <f ca="1"/>
        <v>0.26045481300292939</v>
      </c>
      <c r="T634" s="2">
        <f ca="1"/>
        <v>0.11372809814263454</v>
      </c>
      <c r="U634" s="2">
        <f ca="1"/>
        <v>0.25429297318454669</v>
      </c>
      <c r="V634" s="12"/>
      <c r="X634" s="2" cm="1">
        <f t="array" aca="1" ref="X634" ca="1">MMULT(MMULT(_xlfn.ANCHORARRAY(Q634),$Q$9:$U$13),TRANSPOSE(_xlfn.ANCHORARRAY(Q634)))</f>
        <v>2.8611137478581189E-4</v>
      </c>
      <c r="Y634" s="2">
        <f t="shared" ca="1" si="24"/>
        <v>1.6914827069343982E-2</v>
      </c>
      <c r="Z634" s="2" cm="1">
        <f t="array" aca="1" ref="Z634" ca="1">MMULT(_xlfn.ANCHORARRAY(Q634),TRANSPOSE($Q$3:$U$3))</f>
        <v>9.4380221553665448E-4</v>
      </c>
      <c r="AA634" s="11">
        <f ca="1">AVEDEV(Q634*$Q$3,R634*$R$3,S634*$S$3,T634*$T$3,U634*$U$3)</f>
        <v>9.5981953154940868E-5</v>
      </c>
      <c r="AB634" s="11" cm="1">
        <f t="array" aca="1" ref="AB634" ca="1">MMULT(_xlfn.ANCHORARRAY(Q634),TRANSPOSE($Q$6:$U$6))</f>
        <v>-2.2983172441207084E-2</v>
      </c>
      <c r="AD634" s="2" t="s">
        <v>625</v>
      </c>
      <c r="AE634" s="10" cm="1">
        <f t="array" aca="1" ref="AE634:AI634" ca="1">_xlfn.LET(_xlpm.array,_xlfn.RANDARRAY(1,COLUMNS(_xlfn.ANCHORARRAY(Q633)),-1,1,FALSE),_xlpm.array/SUM(_xlpm.array))</f>
        <v>0.30610570628287004</v>
      </c>
      <c r="AF634" s="10">
        <f ca="1"/>
        <v>0.21742625904827814</v>
      </c>
      <c r="AG634" s="10">
        <f ca="1"/>
        <v>-3.2203685624184269E-2</v>
      </c>
      <c r="AH634" s="10">
        <f ca="1"/>
        <v>0.28927051545233395</v>
      </c>
      <c r="AI634" s="10">
        <f ca="1"/>
        <v>0.21940120484070211</v>
      </c>
      <c r="AJ634" s="1"/>
      <c r="AK634" s="2" cm="1">
        <f t="array" aca="1" ref="AK634" ca="1">MMULT(MMULT(_xlfn.ANCHORARRAY(AE634),$Q$9:$U$13),TRANSPOSE(_xlfn.ANCHORARRAY(AE634)))</f>
        <v>2.8693008996524453E-4</v>
      </c>
      <c r="AL634" s="2">
        <f t="shared" ca="1" si="25"/>
        <v>1.6939010890994921E-2</v>
      </c>
      <c r="AM634" s="2" cm="1">
        <f t="array" aca="1" ref="AM634" ca="1">MMULT(_xlfn.ANCHORARRAY(AE635),TRANSPOSE($Q$3:$U$3))</f>
        <v>8.4198049395060241E-4</v>
      </c>
    </row>
    <row r="635" spans="1:39" x14ac:dyDescent="0.35">
      <c r="A635" s="3">
        <v>44750</v>
      </c>
      <c r="B635" s="4">
        <v>28.859264373779201</v>
      </c>
      <c r="C635" s="4">
        <v>122.574264526367</v>
      </c>
      <c r="D635" s="4">
        <v>39.448692321777301</v>
      </c>
      <c r="E635" s="4">
        <v>23.919843673706001</v>
      </c>
      <c r="F635" s="4">
        <v>259.53082275390602</v>
      </c>
      <c r="I635" s="5">
        <f>B635/B634-1</f>
        <v>-2.1969311284475435E-3</v>
      </c>
      <c r="J635" s="5">
        <f>C635/C634-1</f>
        <v>-5.2257360970419109E-3</v>
      </c>
      <c r="K635" s="5">
        <f>D635/D634-1</f>
        <v>-4.659745319455233E-4</v>
      </c>
      <c r="L635" s="5">
        <f>E635/E634-1</f>
        <v>-1.9320981770123202E-2</v>
      </c>
      <c r="M635" s="5">
        <f>F635/F634-1</f>
        <v>-2.7570944877106651E-3</v>
      </c>
      <c r="N635" s="5">
        <f>SUMPRODUCT(I635:M635,$AJ$13:$AN$13)</f>
        <v>-9.3848845136967566E-3</v>
      </c>
      <c r="P635" s="2" t="s">
        <v>626</v>
      </c>
      <c r="Q635" s="10" cm="1">
        <f t="array" aca="1" ref="Q635:U635" ca="1">_xlfn.LET(_xlpm.array,_xlfn.RANDARRAY(1,COLUMNS(_xlfn.ANCHORARRAY(Q634)),0,1,FALSE),_xlpm.array/SUM(_xlpm.array))</f>
        <v>0.11208573522028498</v>
      </c>
      <c r="R635" s="2">
        <f ca="1"/>
        <v>4.3904491482679386E-2</v>
      </c>
      <c r="S635" s="2">
        <f ca="1"/>
        <v>0.3337791917977701</v>
      </c>
      <c r="T635" s="2">
        <f ca="1"/>
        <v>0.15110565299745854</v>
      </c>
      <c r="U635" s="2">
        <f ca="1"/>
        <v>0.35912492850180699</v>
      </c>
      <c r="V635" s="12"/>
      <c r="X635" s="2" cm="1">
        <f t="array" aca="1" ref="X635" ca="1">MMULT(MMULT(_xlfn.ANCHORARRAY(Q635),$Q$9:$U$13),TRANSPOSE(_xlfn.ANCHORARRAY(Q635)))</f>
        <v>3.0325447699439091E-4</v>
      </c>
      <c r="Y635" s="2">
        <f t="shared" ca="1" si="24"/>
        <v>1.7414203312078071E-2</v>
      </c>
      <c r="Z635" s="2" cm="1">
        <f t="array" aca="1" ref="Z635" ca="1">MMULT(_xlfn.ANCHORARRAY(Q635),TRANSPOSE($Q$3:$U$3))</f>
        <v>1.0601357897080828E-3</v>
      </c>
      <c r="AA635" s="11">
        <f ca="1">AVEDEV(Q635*$Q$3,R635*$R$3,S635*$S$3,T635*$T$3,U635*$U$3)</f>
        <v>1.5707256893509686E-4</v>
      </c>
      <c r="AB635" s="11" cm="1">
        <f t="array" aca="1" ref="AB635" ca="1">MMULT(_xlfn.ANCHORARRAY(Q635),TRANSPOSE($Q$6:$U$6))</f>
        <v>-2.3419969851668422E-2</v>
      </c>
      <c r="AD635" s="2" t="s">
        <v>626</v>
      </c>
      <c r="AE635" s="10" cm="1">
        <f t="array" aca="1" ref="AE635:AI635" ca="1">_xlfn.LET(_xlpm.array,_xlfn.RANDARRAY(1,COLUMNS(_xlfn.ANCHORARRAY(Q634)),-1,1,FALSE),_xlpm.array/SUM(_xlpm.array))</f>
        <v>1.7738908232108259</v>
      </c>
      <c r="AF635" s="10">
        <f ca="1"/>
        <v>-2.1590289507511011</v>
      </c>
      <c r="AG635" s="10">
        <f ca="1"/>
        <v>-4.955717204262295E-2</v>
      </c>
      <c r="AH635" s="10">
        <f ca="1"/>
        <v>1.9479539290904593</v>
      </c>
      <c r="AI635" s="10">
        <f ca="1"/>
        <v>-0.51325862950756118</v>
      </c>
      <c r="AJ635" s="1"/>
      <c r="AK635" s="2" cm="1">
        <f t="array" aca="1" ref="AK635" ca="1">MMULT(MMULT(_xlfn.ANCHORARRAY(AE635),$Q$9:$U$13),TRANSPOSE(_xlfn.ANCHORARRAY(AE635)))</f>
        <v>2.0678454064047775E-3</v>
      </c>
      <c r="AL635" s="2">
        <f t="shared" ca="1" si="25"/>
        <v>4.5473568217204788E-2</v>
      </c>
      <c r="AM635" s="2" cm="1">
        <f t="array" aca="1" ref="AM635" ca="1">MMULT(_xlfn.ANCHORARRAY(AE636),TRANSPOSE($Q$3:$U$3))</f>
        <v>1.2363760224551313E-3</v>
      </c>
    </row>
    <row r="636" spans="1:39" x14ac:dyDescent="0.35">
      <c r="A636" s="3">
        <v>44753</v>
      </c>
      <c r="B636" s="4">
        <v>28.559688568115199</v>
      </c>
      <c r="C636" s="4">
        <v>121.49252319335901</v>
      </c>
      <c r="D636" s="4">
        <v>39.044284820556598</v>
      </c>
      <c r="E636" s="4">
        <v>23.862726211547798</v>
      </c>
      <c r="F636" s="4">
        <v>256.47650146484301</v>
      </c>
      <c r="I636" s="5">
        <f>B636/B635-1</f>
        <v>-1.0380576642008532E-2</v>
      </c>
      <c r="J636" s="5">
        <f>C636/C635-1</f>
        <v>-8.8251913008647875E-3</v>
      </c>
      <c r="K636" s="5">
        <f>D636/D635-1</f>
        <v>-1.0251480528733592E-2</v>
      </c>
      <c r="L636" s="5">
        <f>E636/E635-1</f>
        <v>-2.3878693747898527E-3</v>
      </c>
      <c r="M636" s="5">
        <f>F636/F635-1</f>
        <v>-1.1768626387622549E-2</v>
      </c>
      <c r="N636" s="5">
        <f>SUMPRODUCT(I636:M636,$AJ$13:$AN$13)</f>
        <v>-7.093345067257977E-3</v>
      </c>
      <c r="P636" s="2" t="s">
        <v>627</v>
      </c>
      <c r="Q636" s="10" cm="1">
        <f t="array" aca="1" ref="Q636:U636" ca="1">_xlfn.LET(_xlpm.array,_xlfn.RANDARRAY(1,COLUMNS(_xlfn.ANCHORARRAY(Q635)),0,1,FALSE),_xlpm.array/SUM(_xlpm.array))</f>
        <v>0.22914156052488185</v>
      </c>
      <c r="R636" s="2">
        <f ca="1"/>
        <v>9.5597282793311533E-2</v>
      </c>
      <c r="S636" s="2">
        <f ca="1"/>
        <v>0.20870989500939643</v>
      </c>
      <c r="T636" s="2">
        <f ca="1"/>
        <v>0.32171454810674327</v>
      </c>
      <c r="U636" s="2">
        <f ca="1"/>
        <v>0.14483671356566688</v>
      </c>
      <c r="V636" s="12"/>
      <c r="X636" s="2" cm="1">
        <f t="array" aca="1" ref="X636" ca="1">MMULT(MMULT(_xlfn.ANCHORARRAY(Q636),$Q$9:$U$13),TRANSPOSE(_xlfn.ANCHORARRAY(Q636)))</f>
        <v>2.966260265657441E-4</v>
      </c>
      <c r="Y636" s="2">
        <f t="shared" ca="1" si="24"/>
        <v>1.7222834452137781E-2</v>
      </c>
      <c r="Z636" s="2" cm="1">
        <f t="array" aca="1" ref="Z636" ca="1">MMULT(_xlfn.ANCHORARRAY(Q636),TRANSPOSE($Q$3:$U$3))</f>
        <v>9.6466224365003431E-4</v>
      </c>
      <c r="AA636" s="11">
        <f ca="1">AVEDEV(Q636*$Q$3,R636*$R$3,S636*$S$3,T636*$T$3,U636*$U$3)</f>
        <v>1.1269969029097993E-4</v>
      </c>
      <c r="AB636" s="11" cm="1">
        <f t="array" aca="1" ref="AB636" ca="1">MMULT(_xlfn.ANCHORARRAY(Q636),TRANSPOSE($Q$6:$U$6))</f>
        <v>-2.3598050441818966E-2</v>
      </c>
      <c r="AD636" s="2" t="s">
        <v>627</v>
      </c>
      <c r="AE636" s="10" cm="1">
        <f t="array" aca="1" ref="AE636:AI636" ca="1">_xlfn.LET(_xlpm.array,_xlfn.RANDARRAY(1,COLUMNS(_xlfn.ANCHORARRAY(Q635)),-1,1,FALSE),_xlpm.array/SUM(_xlpm.array))</f>
        <v>-7.1003275207081759E-2</v>
      </c>
      <c r="AF636" s="10">
        <f ca="1"/>
        <v>5.6383663269801362E-3</v>
      </c>
      <c r="AG636" s="10">
        <f ca="1"/>
        <v>0.44072192303812963</v>
      </c>
      <c r="AH636" s="10">
        <f ca="1"/>
        <v>0.29152334624196752</v>
      </c>
      <c r="AI636" s="10">
        <f ca="1"/>
        <v>0.33311963960000457</v>
      </c>
      <c r="AJ636" s="1"/>
      <c r="AK636" s="2" cm="1">
        <f t="array" aca="1" ref="AK636" ca="1">MMULT(MMULT(_xlfn.ANCHORARRAY(AE636),$Q$9:$U$13),TRANSPOSE(_xlfn.ANCHORARRAY(AE636)))</f>
        <v>3.6512269301631518E-4</v>
      </c>
      <c r="AL636" s="2">
        <f t="shared" ca="1" si="25"/>
        <v>1.9108183927739317E-2</v>
      </c>
      <c r="AM636" s="2" cm="1">
        <f t="array" aca="1" ref="AM636" ca="1">MMULT(_xlfn.ANCHORARRAY(AE637),TRANSPOSE($Q$3:$U$3))</f>
        <v>-1.4921011575096284E-4</v>
      </c>
    </row>
    <row r="637" spans="1:39" x14ac:dyDescent="0.35">
      <c r="A637" s="3">
        <v>44754</v>
      </c>
      <c r="B637" s="4">
        <v>28.468904495239201</v>
      </c>
      <c r="C637" s="4">
        <v>119.26888275146401</v>
      </c>
      <c r="D637" s="4">
        <v>39.568180084228501</v>
      </c>
      <c r="E637" s="4">
        <v>23.527132034301701</v>
      </c>
      <c r="F637" s="4">
        <v>245.96571350097599</v>
      </c>
      <c r="I637" s="5">
        <f>B637/B636-1</f>
        <v>-3.1787486988689162E-3</v>
      </c>
      <c r="J637" s="5">
        <f>C637/C636-1</f>
        <v>-1.830269372507809E-2</v>
      </c>
      <c r="K637" s="5">
        <f>D637/D636-1</f>
        <v>1.3417975667365134E-2</v>
      </c>
      <c r="L637" s="5">
        <f>E637/E636-1</f>
        <v>-1.4063530473047758E-2</v>
      </c>
      <c r="M637" s="5">
        <f>F637/F636-1</f>
        <v>-4.0981485258242301E-2</v>
      </c>
      <c r="N637" s="5">
        <f>SUMPRODUCT(I637:M637,$AJ$13:$AN$13)</f>
        <v>-1.1755638555211223E-2</v>
      </c>
      <c r="P637" s="2" t="s">
        <v>628</v>
      </c>
      <c r="Q637" s="10" cm="1">
        <f t="array" aca="1" ref="Q637:U637" ca="1">_xlfn.LET(_xlpm.array,_xlfn.RANDARRAY(1,COLUMNS(_xlfn.ANCHORARRAY(Q636)),0,1,FALSE),_xlpm.array/SUM(_xlpm.array))</f>
        <v>0.10711625763812893</v>
      </c>
      <c r="R637" s="2">
        <f ca="1"/>
        <v>0.40358112544596725</v>
      </c>
      <c r="S637" s="2">
        <f ca="1"/>
        <v>0.13296866854951159</v>
      </c>
      <c r="T637" s="2">
        <f ca="1"/>
        <v>0.13890354851119194</v>
      </c>
      <c r="U637" s="2">
        <f ca="1"/>
        <v>0.2174303998552003</v>
      </c>
      <c r="V637" s="12"/>
      <c r="X637" s="2" cm="1">
        <f t="array" aca="1" ref="X637" ca="1">MMULT(MMULT(_xlfn.ANCHORARRAY(Q637),$Q$9:$U$13),TRANSPOSE(_xlfn.ANCHORARRAY(Q637)))</f>
        <v>2.7766763917172417E-4</v>
      </c>
      <c r="Y637" s="2">
        <f t="shared" ca="1" si="24"/>
        <v>1.6663362180896271E-2</v>
      </c>
      <c r="Z637" s="2" cm="1">
        <f t="array" aca="1" ref="Z637" ca="1">MMULT(_xlfn.ANCHORARRAY(Q637),TRANSPOSE($Q$3:$U$3))</f>
        <v>8.7330206943773449E-4</v>
      </c>
      <c r="AA637" s="11">
        <f ca="1">AVEDEV(Q637*$Q$3,R637*$R$3,S637*$S$3,T637*$T$3,U637*$U$3)</f>
        <v>6.4532436037090046E-5</v>
      </c>
      <c r="AB637" s="11" cm="1">
        <f t="array" aca="1" ref="AB637" ca="1">MMULT(_xlfn.ANCHORARRAY(Q637),TRANSPOSE($Q$6:$U$6))</f>
        <v>-2.2110056790866538E-2</v>
      </c>
      <c r="AD637" s="2" t="s">
        <v>628</v>
      </c>
      <c r="AE637" s="10" cm="1">
        <f t="array" aca="1" ref="AE637:AI637" ca="1">_xlfn.LET(_xlpm.array,_xlfn.RANDARRAY(1,COLUMNS(_xlfn.ANCHORARRAY(Q636)),-1,1,FALSE),_xlpm.array/SUM(_xlpm.array))</f>
        <v>0.87040676831937458</v>
      </c>
      <c r="AF637" s="10">
        <f ca="1"/>
        <v>0.77092617193474577</v>
      </c>
      <c r="AG637" s="10">
        <f ca="1"/>
        <v>-0.50716358107780979</v>
      </c>
      <c r="AH637" s="10">
        <f ca="1"/>
        <v>-0.88913595411410729</v>
      </c>
      <c r="AI637" s="10">
        <f ca="1"/>
        <v>0.75496659493779672</v>
      </c>
      <c r="AJ637" s="1"/>
      <c r="AK637" s="2" cm="1">
        <f t="array" aca="1" ref="AK637" ca="1">MMULT(MMULT(_xlfn.ANCHORARRAY(AE637),$Q$9:$U$13),TRANSPOSE(_xlfn.ANCHORARRAY(AE637)))</f>
        <v>8.5154937338991063E-4</v>
      </c>
      <c r="AL637" s="2">
        <f t="shared" ca="1" si="25"/>
        <v>2.918131891107581E-2</v>
      </c>
      <c r="AM637" s="2" cm="1">
        <f t="array" aca="1" ref="AM637" ca="1">MMULT(_xlfn.ANCHORARRAY(AE638),TRANSPOSE($Q$3:$U$3))</f>
        <v>1.2393940687921226E-3</v>
      </c>
    </row>
    <row r="638" spans="1:39" x14ac:dyDescent="0.35">
      <c r="A638" s="3">
        <v>44755</v>
      </c>
      <c r="B638" s="4">
        <v>27.996841430663999</v>
      </c>
      <c r="C638" s="4">
        <v>118.470420837402</v>
      </c>
      <c r="D638" s="4">
        <v>39.650901794433501</v>
      </c>
      <c r="E638" s="4">
        <v>23.98410987854</v>
      </c>
      <c r="F638" s="4">
        <v>245.04455566406199</v>
      </c>
      <c r="I638" s="5">
        <f>B638/B637-1</f>
        <v>-1.6581708110831705E-2</v>
      </c>
      <c r="J638" s="5">
        <f>C638/C637-1</f>
        <v>-6.6946373240190926E-3</v>
      </c>
      <c r="K638" s="5">
        <f>D638/D637-1</f>
        <v>2.0906119520511801E-3</v>
      </c>
      <c r="L638" s="5">
        <f>E638/E637-1</f>
        <v>1.9423440288941274E-2</v>
      </c>
      <c r="M638" s="5">
        <f>F638/F637-1</f>
        <v>-3.7450660248642409E-3</v>
      </c>
      <c r="N638" s="5">
        <f>SUMPRODUCT(I638:M638,$AJ$13:$AN$13)</f>
        <v>1.3928207427689862E-2</v>
      </c>
      <c r="P638" s="2" t="s">
        <v>629</v>
      </c>
      <c r="Q638" s="10" cm="1">
        <f t="array" aca="1" ref="Q638:U638" ca="1">_xlfn.LET(_xlpm.array,_xlfn.RANDARRAY(1,COLUMNS(_xlfn.ANCHORARRAY(Q637)),0,1,FALSE),_xlpm.array/SUM(_xlpm.array))</f>
        <v>0.14329313596952742</v>
      </c>
      <c r="R638" s="2">
        <f ca="1"/>
        <v>0.17374452777326291</v>
      </c>
      <c r="S638" s="2">
        <f ca="1"/>
        <v>0.25769068281864671</v>
      </c>
      <c r="T638" s="2">
        <f ca="1"/>
        <v>0.21869799301024956</v>
      </c>
      <c r="U638" s="2">
        <f ca="1"/>
        <v>0.20657366042831354</v>
      </c>
      <c r="V638" s="12"/>
      <c r="X638" s="2" cm="1">
        <f t="array" aca="1" ref="X638" ca="1">MMULT(MMULT(_xlfn.ANCHORARRAY(Q638),$Q$9:$U$13),TRANSPOSE(_xlfn.ANCHORARRAY(Q638)))</f>
        <v>2.888445150804032E-4</v>
      </c>
      <c r="Y638" s="2">
        <f t="shared" ca="1" si="24"/>
        <v>1.699542629887239E-2</v>
      </c>
      <c r="Z638" s="2" cm="1">
        <f t="array" aca="1" ref="Z638" ca="1">MMULT(_xlfn.ANCHORARRAY(Q638),TRANSPOSE($Q$3:$U$3))</f>
        <v>9.9961737365854612E-4</v>
      </c>
      <c r="AA638" s="11">
        <f ca="1">AVEDEV(Q638*$Q$3,R638*$R$3,S638*$S$3,T638*$T$3,U638*$U$3)</f>
        <v>9.6827413581803177E-5</v>
      </c>
      <c r="AB638" s="11" cm="1">
        <f t="array" aca="1" ref="AB638" ca="1">MMULT(_xlfn.ANCHORARRAY(Q638),TRANSPOSE($Q$6:$U$6))</f>
        <v>-2.3333090983180805E-2</v>
      </c>
      <c r="AD638" s="2" t="s">
        <v>629</v>
      </c>
      <c r="AE638" s="10" cm="1">
        <f t="array" aca="1" ref="AE638:AI638" ca="1">_xlfn.LET(_xlpm.array,_xlfn.RANDARRAY(1,COLUMNS(_xlfn.ANCHORARRAY(Q637)),-1,1,FALSE),_xlpm.array/SUM(_xlpm.array))</f>
        <v>0.16275042702429146</v>
      </c>
      <c r="AF638" s="10">
        <f ca="1"/>
        <v>-0.36460667132390734</v>
      </c>
      <c r="AG638" s="10">
        <f ca="1"/>
        <v>0.45766442376984445</v>
      </c>
      <c r="AH638" s="10">
        <f ca="1"/>
        <v>0.43028527407942863</v>
      </c>
      <c r="AI638" s="10">
        <f ca="1"/>
        <v>0.31390654645034277</v>
      </c>
      <c r="AJ638" s="1"/>
      <c r="AK638" s="2" cm="1">
        <f t="array" aca="1" ref="AK638" ca="1">MMULT(MMULT(_xlfn.ANCHORARRAY(AE638),$Q$9:$U$13),TRANSPOSE(_xlfn.ANCHORARRAY(AE638)))</f>
        <v>4.0584444696106683E-4</v>
      </c>
      <c r="AL638" s="2">
        <f t="shared" ca="1" si="25"/>
        <v>2.0145581325964928E-2</v>
      </c>
      <c r="AM638" s="2" cm="1">
        <f t="array" aca="1" ref="AM638" ca="1">MMULT(_xlfn.ANCHORARRAY(AE639),TRANSPOSE($Q$3:$U$3))</f>
        <v>1.563474421641367E-3</v>
      </c>
    </row>
    <row r="639" spans="1:39" x14ac:dyDescent="0.35">
      <c r="A639" s="3">
        <v>44756</v>
      </c>
      <c r="B639" s="4">
        <v>27.3522930145263</v>
      </c>
      <c r="C639" s="4">
        <v>116.71043395996</v>
      </c>
      <c r="D639" s="4">
        <v>39.246498107910099</v>
      </c>
      <c r="E639" s="4">
        <v>22.598897933959901</v>
      </c>
      <c r="F639" s="4">
        <v>246.36328125</v>
      </c>
      <c r="I639" s="5">
        <f>B639/B638-1</f>
        <v>-2.3022183332143564E-2</v>
      </c>
      <c r="J639" s="5">
        <f>C639/C638-1</f>
        <v>-1.4855918169291771E-2</v>
      </c>
      <c r="K639" s="5">
        <f>D639/D638-1</f>
        <v>-1.0199104389100544E-2</v>
      </c>
      <c r="L639" s="5">
        <f>E639/E638-1</f>
        <v>-5.7755403539888284E-2</v>
      </c>
      <c r="M639" s="5">
        <f>F639/F638-1</f>
        <v>5.3815747196028774E-3</v>
      </c>
      <c r="N639" s="5">
        <f>SUMPRODUCT(I639:M639,$AJ$13:$AN$13)</f>
        <v>-2.3354259872648459E-2</v>
      </c>
      <c r="P639" s="2" t="s">
        <v>630</v>
      </c>
      <c r="Q639" s="10" cm="1">
        <f t="array" aca="1" ref="Q639:U639" ca="1">_xlfn.LET(_xlpm.array,_xlfn.RANDARRAY(1,COLUMNS(_xlfn.ANCHORARRAY(Q638)),0,1,FALSE),_xlpm.array/SUM(_xlpm.array))</f>
        <v>0.35907527750281676</v>
      </c>
      <c r="R639" s="2">
        <f ca="1"/>
        <v>9.3520498730148852E-2</v>
      </c>
      <c r="S639" s="2">
        <f ca="1"/>
        <v>1.398947328944969E-2</v>
      </c>
      <c r="T639" s="2">
        <f ca="1"/>
        <v>8.1562596283452374E-2</v>
      </c>
      <c r="U639" s="2">
        <f ca="1"/>
        <v>0.45185215419413233</v>
      </c>
      <c r="V639" s="12"/>
      <c r="X639" s="2" cm="1">
        <f t="array" aca="1" ref="X639" ca="1">MMULT(MMULT(_xlfn.ANCHORARRAY(Q639),$Q$9:$U$13),TRANSPOSE(_xlfn.ANCHORARRAY(Q639)))</f>
        <v>2.5449252212292583E-4</v>
      </c>
      <c r="Y639" s="2">
        <f t="shared" ca="1" si="24"/>
        <v>1.595282176052017E-2</v>
      </c>
      <c r="Z639" s="2" cm="1">
        <f t="array" aca="1" ref="Z639" ca="1">MMULT(_xlfn.ANCHORARRAY(Q639),TRANSPOSE($Q$3:$U$3))</f>
        <v>7.0243648832576965E-4</v>
      </c>
      <c r="AA639" s="11">
        <f ca="1">AVEDEV(Q639*$Q$3,R639*$R$3,S639*$S$3,T639*$T$3,U639*$U$3)</f>
        <v>9.8849964880567224E-5</v>
      </c>
      <c r="AB639" s="11" cm="1">
        <f t="array" aca="1" ref="AB639" ca="1">MMULT(_xlfn.ANCHORARRAY(Q639),TRANSPOSE($Q$6:$U$6))</f>
        <v>-2.1213111965492019E-2</v>
      </c>
      <c r="AD639" s="2" t="s">
        <v>630</v>
      </c>
      <c r="AE639" s="10" cm="1">
        <f t="array" aca="1" ref="AE639:AI639" ca="1">_xlfn.LET(_xlpm.array,_xlfn.RANDARRAY(1,COLUMNS(_xlfn.ANCHORARRAY(Q638)),-1,1,FALSE),_xlpm.array/SUM(_xlpm.array))</f>
        <v>-0.2808881083964947</v>
      </c>
      <c r="AF639" s="10">
        <f ca="1"/>
        <v>0.89110487996163068</v>
      </c>
      <c r="AG639" s="10">
        <f ca="1"/>
        <v>0.7874026445477762</v>
      </c>
      <c r="AH639" s="10">
        <f ca="1"/>
        <v>0.31505043915127023</v>
      </c>
      <c r="AI639" s="10">
        <f ca="1"/>
        <v>-0.71266985526418236</v>
      </c>
      <c r="AJ639" s="1"/>
      <c r="AK639" s="2" cm="1">
        <f t="array" aca="1" ref="AK639" ca="1">MMULT(MMULT(_xlfn.ANCHORARRAY(AE639),$Q$9:$U$13),TRANSPOSE(_xlfn.ANCHORARRAY(AE639)))</f>
        <v>1.070237118231366E-3</v>
      </c>
      <c r="AL639" s="2">
        <f t="shared" ca="1" si="25"/>
        <v>3.2714478724738469E-2</v>
      </c>
      <c r="AM639" s="2" cm="1">
        <f t="array" aca="1" ref="AM639" ca="1">MMULT(_xlfn.ANCHORARRAY(AE640),TRANSPOSE($Q$3:$U$3))</f>
        <v>2.6849752826594376E-3</v>
      </c>
    </row>
    <row r="640" spans="1:39" x14ac:dyDescent="0.35">
      <c r="A640" s="3">
        <v>44757</v>
      </c>
      <c r="B640" s="4">
        <v>29.2768535614013</v>
      </c>
      <c r="C640" s="4">
        <v>118.178512573242</v>
      </c>
      <c r="D640" s="4">
        <v>39.945014953613203</v>
      </c>
      <c r="E640" s="4">
        <v>23.105855941772401</v>
      </c>
      <c r="F640" s="4">
        <v>248.923080444335</v>
      </c>
      <c r="I640" s="5">
        <f>B640/B639-1</f>
        <v>7.0361945371560042E-2</v>
      </c>
      <c r="J640" s="5">
        <f>C640/C639-1</f>
        <v>1.2578812051934118E-2</v>
      </c>
      <c r="K640" s="5">
        <f>D640/D639-1</f>
        <v>1.7798195492053859E-2</v>
      </c>
      <c r="L640" s="5">
        <f>E640/E639-1</f>
        <v>2.2432864173021594E-2</v>
      </c>
      <c r="M640" s="5">
        <f>F640/F639-1</f>
        <v>1.0390343809950409E-2</v>
      </c>
      <c r="N640" s="5">
        <f>SUMPRODUCT(I640:M640,$AJ$13:$AN$13)</f>
        <v>2.4580702740290899E-3</v>
      </c>
      <c r="P640" s="2" t="s">
        <v>631</v>
      </c>
      <c r="Q640" s="10" cm="1">
        <f t="array" aca="1" ref="Q640:U640" ca="1">_xlfn.LET(_xlpm.array,_xlfn.RANDARRAY(1,COLUMNS(_xlfn.ANCHORARRAY(Q639)),0,1,FALSE),_xlpm.array/SUM(_xlpm.array))</f>
        <v>6.435035191666727E-2</v>
      </c>
      <c r="R640" s="2">
        <f ca="1"/>
        <v>0.21043668345211983</v>
      </c>
      <c r="S640" s="2">
        <f ca="1"/>
        <v>0.2922780610329162</v>
      </c>
      <c r="T640" s="2">
        <f ca="1"/>
        <v>5.9240520409963748E-2</v>
      </c>
      <c r="U640" s="2">
        <f ca="1"/>
        <v>0.37369438318833287</v>
      </c>
      <c r="V640" s="12"/>
      <c r="X640" s="2" cm="1">
        <f t="array" aca="1" ref="X640" ca="1">MMULT(MMULT(_xlfn.ANCHORARRAY(Q640),$Q$9:$U$13),TRANSPOSE(_xlfn.ANCHORARRAY(Q640)))</f>
        <v>2.8782317975229642E-4</v>
      </c>
      <c r="Y640" s="2">
        <f t="shared" ca="1" si="24"/>
        <v>1.6965352332100163E-2</v>
      </c>
      <c r="Z640" s="2" cm="1">
        <f t="array" aca="1" ref="Z640" ca="1">MMULT(_xlfn.ANCHORARRAY(Q640),TRANSPOSE($Q$3:$U$3))</f>
        <v>1.0073774115896719E-3</v>
      </c>
      <c r="AA640" s="11">
        <f ca="1">AVEDEV(Q640*$Q$3,R640*$R$3,S640*$S$3,T640*$T$3,U640*$U$3)</f>
        <v>1.4301216327094939E-4</v>
      </c>
      <c r="AB640" s="11" cm="1">
        <f t="array" aca="1" ref="AB640" ca="1">MMULT(_xlfn.ANCHORARRAY(Q640),TRANSPOSE($Q$6:$U$6))</f>
        <v>-2.2673695660849376E-2</v>
      </c>
      <c r="AD640" s="2" t="s">
        <v>631</v>
      </c>
      <c r="AE640" s="10" cm="1">
        <f t="array" aca="1" ref="AE640:AI640" ca="1">_xlfn.LET(_xlpm.array,_xlfn.RANDARRAY(1,COLUMNS(_xlfn.ANCHORARRAY(Q639)),-1,1,FALSE),_xlpm.array/SUM(_xlpm.array))</f>
        <v>-1.3727197539670815</v>
      </c>
      <c r="AF640" s="10">
        <f ca="1"/>
        <v>-1.9062574341395631</v>
      </c>
      <c r="AG640" s="10">
        <f ca="1"/>
        <v>1.4109999904125918</v>
      </c>
      <c r="AH640" s="10">
        <f ca="1"/>
        <v>1.1280045378122612</v>
      </c>
      <c r="AI640" s="10">
        <f ca="1"/>
        <v>1.7399726598817915</v>
      </c>
      <c r="AJ640" s="1"/>
      <c r="AK640" s="2" cm="1">
        <f t="array" aca="1" ref="AK640" ca="1">MMULT(MMULT(_xlfn.ANCHORARRAY(AE640),$Q$9:$U$13),TRANSPOSE(_xlfn.ANCHORARRAY(AE640)))</f>
        <v>3.7155233606181145E-3</v>
      </c>
      <c r="AL640" s="2">
        <f t="shared" ca="1" si="25"/>
        <v>6.0955092983426037E-2</v>
      </c>
      <c r="AM640" s="2" cm="1">
        <f t="array" aca="1" ref="AM640" ca="1">MMULT(_xlfn.ANCHORARRAY(AE641),TRANSPOSE($Q$3:$U$3))</f>
        <v>1.1250448774843759E-3</v>
      </c>
    </row>
    <row r="641" spans="1:39" x14ac:dyDescent="0.35">
      <c r="A641" s="3">
        <v>44760</v>
      </c>
      <c r="B641" s="4">
        <v>29.2859287261962</v>
      </c>
      <c r="C641" s="4">
        <v>119.83553314208901</v>
      </c>
      <c r="D641" s="4">
        <v>39.430324554443303</v>
      </c>
      <c r="E641" s="4">
        <v>24.198314666748001</v>
      </c>
      <c r="F641" s="4">
        <v>246.52810668945301</v>
      </c>
      <c r="I641" s="5">
        <f>B641/B640-1</f>
        <v>3.0997746311323127E-4</v>
      </c>
      <c r="J641" s="5">
        <f>C641/C640-1</f>
        <v>1.4021335459101003E-2</v>
      </c>
      <c r="K641" s="5">
        <f>D641/D640-1</f>
        <v>-1.2884971998823658E-2</v>
      </c>
      <c r="L641" s="5">
        <f>E641/E640-1</f>
        <v>4.7280599676923218E-2</v>
      </c>
      <c r="M641" s="5">
        <f>F641/F640-1</f>
        <v>-9.6213406591582062E-3</v>
      </c>
      <c r="N641" s="5">
        <f>SUMPRODUCT(I641:M641,$AJ$13:$AN$13)</f>
        <v>1.1620331963623824E-2</v>
      </c>
      <c r="P641" s="2" t="s">
        <v>632</v>
      </c>
      <c r="Q641" s="10" cm="1">
        <f t="array" aca="1" ref="Q641:U641" ca="1">_xlfn.LET(_xlpm.array,_xlfn.RANDARRAY(1,COLUMNS(_xlfn.ANCHORARRAY(Q640)),0,1,FALSE),_xlpm.array/SUM(_xlpm.array))</f>
        <v>0.37705862828366088</v>
      </c>
      <c r="R641" s="2">
        <f ca="1"/>
        <v>3.6599567690493238E-2</v>
      </c>
      <c r="S641" s="2">
        <f ca="1"/>
        <v>0.20763985130927248</v>
      </c>
      <c r="T641" s="2">
        <f ca="1"/>
        <v>0.10392285506392301</v>
      </c>
      <c r="U641" s="2">
        <f ca="1"/>
        <v>0.27477909765265046</v>
      </c>
      <c r="V641" s="12"/>
      <c r="X641" s="2" cm="1">
        <f t="array" aca="1" ref="X641" ca="1">MMULT(MMULT(_xlfn.ANCHORARRAY(Q641),$Q$9:$U$13),TRANSPOSE(_xlfn.ANCHORARRAY(Q641)))</f>
        <v>2.8210015933793187E-4</v>
      </c>
      <c r="Y641" s="2">
        <f t="shared" ca="1" si="24"/>
        <v>1.679583755988167E-2</v>
      </c>
      <c r="Z641" s="2" cm="1">
        <f t="array" aca="1" ref="Z641" ca="1">MMULT(_xlfn.ANCHORARRAY(Q641),TRANSPOSE($Q$3:$U$3))</f>
        <v>8.719075559249093E-4</v>
      </c>
      <c r="AA641" s="11">
        <f ca="1">AVEDEV(Q641*$Q$3,R641*$R$3,S641*$S$3,T641*$T$3,U641*$U$3)</f>
        <v>8.6346888098389943E-5</v>
      </c>
      <c r="AB641" s="11" cm="1">
        <f t="array" aca="1" ref="AB641" ca="1">MMULT(_xlfn.ANCHORARRAY(Q641),TRANSPOSE($Q$6:$U$6))</f>
        <v>-2.2685286396393001E-2</v>
      </c>
      <c r="AD641" s="2" t="s">
        <v>632</v>
      </c>
      <c r="AE641" s="10" cm="1">
        <f t="array" aca="1" ref="AE641:AI641" ca="1">_xlfn.LET(_xlpm.array,_xlfn.RANDARRAY(1,COLUMNS(_xlfn.ANCHORARRAY(Q640)),-1,1,FALSE),_xlpm.array/SUM(_xlpm.array))</f>
        <v>1.1217216001700809</v>
      </c>
      <c r="AF641" s="10">
        <f ca="1"/>
        <v>-0.64889959208110626</v>
      </c>
      <c r="AG641" s="10">
        <f ca="1"/>
        <v>1.139403977941124</v>
      </c>
      <c r="AH641" s="10">
        <f ca="1"/>
        <v>-1.376145426433161</v>
      </c>
      <c r="AI641" s="10">
        <f ca="1"/>
        <v>0.76391944040306237</v>
      </c>
      <c r="AJ641" s="1"/>
      <c r="AK641" s="2" cm="1">
        <f t="array" aca="1" ref="AK641" ca="1">MMULT(MMULT(_xlfn.ANCHORARRAY(AE641),$Q$9:$U$13),TRANSPOSE(_xlfn.ANCHORARRAY(AE641)))</f>
        <v>2.736404358597809E-3</v>
      </c>
      <c r="AL641" s="2">
        <f t="shared" ca="1" si="25"/>
        <v>5.2310652439037778E-2</v>
      </c>
      <c r="AM641" s="2" cm="1">
        <f t="array" aca="1" ref="AM641" ca="1">MMULT(_xlfn.ANCHORARRAY(AE642),TRANSPOSE($Q$3:$U$3))</f>
        <v>1.4115956601935399E-3</v>
      </c>
    </row>
    <row r="642" spans="1:39" x14ac:dyDescent="0.35">
      <c r="A642" s="3">
        <v>44761</v>
      </c>
      <c r="B642" s="4">
        <v>30.275445938110298</v>
      </c>
      <c r="C642" s="4">
        <v>124.153999328613</v>
      </c>
      <c r="D642" s="4">
        <v>40.791896820068303</v>
      </c>
      <c r="E642" s="4">
        <v>24.612449645996001</v>
      </c>
      <c r="F642" s="4">
        <v>251.64773559570301</v>
      </c>
      <c r="I642" s="5">
        <f>B642/B641-1</f>
        <v>3.3788145193052177E-2</v>
      </c>
      <c r="J642" s="5">
        <f>C642/C641-1</f>
        <v>3.6036608452382657E-2</v>
      </c>
      <c r="K642" s="5">
        <f>D642/D641-1</f>
        <v>3.4531094557566089E-2</v>
      </c>
      <c r="L642" s="5">
        <f>E642/E641-1</f>
        <v>1.7114207536820025E-2</v>
      </c>
      <c r="M642" s="5">
        <f>F642/F641-1</f>
        <v>2.0766917715792532E-2</v>
      </c>
      <c r="N642" s="5">
        <f>SUMPRODUCT(I642:M642,$AJ$13:$AN$13)</f>
        <v>2.1960621267310149E-2</v>
      </c>
      <c r="P642" s="2" t="s">
        <v>633</v>
      </c>
      <c r="Q642" s="10" cm="1">
        <f t="array" aca="1" ref="Q642:U642" ca="1">_xlfn.LET(_xlpm.array,_xlfn.RANDARRAY(1,COLUMNS(_xlfn.ANCHORARRAY(Q641)),0,1,FALSE),_xlpm.array/SUM(_xlpm.array))</f>
        <v>0.32658669243697913</v>
      </c>
      <c r="R642" s="2">
        <f ca="1"/>
        <v>6.4456323839272361E-3</v>
      </c>
      <c r="S642" s="2">
        <f ca="1"/>
        <v>0.46424683308393072</v>
      </c>
      <c r="T642" s="2">
        <f ca="1"/>
        <v>3.8883571798465258E-2</v>
      </c>
      <c r="U642" s="2">
        <f ca="1"/>
        <v>0.16383727029669762</v>
      </c>
      <c r="V642" s="12"/>
      <c r="X642" s="2" cm="1">
        <f t="array" aca="1" ref="X642" ca="1">MMULT(MMULT(_xlfn.ANCHORARRAY(Q642),$Q$9:$U$13),TRANSPOSE(_xlfn.ANCHORARRAY(Q642)))</f>
        <v>3.8571409875133713E-4</v>
      </c>
      <c r="Y642" s="2">
        <f t="shared" ca="1" si="24"/>
        <v>1.9639605361395047E-2</v>
      </c>
      <c r="Z642" s="2" cm="1">
        <f t="array" aca="1" ref="Z642" ca="1">MMULT(_xlfn.ANCHORARRAY(Q642),TRANSPOSE($Q$3:$U$3))</f>
        <v>1.0896662137690322E-3</v>
      </c>
      <c r="AA642" s="11">
        <f ca="1">AVEDEV(Q642*$Q$3,R642*$R$3,S642*$S$3,T642*$T$3,U642*$U$3)</f>
        <v>2.144015892468978E-4</v>
      </c>
      <c r="AB642" s="11" cm="1">
        <f t="array" aca="1" ref="AB642" ca="1">MMULT(_xlfn.ANCHORARRAY(Q642),TRANSPOSE($Q$6:$U$6))</f>
        <v>-2.4070854606725749E-2</v>
      </c>
      <c r="AD642" s="2" t="s">
        <v>633</v>
      </c>
      <c r="AE642" s="10" cm="1">
        <f t="array" aca="1" ref="AE642:AI642" ca="1">_xlfn.LET(_xlpm.array,_xlfn.RANDARRAY(1,COLUMNS(_xlfn.ANCHORARRAY(Q641)),-1,1,FALSE),_xlpm.array/SUM(_xlpm.array))</f>
        <v>-0.57965265861242854</v>
      </c>
      <c r="AF642" s="10">
        <f ca="1"/>
        <v>0.38037858224529425</v>
      </c>
      <c r="AG642" s="10">
        <f ca="1"/>
        <v>0.46769757810677859</v>
      </c>
      <c r="AH642" s="10">
        <f ca="1"/>
        <v>0.4258565936071832</v>
      </c>
      <c r="AI642" s="10">
        <f ca="1"/>
        <v>0.3057199046531725</v>
      </c>
      <c r="AJ642" s="1"/>
      <c r="AK642" s="2" cm="1">
        <f t="array" aca="1" ref="AK642" ca="1">MMULT(MMULT(_xlfn.ANCHORARRAY(AE642),$Q$9:$U$13),TRANSPOSE(_xlfn.ANCHORARRAY(AE642)))</f>
        <v>5.1186110496946754E-4</v>
      </c>
      <c r="AL642" s="2">
        <f t="shared" ca="1" si="25"/>
        <v>2.2624347614228959E-2</v>
      </c>
      <c r="AM642" s="2" cm="1">
        <f t="array" aca="1" ref="AM642" ca="1">MMULT(_xlfn.ANCHORARRAY(AE643),TRANSPOSE($Q$3:$U$3))</f>
        <v>2.559446653250775E-3</v>
      </c>
    </row>
    <row r="643" spans="1:39" x14ac:dyDescent="0.35">
      <c r="A643" s="3">
        <v>44762</v>
      </c>
      <c r="B643" s="4">
        <v>30.284523010253899</v>
      </c>
      <c r="C643" s="4">
        <v>125.793815612792</v>
      </c>
      <c r="D643" s="4">
        <v>40.912303924560497</v>
      </c>
      <c r="E643" s="4">
        <v>25.062282562255799</v>
      </c>
      <c r="F643" s="4">
        <v>254.30448913574199</v>
      </c>
      <c r="I643" s="5">
        <f>B643/B642-1</f>
        <v>2.9981629873110371E-4</v>
      </c>
      <c r="J643" s="5">
        <f>C643/C642-1</f>
        <v>1.3207921557474078E-2</v>
      </c>
      <c r="K643" s="5">
        <f>D643/D642-1</f>
        <v>2.951740759281396E-3</v>
      </c>
      <c r="L643" s="5">
        <f>E643/E642-1</f>
        <v>1.8276641404240568E-2</v>
      </c>
      <c r="M643" s="5">
        <f>F643/F642-1</f>
        <v>1.0557430742422103E-2</v>
      </c>
      <c r="N643" s="5">
        <f>SUMPRODUCT(I643:M643,$AJ$13:$AN$13)</f>
        <v>1.3084011693370503E-2</v>
      </c>
      <c r="P643" s="2" t="s">
        <v>634</v>
      </c>
      <c r="Q643" s="10" cm="1">
        <f t="array" aca="1" ref="Q643:U643" ca="1">_xlfn.LET(_xlpm.array,_xlfn.RANDARRAY(1,COLUMNS(_xlfn.ANCHORARRAY(Q642)),0,1,FALSE),_xlpm.array/SUM(_xlpm.array))</f>
        <v>0.27152781807889081</v>
      </c>
      <c r="R643" s="2">
        <f ca="1"/>
        <v>0.21212193170175472</v>
      </c>
      <c r="S643" s="2">
        <f ca="1"/>
        <v>0.24919933534238312</v>
      </c>
      <c r="T643" s="2">
        <f ca="1"/>
        <v>0.17679463991203104</v>
      </c>
      <c r="U643" s="2">
        <f ca="1"/>
        <v>9.0356274964940281E-2</v>
      </c>
      <c r="V643" s="12"/>
      <c r="X643" s="2" cm="1">
        <f t="array" aca="1" ref="X643" ca="1">MMULT(MMULT(_xlfn.ANCHORARRAY(Q643),$Q$9:$U$13),TRANSPOSE(_xlfn.ANCHORARRAY(Q643)))</f>
        <v>3.0722916358353496E-4</v>
      </c>
      <c r="Y643" s="2">
        <f t="shared" ca="1" si="24"/>
        <v>1.7527953776283613E-2</v>
      </c>
      <c r="Z643" s="2" cm="1">
        <f t="array" aca="1" ref="Z643" ca="1">MMULT(_xlfn.ANCHORARRAY(Q643),TRANSPOSE($Q$3:$U$3))</f>
        <v>9.4732839951562901E-4</v>
      </c>
      <c r="AA643" s="11">
        <f ca="1">AVEDEV(Q643*$Q$3,R643*$R$3,S643*$S$3,T643*$T$3,U643*$U$3)</f>
        <v>8.6093693346761573E-5</v>
      </c>
      <c r="AB643" s="11" cm="1">
        <f t="array" aca="1" ref="AB643" ca="1">MMULT(_xlfn.ANCHORARRAY(Q643),TRANSPOSE($Q$6:$U$6))</f>
        <v>-2.3270239333490764E-2</v>
      </c>
      <c r="AD643" s="2" t="s">
        <v>634</v>
      </c>
      <c r="AE643" s="10" cm="1">
        <f t="array" aca="1" ref="AE643:AI643" ca="1">_xlfn.LET(_xlpm.array,_xlfn.RANDARRAY(1,COLUMNS(_xlfn.ANCHORARRAY(Q642)),-1,1,FALSE),_xlpm.array/SUM(_xlpm.array))</f>
        <v>-1.5301800000653951</v>
      </c>
      <c r="AF643" s="10">
        <f ca="1"/>
        <v>1.9682155068270635</v>
      </c>
      <c r="AG643" s="10">
        <f ca="1"/>
        <v>1.8253744298121557</v>
      </c>
      <c r="AH643" s="10">
        <f ca="1"/>
        <v>-0.38244754157550226</v>
      </c>
      <c r="AI643" s="10">
        <f ca="1"/>
        <v>-0.88096239499832196</v>
      </c>
      <c r="AJ643" s="1"/>
      <c r="AK643" s="2" cm="1">
        <f t="array" aca="1" ref="AK643" ca="1">MMULT(MMULT(_xlfn.ANCHORARRAY(AE643),$Q$9:$U$13),TRANSPOSE(_xlfn.ANCHORARRAY(AE643)))</f>
        <v>3.3666028886206304E-3</v>
      </c>
      <c r="AL643" s="2">
        <f t="shared" ca="1" si="25"/>
        <v>5.8022434356209414E-2</v>
      </c>
      <c r="AM643" s="2" cm="1">
        <f t="array" aca="1" ref="AM643" ca="1">MMULT(_xlfn.ANCHORARRAY(AE644),TRANSPOSE($Q$3:$U$3))</f>
        <v>1.1218597131140244E-3</v>
      </c>
    </row>
    <row r="644" spans="1:39" x14ac:dyDescent="0.35">
      <c r="A644" s="3">
        <v>44763</v>
      </c>
      <c r="B644" s="4">
        <v>30.547788619995099</v>
      </c>
      <c r="C644" s="4">
        <v>124.832237243652</v>
      </c>
      <c r="D644" s="4">
        <v>41.356910705566399</v>
      </c>
      <c r="E644" s="4">
        <v>24.4553623199462</v>
      </c>
      <c r="F644" s="4">
        <v>256.79644775390602</v>
      </c>
      <c r="I644" s="5">
        <f>B644/B643-1</f>
        <v>8.6930743354307616E-3</v>
      </c>
      <c r="J644" s="5">
        <f>C644/C643-1</f>
        <v>-7.6440830135866555E-3</v>
      </c>
      <c r="K644" s="5">
        <f>D644/D643-1</f>
        <v>1.0867312235109727E-2</v>
      </c>
      <c r="L644" s="5">
        <f>E644/E643-1</f>
        <v>-2.4216479117653456E-2</v>
      </c>
      <c r="M644" s="5">
        <f>F644/F643-1</f>
        <v>9.7991137578143928E-3</v>
      </c>
      <c r="N644" s="5">
        <f>SUMPRODUCT(I644:M644,$AJ$13:$AN$13)</f>
        <v>-4.6473603231560242E-3</v>
      </c>
      <c r="P644" s="2" t="s">
        <v>635</v>
      </c>
      <c r="Q644" s="10" cm="1">
        <f t="array" aca="1" ref="Q644:U644" ca="1">_xlfn.LET(_xlpm.array,_xlfn.RANDARRAY(1,COLUMNS(_xlfn.ANCHORARRAY(Q643)),0,1,FALSE),_xlpm.array/SUM(_xlpm.array))</f>
        <v>0.16006789784295389</v>
      </c>
      <c r="R644" s="2">
        <f ca="1"/>
        <v>1.3460393929037362E-2</v>
      </c>
      <c r="S644" s="2">
        <f ca="1"/>
        <v>0.17264738575089983</v>
      </c>
      <c r="T644" s="2">
        <f ca="1"/>
        <v>0.25136931002580604</v>
      </c>
      <c r="U644" s="2">
        <f ca="1"/>
        <v>0.402455012451303</v>
      </c>
      <c r="V644" s="12"/>
      <c r="X644" s="2" cm="1">
        <f t="array" aca="1" ref="X644" ca="1">MMULT(MMULT(_xlfn.ANCHORARRAY(Q644),$Q$9:$U$13),TRANSPOSE(_xlfn.ANCHORARRAY(Q644)))</f>
        <v>2.5991553366576413E-4</v>
      </c>
      <c r="Y644" s="2">
        <f t="shared" ca="1" si="24"/>
        <v>1.6121896094000981E-2</v>
      </c>
      <c r="Z644" s="2" cm="1">
        <f t="array" aca="1" ref="Z644" ca="1">MMULT(_xlfn.ANCHORARRAY(Q644),TRANSPOSE($Q$3:$U$3))</f>
        <v>9.3618514670638572E-4</v>
      </c>
      <c r="AA644" s="11">
        <f ca="1">AVEDEV(Q644*$Q$3,R644*$R$3,S644*$S$3,T644*$T$3,U644*$U$3)</f>
        <v>1.1331633801472583E-4</v>
      </c>
      <c r="AB644" s="11" cm="1">
        <f t="array" aca="1" ref="AB644" ca="1">MMULT(_xlfn.ANCHORARRAY(Q644),TRANSPOSE($Q$6:$U$6))</f>
        <v>-2.284997438354288E-2</v>
      </c>
      <c r="AD644" s="2" t="s">
        <v>635</v>
      </c>
      <c r="AE644" s="10" cm="1">
        <f t="array" aca="1" ref="AE644:AI644" ca="1">_xlfn.LET(_xlpm.array,_xlfn.RANDARRAY(1,COLUMNS(_xlfn.ANCHORARRAY(Q643)),-1,1,FALSE),_xlpm.array/SUM(_xlpm.array))</f>
        <v>3.3977567130798671E-2</v>
      </c>
      <c r="AF644" s="10">
        <f ca="1"/>
        <v>0.3732497971939937</v>
      </c>
      <c r="AG644" s="10">
        <f ca="1"/>
        <v>0.20900483776496953</v>
      </c>
      <c r="AH644" s="10">
        <f ca="1"/>
        <v>0.77534006833897662</v>
      </c>
      <c r="AI644" s="10">
        <f ca="1"/>
        <v>-0.39157227042873854</v>
      </c>
      <c r="AJ644" s="1"/>
      <c r="AK644" s="2" cm="1">
        <f t="array" aca="1" ref="AK644" ca="1">MMULT(MMULT(_xlfn.ANCHORARRAY(AE644),$Q$9:$U$13),TRANSPOSE(_xlfn.ANCHORARRAY(AE644)))</f>
        <v>6.8712938835721311E-4</v>
      </c>
      <c r="AL644" s="2">
        <f t="shared" ca="1" si="25"/>
        <v>2.6213152964823083E-2</v>
      </c>
      <c r="AM644" s="2" cm="1">
        <f t="array" aca="1" ref="AM644" ca="1">MMULT(_xlfn.ANCHORARRAY(AE645),TRANSPOSE($Q$3:$U$3))</f>
        <v>-4.699333590225959E-4</v>
      </c>
    </row>
    <row r="645" spans="1:39" x14ac:dyDescent="0.35">
      <c r="A645" s="3">
        <v>44764</v>
      </c>
      <c r="B645" s="4">
        <v>30.3480720520019</v>
      </c>
      <c r="C645" s="4">
        <v>123.793395996093</v>
      </c>
      <c r="D645" s="4">
        <v>40.143527984619098</v>
      </c>
      <c r="E645" s="4">
        <v>24.419660568237301</v>
      </c>
      <c r="F645" s="4">
        <v>252.45245361328099</v>
      </c>
      <c r="I645" s="5">
        <f>B645/B644-1</f>
        <v>-6.537840446574128E-3</v>
      </c>
      <c r="J645" s="5">
        <f>C645/C644-1</f>
        <v>-8.3218988179419862E-3</v>
      </c>
      <c r="K645" s="5">
        <f>D645/D644-1</f>
        <v>-2.9339297840348277E-2</v>
      </c>
      <c r="L645" s="5">
        <f>E645/E644-1</f>
        <v>-1.459874167547337E-3</v>
      </c>
      <c r="M645" s="5">
        <f>F645/F644-1</f>
        <v>-1.6916099029484988E-2</v>
      </c>
      <c r="N645" s="5">
        <f>SUMPRODUCT(I645:M645,$AJ$13:$AN$13)</f>
        <v>-1.9445588689023165E-2</v>
      </c>
      <c r="P645" s="2" t="s">
        <v>636</v>
      </c>
      <c r="Q645" s="10" cm="1">
        <f t="array" aca="1" ref="Q645:U645" ca="1">_xlfn.LET(_xlpm.array,_xlfn.RANDARRAY(1,COLUMNS(_xlfn.ANCHORARRAY(Q644)),0,1,FALSE),_xlpm.array/SUM(_xlpm.array))</f>
        <v>0.14994417217268044</v>
      </c>
      <c r="R645" s="2">
        <f ca="1"/>
        <v>9.9277797939893733E-2</v>
      </c>
      <c r="S645" s="2">
        <f ca="1"/>
        <v>0.37364499551341002</v>
      </c>
      <c r="T645" s="2">
        <f ca="1"/>
        <v>0.26982039253787948</v>
      </c>
      <c r="U645" s="2">
        <f ca="1"/>
        <v>0.10731264183613637</v>
      </c>
      <c r="V645" s="12"/>
      <c r="X645" s="2" cm="1">
        <f t="array" aca="1" ref="X645" ca="1">MMULT(MMULT(_xlfn.ANCHORARRAY(Q645),$Q$9:$U$13),TRANSPOSE(_xlfn.ANCHORARRAY(Q645)))</f>
        <v>3.4041682052618873E-4</v>
      </c>
      <c r="Y645" s="2">
        <f t="shared" ca="1" si="24"/>
        <v>1.8450388086059023E-2</v>
      </c>
      <c r="Z645" s="2" cm="1">
        <f t="array" aca="1" ref="Z645" ca="1">MMULT(_xlfn.ANCHORARRAY(Q645),TRANSPOSE($Q$3:$U$3))</f>
        <v>1.1132364672107908E-3</v>
      </c>
      <c r="AA645" s="11">
        <f ca="1">AVEDEV(Q645*$Q$3,R645*$R$3,S645*$S$3,T645*$T$3,U645*$U$3)</f>
        <v>1.7486332357158669E-4</v>
      </c>
      <c r="AB645" s="11" cm="1">
        <f t="array" aca="1" ref="AB645" ca="1">MMULT(_xlfn.ANCHORARRAY(Q645),TRANSPOSE($Q$6:$U$6))</f>
        <v>-2.4379500460961261E-2</v>
      </c>
      <c r="AD645" s="2" t="s">
        <v>636</v>
      </c>
      <c r="AE645" s="10" cm="1">
        <f t="array" aca="1" ref="AE645:AI645" ca="1">_xlfn.LET(_xlpm.array,_xlfn.RANDARRAY(1,COLUMNS(_xlfn.ANCHORARRAY(Q644)),-1,1,FALSE),_xlpm.array/SUM(_xlpm.array))</f>
        <v>0.98789358105052194</v>
      </c>
      <c r="AF645" s="10">
        <f ca="1"/>
        <v>1.2623119254327857</v>
      </c>
      <c r="AG645" s="10">
        <f ca="1"/>
        <v>-1.1190305641539589</v>
      </c>
      <c r="AH645" s="10">
        <f ca="1"/>
        <v>9.2770779495473521E-2</v>
      </c>
      <c r="AI645" s="10">
        <f ca="1"/>
        <v>-0.22394572182482225</v>
      </c>
      <c r="AJ645" s="1"/>
      <c r="AK645" s="2" cm="1">
        <f t="array" aca="1" ref="AK645" ca="1">MMULT(MMULT(_xlfn.ANCHORARRAY(AE645),$Q$9:$U$13),TRANSPOSE(_xlfn.ANCHORARRAY(AE645)))</f>
        <v>1.9013678190425833E-3</v>
      </c>
      <c r="AL645" s="2">
        <f t="shared" ca="1" si="25"/>
        <v>4.3604676573076234E-2</v>
      </c>
      <c r="AM645" s="2" cm="1">
        <f t="array" aca="1" ref="AM645" ca="1">MMULT(_xlfn.ANCHORARRAY(AE646),TRANSPOSE($Q$3:$U$3))</f>
        <v>8.1728747495754843E-4</v>
      </c>
    </row>
    <row r="646" spans="1:39" x14ac:dyDescent="0.35">
      <c r="A646" s="3">
        <v>44767</v>
      </c>
      <c r="B646" s="4">
        <v>30.6204109191894</v>
      </c>
      <c r="C646" s="4">
        <v>127.4765625</v>
      </c>
      <c r="D646" s="4">
        <v>40.615913391113203</v>
      </c>
      <c r="E646" s="4">
        <v>25.376457214355401</v>
      </c>
      <c r="F646" s="4">
        <v>250.968978881835</v>
      </c>
      <c r="I646" s="5">
        <f>B646/B645-1</f>
        <v>8.9738440952968901E-3</v>
      </c>
      <c r="J646" s="5">
        <f>C646/C645-1</f>
        <v>2.9752528188363492E-2</v>
      </c>
      <c r="K646" s="5">
        <f>D646/D645-1</f>
        <v>1.1767411341501832E-2</v>
      </c>
      <c r="L646" s="5">
        <f>E646/E645-1</f>
        <v>3.9181406450940148E-2</v>
      </c>
      <c r="M646" s="5">
        <f>F646/F645-1</f>
        <v>-5.8762539647106982E-3</v>
      </c>
      <c r="N646" s="5">
        <f>SUMPRODUCT(I646:M646,$AJ$13:$AN$13)</f>
        <v>1.8901696741525951E-2</v>
      </c>
      <c r="P646" s="2" t="s">
        <v>637</v>
      </c>
      <c r="Q646" s="10" cm="1">
        <f t="array" aca="1" ref="Q646:U646" ca="1">_xlfn.LET(_xlpm.array,_xlfn.RANDARRAY(1,COLUMNS(_xlfn.ANCHORARRAY(Q645)),0,1,FALSE),_xlpm.array/SUM(_xlpm.array))</f>
        <v>0.16312177727900992</v>
      </c>
      <c r="R646" s="2">
        <f ca="1"/>
        <v>5.3951180969336397E-2</v>
      </c>
      <c r="S646" s="2">
        <f ca="1"/>
        <v>0.37772871282142945</v>
      </c>
      <c r="T646" s="2">
        <f ca="1"/>
        <v>0.11828559009863196</v>
      </c>
      <c r="U646" s="2">
        <f ca="1"/>
        <v>0.28691273883159224</v>
      </c>
      <c r="V646" s="12"/>
      <c r="X646" s="2" cm="1">
        <f t="array" aca="1" ref="X646" ca="1">MMULT(MMULT(_xlfn.ANCHORARRAY(Q646),$Q$9:$U$13),TRANSPOSE(_xlfn.ANCHORARRAY(Q646)))</f>
        <v>3.2265439651748146E-4</v>
      </c>
      <c r="Y646" s="2">
        <f t="shared" ca="1" si="24"/>
        <v>1.7962583236201899E-2</v>
      </c>
      <c r="Z646" s="2" cm="1">
        <f t="array" aca="1" ref="Z646" ca="1">MMULT(_xlfn.ANCHORARRAY(Q646),TRANSPOSE($Q$3:$U$3))</f>
        <v>1.0760239003265418E-3</v>
      </c>
      <c r="AA646" s="11">
        <f ca="1">AVEDEV(Q646*$Q$3,R646*$R$3,S646*$S$3,T646*$T$3,U646*$U$3)</f>
        <v>1.60987386097662E-4</v>
      </c>
      <c r="AB646" s="11" cm="1">
        <f t="array" aca="1" ref="AB646" ca="1">MMULT(_xlfn.ANCHORARRAY(Q646),TRANSPOSE($Q$6:$U$6))</f>
        <v>-2.3643563561820347E-2</v>
      </c>
      <c r="AD646" s="2" t="s">
        <v>637</v>
      </c>
      <c r="AE646" s="10" cm="1">
        <f t="array" aca="1" ref="AE646:AI646" ca="1">_xlfn.LET(_xlpm.array,_xlfn.RANDARRAY(1,COLUMNS(_xlfn.ANCHORARRAY(Q645)),-1,1,FALSE),_xlpm.array/SUM(_xlpm.array))</f>
        <v>-0.6444191280640339</v>
      </c>
      <c r="AF646" s="10">
        <f ca="1"/>
        <v>0.51497270015988095</v>
      </c>
      <c r="AG646" s="10">
        <f ca="1"/>
        <v>-0.36638322485871483</v>
      </c>
      <c r="AH646" s="10">
        <f ca="1"/>
        <v>0.85554873057823311</v>
      </c>
      <c r="AI646" s="10">
        <f ca="1"/>
        <v>0.64028092218463462</v>
      </c>
      <c r="AJ646" s="1"/>
      <c r="AK646" s="2" cm="1">
        <f t="array" aca="1" ref="AK646" ca="1">MMULT(MMULT(_xlfn.ANCHORARRAY(AE646),$Q$9:$U$13),TRANSPOSE(_xlfn.ANCHORARRAY(AE646)))</f>
        <v>7.3058629660648316E-4</v>
      </c>
      <c r="AL646" s="2">
        <f t="shared" ca="1" si="25"/>
        <v>2.7029359900050967E-2</v>
      </c>
      <c r="AM646" s="2" cm="1">
        <f t="array" aca="1" ref="AM646" ca="1">MMULT(_xlfn.ANCHORARRAY(AE647),TRANSPOSE($Q$3:$U$3))</f>
        <v>1.2338353848625097E-3</v>
      </c>
    </row>
    <row r="647" spans="1:39" x14ac:dyDescent="0.35">
      <c r="A647" s="3">
        <v>44768</v>
      </c>
      <c r="B647" s="4">
        <v>30.0031013488769</v>
      </c>
      <c r="C647" s="4">
        <v>126.480674743652</v>
      </c>
      <c r="D647" s="4">
        <v>40.226882934570298</v>
      </c>
      <c r="E647" s="4">
        <v>25.897699356079102</v>
      </c>
      <c r="F647" s="4">
        <v>244.24943542480401</v>
      </c>
      <c r="I647" s="5">
        <f>B647/B646-1</f>
        <v>-2.0160068130426034E-2</v>
      </c>
      <c r="J647" s="5">
        <f>C647/C646-1</f>
        <v>-7.812320451832111E-3</v>
      </c>
      <c r="K647" s="5">
        <f>D647/D646-1</f>
        <v>-9.5782766916187034E-3</v>
      </c>
      <c r="L647" s="5">
        <f>E647/E646-1</f>
        <v>2.0540382659437473E-2</v>
      </c>
      <c r="M647" s="5">
        <f>F647/F646-1</f>
        <v>-2.6774398521160592E-2</v>
      </c>
      <c r="N647" s="5">
        <f>SUMPRODUCT(I647:M647,$AJ$13:$AN$13)</f>
        <v>1.7531065012160799E-3</v>
      </c>
      <c r="P647" s="2" t="s">
        <v>638</v>
      </c>
      <c r="Q647" s="10" cm="1">
        <f t="array" aca="1" ref="Q647:U647" ca="1">_xlfn.LET(_xlpm.array,_xlfn.RANDARRAY(1,COLUMNS(_xlfn.ANCHORARRAY(Q646)),0,1,FALSE),_xlpm.array/SUM(_xlpm.array))</f>
        <v>0.29840606151327742</v>
      </c>
      <c r="R647" s="2">
        <f ca="1"/>
        <v>0.28769853116110594</v>
      </c>
      <c r="S647" s="2">
        <f ca="1"/>
        <v>1.5643827441771483E-2</v>
      </c>
      <c r="T647" s="2">
        <f ca="1"/>
        <v>0.18019742178604731</v>
      </c>
      <c r="U647" s="2">
        <f ca="1"/>
        <v>0.21805415809779788</v>
      </c>
      <c r="V647" s="12"/>
      <c r="X647" s="2" cm="1">
        <f t="array" aca="1" ref="X647" ca="1">MMULT(MMULT(_xlfn.ANCHORARRAY(Q647),$Q$9:$U$13),TRANSPOSE(_xlfn.ANCHORARRAY(Q647)))</f>
        <v>2.756763001664461E-4</v>
      </c>
      <c r="Y647" s="2">
        <f t="shared" ca="1" si="24"/>
        <v>1.6603502647527302E-2</v>
      </c>
      <c r="Z647" s="2" cm="1">
        <f t="array" aca="1" ref="Z647" ca="1">MMULT(_xlfn.ANCHORARRAY(Q647),TRANSPOSE($Q$3:$U$3))</f>
        <v>7.3803037829315795E-4</v>
      </c>
      <c r="AA647" s="11">
        <f ca="1">AVEDEV(Q647*$Q$3,R647*$R$3,S647*$S$3,T647*$T$3,U647*$U$3)</f>
        <v>4.8880195119128855E-5</v>
      </c>
      <c r="AB647" s="11" cm="1">
        <f t="array" aca="1" ref="AB647" ca="1">MMULT(_xlfn.ANCHORARRAY(Q647),TRANSPOSE($Q$6:$U$6))</f>
        <v>-2.1722678547199906E-2</v>
      </c>
      <c r="AD647" s="2" t="s">
        <v>638</v>
      </c>
      <c r="AE647" s="10" cm="1">
        <f t="array" aca="1" ref="AE647:AI647" ca="1">_xlfn.LET(_xlpm.array,_xlfn.RANDARRAY(1,COLUMNS(_xlfn.ANCHORARRAY(Q646)),-1,1,FALSE),_xlpm.array/SUM(_xlpm.array))</f>
        <v>0.3110845786608577</v>
      </c>
      <c r="AF647" s="10">
        <f ca="1"/>
        <v>3.2661257029599454E-2</v>
      </c>
      <c r="AG647" s="10">
        <f ca="1"/>
        <v>0.58375240105524051</v>
      </c>
      <c r="AH647" s="10">
        <f ca="1"/>
        <v>0.1885381872115735</v>
      </c>
      <c r="AI647" s="10">
        <f ca="1"/>
        <v>-0.11603642395727121</v>
      </c>
      <c r="AJ647" s="1"/>
      <c r="AK647" s="2" cm="1">
        <f t="array" aca="1" ref="AK647" ca="1">MMULT(MMULT(_xlfn.ANCHORARRAY(AE647),$Q$9:$U$13),TRANSPOSE(_xlfn.ANCHORARRAY(AE647)))</f>
        <v>4.8711200680169679E-4</v>
      </c>
      <c r="AL647" s="2">
        <f t="shared" ca="1" si="25"/>
        <v>2.2070614101145823E-2</v>
      </c>
      <c r="AM647" s="2" cm="1">
        <f t="array" aca="1" ref="AM647" ca="1">MMULT(_xlfn.ANCHORARRAY(AE648),TRANSPOSE($Q$3:$U$3))</f>
        <v>1.2330573807411991E-3</v>
      </c>
    </row>
    <row r="648" spans="1:39" x14ac:dyDescent="0.35">
      <c r="A648" s="3">
        <v>44769</v>
      </c>
      <c r="B648" s="4">
        <v>30.493322372436499</v>
      </c>
      <c r="C648" s="4">
        <v>128.14620971679599</v>
      </c>
      <c r="D648" s="4">
        <v>41.023460388183501</v>
      </c>
      <c r="E648" s="4">
        <v>26.361808776855401</v>
      </c>
      <c r="F648" s="4">
        <v>260.578033447265</v>
      </c>
      <c r="I648" s="5">
        <f>B648/B647-1</f>
        <v>1.6339011686135274E-2</v>
      </c>
      <c r="J648" s="5">
        <f>C648/C647-1</f>
        <v>1.3168296077797237E-2</v>
      </c>
      <c r="K648" s="5">
        <f>D648/D647-1</f>
        <v>1.9802117278359566E-2</v>
      </c>
      <c r="L648" s="5">
        <f>E648/E647-1</f>
        <v>1.7920874530013231E-2</v>
      </c>
      <c r="M648" s="5">
        <f>F648/F647-1</f>
        <v>6.6852142335813047E-2</v>
      </c>
      <c r="N648" s="5">
        <f>SUMPRODUCT(I648:M648,$AJ$13:$AN$13)</f>
        <v>3.5858876696276978E-2</v>
      </c>
      <c r="P648" s="2" t="s">
        <v>639</v>
      </c>
      <c r="Q648" s="10" cm="1">
        <f t="array" aca="1" ref="Q648:U648" ca="1">_xlfn.LET(_xlpm.array,_xlfn.RANDARRAY(1,COLUMNS(_xlfn.ANCHORARRAY(Q647)),0,1,FALSE),_xlpm.array/SUM(_xlpm.array))</f>
        <v>0.25658937500790047</v>
      </c>
      <c r="R648" s="2">
        <f ca="1"/>
        <v>0.10729056176585558</v>
      </c>
      <c r="S648" s="2">
        <f ca="1"/>
        <v>0.32969373732883955</v>
      </c>
      <c r="T648" s="2">
        <f ca="1"/>
        <v>7.0817205501847488E-2</v>
      </c>
      <c r="U648" s="2">
        <f ca="1"/>
        <v>0.23560912039555687</v>
      </c>
      <c r="V648" s="12"/>
      <c r="X648" s="2" cm="1">
        <f t="array" aca="1" ref="X648" ca="1">MMULT(MMULT(_xlfn.ANCHORARRAY(Q648),$Q$9:$U$13),TRANSPOSE(_xlfn.ANCHORARRAY(Q648)))</f>
        <v>3.0948390262500994E-4</v>
      </c>
      <c r="Y648" s="2">
        <f t="shared" ca="1" si="24"/>
        <v>1.7592154575975336E-2</v>
      </c>
      <c r="Z648" s="2" cm="1">
        <f t="array" aca="1" ref="Z648" ca="1">MMULT(_xlfn.ANCHORARRAY(Q648),TRANSPOSE($Q$3:$U$3))</f>
        <v>9.9673583436566348E-4</v>
      </c>
      <c r="AA648" s="11">
        <f ca="1">AVEDEV(Q648*$Q$3,R648*$R$3,S648*$S$3,T648*$T$3,U648*$U$3)</f>
        <v>1.344302869835746E-4</v>
      </c>
      <c r="AB648" s="11" cm="1">
        <f t="array" aca="1" ref="AB648" ca="1">MMULT(_xlfn.ANCHORARRAY(Q648),TRANSPOSE($Q$6:$U$6))</f>
        <v>-2.3230633185349958E-2</v>
      </c>
      <c r="AD648" s="2" t="s">
        <v>639</v>
      </c>
      <c r="AE648" s="10" cm="1">
        <f t="array" aca="1" ref="AE648:AI648" ca="1">_xlfn.LET(_xlpm.array,_xlfn.RANDARRAY(1,COLUMNS(_xlfn.ANCHORARRAY(Q647)),-1,1,FALSE),_xlpm.array/SUM(_xlpm.array))</f>
        <v>1.8066067858690858E-3</v>
      </c>
      <c r="AF648" s="10">
        <f ca="1"/>
        <v>0.19625314996597268</v>
      </c>
      <c r="AG648" s="10">
        <f ca="1"/>
        <v>0.5186291295967872</v>
      </c>
      <c r="AH648" s="10">
        <f ca="1"/>
        <v>0.11637866683096733</v>
      </c>
      <c r="AI648" s="10">
        <f ca="1"/>
        <v>0.16693244682040367</v>
      </c>
      <c r="AJ648" s="1"/>
      <c r="AK648" s="2" cm="1">
        <f t="array" aca="1" ref="AK648" ca="1">MMULT(MMULT(_xlfn.ANCHORARRAY(AE648),$Q$9:$U$13),TRANSPOSE(_xlfn.ANCHORARRAY(AE648)))</f>
        <v>4.0064428423495206E-4</v>
      </c>
      <c r="AL648" s="2">
        <f t="shared" ca="1" si="25"/>
        <v>2.0016100625120568E-2</v>
      </c>
      <c r="AM648" s="2" cm="1">
        <f t="array" aca="1" ref="AM648" ca="1">MMULT(_xlfn.ANCHORARRAY(AE649),TRANSPOSE($Q$3:$U$3))</f>
        <v>1.3137478758699203E-3</v>
      </c>
    </row>
    <row r="649" spans="1:39" x14ac:dyDescent="0.35">
      <c r="A649" s="3">
        <v>44770</v>
      </c>
      <c r="B649" s="4">
        <v>30.248212814331001</v>
      </c>
      <c r="C649" s="4">
        <v>129.11636352539</v>
      </c>
      <c r="D649" s="4">
        <v>41.217971801757798</v>
      </c>
      <c r="E649" s="4">
        <v>26.5403137207031</v>
      </c>
      <c r="F649" s="4">
        <v>268.01510620117102</v>
      </c>
      <c r="I649" s="5">
        <f>B649/B648-1</f>
        <v>-8.0381388132063636E-3</v>
      </c>
      <c r="J649" s="5">
        <f>C649/C648-1</f>
        <v>7.5706789201026581E-3</v>
      </c>
      <c r="K649" s="5">
        <f>D649/D648-1</f>
        <v>4.7414677292880736E-3</v>
      </c>
      <c r="L649" s="5">
        <f>E649/E648-1</f>
        <v>6.7713465854595256E-3</v>
      </c>
      <c r="M649" s="5">
        <f>F649/F648-1</f>
        <v>2.8540674190831616E-2</v>
      </c>
      <c r="N649" s="5">
        <f>SUMPRODUCT(I649:M649,$AJ$13:$AN$13)</f>
        <v>1.7243313232123865E-2</v>
      </c>
      <c r="P649" s="2" t="s">
        <v>640</v>
      </c>
      <c r="Q649" s="10" cm="1">
        <f t="array" aca="1" ref="Q649:U649" ca="1">_xlfn.LET(_xlpm.array,_xlfn.RANDARRAY(1,COLUMNS(_xlfn.ANCHORARRAY(Q648)),0,1,FALSE),_xlpm.array/SUM(_xlpm.array))</f>
        <v>0.30499321721178663</v>
      </c>
      <c r="R649" s="2">
        <f ca="1"/>
        <v>0.15328933365635072</v>
      </c>
      <c r="S649" s="2">
        <f ca="1"/>
        <v>1.5574658879145584E-2</v>
      </c>
      <c r="T649" s="2">
        <f ca="1"/>
        <v>0.34020708648511117</v>
      </c>
      <c r="U649" s="2">
        <f ca="1"/>
        <v>0.1859357037676059</v>
      </c>
      <c r="V649" s="12"/>
      <c r="X649" s="2" cm="1">
        <f t="array" aca="1" ref="X649" ca="1">MMULT(MMULT(_xlfn.ANCHORARRAY(Q649),$Q$9:$U$13),TRANSPOSE(_xlfn.ANCHORARRAY(Q649)))</f>
        <v>2.9042324323080902E-4</v>
      </c>
      <c r="Y649" s="2">
        <f t="shared" ca="1" si="24"/>
        <v>1.7041808684256757E-2</v>
      </c>
      <c r="Z649" s="2" cm="1">
        <f t="array" aca="1" ref="Z649" ca="1">MMULT(_xlfn.ANCHORARRAY(Q649),TRANSPOSE($Q$3:$U$3))</f>
        <v>7.8201779257158321E-4</v>
      </c>
      <c r="AA649" s="11">
        <f ca="1">AVEDEV(Q649*$Q$3,R649*$R$3,S649*$S$3,T649*$T$3,U649*$U$3)</f>
        <v>7.6463131094667161E-5</v>
      </c>
      <c r="AB649" s="11" cm="1">
        <f t="array" aca="1" ref="AB649" ca="1">MMULT(_xlfn.ANCHORARRAY(Q649),TRANSPOSE($Q$6:$U$6))</f>
        <v>-2.2474313735793477E-2</v>
      </c>
      <c r="AD649" s="2" t="s">
        <v>640</v>
      </c>
      <c r="AE649" s="10" cm="1">
        <f t="array" aca="1" ref="AE649:AI649" ca="1">_xlfn.LET(_xlpm.array,_xlfn.RANDARRAY(1,COLUMNS(_xlfn.ANCHORARRAY(Q648)),-1,1,FALSE),_xlpm.array/SUM(_xlpm.array))</f>
        <v>0.62413269778699287</v>
      </c>
      <c r="AF649" s="10">
        <f ca="1"/>
        <v>0.10820707889582995</v>
      </c>
      <c r="AG649" s="10">
        <f ca="1"/>
        <v>0.7280794191439306</v>
      </c>
      <c r="AH649" s="10">
        <f ca="1"/>
        <v>0.33988337555126852</v>
      </c>
      <c r="AI649" s="10">
        <f ca="1"/>
        <v>-0.80030257137802197</v>
      </c>
      <c r="AJ649" s="1"/>
      <c r="AK649" s="2" cm="1">
        <f t="array" aca="1" ref="AK649" ca="1">MMULT(MMULT(_xlfn.ANCHORARRAY(AE649),$Q$9:$U$13),TRANSPOSE(_xlfn.ANCHORARRAY(AE649)))</f>
        <v>9.2324746132939578E-4</v>
      </c>
      <c r="AL649" s="2">
        <f t="shared" ca="1" si="25"/>
        <v>3.038498743342501E-2</v>
      </c>
      <c r="AM649" s="2" cm="1">
        <f t="array" aca="1" ref="AM649" ca="1">MMULT(_xlfn.ANCHORARRAY(AE650),TRANSPOSE($Q$3:$U$3))</f>
        <v>-4.0398049431219563E-5</v>
      </c>
    </row>
    <row r="650" spans="1:39" x14ac:dyDescent="0.35">
      <c r="A650" s="3">
        <v>44771</v>
      </c>
      <c r="B650" s="4">
        <v>30.6930332183837</v>
      </c>
      <c r="C650" s="4">
        <v>140.61228942871</v>
      </c>
      <c r="D650" s="4">
        <v>41.736671447753899</v>
      </c>
      <c r="E650" s="4">
        <v>27.4257087707519</v>
      </c>
      <c r="F650" s="4">
        <v>272.21353149414</v>
      </c>
      <c r="I650" s="5">
        <f>B650/B649-1</f>
        <v>1.4705675564473442E-2</v>
      </c>
      <c r="J650" s="5">
        <f>C650/C649-1</f>
        <v>8.9035390940664039E-2</v>
      </c>
      <c r="K650" s="5">
        <f>D650/D649-1</f>
        <v>1.2584307847335108E-2</v>
      </c>
      <c r="L650" s="5">
        <f>E650/E649-1</f>
        <v>3.3360383730435483E-2</v>
      </c>
      <c r="M650" s="5">
        <f>F650/F649-1</f>
        <v>1.5664883045128253E-2</v>
      </c>
      <c r="N650" s="5">
        <f>SUMPRODUCT(I650:M650,$AJ$13:$AN$13)</f>
        <v>2.0202921082515389E-2</v>
      </c>
      <c r="P650" s="2" t="s">
        <v>641</v>
      </c>
      <c r="Q650" s="10" cm="1">
        <f t="array" aca="1" ref="Q650:U650" ca="1">_xlfn.LET(_xlpm.array,_xlfn.RANDARRAY(1,COLUMNS(_xlfn.ANCHORARRAY(Q649)),0,1,FALSE),_xlpm.array/SUM(_xlpm.array))</f>
        <v>0.24275397950363392</v>
      </c>
      <c r="R650" s="2">
        <f ca="1"/>
        <v>0.13138757113319019</v>
      </c>
      <c r="S650" s="2">
        <f ca="1"/>
        <v>0.20966192388186744</v>
      </c>
      <c r="T650" s="2">
        <f ca="1"/>
        <v>0.32914299109008011</v>
      </c>
      <c r="U650" s="2">
        <f ca="1"/>
        <v>8.7053534391228329E-2</v>
      </c>
      <c r="V650" s="12"/>
      <c r="X650" s="2" cm="1">
        <f t="array" aca="1" ref="X650" ca="1">MMULT(MMULT(_xlfn.ANCHORARRAY(Q650),$Q$9:$U$13),TRANSPOSE(_xlfn.ANCHORARRAY(Q650)))</f>
        <v>3.1057574088866905E-4</v>
      </c>
      <c r="Y650" s="2">
        <f t="shared" ca="1" si="24"/>
        <v>1.7623159219863758E-2</v>
      </c>
      <c r="Z650" s="2" cm="1">
        <f t="array" aca="1" ref="Z650" ca="1">MMULT(_xlfn.ANCHORARRAY(Q650),TRANSPOSE($Q$3:$U$3))</f>
        <v>9.6265560564124178E-4</v>
      </c>
      <c r="AA650" s="11">
        <f ca="1">AVEDEV(Q650*$Q$3,R650*$R$3,S650*$S$3,T650*$T$3,U650*$U$3)</f>
        <v>1.1667480045361167E-4</v>
      </c>
      <c r="AB650" s="11" cm="1">
        <f t="array" aca="1" ref="AB650" ca="1">MMULT(_xlfn.ANCHORARRAY(Q650),TRANSPOSE($Q$6:$U$6))</f>
        <v>-2.3679070454365344E-2</v>
      </c>
      <c r="AD650" s="2" t="s">
        <v>641</v>
      </c>
      <c r="AE650" s="10" cm="1">
        <f t="array" aca="1" ref="AE650:AI650" ca="1">_xlfn.LET(_xlpm.array,_xlfn.RANDARRAY(1,COLUMNS(_xlfn.ANCHORARRAY(Q649)),-1,1,FALSE),_xlpm.array/SUM(_xlpm.array))</f>
        <v>0.92976004249135558</v>
      </c>
      <c r="AF650" s="10">
        <f ca="1"/>
        <v>-8.8670468000087363E-2</v>
      </c>
      <c r="AG650" s="10">
        <f ca="1"/>
        <v>-0.77672287297637288</v>
      </c>
      <c r="AH650" s="10">
        <f ca="1"/>
        <v>0.38004410566442048</v>
      </c>
      <c r="AI650" s="10">
        <f ca="1"/>
        <v>0.5555891928206842</v>
      </c>
      <c r="AJ650" s="1"/>
      <c r="AK650" s="2" cm="1">
        <f t="array" aca="1" ref="AK650" ca="1">MMULT(MMULT(_xlfn.ANCHORARRAY(AE650),$Q$9:$U$13),TRANSPOSE(_xlfn.ANCHORARRAY(AE650)))</f>
        <v>7.8464953859596351E-4</v>
      </c>
      <c r="AL650" s="2">
        <f t="shared" ca="1" si="25"/>
        <v>2.8011596502091122E-2</v>
      </c>
      <c r="AM650" s="2" cm="1">
        <f t="array" aca="1" ref="AM650" ca="1">MMULT(_xlfn.ANCHORARRAY(AE651),TRANSPOSE($Q$3:$U$3))</f>
        <v>1.9434076329176203E-4</v>
      </c>
    </row>
    <row r="651" spans="1:39" x14ac:dyDescent="0.35">
      <c r="A651" s="3">
        <v>44774</v>
      </c>
      <c r="B651" s="4">
        <v>30.602258682250898</v>
      </c>
      <c r="C651" s="4">
        <v>137.80484008789</v>
      </c>
      <c r="D651" s="4">
        <v>42.070117950439403</v>
      </c>
      <c r="E651" s="4">
        <v>26.961589813232401</v>
      </c>
      <c r="F651" s="4">
        <v>269.56649780273398</v>
      </c>
      <c r="I651" s="5">
        <f>B651/B650-1</f>
        <v>-2.9574964288128225E-3</v>
      </c>
      <c r="J651" s="5">
        <f>C651/C650-1</f>
        <v>-1.9965888843900603E-2</v>
      </c>
      <c r="K651" s="5">
        <f>D651/D650-1</f>
        <v>7.9892931352447683E-3</v>
      </c>
      <c r="L651" s="5">
        <f>E651/E650-1</f>
        <v>-1.6922769850690522E-2</v>
      </c>
      <c r="M651" s="5">
        <f>F651/F650-1</f>
        <v>-9.7241076770755441E-3</v>
      </c>
      <c r="N651" s="5">
        <f>SUMPRODUCT(I651:M651,$AJ$13:$AN$13)</f>
        <v>-5.4863023992550433E-3</v>
      </c>
      <c r="P651" s="2" t="s">
        <v>642</v>
      </c>
      <c r="Q651" s="10" cm="1">
        <f t="array" aca="1" ref="Q651:U651" ca="1">_xlfn.LET(_xlpm.array,_xlfn.RANDARRAY(1,COLUMNS(_xlfn.ANCHORARRAY(Q650)),0,1,FALSE),_xlpm.array/SUM(_xlpm.array))</f>
        <v>3.9293821630367966E-2</v>
      </c>
      <c r="R651" s="2">
        <f ca="1"/>
        <v>0.22336894881251154</v>
      </c>
      <c r="S651" s="2">
        <f ca="1"/>
        <v>0.15279175397314629</v>
      </c>
      <c r="T651" s="2">
        <f ca="1"/>
        <v>0.29389590674455102</v>
      </c>
      <c r="U651" s="2">
        <f ca="1"/>
        <v>0.29064956883942322</v>
      </c>
      <c r="V651" s="12"/>
      <c r="X651" s="2" cm="1">
        <f t="array" aca="1" ref="X651" ca="1">MMULT(MMULT(_xlfn.ANCHORARRAY(Q651),$Q$9:$U$13),TRANSPOSE(_xlfn.ANCHORARRAY(Q651)))</f>
        <v>2.7270715759127631E-4</v>
      </c>
      <c r="Y651" s="2">
        <f t="shared" ca="1" si="24"/>
        <v>1.6513847449679202E-2</v>
      </c>
      <c r="Z651" s="2" cm="1">
        <f t="array" aca="1" ref="Z651" ca="1">MMULT(_xlfn.ANCHORARRAY(Q651),TRANSPOSE($Q$3:$U$3))</f>
        <v>9.5377111704184417E-4</v>
      </c>
      <c r="AA651" s="11">
        <f ca="1">AVEDEV(Q651*$Q$3,R651*$R$3,S651*$S$3,T651*$T$3,U651*$U$3)</f>
        <v>7.9369912249532118E-5</v>
      </c>
      <c r="AB651" s="11" cm="1">
        <f t="array" aca="1" ref="AB651" ca="1">MMULT(_xlfn.ANCHORARRAY(Q651),TRANSPOSE($Q$6:$U$6))</f>
        <v>-2.2844533818641894E-2</v>
      </c>
      <c r="AD651" s="2" t="s">
        <v>642</v>
      </c>
      <c r="AE651" s="10" cm="1">
        <f t="array" aca="1" ref="AE651:AI651" ca="1">_xlfn.LET(_xlpm.array,_xlfn.RANDARRAY(1,COLUMNS(_xlfn.ANCHORARRAY(Q650)),-1,1,FALSE),_xlpm.array/SUM(_xlpm.array))</f>
        <v>0.1630203435444556</v>
      </c>
      <c r="AF651" s="10">
        <f ca="1"/>
        <v>4.2422452980021716E-2</v>
      </c>
      <c r="AG651" s="10">
        <f ca="1"/>
        <v>-0.87183863199233036</v>
      </c>
      <c r="AH651" s="10">
        <f ca="1"/>
        <v>0.86392853449168128</v>
      </c>
      <c r="AI651" s="10">
        <f ca="1"/>
        <v>0.8024673009761718</v>
      </c>
      <c r="AJ651" s="1"/>
      <c r="AK651" s="2" cm="1">
        <f t="array" aca="1" ref="AK651" ca="1">MMULT(MMULT(_xlfn.ANCHORARRAY(AE651),$Q$9:$U$13),TRANSPOSE(_xlfn.ANCHORARRAY(AE651)))</f>
        <v>9.1611761397274085E-4</v>
      </c>
      <c r="AL651" s="2">
        <f t="shared" ca="1" si="25"/>
        <v>3.0267434875997354E-2</v>
      </c>
      <c r="AM651" s="2" cm="1">
        <f t="array" aca="1" ref="AM651" ca="1">MMULT(_xlfn.ANCHORARRAY(AE652),TRANSPOSE($Q$3:$U$3))</f>
        <v>1.6850399577834944E-3</v>
      </c>
    </row>
    <row r="652" spans="1:39" x14ac:dyDescent="0.35">
      <c r="A652" s="3">
        <v>44775</v>
      </c>
      <c r="B652" s="4">
        <v>29.994022369384702</v>
      </c>
      <c r="C652" s="4">
        <v>136.62863159179599</v>
      </c>
      <c r="D652" s="4">
        <v>40.995670318603501</v>
      </c>
      <c r="E652" s="4">
        <v>26.990156173706001</v>
      </c>
      <c r="F652" s="4">
        <v>266.47335815429602</v>
      </c>
      <c r="I652" s="5">
        <f>B652/B651-1</f>
        <v>-1.9875536612562805E-2</v>
      </c>
      <c r="J652" s="5">
        <f>C652/C651-1</f>
        <v>-8.5353206414509053E-3</v>
      </c>
      <c r="K652" s="5">
        <f>D652/D651-1</f>
        <v>-2.5539449000396286E-2</v>
      </c>
      <c r="L652" s="5">
        <f>E652/E651-1</f>
        <v>1.0595206243950717E-3</v>
      </c>
      <c r="M652" s="5">
        <f>F652/F651-1</f>
        <v>-1.1474495805860463E-2</v>
      </c>
      <c r="N652" s="5">
        <f>SUMPRODUCT(I652:M652,$AJ$13:$AN$13)</f>
        <v>-1.0607730755488647E-2</v>
      </c>
      <c r="P652" s="2" t="s">
        <v>643</v>
      </c>
      <c r="Q652" s="10" cm="1">
        <f t="array" aca="1" ref="Q652:U652" ca="1">_xlfn.LET(_xlpm.array,_xlfn.RANDARRAY(1,COLUMNS(_xlfn.ANCHORARRAY(Q651)),0,1,FALSE),_xlpm.array/SUM(_xlpm.array))</f>
        <v>3.6362626344973496E-2</v>
      </c>
      <c r="R652" s="2">
        <f ca="1"/>
        <v>0.20577312690840538</v>
      </c>
      <c r="S652" s="2">
        <f ca="1"/>
        <v>0.32612614021713821</v>
      </c>
      <c r="T652" s="2">
        <f ca="1"/>
        <v>0.32561225307300279</v>
      </c>
      <c r="U652" s="2">
        <f ca="1"/>
        <v>0.10612585345648008</v>
      </c>
      <c r="V652" s="12"/>
      <c r="X652" s="2" cm="1">
        <f t="array" aca="1" ref="X652" ca="1">MMULT(MMULT(_xlfn.ANCHORARRAY(Q652),$Q$9:$U$13),TRANSPOSE(_xlfn.ANCHORARRAY(Q652)))</f>
        <v>3.3844679739102637E-4</v>
      </c>
      <c r="Y652" s="2">
        <f t="shared" ca="1" si="24"/>
        <v>1.839692358496459E-2</v>
      </c>
      <c r="Z652" s="2" cm="1">
        <f t="array" aca="1" ref="Z652" ca="1">MMULT(_xlfn.ANCHORARRAY(Q652),TRANSPOSE($Q$3:$U$3))</f>
        <v>1.1121956634639538E-3</v>
      </c>
      <c r="AA652" s="11">
        <f ca="1">AVEDEV(Q652*$Q$3,R652*$R$3,S652*$S$3,T652*$T$3,U652*$U$3)</f>
        <v>1.6696075718056945E-4</v>
      </c>
      <c r="AB652" s="11" cm="1">
        <f t="array" aca="1" ref="AB652" ca="1">MMULT(_xlfn.ANCHORARRAY(Q652),TRANSPOSE($Q$6:$U$6))</f>
        <v>-2.4208681529479331E-2</v>
      </c>
      <c r="AD652" s="2" t="s">
        <v>643</v>
      </c>
      <c r="AE652" s="10" cm="1">
        <f t="array" aca="1" ref="AE652:AI652" ca="1">_xlfn.LET(_xlpm.array,_xlfn.RANDARRAY(1,COLUMNS(_xlfn.ANCHORARRAY(Q651)),-1,1,FALSE),_xlpm.array/SUM(_xlpm.array))</f>
        <v>-0.79172699334555074</v>
      </c>
      <c r="AF652" s="10">
        <f ca="1"/>
        <v>0.69426532923126982</v>
      </c>
      <c r="AG652" s="10">
        <f ca="1"/>
        <v>1.037452407860386</v>
      </c>
      <c r="AH652" s="10">
        <f ca="1"/>
        <v>-0.58524422663610698</v>
      </c>
      <c r="AI652" s="10">
        <f ca="1"/>
        <v>0.64525348289000195</v>
      </c>
      <c r="AJ652" s="1"/>
      <c r="AK652" s="2" cm="1">
        <f t="array" aca="1" ref="AK652" ca="1">MMULT(MMULT(_xlfn.ANCHORARRAY(AE652),$Q$9:$U$13),TRANSPOSE(_xlfn.ANCHORARRAY(AE652)))</f>
        <v>1.2480673134559119E-3</v>
      </c>
      <c r="AL652" s="2">
        <f t="shared" ca="1" si="25"/>
        <v>3.5327996170967747E-2</v>
      </c>
      <c r="AM652" s="2" cm="1">
        <f t="array" aca="1" ref="AM652" ca="1">MMULT(_xlfn.ANCHORARRAY(AE653),TRANSPOSE($Q$3:$U$3))</f>
        <v>4.0281977403026957E-4</v>
      </c>
    </row>
    <row r="653" spans="1:39" x14ac:dyDescent="0.35">
      <c r="A653" s="3">
        <v>44776</v>
      </c>
      <c r="B653" s="4">
        <v>30.538711547851499</v>
      </c>
      <c r="C653" s="4">
        <v>133.38334655761699</v>
      </c>
      <c r="D653" s="4">
        <v>41.171657562255803</v>
      </c>
      <c r="E653" s="4">
        <v>26.483200073242099</v>
      </c>
      <c r="F653" s="4">
        <v>273.89105224609301</v>
      </c>
      <c r="I653" s="5">
        <f>B653/B652-1</f>
        <v>1.8159924392894045E-2</v>
      </c>
      <c r="J653" s="5">
        <f>C653/C652-1</f>
        <v>-2.3752598532018609E-2</v>
      </c>
      <c r="K653" s="5">
        <f>D653/D652-1</f>
        <v>4.2928251272535967E-3</v>
      </c>
      <c r="L653" s="5">
        <f>E653/E652-1</f>
        <v>-1.8782999890818775E-2</v>
      </c>
      <c r="M653" s="5">
        <f>F653/F652-1</f>
        <v>2.7836531738763659E-2</v>
      </c>
      <c r="N653" s="5">
        <f>SUMPRODUCT(I653:M653,$AJ$13:$AN$13)</f>
        <v>-1.7165574228386309E-3</v>
      </c>
      <c r="P653" s="2" t="s">
        <v>644</v>
      </c>
      <c r="Q653" s="10" cm="1">
        <f t="array" aca="1" ref="Q653:U653" ca="1">_xlfn.LET(_xlpm.array,_xlfn.RANDARRAY(1,COLUMNS(_xlfn.ANCHORARRAY(Q652)),0,1,FALSE),_xlpm.array/SUM(_xlpm.array))</f>
        <v>9.4809079608406982E-2</v>
      </c>
      <c r="R653" s="2">
        <f ca="1"/>
        <v>0.21773938465748394</v>
      </c>
      <c r="S653" s="2">
        <f ca="1"/>
        <v>0.18822326645505597</v>
      </c>
      <c r="T653" s="2">
        <f ca="1"/>
        <v>0.25192876390340685</v>
      </c>
      <c r="U653" s="2">
        <f ca="1"/>
        <v>0.24729950537564621</v>
      </c>
      <c r="V653" s="12"/>
      <c r="X653" s="2" cm="1">
        <f t="array" aca="1" ref="X653" ca="1">MMULT(MMULT(_xlfn.ANCHORARRAY(Q653),$Q$9:$U$13),TRANSPOSE(_xlfn.ANCHORARRAY(Q653)))</f>
        <v>2.7534998376768383E-4</v>
      </c>
      <c r="Y653" s="2">
        <f t="shared" ca="1" si="24"/>
        <v>1.6593673004120693E-2</v>
      </c>
      <c r="Z653" s="2" cm="1">
        <f t="array" aca="1" ref="Z653" ca="1">MMULT(_xlfn.ANCHORARRAY(Q653),TRANSPOSE($Q$3:$U$3))</f>
        <v>9.593856012210044E-4</v>
      </c>
      <c r="AA653" s="11">
        <f ca="1">AVEDEV(Q653*$Q$3,R653*$R$3,S653*$S$3,T653*$T$3,U653*$U$3)</f>
        <v>7.1718091891924103E-5</v>
      </c>
      <c r="AB653" s="11" cm="1">
        <f t="array" aca="1" ref="AB653" ca="1">MMULT(_xlfn.ANCHORARRAY(Q653),TRANSPOSE($Q$6:$U$6))</f>
        <v>-2.2961536838571387E-2</v>
      </c>
      <c r="AD653" s="2" t="s">
        <v>644</v>
      </c>
      <c r="AE653" s="10" cm="1">
        <f t="array" aca="1" ref="AE653:AI653" ca="1">_xlfn.LET(_xlpm.array,_xlfn.RANDARRAY(1,COLUMNS(_xlfn.ANCHORARRAY(Q652)),-1,1,FALSE),_xlpm.array/SUM(_xlpm.array))</f>
        <v>1.826315861784408</v>
      </c>
      <c r="AF653" s="10">
        <f ca="1"/>
        <v>-1.8061646827349085</v>
      </c>
      <c r="AG653" s="10">
        <f ca="1"/>
        <v>0.27803027859198415</v>
      </c>
      <c r="AH653" s="10">
        <f ca="1"/>
        <v>-0.75858349097365763</v>
      </c>
      <c r="AI653" s="10">
        <f ca="1"/>
        <v>1.4604020333321739</v>
      </c>
      <c r="AJ653" s="1"/>
      <c r="AK653" s="2" cm="1">
        <f t="array" aca="1" ref="AK653" ca="1">MMULT(MMULT(_xlfn.ANCHORARRAY(AE653),$Q$9:$U$13),TRANSPOSE(_xlfn.ANCHORARRAY(AE653)))</f>
        <v>2.8157459583352811E-3</v>
      </c>
      <c r="AL653" s="2">
        <f t="shared" ca="1" si="25"/>
        <v>5.3063602952827103E-2</v>
      </c>
      <c r="AM653" s="2" cm="1">
        <f t="array" aca="1" ref="AM653" ca="1">MMULT(_xlfn.ANCHORARRAY(AE654),TRANSPOSE($Q$3:$U$3))</f>
        <v>1.4162351007210847E-3</v>
      </c>
    </row>
    <row r="654" spans="1:39" x14ac:dyDescent="0.35">
      <c r="A654" s="3">
        <v>44777</v>
      </c>
      <c r="B654" s="4">
        <v>30.320838928222599</v>
      </c>
      <c r="C654" s="4">
        <v>129.76028442382801</v>
      </c>
      <c r="D654" s="4">
        <v>40.940090179443303</v>
      </c>
      <c r="E654" s="4">
        <v>25.526401519775298</v>
      </c>
      <c r="F654" s="4">
        <v>275.03518676757801</v>
      </c>
      <c r="I654" s="5">
        <f>B654/B653-1</f>
        <v>-7.134309490677504E-3</v>
      </c>
      <c r="J654" s="5">
        <f>C654/C653-1</f>
        <v>-2.7162777267879856E-2</v>
      </c>
      <c r="K654" s="5">
        <f>D654/D653-1</f>
        <v>-5.6244367247625382E-3</v>
      </c>
      <c r="L654" s="5">
        <f>E654/E653-1</f>
        <v>-3.6128509803221354E-2</v>
      </c>
      <c r="M654" s="5">
        <f>F654/F653-1</f>
        <v>4.1773344258686507E-3</v>
      </c>
      <c r="N654" s="5">
        <f>SUMPRODUCT(I654:M654,$AJ$13:$AN$13)</f>
        <v>-1.5461112176935018E-2</v>
      </c>
      <c r="P654" s="2" t="s">
        <v>645</v>
      </c>
      <c r="Q654" s="10" cm="1">
        <f t="array" aca="1" ref="Q654:U654" ca="1">_xlfn.LET(_xlpm.array,_xlfn.RANDARRAY(1,COLUMNS(_xlfn.ANCHORARRAY(Q653)),0,1,FALSE),_xlpm.array/SUM(_xlpm.array))</f>
        <v>0.32136009452600217</v>
      </c>
      <c r="R654" s="2">
        <f ca="1"/>
        <v>0.18238910280503887</v>
      </c>
      <c r="S654" s="2">
        <f ca="1"/>
        <v>0.11284440648575327</v>
      </c>
      <c r="T654" s="2">
        <f ca="1"/>
        <v>7.6866333102636741E-2</v>
      </c>
      <c r="U654" s="2">
        <f ca="1"/>
        <v>0.30654006308056897</v>
      </c>
      <c r="V654" s="12"/>
      <c r="X654" s="2" cm="1">
        <f t="array" aca="1" ref="X654" ca="1">MMULT(MMULT(_xlfn.ANCHORARRAY(Q654),$Q$9:$U$13),TRANSPOSE(_xlfn.ANCHORARRAY(Q654)))</f>
        <v>2.6000084448536524E-4</v>
      </c>
      <c r="Y654" s="2">
        <f t="shared" ca="1" si="24"/>
        <v>1.6124541682955372E-2</v>
      </c>
      <c r="Z654" s="2" cm="1">
        <f t="array" aca="1" ref="Z654" ca="1">MMULT(_xlfn.ANCHORARRAY(Q654),TRANSPOSE($Q$3:$U$3))</f>
        <v>7.9276341042832776E-4</v>
      </c>
      <c r="AA654" s="11">
        <f ca="1">AVEDEV(Q654*$Q$3,R654*$R$3,S654*$S$3,T654*$T$3,U654*$U$3)</f>
        <v>4.2155902706785419E-5</v>
      </c>
      <c r="AB654" s="11" cm="1">
        <f t="array" aca="1" ref="AB654" ca="1">MMULT(_xlfn.ANCHORARRAY(Q654),TRANSPOSE($Q$6:$U$6))</f>
        <v>-2.1869526699444433E-2</v>
      </c>
      <c r="AD654" s="2" t="s">
        <v>645</v>
      </c>
      <c r="AE654" s="10" cm="1">
        <f t="array" aca="1" ref="AE654:AI654" ca="1">_xlfn.LET(_xlpm.array,_xlfn.RANDARRAY(1,COLUMNS(_xlfn.ANCHORARRAY(Q653)),-1,1,FALSE),_xlpm.array/SUM(_xlpm.array))</f>
        <v>1.0079386354990383</v>
      </c>
      <c r="AF654" s="10">
        <f ca="1"/>
        <v>-0.80171421470669368</v>
      </c>
      <c r="AG654" s="10">
        <f ca="1"/>
        <v>1.065934054105887</v>
      </c>
      <c r="AH654" s="10">
        <f ca="1"/>
        <v>-0.13054506053577855</v>
      </c>
      <c r="AI654" s="10">
        <f ca="1"/>
        <v>-0.14161341436245306</v>
      </c>
      <c r="AJ654" s="1"/>
      <c r="AK654" s="2" cm="1">
        <f t="array" aca="1" ref="AK654" ca="1">MMULT(MMULT(_xlfn.ANCHORARRAY(AE654),$Q$9:$U$13),TRANSPOSE(_xlfn.ANCHORARRAY(AE654)))</f>
        <v>1.3283873471738015E-3</v>
      </c>
      <c r="AL654" s="2">
        <f t="shared" ca="1" si="25"/>
        <v>3.6447048538582674E-2</v>
      </c>
      <c r="AM654" s="2" cm="1">
        <f t="array" aca="1" ref="AM654" ca="1">MMULT(_xlfn.ANCHORARRAY(AE655),TRANSPOSE($Q$3:$U$3))</f>
        <v>5.4152578050644426E-4</v>
      </c>
    </row>
    <row r="655" spans="1:39" x14ac:dyDescent="0.35">
      <c r="A655" s="3">
        <v>44778</v>
      </c>
      <c r="B655" s="4">
        <v>30.829206466674801</v>
      </c>
      <c r="C655" s="4">
        <v>131.90660095214801</v>
      </c>
      <c r="D655" s="4">
        <v>42.060859680175703</v>
      </c>
      <c r="E655" s="4">
        <v>25.997653961181602</v>
      </c>
      <c r="F655" s="4">
        <v>274.317626953125</v>
      </c>
      <c r="I655" s="5">
        <f>B655/B654-1</f>
        <v>1.6766275486494342E-2</v>
      </c>
      <c r="J655" s="5">
        <f>C655/C654-1</f>
        <v>1.6540627495155835E-2</v>
      </c>
      <c r="K655" s="5">
        <f>D655/D654-1</f>
        <v>2.7375843478116169E-2</v>
      </c>
      <c r="L655" s="5">
        <f>E655/E654-1</f>
        <v>1.8461373846259788E-2</v>
      </c>
      <c r="M655" s="5">
        <f>F655/F654-1</f>
        <v>-2.6089745929832597E-3</v>
      </c>
      <c r="N655" s="5">
        <f>SUMPRODUCT(I655:M655,$AJ$13:$AN$13)</f>
        <v>1.6617601342707518E-2</v>
      </c>
      <c r="P655" s="2" t="s">
        <v>646</v>
      </c>
      <c r="Q655" s="10" cm="1">
        <f t="array" aca="1" ref="Q655:U655" ca="1">_xlfn.LET(_xlpm.array,_xlfn.RANDARRAY(1,COLUMNS(_xlfn.ANCHORARRAY(Q654)),0,1,FALSE),_xlpm.array/SUM(_xlpm.array))</f>
        <v>0.33741851847105242</v>
      </c>
      <c r="R655" s="2">
        <f ca="1"/>
        <v>0.14645132971392222</v>
      </c>
      <c r="S655" s="2">
        <f ca="1"/>
        <v>0.31401549912561261</v>
      </c>
      <c r="T655" s="2">
        <f ca="1"/>
        <v>5.3782790699711591E-2</v>
      </c>
      <c r="U655" s="2">
        <f ca="1"/>
        <v>0.14833186198970127</v>
      </c>
      <c r="V655" s="12"/>
      <c r="X655" s="2" cm="1">
        <f t="array" aca="1" ref="X655" ca="1">MMULT(MMULT(_xlfn.ANCHORARRAY(Q655),$Q$9:$U$13),TRANSPOSE(_xlfn.ANCHORARRAY(Q655)))</f>
        <v>3.1822692345623733E-4</v>
      </c>
      <c r="Y655" s="2">
        <f t="shared" ca="1" si="24"/>
        <v>1.7838915983215946E-2</v>
      </c>
      <c r="Z655" s="2" cm="1">
        <f t="array" aca="1" ref="Z655" ca="1">MMULT(_xlfn.ANCHORARRAY(Q655),TRANSPOSE($Q$3:$U$3))</f>
        <v>9.567951999697881E-4</v>
      </c>
      <c r="AA655" s="11">
        <f ca="1">AVEDEV(Q655*$Q$3,R655*$R$3,S655*$S$3,T655*$T$3,U655*$U$3)</f>
        <v>1.2744094934963719E-4</v>
      </c>
      <c r="AB655" s="11" cm="1">
        <f t="array" aca="1" ref="AB655" ca="1">MMULT(_xlfn.ANCHORARRAY(Q655),TRANSPOSE($Q$6:$U$6))</f>
        <v>-2.3172750226654E-2</v>
      </c>
      <c r="AD655" s="2" t="s">
        <v>646</v>
      </c>
      <c r="AE655" s="10" cm="1">
        <f t="array" aca="1" ref="AE655:AI655" ca="1">_xlfn.LET(_xlpm.array,_xlfn.RANDARRAY(1,COLUMNS(_xlfn.ANCHORARRAY(Q654)),-1,1,FALSE),_xlpm.array/SUM(_xlpm.array))</f>
        <v>-0.11553074565113976</v>
      </c>
      <c r="AF655" s="10">
        <f ca="1"/>
        <v>0.60816208767230229</v>
      </c>
      <c r="AG655" s="10">
        <f ca="1"/>
        <v>-0.33828887470186553</v>
      </c>
      <c r="AH655" s="10">
        <f ca="1"/>
        <v>0.22868199323668487</v>
      </c>
      <c r="AI655" s="10">
        <f ca="1"/>
        <v>0.61697553944401806</v>
      </c>
      <c r="AJ655" s="1"/>
      <c r="AK655" s="2" cm="1">
        <f t="array" aca="1" ref="AK655" ca="1">MMULT(MMULT(_xlfn.ANCHORARRAY(AE655),$Q$9:$U$13),TRANSPOSE(_xlfn.ANCHORARRAY(AE655)))</f>
        <v>3.8662731597873055E-4</v>
      </c>
      <c r="AL655" s="2">
        <f t="shared" ca="1" si="25"/>
        <v>1.9662840994595122E-2</v>
      </c>
      <c r="AM655" s="2" cm="1">
        <f t="array" aca="1" ref="AM655" ca="1">MMULT(_xlfn.ANCHORARRAY(AE656),TRANSPOSE($Q$3:$U$3))</f>
        <v>8.3695950315821265E-4</v>
      </c>
    </row>
    <row r="656" spans="1:39" x14ac:dyDescent="0.35">
      <c r="A656" s="3">
        <v>44781</v>
      </c>
      <c r="B656" s="4">
        <v>30.402538299560501</v>
      </c>
      <c r="C656" s="4">
        <v>131.70916748046801</v>
      </c>
      <c r="D656" s="4">
        <v>42.097908020019503</v>
      </c>
      <c r="E656" s="4">
        <v>26.040502548217699</v>
      </c>
      <c r="F656" s="4">
        <v>271.80633544921801</v>
      </c>
      <c r="I656" s="5">
        <f>B656/B655-1</f>
        <v>-1.3839738871498808E-2</v>
      </c>
      <c r="J656" s="5">
        <f>C656/C655-1</f>
        <v>-1.4967671841655816E-3</v>
      </c>
      <c r="K656" s="5">
        <f>D656/D655-1</f>
        <v>8.8082697608915517E-4</v>
      </c>
      <c r="L656" s="5">
        <f>E656/E655-1</f>
        <v>1.6481712965361606E-3</v>
      </c>
      <c r="M656" s="5">
        <f>F656/F655-1</f>
        <v>-9.1546851429132881E-3</v>
      </c>
      <c r="N656" s="5">
        <f>SUMPRODUCT(I656:M656,$AJ$13:$AN$13)</f>
        <v>2.2223293071956642E-3</v>
      </c>
      <c r="P656" s="2" t="s">
        <v>647</v>
      </c>
      <c r="Q656" s="10" cm="1">
        <f t="array" aca="1" ref="Q656:U656" ca="1">_xlfn.LET(_xlpm.array,_xlfn.RANDARRAY(1,COLUMNS(_xlfn.ANCHORARRAY(Q655)),0,1,FALSE),_xlpm.array/SUM(_xlpm.array))</f>
        <v>0.2859210278008717</v>
      </c>
      <c r="R656" s="2">
        <f ca="1"/>
        <v>9.016126548759798E-2</v>
      </c>
      <c r="S656" s="2">
        <f ca="1"/>
        <v>0.29348645616962454</v>
      </c>
      <c r="T656" s="2">
        <f ca="1"/>
        <v>0.14354289591334346</v>
      </c>
      <c r="U656" s="2">
        <f ca="1"/>
        <v>0.18688835462856235</v>
      </c>
      <c r="V656" s="12"/>
      <c r="X656" s="2" cm="1">
        <f t="array" aca="1" ref="X656" ca="1">MMULT(MMULT(_xlfn.ANCHORARRAY(Q656),$Q$9:$U$13),TRANSPOSE(_xlfn.ANCHORARRAY(Q656)))</f>
        <v>3.017871657563014E-4</v>
      </c>
      <c r="Y656" s="2">
        <f t="shared" ca="1" si="24"/>
        <v>1.7372022500454616E-2</v>
      </c>
      <c r="Z656" s="2" cm="1">
        <f t="array" aca="1" ref="Z656" ca="1">MMULT(_xlfn.ANCHORARRAY(Q656),TRANSPOSE($Q$3:$U$3))</f>
        <v>9.7736795037989634E-4</v>
      </c>
      <c r="AA656" s="11">
        <f ca="1">AVEDEV(Q656*$Q$3,R656*$R$3,S656*$S$3,T656*$T$3,U656*$U$3)</f>
        <v>1.1245945666362453E-4</v>
      </c>
      <c r="AB656" s="11" cm="1">
        <f t="array" aca="1" ref="AB656" ca="1">MMULT(_xlfn.ANCHORARRAY(Q656),TRANSPOSE($Q$6:$U$6))</f>
        <v>-2.337784583957294E-2</v>
      </c>
      <c r="AD656" s="2" t="s">
        <v>647</v>
      </c>
      <c r="AE656" s="10" cm="1">
        <f t="array" aca="1" ref="AE656:AI656" ca="1">_xlfn.LET(_xlpm.array,_xlfn.RANDARRAY(1,COLUMNS(_xlfn.ANCHORARRAY(Q655)),-1,1,FALSE),_xlpm.array/SUM(_xlpm.array))</f>
        <v>3.5888554882494914E-2</v>
      </c>
      <c r="AF656" s="10">
        <f ca="1"/>
        <v>0.92028968457571447</v>
      </c>
      <c r="AG656" s="10">
        <f ca="1"/>
        <v>0.1765939741398419</v>
      </c>
      <c r="AH656" s="10">
        <f ca="1"/>
        <v>-0.15013671803018944</v>
      </c>
      <c r="AI656" s="10">
        <f ca="1"/>
        <v>1.7364504432138127E-2</v>
      </c>
      <c r="AJ656" s="1"/>
      <c r="AK656" s="2" cm="1">
        <f t="array" aca="1" ref="AK656" ca="1">MMULT(MMULT(_xlfn.ANCHORARRAY(AE656),$Q$9:$U$13),TRANSPOSE(_xlfn.ANCHORARRAY(AE656)))</f>
        <v>4.0330525521095281E-4</v>
      </c>
      <c r="AL656" s="2">
        <f t="shared" ca="1" si="25"/>
        <v>2.0082461383280507E-2</v>
      </c>
      <c r="AM656" s="2" cm="1">
        <f t="array" aca="1" ref="AM656" ca="1">MMULT(_xlfn.ANCHORARRAY(AE657),TRANSPOSE($Q$3:$U$3))</f>
        <v>9.2437422730137634E-4</v>
      </c>
    </row>
    <row r="657" spans="1:39" x14ac:dyDescent="0.35">
      <c r="A657" s="3">
        <v>44782</v>
      </c>
      <c r="B657" s="4">
        <v>30.7928962707519</v>
      </c>
      <c r="C657" s="4">
        <v>133.42628479003901</v>
      </c>
      <c r="D657" s="4">
        <v>41.764461517333899</v>
      </c>
      <c r="E657" s="4">
        <v>26.5403137207031</v>
      </c>
      <c r="F657" s="4">
        <v>273.72622680664</v>
      </c>
      <c r="I657" s="5">
        <f>B657/B656-1</f>
        <v>1.2839650668149627E-2</v>
      </c>
      <c r="J657" s="5">
        <f>C657/C656-1</f>
        <v>1.3037189000725036E-2</v>
      </c>
      <c r="K657" s="5">
        <f>D657/D656-1</f>
        <v>-7.9207380691467266E-3</v>
      </c>
      <c r="L657" s="5">
        <f>E657/E656-1</f>
        <v>1.9193607018909375E-2</v>
      </c>
      <c r="M657" s="5">
        <f>F657/F656-1</f>
        <v>7.0634533012225997E-3</v>
      </c>
      <c r="N657" s="5">
        <f>SUMPRODUCT(I657:M657,$AJ$13:$AN$13)</f>
        <v>3.0632250345438332E-3</v>
      </c>
      <c r="P657" s="2" t="s">
        <v>648</v>
      </c>
      <c r="Q657" s="10" cm="1">
        <f t="array" aca="1" ref="Q657:U657" ca="1">_xlfn.LET(_xlpm.array,_xlfn.RANDARRAY(1,COLUMNS(_xlfn.ANCHORARRAY(Q656)),0,1,FALSE),_xlpm.array/SUM(_xlpm.array))</f>
        <v>0.39789474943590269</v>
      </c>
      <c r="R657" s="2">
        <f ca="1"/>
        <v>0.15537998033008721</v>
      </c>
      <c r="S657" s="2">
        <f ca="1"/>
        <v>2.5977630150664979E-2</v>
      </c>
      <c r="T657" s="2">
        <f ca="1"/>
        <v>0.24535455310620297</v>
      </c>
      <c r="U657" s="2">
        <f ca="1"/>
        <v>0.17539308697714215</v>
      </c>
      <c r="V657" s="12"/>
      <c r="X657" s="2" cm="1">
        <f t="array" aca="1" ref="X657" ca="1">MMULT(MMULT(_xlfn.ANCHORARRAY(Q657),$Q$9:$U$13),TRANSPOSE(_xlfn.ANCHORARRAY(Q657)))</f>
        <v>2.8740973524765093E-4</v>
      </c>
      <c r="Y657" s="2">
        <f t="shared" ca="1" si="24"/>
        <v>1.6953162986524106E-2</v>
      </c>
      <c r="Z657" s="2" cm="1">
        <f t="array" aca="1" ref="Z657" ca="1">MMULT(_xlfn.ANCHORARRAY(Q657),TRANSPOSE($Q$3:$U$3))</f>
        <v>7.4268921957980198E-4</v>
      </c>
      <c r="AA657" s="11">
        <f ca="1">AVEDEV(Q657*$Q$3,R657*$R$3,S657*$S$3,T657*$T$3,U657*$U$3)</f>
        <v>6.2324495592457191E-5</v>
      </c>
      <c r="AB657" s="11" cm="1">
        <f t="array" aca="1" ref="AB657" ca="1">MMULT(_xlfn.ANCHORARRAY(Q657),TRANSPOSE($Q$6:$U$6))</f>
        <v>-2.2208281306705189E-2</v>
      </c>
      <c r="AD657" s="2" t="s">
        <v>648</v>
      </c>
      <c r="AE657" s="10" cm="1">
        <f t="array" aca="1" ref="AE657:AI657" ca="1">_xlfn.LET(_xlpm.array,_xlfn.RANDARRAY(1,COLUMNS(_xlfn.ANCHORARRAY(Q656)),-1,1,FALSE),_xlpm.array/SUM(_xlpm.array))</f>
        <v>0.19123464040801291</v>
      </c>
      <c r="AF657" s="10">
        <f ca="1"/>
        <v>4.4497170068648513E-2</v>
      </c>
      <c r="AG657" s="10">
        <f ca="1"/>
        <v>6.8162074086098437E-2</v>
      </c>
      <c r="AH657" s="10">
        <f ca="1"/>
        <v>0.59031676806372779</v>
      </c>
      <c r="AI657" s="10">
        <f ca="1"/>
        <v>0.10578934737351235</v>
      </c>
      <c r="AJ657" s="1"/>
      <c r="AK657" s="2" cm="1">
        <f t="array" aca="1" ref="AK657" ca="1">MMULT(MMULT(_xlfn.ANCHORARRAY(AE657),$Q$9:$U$13),TRANSPOSE(_xlfn.ANCHORARRAY(AE657)))</f>
        <v>3.5117555742924232E-4</v>
      </c>
      <c r="AL657" s="2">
        <f t="shared" ca="1" si="25"/>
        <v>1.8739678690661756E-2</v>
      </c>
      <c r="AM657" s="2" cm="1">
        <f t="array" aca="1" ref="AM657" ca="1">MMULT(_xlfn.ANCHORARRAY(AE658),TRANSPOSE($Q$3:$U$3))</f>
        <v>1.4507566829006747E-3</v>
      </c>
    </row>
    <row r="658" spans="1:39" x14ac:dyDescent="0.35">
      <c r="A658" s="3">
        <v>44783</v>
      </c>
      <c r="B658" s="4">
        <v>31.836870193481399</v>
      </c>
      <c r="C658" s="4">
        <v>133.77830505371</v>
      </c>
      <c r="D658" s="4">
        <v>43.746627807617102</v>
      </c>
      <c r="E658" s="4">
        <v>26.725967407226499</v>
      </c>
      <c r="F658" s="4">
        <v>280.37780761718699</v>
      </c>
      <c r="I658" s="5">
        <f>B658/B657-1</f>
        <v>3.3903076656063069E-2</v>
      </c>
      <c r="J658" s="5">
        <f>C658/C657-1</f>
        <v>2.6383127149567365E-3</v>
      </c>
      <c r="K658" s="5">
        <f>D658/D657-1</f>
        <v>4.7460597318141451E-2</v>
      </c>
      <c r="L658" s="5">
        <f>E658/E657-1</f>
        <v>6.995157950170583E-3</v>
      </c>
      <c r="M658" s="5">
        <f>F658/F657-1</f>
        <v>2.4300122381936351E-2</v>
      </c>
      <c r="N658" s="5">
        <f>SUMPRODUCT(I658:M658,$AJ$13:$AN$13)</f>
        <v>2.6205666276063078E-2</v>
      </c>
      <c r="P658" s="2" t="s">
        <v>649</v>
      </c>
      <c r="Q658" s="10" cm="1">
        <f t="array" aca="1" ref="Q658:U658" ca="1">_xlfn.LET(_xlpm.array,_xlfn.RANDARRAY(1,COLUMNS(_xlfn.ANCHORARRAY(Q657)),0,1,FALSE),_xlpm.array/SUM(_xlpm.array))</f>
        <v>7.3538502716263346E-2</v>
      </c>
      <c r="R658" s="2">
        <f ca="1"/>
        <v>0.12120566745945453</v>
      </c>
      <c r="S658" s="2">
        <f ca="1"/>
        <v>0.32567603365159642</v>
      </c>
      <c r="T658" s="2">
        <f ca="1"/>
        <v>0.25205662524747896</v>
      </c>
      <c r="U658" s="2">
        <f ca="1"/>
        <v>0.22752317092520674</v>
      </c>
      <c r="V658" s="12"/>
      <c r="X658" s="2" cm="1">
        <f t="array" aca="1" ref="X658" ca="1">MMULT(MMULT(_xlfn.ANCHORARRAY(Q658),$Q$9:$U$13),TRANSPOSE(_xlfn.ANCHORARRAY(Q658)))</f>
        <v>3.0853369051185461E-4</v>
      </c>
      <c r="Y658" s="2">
        <f t="shared" ca="1" si="24"/>
        <v>1.7565127113455644E-2</v>
      </c>
      <c r="Z658" s="2" cm="1">
        <f t="array" aca="1" ref="Z658" ca="1">MMULT(_xlfn.ANCHORARRAY(Q658),TRANSPOSE($Q$3:$U$3))</f>
        <v>1.0863102411051977E-3</v>
      </c>
      <c r="AA658" s="11">
        <f ca="1">AVEDEV(Q658*$Q$3,R658*$R$3,S658*$S$3,T658*$T$3,U658*$U$3)</f>
        <v>1.407517597267792E-4</v>
      </c>
      <c r="AB658" s="11" cm="1">
        <f t="array" aca="1" ref="AB658" ca="1">MMULT(_xlfn.ANCHORARRAY(Q658),TRANSPOSE($Q$6:$U$6))</f>
        <v>-2.385053046726027E-2</v>
      </c>
      <c r="AD658" s="2" t="s">
        <v>649</v>
      </c>
      <c r="AE658" s="10" cm="1">
        <f t="array" aca="1" ref="AE658:AI658" ca="1">_xlfn.LET(_xlpm.array,_xlfn.RANDARRAY(1,COLUMNS(_xlfn.ANCHORARRAY(Q657)),-1,1,FALSE),_xlpm.array/SUM(_xlpm.array))</f>
        <v>-0.76672315043020156</v>
      </c>
      <c r="AF658" s="10">
        <f ca="1"/>
        <v>0.28612037433429427</v>
      </c>
      <c r="AG658" s="10">
        <f ca="1"/>
        <v>0.42918209124254836</v>
      </c>
      <c r="AH658" s="10">
        <f ca="1"/>
        <v>0.5075857765802464</v>
      </c>
      <c r="AI658" s="10">
        <f ca="1"/>
        <v>0.54383490827311254</v>
      </c>
      <c r="AJ658" s="1"/>
      <c r="AK658" s="2" cm="1">
        <f t="array" aca="1" ref="AK658" ca="1">MMULT(MMULT(_xlfn.ANCHORARRAY(AE658),$Q$9:$U$13),TRANSPOSE(_xlfn.ANCHORARRAY(AE658)))</f>
        <v>5.6731008746438059E-4</v>
      </c>
      <c r="AL658" s="2">
        <f t="shared" ca="1" si="25"/>
        <v>2.3818272134316976E-2</v>
      </c>
      <c r="AM658" s="2" cm="1">
        <f t="array" aca="1" ref="AM658" ca="1">MMULT(_xlfn.ANCHORARRAY(AE659),TRANSPOSE($Q$3:$U$3))</f>
        <v>-3.4629212817105992E-3</v>
      </c>
    </row>
    <row r="659" spans="1:39" x14ac:dyDescent="0.35">
      <c r="A659" s="3">
        <v>44784</v>
      </c>
      <c r="B659" s="4">
        <v>32.599437713622997</v>
      </c>
      <c r="C659" s="4">
        <v>137.04072570800699</v>
      </c>
      <c r="D659" s="4">
        <v>44.089336395263601</v>
      </c>
      <c r="E659" s="4">
        <v>27.678655624389599</v>
      </c>
      <c r="F659" s="4">
        <v>278.30285644531199</v>
      </c>
      <c r="I659" s="5">
        <f>B659/B658-1</f>
        <v>2.3952339394772926E-2</v>
      </c>
      <c r="J659" s="5">
        <f>C659/C658-1</f>
        <v>2.4386769237263017E-2</v>
      </c>
      <c r="K659" s="5">
        <f>D659/D658-1</f>
        <v>7.833942976213315E-3</v>
      </c>
      <c r="L659" s="5">
        <f>E659/E658-1</f>
        <v>3.5646538164433306E-2</v>
      </c>
      <c r="M659" s="5">
        <f>F659/F658-1</f>
        <v>-7.4005542361185173E-3</v>
      </c>
      <c r="N659" s="5">
        <f>SUMPRODUCT(I659:M659,$AJ$13:$AN$13)</f>
        <v>1.0536581974057824E-2</v>
      </c>
      <c r="P659" s="2" t="s">
        <v>650</v>
      </c>
      <c r="Q659" s="10" cm="1">
        <f t="array" aca="1" ref="Q659:U659" ca="1">_xlfn.LET(_xlpm.array,_xlfn.RANDARRAY(1,COLUMNS(_xlfn.ANCHORARRAY(Q658)),0,1,FALSE),_xlpm.array/SUM(_xlpm.array))</f>
        <v>0.25407218621937733</v>
      </c>
      <c r="R659" s="2">
        <f ca="1"/>
        <v>0.25522256420555423</v>
      </c>
      <c r="S659" s="2">
        <f ca="1"/>
        <v>0.1125173729994728</v>
      </c>
      <c r="T659" s="2">
        <f ca="1"/>
        <v>0.2676789701697449</v>
      </c>
      <c r="U659" s="2">
        <f ca="1"/>
        <v>0.11050890640585059</v>
      </c>
      <c r="V659" s="12"/>
      <c r="X659" s="2" cm="1">
        <f t="array" aca="1" ref="X659" ca="1">MMULT(MMULT(_xlfn.ANCHORARRAY(Q659),$Q$9:$U$13),TRANSPOSE(_xlfn.ANCHORARRAY(Q659)))</f>
        <v>2.9778574519774591E-4</v>
      </c>
      <c r="Y659" s="2">
        <f t="shared" ca="1" si="24"/>
        <v>1.725646966206431E-2</v>
      </c>
      <c r="Z659" s="2" cm="1">
        <f t="array" aca="1" ref="Z659" ca="1">MMULT(_xlfn.ANCHORARRAY(Q659),TRANSPOSE($Q$3:$U$3))</f>
        <v>8.5622159796557441E-4</v>
      </c>
      <c r="AA659" s="11">
        <f ca="1">AVEDEV(Q659*$Q$3,R659*$R$3,S659*$S$3,T659*$T$3,U659*$U$3)</f>
        <v>5.1533698014711389E-5</v>
      </c>
      <c r="AB659" s="11" cm="1">
        <f t="array" aca="1" ref="AB659" ca="1">MMULT(_xlfn.ANCHORARRAY(Q659),TRANSPOSE($Q$6:$U$6))</f>
        <v>-2.2762436946101167E-2</v>
      </c>
      <c r="AD659" s="2" t="s">
        <v>650</v>
      </c>
      <c r="AE659" s="10" cm="1">
        <f t="array" aca="1" ref="AE659:AI659" ca="1">_xlfn.LET(_xlpm.array,_xlfn.RANDARRAY(1,COLUMNS(_xlfn.ANCHORARRAY(Q658)),-1,1,FALSE),_xlpm.array/SUM(_xlpm.array))</f>
        <v>1.0105843947111037</v>
      </c>
      <c r="AF659" s="10">
        <f ca="1"/>
        <v>-0.97075126844295567</v>
      </c>
      <c r="AG659" s="10">
        <f ca="1"/>
        <v>-6.5554081819822363</v>
      </c>
      <c r="AH659" s="10">
        <f ca="1"/>
        <v>6.3482791316321441</v>
      </c>
      <c r="AI659" s="10">
        <f ca="1"/>
        <v>1.1672959240819443</v>
      </c>
      <c r="AJ659" s="1"/>
      <c r="AK659" s="2" cm="1">
        <f t="array" aca="1" ref="AK659" ca="1">MMULT(MMULT(_xlfn.ANCHORARRAY(AE659),$Q$9:$U$13),TRANSPOSE(_xlfn.ANCHORARRAY(AE659)))</f>
        <v>4.1137287824851827E-2</v>
      </c>
      <c r="AL659" s="2">
        <f t="shared" ca="1" si="25"/>
        <v>0.20282329211619612</v>
      </c>
      <c r="AM659" s="2" cm="1">
        <f t="array" aca="1" ref="AM659" ca="1">MMULT(_xlfn.ANCHORARRAY(AE660),TRANSPOSE($Q$3:$U$3))</f>
        <v>3.4948724466315209E-4</v>
      </c>
    </row>
    <row r="660" spans="1:39" x14ac:dyDescent="0.35">
      <c r="A660" s="3">
        <v>44785</v>
      </c>
      <c r="B660" s="4">
        <v>32.953487396240199</v>
      </c>
      <c r="C660" s="4">
        <v>137.238189697265</v>
      </c>
      <c r="D660" s="4">
        <v>44.663604736328097</v>
      </c>
      <c r="E660" s="4">
        <v>27.3971767425537</v>
      </c>
      <c r="F660" s="4">
        <v>283.04431152343699</v>
      </c>
      <c r="I660" s="5">
        <f>B660/B659-1</f>
        <v>1.0860607036459635E-2</v>
      </c>
      <c r="J660" s="5">
        <f>C660/C659-1</f>
        <v>1.4409146495528713E-3</v>
      </c>
      <c r="K660" s="5">
        <f>D660/D659-1</f>
        <v>1.3025107384609935E-2</v>
      </c>
      <c r="L660" s="5">
        <f>E660/E659-1</f>
        <v>-1.0169528666987282E-2</v>
      </c>
      <c r="M660" s="5">
        <f>F660/F659-1</f>
        <v>1.7037033463063622E-2</v>
      </c>
      <c r="N660" s="5">
        <f>SUMPRODUCT(I660:M660,$AJ$13:$AN$13)</f>
        <v>4.5329514706366775E-3</v>
      </c>
      <c r="P660" s="2" t="s">
        <v>651</v>
      </c>
      <c r="Q660" s="10" cm="1">
        <f t="array" aca="1" ref="Q660:U660" ca="1">_xlfn.LET(_xlpm.array,_xlfn.RANDARRAY(1,COLUMNS(_xlfn.ANCHORARRAY(Q659)),0,1,FALSE),_xlpm.array/SUM(_xlpm.array))</f>
        <v>2.6365653427094082E-2</v>
      </c>
      <c r="R660" s="2">
        <f ca="1"/>
        <v>0.41617148114836722</v>
      </c>
      <c r="S660" s="2">
        <f ca="1"/>
        <v>0.35802894161544258</v>
      </c>
      <c r="T660" s="2">
        <f ca="1"/>
        <v>0.11103962670627847</v>
      </c>
      <c r="U660" s="2">
        <f ca="1"/>
        <v>8.8394297102817751E-2</v>
      </c>
      <c r="V660" s="12"/>
      <c r="X660" s="2" cm="1">
        <f t="array" aca="1" ref="X660" ca="1">MMULT(MMULT(_xlfn.ANCHORARRAY(Q660),$Q$9:$U$13),TRANSPOSE(_xlfn.ANCHORARRAY(Q660)))</f>
        <v>3.4702081288621181E-4</v>
      </c>
      <c r="Y660" s="2">
        <f t="shared" ca="1" si="24"/>
        <v>1.862849464895679E-2</v>
      </c>
      <c r="Z660" s="2" cm="1">
        <f t="array" aca="1" ref="Z660" ca="1">MMULT(_xlfn.ANCHORARRAY(Q660),TRANSPOSE($Q$3:$U$3))</f>
        <v>1.0797928891552529E-3</v>
      </c>
      <c r="AA660" s="11">
        <f ca="1">AVEDEV(Q660*$Q$3,R660*$R$3,S660*$S$3,T660*$T$3,U660*$U$3)</f>
        <v>1.8137071562112625E-4</v>
      </c>
      <c r="AB660" s="11" cm="1">
        <f t="array" aca="1" ref="AB660" ca="1">MMULT(_xlfn.ANCHORARRAY(Q660),TRANSPOSE($Q$6:$U$6))</f>
        <v>-2.3436535525228942E-2</v>
      </c>
      <c r="AD660" s="2" t="s">
        <v>651</v>
      </c>
      <c r="AE660" s="10" cm="1">
        <f t="array" aca="1" ref="AE660:AI660" ca="1">_xlfn.LET(_xlpm.array,_xlfn.RANDARRAY(1,COLUMNS(_xlfn.ANCHORARRAY(Q659)),-1,1,FALSE),_xlpm.array/SUM(_xlpm.array))</f>
        <v>0.46402226730213136</v>
      </c>
      <c r="AF660" s="10">
        <f ca="1"/>
        <v>0.66063027441499134</v>
      </c>
      <c r="AG660" s="10">
        <f ca="1"/>
        <v>-0.31301226953214079</v>
      </c>
      <c r="AH660" s="10">
        <f ca="1"/>
        <v>-1.7540839677433702E-2</v>
      </c>
      <c r="AI660" s="10">
        <f ca="1"/>
        <v>0.20590056749245184</v>
      </c>
      <c r="AJ660" s="1"/>
      <c r="AK660" s="2" cm="1">
        <f t="array" aca="1" ref="AK660" ca="1">MMULT(MMULT(_xlfn.ANCHORARRAY(AE660),$Q$9:$U$13),TRANSPOSE(_xlfn.ANCHORARRAY(AE660)))</f>
        <v>4.3341893519508931E-4</v>
      </c>
      <c r="AL660" s="2">
        <f t="shared" ca="1" si="25"/>
        <v>2.0818715983342711E-2</v>
      </c>
      <c r="AM660" s="2" cm="1">
        <f t="array" aca="1" ref="AM660" ca="1">MMULT(_xlfn.ANCHORARRAY(AE661),TRANSPOSE($Q$3:$U$3))</f>
        <v>1.0038564116197674E-3</v>
      </c>
    </row>
    <row r="661" spans="1:39" x14ac:dyDescent="0.35">
      <c r="A661" s="3">
        <v>44788</v>
      </c>
      <c r="B661" s="4">
        <v>32.908092498779297</v>
      </c>
      <c r="C661" s="4">
        <v>134.62820434570301</v>
      </c>
      <c r="D661" s="4">
        <v>44.737709045410099</v>
      </c>
      <c r="E661" s="4">
        <v>26.798139572143501</v>
      </c>
      <c r="F661" s="4">
        <v>284.55691528320301</v>
      </c>
      <c r="I661" s="5">
        <f>B661/B660-1</f>
        <v>-1.3775445650126006E-3</v>
      </c>
      <c r="J661" s="5">
        <f>C661/C660-1</f>
        <v>-1.9017923198487052E-2</v>
      </c>
      <c r="K661" s="5">
        <f>D661/D660-1</f>
        <v>1.6591654327831051E-3</v>
      </c>
      <c r="L661" s="5">
        <f>E661/E660-1</f>
        <v>-2.186492338386703E-2</v>
      </c>
      <c r="M661" s="5">
        <f>F661/F660-1</f>
        <v>5.3440528503283513E-3</v>
      </c>
      <c r="N661" s="5">
        <f>SUMPRODUCT(I661:M661,$AJ$13:$AN$13)</f>
        <v>-6.5460218262817834E-3</v>
      </c>
      <c r="P661" s="2" t="s">
        <v>652</v>
      </c>
      <c r="Q661" s="10" cm="1">
        <f t="array" aca="1" ref="Q661:U661" ca="1">_xlfn.LET(_xlpm.array,_xlfn.RANDARRAY(1,COLUMNS(_xlfn.ANCHORARRAY(Q660)),0,1,FALSE),_xlpm.array/SUM(_xlpm.array))</f>
        <v>0.29046908982342151</v>
      </c>
      <c r="R661" s="2">
        <f ca="1"/>
        <v>0.25445482644567097</v>
      </c>
      <c r="S661" s="2">
        <f ca="1"/>
        <v>0.21574312449539745</v>
      </c>
      <c r="T661" s="2">
        <f ca="1"/>
        <v>0.23044834920657081</v>
      </c>
      <c r="U661" s="2">
        <f ca="1"/>
        <v>8.8846100289392722E-3</v>
      </c>
      <c r="V661" s="12"/>
      <c r="X661" s="2" cm="1">
        <f t="array" aca="1" ref="X661" ca="1">MMULT(MMULT(_xlfn.ANCHORARRAY(Q661),$Q$9:$U$13),TRANSPOSE(_xlfn.ANCHORARRAY(Q661)))</f>
        <v>3.2750456727947177E-4</v>
      </c>
      <c r="Y661" s="2">
        <f t="shared" ca="1" si="24"/>
        <v>1.8097087259541844E-2</v>
      </c>
      <c r="Z661" s="2" cm="1">
        <f t="array" aca="1" ref="Z661" ca="1">MMULT(_xlfn.ANCHORARRAY(Q661),TRANSPOSE($Q$3:$U$3))</f>
        <v>9.2603508468360666E-4</v>
      </c>
      <c r="AA661" s="11">
        <f ca="1">AVEDEV(Q661*$Q$3,R661*$R$3,S661*$S$3,T661*$T$3,U661*$U$3)</f>
        <v>8.6395512453251602E-5</v>
      </c>
      <c r="AB661" s="11" cm="1">
        <f t="array" aca="1" ref="AB661" ca="1">MMULT(_xlfn.ANCHORARRAY(Q661),TRANSPOSE($Q$6:$U$6))</f>
        <v>-2.3353309711673223E-2</v>
      </c>
      <c r="AD661" s="2" t="s">
        <v>652</v>
      </c>
      <c r="AE661" s="10" cm="1">
        <f t="array" aca="1" ref="AE661:AI661" ca="1">_xlfn.LET(_xlpm.array,_xlfn.RANDARRAY(1,COLUMNS(_xlfn.ANCHORARRAY(Q660)),-1,1,FALSE),_xlpm.array/SUM(_xlpm.array))</f>
        <v>0.36311932354711446</v>
      </c>
      <c r="AF661" s="10">
        <f ca="1"/>
        <v>0.24761066769226667</v>
      </c>
      <c r="AG661" s="10">
        <f ca="1"/>
        <v>0.36528448966897653</v>
      </c>
      <c r="AH661" s="10">
        <f ca="1"/>
        <v>0.10484243319793202</v>
      </c>
      <c r="AI661" s="10">
        <f ca="1"/>
        <v>-8.0856914106289424E-2</v>
      </c>
      <c r="AJ661" s="1"/>
      <c r="AK661" s="2" cm="1">
        <f t="array" aca="1" ref="AK661" ca="1">MMULT(MMULT(_xlfn.ANCHORARRAY(AE661),$Q$9:$U$13),TRANSPOSE(_xlfn.ANCHORARRAY(AE661)))</f>
        <v>3.8254042114506289E-4</v>
      </c>
      <c r="AL661" s="2">
        <f t="shared" ca="1" si="25"/>
        <v>1.955864057507737E-2</v>
      </c>
      <c r="AM661" s="2" cm="1">
        <f t="array" aca="1" ref="AM661" ca="1">MMULT(_xlfn.ANCHORARRAY(AE662),TRANSPOSE($Q$3:$U$3))</f>
        <v>6.8523612113132479E-4</v>
      </c>
    </row>
    <row r="662" spans="1:39" x14ac:dyDescent="0.35">
      <c r="A662" s="3">
        <v>44789</v>
      </c>
      <c r="B662" s="4">
        <v>33.262142181396399</v>
      </c>
      <c r="C662" s="4">
        <v>134.28480529785099</v>
      </c>
      <c r="D662" s="4">
        <v>45.006313323974602</v>
      </c>
      <c r="E662" s="4">
        <v>26.8991794586181</v>
      </c>
      <c r="F662" s="4">
        <v>283.82000732421801</v>
      </c>
      <c r="I662" s="5">
        <f>B662/B661-1</f>
        <v>1.0758742173531788E-2</v>
      </c>
      <c r="J662" s="5">
        <f>C662/C661-1</f>
        <v>-2.5507214444473458E-3</v>
      </c>
      <c r="K662" s="5">
        <f>D662/D661-1</f>
        <v>6.0039792894146515E-3</v>
      </c>
      <c r="L662" s="5">
        <f>E662/E661-1</f>
        <v>3.770406755386535E-3</v>
      </c>
      <c r="M662" s="5">
        <f>F662/F661-1</f>
        <v>-2.5896680748439538E-3</v>
      </c>
      <c r="N662" s="5">
        <f>SUMPRODUCT(I662:M662,$AJ$13:$AN$13)</f>
        <v>9.947807620262609E-4</v>
      </c>
      <c r="P662" s="2" t="s">
        <v>653</v>
      </c>
      <c r="Q662" s="10" cm="1">
        <f t="array" aca="1" ref="Q662:U662" ca="1">_xlfn.LET(_xlpm.array,_xlfn.RANDARRAY(1,COLUMNS(_xlfn.ANCHORARRAY(Q661)),0,1,FALSE),_xlpm.array/SUM(_xlpm.array))</f>
        <v>0.24783637317374227</v>
      </c>
      <c r="R662" s="2">
        <f ca="1"/>
        <v>0.13633359154650709</v>
      </c>
      <c r="S662" s="2">
        <f ca="1"/>
        <v>0.29327732896162412</v>
      </c>
      <c r="T662" s="2">
        <f ca="1"/>
        <v>0.22356941465781952</v>
      </c>
      <c r="U662" s="2">
        <f ca="1"/>
        <v>9.8983291660307005E-2</v>
      </c>
      <c r="V662" s="12"/>
      <c r="X662" s="2" cm="1">
        <f t="array" aca="1" ref="X662" ca="1">MMULT(MMULT(_xlfn.ANCHORARRAY(Q662),$Q$9:$U$13),TRANSPOSE(_xlfn.ANCHORARRAY(Q662)))</f>
        <v>3.1507209622239481E-4</v>
      </c>
      <c r="Y662" s="2">
        <f t="shared" ca="1" si="24"/>
        <v>1.7750270314065498E-2</v>
      </c>
      <c r="Z662" s="2" cm="1">
        <f t="array" aca="1" ref="Z662" ca="1">MMULT(_xlfn.ANCHORARRAY(Q662),TRANSPOSE($Q$3:$U$3))</f>
        <v>1.0059107194549685E-3</v>
      </c>
      <c r="AA662" s="11">
        <f ca="1">AVEDEV(Q662*$Q$3,R662*$R$3,S662*$S$3,T662*$T$3,U662*$U$3)</f>
        <v>1.2092826570972845E-4</v>
      </c>
      <c r="AB662" s="11" cm="1">
        <f t="array" aca="1" ref="AB662" ca="1">MMULT(_xlfn.ANCHORARRAY(Q662),TRANSPOSE($Q$6:$U$6))</f>
        <v>-2.3744570670343655E-2</v>
      </c>
      <c r="AD662" s="2" t="s">
        <v>653</v>
      </c>
      <c r="AE662" s="10" cm="1">
        <f t="array" aca="1" ref="AE662:AI662" ca="1">_xlfn.LET(_xlpm.array,_xlfn.RANDARRAY(1,COLUMNS(_xlfn.ANCHORARRAY(Q661)),-1,1,FALSE),_xlpm.array/SUM(_xlpm.array))</f>
        <v>0.20496945123620258</v>
      </c>
      <c r="AF662" s="10">
        <f ca="1"/>
        <v>0.26842911939916758</v>
      </c>
      <c r="AG662" s="10">
        <f ca="1"/>
        <v>-0.14479456468641796</v>
      </c>
      <c r="AH662" s="10">
        <f ca="1"/>
        <v>0.41544268081404767</v>
      </c>
      <c r="AI662" s="10">
        <f ca="1"/>
        <v>0.25595331323700021</v>
      </c>
      <c r="AJ662" s="1"/>
      <c r="AK662" s="2" cm="1">
        <f t="array" aca="1" ref="AK662" ca="1">MMULT(MMULT(_xlfn.ANCHORARRAY(AE662),$Q$9:$U$13),TRANSPOSE(_xlfn.ANCHORARRAY(AE662)))</f>
        <v>3.2894968811363068E-4</v>
      </c>
      <c r="AL662" s="2">
        <f t="shared" ca="1" si="25"/>
        <v>1.8136970202148724E-2</v>
      </c>
      <c r="AM662" s="2" cm="1">
        <f t="array" aca="1" ref="AM662" ca="1">MMULT(_xlfn.ANCHORARRAY(AE663),TRANSPOSE($Q$3:$U$3))</f>
        <v>5.5839115368954361E-4</v>
      </c>
    </row>
    <row r="663" spans="1:39" x14ac:dyDescent="0.35">
      <c r="A663" s="3">
        <v>44790</v>
      </c>
      <c r="B663" s="4">
        <v>33.053337097167898</v>
      </c>
      <c r="C663" s="4">
        <v>135.39237976074199</v>
      </c>
      <c r="D663" s="4">
        <v>44.302371978759702</v>
      </c>
      <c r="E663" s="4">
        <v>27.209529876708899</v>
      </c>
      <c r="F663" s="4">
        <v>283.07186889648398</v>
      </c>
      <c r="I663" s="5">
        <f>B663/B662-1</f>
        <v>-6.2775597281069517E-3</v>
      </c>
      <c r="J663" s="5">
        <f>C663/C662-1</f>
        <v>8.247950767283907E-3</v>
      </c>
      <c r="K663" s="5">
        <f>D663/D662-1</f>
        <v>-1.5640946641144127E-2</v>
      </c>
      <c r="L663" s="5">
        <f>E663/E662-1</f>
        <v>1.1537542197829653E-2</v>
      </c>
      <c r="M663" s="5">
        <f>F663/F662-1</f>
        <v>-2.6359608499318954E-3</v>
      </c>
      <c r="N663" s="5">
        <f>SUMPRODUCT(I663:M663,$AJ$13:$AN$13)</f>
        <v>-2.0880163191386702E-3</v>
      </c>
      <c r="P663" s="2" t="s">
        <v>654</v>
      </c>
      <c r="Q663" s="10" cm="1">
        <f t="array" aca="1" ref="Q663:U663" ca="1">_xlfn.LET(_xlpm.array,_xlfn.RANDARRAY(1,COLUMNS(_xlfn.ANCHORARRAY(Q662)),0,1,FALSE),_xlpm.array/SUM(_xlpm.array))</f>
        <v>0.35818615970474293</v>
      </c>
      <c r="R663" s="2">
        <f ca="1"/>
        <v>0.27010160619519552</v>
      </c>
      <c r="S663" s="2">
        <f ca="1"/>
        <v>0.12043318877810767</v>
      </c>
      <c r="T663" s="2">
        <f ca="1"/>
        <v>0.23838784308752328</v>
      </c>
      <c r="U663" s="2">
        <f ca="1"/>
        <v>1.2891202234430566E-2</v>
      </c>
      <c r="V663" s="12"/>
      <c r="X663" s="2" cm="1">
        <f t="array" aca="1" ref="X663" ca="1">MMULT(MMULT(_xlfn.ANCHORARRAY(Q663),$Q$9:$U$13),TRANSPOSE(_xlfn.ANCHORARRAY(Q663)))</f>
        <v>3.2605529288212828E-4</v>
      </c>
      <c r="Y663" s="2">
        <f t="shared" ca="1" si="24"/>
        <v>1.8057001215100149E-2</v>
      </c>
      <c r="Z663" s="2" cm="1">
        <f t="array" aca="1" ref="Z663" ca="1">MMULT(_xlfn.ANCHORARRAY(Q663),TRANSPOSE($Q$3:$U$3))</f>
        <v>8.2827009186923995E-4</v>
      </c>
      <c r="AA663" s="11">
        <f ca="1">AVEDEV(Q663*$Q$3,R663*$R$3,S663*$S$3,T663*$T$3,U663*$U$3)</f>
        <v>6.2317653250938281E-5</v>
      </c>
      <c r="AB663" s="11" cm="1">
        <f t="array" aca="1" ref="AB663" ca="1">MMULT(_xlfn.ANCHORARRAY(Q663),TRANSPOSE($Q$6:$U$6))</f>
        <v>-2.2831565760803228E-2</v>
      </c>
      <c r="AD663" s="2" t="s">
        <v>654</v>
      </c>
      <c r="AE663" s="10" cm="1">
        <f t="array" aca="1" ref="AE663:AI663" ca="1">_xlfn.LET(_xlpm.array,_xlfn.RANDARRAY(1,COLUMNS(_xlfn.ANCHORARRAY(Q662)),-1,1,FALSE),_xlpm.array/SUM(_xlpm.array))</f>
        <v>0.42772594091226912</v>
      </c>
      <c r="AF663" s="10">
        <f ca="1"/>
        <v>-0.26163621568764583</v>
      </c>
      <c r="AG663" s="10">
        <f ca="1"/>
        <v>-0.30672164149018027</v>
      </c>
      <c r="AH663" s="10">
        <f ca="1"/>
        <v>0.61440841497284449</v>
      </c>
      <c r="AI663" s="10">
        <f ca="1"/>
        <v>0.52622350129271256</v>
      </c>
      <c r="AJ663" s="1"/>
      <c r="AK663" s="2" cm="1">
        <f t="array" aca="1" ref="AK663" ca="1">MMULT(MMULT(_xlfn.ANCHORARRAY(AE663),$Q$9:$U$13),TRANSPOSE(_xlfn.ANCHORARRAY(AE663)))</f>
        <v>3.8937456637562875E-4</v>
      </c>
      <c r="AL663" s="2">
        <f t="shared" ca="1" si="25"/>
        <v>1.9732576273148641E-2</v>
      </c>
      <c r="AM663" s="2" cm="1">
        <f t="array" aca="1" ref="AM663" ca="1">MMULT(_xlfn.ANCHORARRAY(AE664),TRANSPOSE($Q$3:$U$3))</f>
        <v>-1.1130142301457471E-4</v>
      </c>
    </row>
    <row r="664" spans="1:39" x14ac:dyDescent="0.35">
      <c r="A664" s="3">
        <v>44791</v>
      </c>
      <c r="B664" s="4">
        <v>32.935314178466797</v>
      </c>
      <c r="C664" s="4">
        <v>137.76611328125</v>
      </c>
      <c r="D664" s="4">
        <v>45.330509185791001</v>
      </c>
      <c r="E664" s="4">
        <v>27.447696685791001</v>
      </c>
      <c r="F664" s="4">
        <v>281.95437622070301</v>
      </c>
      <c r="I664" s="5">
        <f>B664/B663-1</f>
        <v>-3.5706808772181242E-3</v>
      </c>
      <c r="J664" s="5">
        <f>C664/C663-1</f>
        <v>1.7532253474698889E-2</v>
      </c>
      <c r="K664" s="5">
        <f>D664/D663-1</f>
        <v>2.3207272231929865E-2</v>
      </c>
      <c r="L664" s="5">
        <f>E664/E663-1</f>
        <v>8.7530659354011497E-3</v>
      </c>
      <c r="M664" s="5">
        <f>F664/F663-1</f>
        <v>-3.9477348283930569E-3</v>
      </c>
      <c r="N664" s="5">
        <f>SUMPRODUCT(I664:M664,$AJ$13:$AN$13)</f>
        <v>1.5312894785142556E-2</v>
      </c>
      <c r="P664" s="2" t="s">
        <v>655</v>
      </c>
      <c r="Q664" s="10" cm="1">
        <f t="array" aca="1" ref="Q664:U664" ca="1">_xlfn.LET(_xlpm.array,_xlfn.RANDARRAY(1,COLUMNS(_xlfn.ANCHORARRAY(Q663)),0,1,FALSE),_xlpm.array/SUM(_xlpm.array))</f>
        <v>0.15141177400415004</v>
      </c>
      <c r="R664" s="2">
        <f ca="1"/>
        <v>0.27177320874138339</v>
      </c>
      <c r="S664" s="2">
        <f ca="1"/>
        <v>0.10850682977613471</v>
      </c>
      <c r="T664" s="2">
        <f ca="1"/>
        <v>0.18752066357032607</v>
      </c>
      <c r="U664" s="2">
        <f ca="1"/>
        <v>0.28078752390800571</v>
      </c>
      <c r="V664" s="12"/>
      <c r="X664" s="2" cm="1">
        <f t="array" aca="1" ref="X664" ca="1">MMULT(MMULT(_xlfn.ANCHORARRAY(Q664),$Q$9:$U$13),TRANSPOSE(_xlfn.ANCHORARRAY(Q664)))</f>
        <v>2.6022789548789952E-4</v>
      </c>
      <c r="Y664" s="2">
        <f t="shared" ca="1" si="24"/>
        <v>1.6131580687827822E-2</v>
      </c>
      <c r="Z664" s="2" cm="1">
        <f t="array" aca="1" ref="Z664" ca="1">MMULT(_xlfn.ANCHORARRAY(Q664),TRANSPOSE($Q$3:$U$3))</f>
        <v>8.5796478217182624E-4</v>
      </c>
      <c r="AA664" s="11">
        <f ca="1">AVEDEV(Q664*$Q$3,R664*$R$3,S664*$S$3,T664*$T$3,U664*$U$3)</f>
        <v>3.7855396204140767E-5</v>
      </c>
      <c r="AB664" s="11" cm="1">
        <f t="array" aca="1" ref="AB664" ca="1">MMULT(_xlfn.ANCHORARRAY(Q664),TRANSPOSE($Q$6:$U$6))</f>
        <v>-2.2186670767696204E-2</v>
      </c>
      <c r="AD664" s="2" t="s">
        <v>655</v>
      </c>
      <c r="AE664" s="10" cm="1">
        <f t="array" aca="1" ref="AE664:AI664" ca="1">_xlfn.LET(_xlpm.array,_xlfn.RANDARRAY(1,COLUMNS(_xlfn.ANCHORARRAY(Q663)),-1,1,FALSE),_xlpm.array/SUM(_xlpm.array))</f>
        <v>1.1181984599326702</v>
      </c>
      <c r="AF664" s="10">
        <f ca="1"/>
        <v>0.57064636259573598</v>
      </c>
      <c r="AG664" s="10">
        <f ca="1"/>
        <v>-0.23866823312179064</v>
      </c>
      <c r="AH664" s="10">
        <f ca="1"/>
        <v>-1.419257192000194</v>
      </c>
      <c r="AI664" s="10">
        <f ca="1"/>
        <v>0.96908060259357853</v>
      </c>
      <c r="AJ664" s="1"/>
      <c r="AK664" s="2" cm="1">
        <f t="array" aca="1" ref="AK664" ca="1">MMULT(MMULT(_xlfn.ANCHORARRAY(AE664),$Q$9:$U$13),TRANSPOSE(_xlfn.ANCHORARRAY(AE664)))</f>
        <v>1.3364727795351669E-3</v>
      </c>
      <c r="AL664" s="2">
        <f t="shared" ca="1" si="25"/>
        <v>3.6557800529232701E-2</v>
      </c>
      <c r="AM664" s="2" cm="1">
        <f t="array" aca="1" ref="AM664" ca="1">MMULT(_xlfn.ANCHORARRAY(AE665),TRANSPOSE($Q$3:$U$3))</f>
        <v>-1.4376216531437423E-3</v>
      </c>
    </row>
    <row r="665" spans="1:39" x14ac:dyDescent="0.35">
      <c r="A665" s="3">
        <v>44792</v>
      </c>
      <c r="B665" s="4">
        <v>32.209083557128899</v>
      </c>
      <c r="C665" s="4">
        <v>136.61386108398401</v>
      </c>
      <c r="D665" s="4">
        <v>44.154167175292898</v>
      </c>
      <c r="E665" s="4">
        <v>27.74361038208</v>
      </c>
      <c r="F665" s="4">
        <v>278.04821777343699</v>
      </c>
      <c r="I665" s="5">
        <f>B665/B664-1</f>
        <v>-2.2050210828494565E-2</v>
      </c>
      <c r="J665" s="5">
        <f>C665/C664-1</f>
        <v>-8.3638288823150164E-3</v>
      </c>
      <c r="K665" s="5">
        <f>D665/D664-1</f>
        <v>-2.5950337457643968E-2</v>
      </c>
      <c r="L665" s="5">
        <f>E665/E664-1</f>
        <v>1.0781002853408328E-2</v>
      </c>
      <c r="M665" s="5">
        <f>F665/F664-1</f>
        <v>-1.3853867067516012E-2</v>
      </c>
      <c r="N665" s="5">
        <f>SUMPRODUCT(I665:M665,$AJ$13:$AN$13)</f>
        <v>-6.4507364929056827E-3</v>
      </c>
      <c r="P665" s="2" t="s">
        <v>656</v>
      </c>
      <c r="Q665" s="10" cm="1">
        <f t="array" aca="1" ref="Q665:U665" ca="1">_xlfn.LET(_xlpm.array,_xlfn.RANDARRAY(1,COLUMNS(_xlfn.ANCHORARRAY(Q664)),0,1,FALSE),_xlpm.array/SUM(_xlpm.array))</f>
        <v>0.19009404585680392</v>
      </c>
      <c r="R665" s="2">
        <f ca="1"/>
        <v>0.19249968654456737</v>
      </c>
      <c r="S665" s="2">
        <f ca="1"/>
        <v>0.33202400548561434</v>
      </c>
      <c r="T665" s="2">
        <f ca="1"/>
        <v>0.15088127816116109</v>
      </c>
      <c r="U665" s="2">
        <f ca="1"/>
        <v>0.13450098395185339</v>
      </c>
      <c r="V665" s="12"/>
      <c r="X665" s="2" cm="1">
        <f t="array" aca="1" ref="X665" ca="1">MMULT(MMULT(_xlfn.ANCHORARRAY(Q665),$Q$9:$U$13),TRANSPOSE(_xlfn.ANCHORARRAY(Q665)))</f>
        <v>3.1728928401493224E-4</v>
      </c>
      <c r="Y665" s="2">
        <f t="shared" ca="1" si="24"/>
        <v>1.7812615866708972E-2</v>
      </c>
      <c r="Z665" s="2" cm="1">
        <f t="array" aca="1" ref="Z665" ca="1">MMULT(_xlfn.ANCHORARRAY(Q665),TRANSPOSE($Q$3:$U$3))</f>
        <v>1.033409104117548E-3</v>
      </c>
      <c r="AA665" s="11">
        <f ca="1">AVEDEV(Q665*$Q$3,R665*$R$3,S665*$S$3,T665*$T$3,U665*$U$3)</f>
        <v>1.3301016831874414E-4</v>
      </c>
      <c r="AB665" s="11" cm="1">
        <f t="array" aca="1" ref="AB665" ca="1">MMULT(_xlfn.ANCHORARRAY(Q665),TRANSPOSE($Q$6:$U$6))</f>
        <v>-2.359167947749579E-2</v>
      </c>
      <c r="AD665" s="2" t="s">
        <v>656</v>
      </c>
      <c r="AE665" s="10" cm="1">
        <f t="array" aca="1" ref="AE665:AI665" ca="1">_xlfn.LET(_xlpm.array,_xlfn.RANDARRAY(1,COLUMNS(_xlfn.ANCHORARRAY(Q664)),-1,1,FALSE),_xlpm.array/SUM(_xlpm.array))</f>
        <v>3.2970656119553041</v>
      </c>
      <c r="AF665" s="10">
        <f ca="1"/>
        <v>-5.692497729821441</v>
      </c>
      <c r="AG665" s="10">
        <f ca="1"/>
        <v>-1.4035106263281418</v>
      </c>
      <c r="AH665" s="10">
        <f ca="1"/>
        <v>-1.3539554625906114</v>
      </c>
      <c r="AI665" s="10">
        <f ca="1"/>
        <v>6.1528982067848901</v>
      </c>
      <c r="AJ665" s="1"/>
      <c r="AK665" s="2" cm="1">
        <f t="array" aca="1" ref="AK665" ca="1">MMULT(MMULT(_xlfn.ANCHORARRAY(AE665),$Q$9:$U$13),TRANSPOSE(_xlfn.ANCHORARRAY(AE665)))</f>
        <v>2.2993237099426793E-2</v>
      </c>
      <c r="AL665" s="2">
        <f t="shared" ca="1" si="25"/>
        <v>0.15163521061886251</v>
      </c>
      <c r="AM665" s="2" cm="1">
        <f t="array" aca="1" ref="AM665" ca="1">MMULT(_xlfn.ANCHORARRAY(AE666),TRANSPOSE($Q$3:$U$3))</f>
        <v>7.8448854599973161E-4</v>
      </c>
    </row>
    <row r="666" spans="1:39" x14ac:dyDescent="0.35">
      <c r="A666" s="3">
        <v>44795</v>
      </c>
      <c r="B666" s="4">
        <v>31.519145965576101</v>
      </c>
      <c r="C666" s="4">
        <v>135.92945861816401</v>
      </c>
      <c r="D666" s="4">
        <v>43.3853950500488</v>
      </c>
      <c r="E666" s="4">
        <v>28.7251796722412</v>
      </c>
      <c r="F666" s="4">
        <v>269.88601684570301</v>
      </c>
      <c r="I666" s="5">
        <f>B666/B665-1</f>
        <v>-2.1420590571261111E-2</v>
      </c>
      <c r="J666" s="5">
        <f>C666/C665-1</f>
        <v>-5.0097586027472163E-3</v>
      </c>
      <c r="K666" s="5">
        <f>D666/D665-1</f>
        <v>-1.7411088792413598E-2</v>
      </c>
      <c r="L666" s="5">
        <f>E666/E665-1</f>
        <v>3.5380012790087623E-2</v>
      </c>
      <c r="M666" s="5">
        <f>F666/F665-1</f>
        <v>-2.9355343447605931E-2</v>
      </c>
      <c r="N666" s="5">
        <f>SUMPRODUCT(I666:M666,$AJ$13:$AN$13)</f>
        <v>4.019278040141714E-3</v>
      </c>
      <c r="P666" s="2" t="s">
        <v>657</v>
      </c>
      <c r="Q666" s="10" cm="1">
        <f t="array" aca="1" ref="Q666:U666" ca="1">_xlfn.LET(_xlpm.array,_xlfn.RANDARRAY(1,COLUMNS(_xlfn.ANCHORARRAY(Q665)),0,1,FALSE),_xlpm.array/SUM(_xlpm.array))</f>
        <v>0.24665470716629567</v>
      </c>
      <c r="R666" s="2">
        <f ca="1"/>
        <v>0.15126463357633957</v>
      </c>
      <c r="S666" s="2">
        <f ca="1"/>
        <v>0.21581121577986104</v>
      </c>
      <c r="T666" s="2">
        <f ca="1"/>
        <v>0.30133461423989844</v>
      </c>
      <c r="U666" s="2">
        <f ca="1"/>
        <v>8.493482923760548E-2</v>
      </c>
      <c r="V666" s="12"/>
      <c r="X666" s="2" cm="1">
        <f t="array" aca="1" ref="X666" ca="1">MMULT(MMULT(_xlfn.ANCHORARRAY(Q666),$Q$9:$U$13),TRANSPOSE(_xlfn.ANCHORARRAY(Q666)))</f>
        <v>3.0937016789186632E-4</v>
      </c>
      <c r="Y666" s="2">
        <f t="shared" ref="Y666:Y729" ca="1" si="26">SQRT(X666)</f>
        <v>1.7588921737612749E-2</v>
      </c>
      <c r="Z666" s="2" cm="1">
        <f t="array" aca="1" ref="Z666" ca="1">MMULT(_xlfn.ANCHORARRAY(Q666),TRANSPOSE($Q$3:$U$3))</f>
        <v>9.5910958402654217E-4</v>
      </c>
      <c r="AA666" s="11">
        <f ca="1">AVEDEV(Q666*$Q$3,R666*$R$3,S666*$S$3,T666*$T$3,U666*$U$3)</f>
        <v>1.0987294020594588E-4</v>
      </c>
      <c r="AB666" s="11" cm="1">
        <f t="array" aca="1" ref="AB666" ca="1">MMULT(_xlfn.ANCHORARRAY(Q666),TRANSPOSE($Q$6:$U$6))</f>
        <v>-2.3597364585908834E-2</v>
      </c>
      <c r="AD666" s="2" t="s">
        <v>657</v>
      </c>
      <c r="AE666" s="10" cm="1">
        <f t="array" aca="1" ref="AE666:AI666" ca="1">_xlfn.LET(_xlpm.array,_xlfn.RANDARRAY(1,COLUMNS(_xlfn.ANCHORARRAY(Q665)),-1,1,FALSE),_xlpm.array/SUM(_xlpm.array))</f>
        <v>0.21436038022530118</v>
      </c>
      <c r="AF666" s="10">
        <f ca="1"/>
        <v>0.1953647176004833</v>
      </c>
      <c r="AG666" s="10">
        <f ca="1"/>
        <v>5.3260524597556751E-2</v>
      </c>
      <c r="AH666" s="10">
        <f ca="1"/>
        <v>0.13882478617764832</v>
      </c>
      <c r="AI666" s="10">
        <f ca="1"/>
        <v>0.39818959139901045</v>
      </c>
      <c r="AJ666" s="1"/>
      <c r="AK666" s="2" cm="1">
        <f t="array" aca="1" ref="AK666" ca="1">MMULT(MMULT(_xlfn.ANCHORARRAY(AE666),$Q$9:$U$13),TRANSPOSE(_xlfn.ANCHORARRAY(AE666)))</f>
        <v>2.4512683607460925E-4</v>
      </c>
      <c r="AL666" s="2">
        <f t="shared" ref="AL666:AL729" ca="1" si="27">SQRT(AK666)</f>
        <v>1.5656526948037014E-2</v>
      </c>
      <c r="AM666" s="2" cm="1">
        <f t="array" aca="1" ref="AM666" ca="1">MMULT(_xlfn.ANCHORARRAY(AE667),TRANSPOSE($Q$3:$U$3))</f>
        <v>8.6072301845961869E-4</v>
      </c>
    </row>
    <row r="667" spans="1:39" x14ac:dyDescent="0.35">
      <c r="A667" s="3">
        <v>44796</v>
      </c>
      <c r="B667" s="4">
        <v>31.237724304199201</v>
      </c>
      <c r="C667" s="4">
        <v>140.33914184570301</v>
      </c>
      <c r="D667" s="4">
        <v>43.478015899658203</v>
      </c>
      <c r="E667" s="4">
        <v>29.5335273742675</v>
      </c>
      <c r="F667" s="4">
        <v>268.61309814453102</v>
      </c>
      <c r="I667" s="5">
        <f>B667/B666-1</f>
        <v>-8.9285941213083087E-3</v>
      </c>
      <c r="J667" s="5">
        <f>C667/C666-1</f>
        <v>3.2440968075405419E-2</v>
      </c>
      <c r="K667" s="5">
        <f>D667/D666-1</f>
        <v>2.1348393740003857E-3</v>
      </c>
      <c r="L667" s="5">
        <f>E667/E666-1</f>
        <v>2.8140736150293E-2</v>
      </c>
      <c r="M667" s="5">
        <f>F667/F666-1</f>
        <v>-4.7165048269237619E-3</v>
      </c>
      <c r="N667" s="5">
        <f>SUMPRODUCT(I667:M667,$AJ$13:$AN$13)</f>
        <v>1.4204411003272946E-2</v>
      </c>
      <c r="P667" s="2" t="s">
        <v>658</v>
      </c>
      <c r="Q667" s="10" cm="1">
        <f t="array" aca="1" ref="Q667:U667" ca="1">_xlfn.LET(_xlpm.array,_xlfn.RANDARRAY(1,COLUMNS(_xlfn.ANCHORARRAY(Q666)),0,1,FALSE),_xlpm.array/SUM(_xlpm.array))</f>
        <v>0.28618706008056322</v>
      </c>
      <c r="R667" s="2">
        <f ca="1"/>
        <v>7.0718390170680878E-2</v>
      </c>
      <c r="S667" s="2">
        <f ca="1"/>
        <v>0.19532502492773551</v>
      </c>
      <c r="T667" s="2">
        <f ca="1"/>
        <v>0.31135392884989455</v>
      </c>
      <c r="U667" s="2">
        <f ca="1"/>
        <v>0.1364155959711259</v>
      </c>
      <c r="V667" s="12"/>
      <c r="X667" s="2" cm="1">
        <f t="array" aca="1" ref="X667" ca="1">MMULT(MMULT(_xlfn.ANCHORARRAY(Q667),$Q$9:$U$13),TRANSPOSE(_xlfn.ANCHORARRAY(Q667)))</f>
        <v>2.9629842523109579E-4</v>
      </c>
      <c r="Y667" s="2">
        <f t="shared" ca="1" si="26"/>
        <v>1.7213321156334005E-2</v>
      </c>
      <c r="Z667" s="2" cm="1">
        <f t="array" aca="1" ref="Z667" ca="1">MMULT(_xlfn.ANCHORARRAY(Q667),TRANSPOSE($Q$3:$U$3))</f>
        <v>9.3672531644278182E-4</v>
      </c>
      <c r="AA667" s="11">
        <f ca="1">AVEDEV(Q667*$Q$3,R667*$R$3,S667*$S$3,T667*$T$3,U667*$U$3)</f>
        <v>1.0424094846827349E-4</v>
      </c>
      <c r="AB667" s="11" cm="1">
        <f t="array" aca="1" ref="AB667" ca="1">MMULT(_xlfn.ANCHORARRAY(Q667),TRANSPOSE($Q$6:$U$6))</f>
        <v>-2.3524616106009748E-2</v>
      </c>
      <c r="AD667" s="2" t="s">
        <v>658</v>
      </c>
      <c r="AE667" s="10" cm="1">
        <f t="array" aca="1" ref="AE667:AI667" ca="1">_xlfn.LET(_xlpm.array,_xlfn.RANDARRAY(1,COLUMNS(_xlfn.ANCHORARRAY(Q666)),-1,1,FALSE),_xlpm.array/SUM(_xlpm.array))</f>
        <v>-0.39995946584166658</v>
      </c>
      <c r="AF667" s="10">
        <f ca="1"/>
        <v>3.412161264731278</v>
      </c>
      <c r="AG667" s="10">
        <f ca="1"/>
        <v>-0.35067626400536683</v>
      </c>
      <c r="AH667" s="10">
        <f ca="1"/>
        <v>1.6070449964867783</v>
      </c>
      <c r="AI667" s="10">
        <f ca="1"/>
        <v>-3.2685705313710232</v>
      </c>
      <c r="AJ667" s="1"/>
      <c r="AK667" s="2" cm="1">
        <f t="array" aca="1" ref="AK667" ca="1">MMULT(MMULT(_xlfn.ANCHORARRAY(AE667),$Q$9:$U$13),TRANSPOSE(_xlfn.ANCHORARRAY(AE667)))</f>
        <v>1.0051194838694363E-2</v>
      </c>
      <c r="AL667" s="2">
        <f t="shared" ca="1" si="27"/>
        <v>0.10025564741546664</v>
      </c>
      <c r="AM667" s="2" cm="1">
        <f t="array" aca="1" ref="AM667" ca="1">MMULT(_xlfn.ANCHORARRAY(AE668),TRANSPOSE($Q$3:$U$3))</f>
        <v>6.8985402140907097E-4</v>
      </c>
    </row>
    <row r="668" spans="1:39" x14ac:dyDescent="0.35">
      <c r="A668" s="3">
        <v>44797</v>
      </c>
      <c r="B668" s="4">
        <v>31.337583541870099</v>
      </c>
      <c r="C668" s="4">
        <v>141.37876892089801</v>
      </c>
      <c r="D668" s="4">
        <v>43.181613922119098</v>
      </c>
      <c r="E668" s="4">
        <v>30.2697029113769</v>
      </c>
      <c r="F668" s="4">
        <v>267.98150634765602</v>
      </c>
      <c r="I668" s="5">
        <f>B668/B667-1</f>
        <v>3.1967513605808406E-3</v>
      </c>
      <c r="J668" s="5">
        <f>C668/C667-1</f>
        <v>7.4079623227141234E-3</v>
      </c>
      <c r="K668" s="5">
        <f>D668/D667-1</f>
        <v>-6.8172838940756542E-3</v>
      </c>
      <c r="L668" s="5">
        <f>E668/E667-1</f>
        <v>2.4926773147688097E-2</v>
      </c>
      <c r="M668" s="5">
        <f>F668/F667-1</f>
        <v>-2.3513067725950965E-3</v>
      </c>
      <c r="N668" s="5">
        <f>SUMPRODUCT(I668:M668,$AJ$13:$AN$13)</f>
        <v>6.144938065039021E-3</v>
      </c>
      <c r="P668" s="2" t="s">
        <v>659</v>
      </c>
      <c r="Q668" s="10" cm="1">
        <f t="array" aca="1" ref="Q668:U668" ca="1">_xlfn.LET(_xlpm.array,_xlfn.RANDARRAY(1,COLUMNS(_xlfn.ANCHORARRAY(Q667)),0,1,FALSE),_xlpm.array/SUM(_xlpm.array))</f>
        <v>0.32173478561529639</v>
      </c>
      <c r="R668" s="2">
        <f ca="1"/>
        <v>0.20220679213526199</v>
      </c>
      <c r="S668" s="2">
        <f ca="1"/>
        <v>7.1986155139153712E-2</v>
      </c>
      <c r="T668" s="2">
        <f ca="1"/>
        <v>0.13529766188768286</v>
      </c>
      <c r="U668" s="2">
        <f ca="1"/>
        <v>0.26877460522260499</v>
      </c>
      <c r="V668" s="12"/>
      <c r="X668" s="2" cm="1">
        <f t="array" aca="1" ref="X668" ca="1">MMULT(MMULT(_xlfn.ANCHORARRAY(Q668),$Q$9:$U$13),TRANSPOSE(_xlfn.ANCHORARRAY(Q668)))</f>
        <v>2.6162968416771043E-4</v>
      </c>
      <c r="Y668" s="2">
        <f t="shared" ca="1" si="26"/>
        <v>1.6174970917059186E-2</v>
      </c>
      <c r="Z668" s="2" cm="1">
        <f t="array" aca="1" ref="Z668" ca="1">MMULT(_xlfn.ANCHORARRAY(Q668),TRANSPOSE($Q$3:$U$3))</f>
        <v>7.7188105621284078E-4</v>
      </c>
      <c r="AA668" s="11">
        <f ca="1">AVEDEV(Q668*$Q$3,R668*$R$3,S668*$S$3,T668*$T$3,U668*$U$3)</f>
        <v>2.4136543147952969E-5</v>
      </c>
      <c r="AB668" s="11" cm="1">
        <f t="array" aca="1" ref="AB668" ca="1">MMULT(_xlfn.ANCHORARRAY(Q668),TRANSPOSE($Q$6:$U$6))</f>
        <v>-2.1886637065750052E-2</v>
      </c>
      <c r="AD668" s="2" t="s">
        <v>659</v>
      </c>
      <c r="AE668" s="10" cm="1">
        <f t="array" aca="1" ref="AE668:AI668" ca="1">_xlfn.LET(_xlpm.array,_xlfn.RANDARRAY(1,COLUMNS(_xlfn.ANCHORARRAY(Q667)),-1,1,FALSE),_xlpm.array/SUM(_xlpm.array))</f>
        <v>0.28569038266800972</v>
      </c>
      <c r="AF668" s="10">
        <f ca="1"/>
        <v>0.2904507758056788</v>
      </c>
      <c r="AG668" s="10">
        <f ca="1"/>
        <v>-8.3034082436502704E-2</v>
      </c>
      <c r="AH668" s="10">
        <f ca="1"/>
        <v>0.31041383753021023</v>
      </c>
      <c r="AI668" s="10">
        <f ca="1"/>
        <v>0.19647908643260395</v>
      </c>
      <c r="AJ668" s="1"/>
      <c r="AK668" s="2" cm="1">
        <f t="array" aca="1" ref="AK668" ca="1">MMULT(MMULT(_xlfn.ANCHORARRAY(AE668),$Q$9:$U$13),TRANSPOSE(_xlfn.ANCHORARRAY(AE668)))</f>
        <v>3.0965547506029247E-4</v>
      </c>
      <c r="AL668" s="2">
        <f t="shared" ca="1" si="27"/>
        <v>1.7597030290940924E-2</v>
      </c>
      <c r="AM668" s="2" cm="1">
        <f t="array" aca="1" ref="AM668" ca="1">MMULT(_xlfn.ANCHORARRAY(AE669),TRANSPOSE($Q$3:$U$3))</f>
        <v>3.8950466364831371E-3</v>
      </c>
    </row>
    <row r="669" spans="1:39" x14ac:dyDescent="0.35">
      <c r="A669" s="3">
        <v>44798</v>
      </c>
      <c r="B669" s="4">
        <v>31.900423049926701</v>
      </c>
      <c r="C669" s="4">
        <v>142.61766052246</v>
      </c>
      <c r="D669" s="4">
        <v>44.367214202880803</v>
      </c>
      <c r="E669" s="4">
        <v>30.1686496734619</v>
      </c>
      <c r="F669" s="4">
        <v>270.95489501953102</v>
      </c>
      <c r="I669" s="5">
        <f>B669/B668-1</f>
        <v>1.7960526768268315E-2</v>
      </c>
      <c r="J669" s="5">
        <f>C669/C668-1</f>
        <v>8.7629253742840252E-3</v>
      </c>
      <c r="K669" s="5">
        <f>D669/D668-1</f>
        <v>2.7456136375541895E-2</v>
      </c>
      <c r="L669" s="5">
        <f>E669/E668-1</f>
        <v>-3.3384284679258691E-3</v>
      </c>
      <c r="M669" s="5">
        <f>F669/F668-1</f>
        <v>1.1095499508154694E-2</v>
      </c>
      <c r="N669" s="5">
        <f>SUMPRODUCT(I669:M669,$AJ$13:$AN$13)</f>
        <v>1.0960650397797063E-2</v>
      </c>
      <c r="P669" s="2" t="s">
        <v>660</v>
      </c>
      <c r="Q669" s="10" cm="1">
        <f t="array" aca="1" ref="Q669:U669" ca="1">_xlfn.LET(_xlpm.array,_xlfn.RANDARRAY(1,COLUMNS(_xlfn.ANCHORARRAY(Q668)),0,1,FALSE),_xlpm.array/SUM(_xlpm.array))</f>
        <v>0.34842176630640348</v>
      </c>
      <c r="R669" s="2">
        <f ca="1"/>
        <v>0.27964660008135572</v>
      </c>
      <c r="S669" s="2">
        <f ca="1"/>
        <v>7.2961164901341427E-2</v>
      </c>
      <c r="T669" s="2">
        <f ca="1"/>
        <v>0.26619020533088966</v>
      </c>
      <c r="U669" s="2">
        <f ca="1"/>
        <v>3.2780263380009694E-2</v>
      </c>
      <c r="V669" s="12"/>
      <c r="X669" s="2" cm="1">
        <f t="array" aca="1" ref="X669" ca="1">MMULT(MMULT(_xlfn.ANCHORARRAY(Q669),$Q$9:$U$13),TRANSPOSE(_xlfn.ANCHORARRAY(Q669)))</f>
        <v>3.250997173795436E-4</v>
      </c>
      <c r="Y669" s="2">
        <f t="shared" ca="1" si="26"/>
        <v>1.8030521827710467E-2</v>
      </c>
      <c r="Z669" s="2" cm="1">
        <f t="array" aca="1" ref="Z669" ca="1">MMULT(_xlfn.ANCHORARRAY(Q669),TRANSPOSE($Q$3:$U$3))</f>
        <v>7.9679849313697433E-4</v>
      </c>
      <c r="AA669" s="11">
        <f ca="1">AVEDEV(Q669*$Q$3,R669*$R$3,S669*$S$3,T669*$T$3,U669*$U$3)</f>
        <v>7.0063319778019355E-5</v>
      </c>
      <c r="AB669" s="11" cm="1">
        <f t="array" aca="1" ref="AB669" ca="1">MMULT(_xlfn.ANCHORARRAY(Q669),TRANSPOSE($Q$6:$U$6))</f>
        <v>-2.2628229733952343E-2</v>
      </c>
      <c r="AD669" s="2" t="s">
        <v>660</v>
      </c>
      <c r="AE669" s="10" cm="1">
        <f t="array" aca="1" ref="AE669:AI669" ca="1">_xlfn.LET(_xlpm.array,_xlfn.RANDARRAY(1,COLUMNS(_xlfn.ANCHORARRAY(Q668)),-1,1,FALSE),_xlpm.array/SUM(_xlpm.array))</f>
        <v>0.30530413590586758</v>
      </c>
      <c r="AF669" s="10">
        <f ca="1"/>
        <v>-1.2347389276261069</v>
      </c>
      <c r="AG669" s="10">
        <f ca="1"/>
        <v>5.8871042130825009</v>
      </c>
      <c r="AH669" s="10">
        <f ca="1"/>
        <v>-7.3690111662441744</v>
      </c>
      <c r="AI669" s="10">
        <f ca="1"/>
        <v>3.4113417448819132</v>
      </c>
      <c r="AJ669" s="1"/>
      <c r="AK669" s="2" cm="1">
        <f t="array" aca="1" ref="AK669" ca="1">MMULT(MMULT(_xlfn.ANCHORARRAY(AE669),$Q$9:$U$13),TRANSPOSE(_xlfn.ANCHORARRAY(AE669)))</f>
        <v>5.5717987269026742E-2</v>
      </c>
      <c r="AL669" s="2">
        <f t="shared" ca="1" si="27"/>
        <v>0.23604657860055236</v>
      </c>
      <c r="AM669" s="2" cm="1">
        <f t="array" aca="1" ref="AM669" ca="1">MMULT(_xlfn.ANCHORARRAY(AE670),TRANSPOSE($Q$3:$U$3))</f>
        <v>-2.4499540801070818E-3</v>
      </c>
    </row>
    <row r="670" spans="1:39" x14ac:dyDescent="0.35">
      <c r="A670" s="3">
        <v>44799</v>
      </c>
      <c r="B670" s="4">
        <v>30.892759323120099</v>
      </c>
      <c r="C670" s="4">
        <v>141.56938171386699</v>
      </c>
      <c r="D670" s="4">
        <v>38.374385833740199</v>
      </c>
      <c r="E670" s="4">
        <v>29.988218307495099</v>
      </c>
      <c r="F670" s="4">
        <v>260.49954223632801</v>
      </c>
      <c r="I670" s="5">
        <f>B670/B669-1</f>
        <v>-3.1587785692670178E-2</v>
      </c>
      <c r="J670" s="5">
        <f>C670/C669-1</f>
        <v>-7.3502734847338269E-3</v>
      </c>
      <c r="K670" s="5">
        <f>D670/D669-1</f>
        <v>-0.13507335262783937</v>
      </c>
      <c r="L670" s="5">
        <f>E670/E669-1</f>
        <v>-5.9807571077838961E-3</v>
      </c>
      <c r="M670" s="5">
        <f>F670/F669-1</f>
        <v>-3.8587059969702242E-2</v>
      </c>
      <c r="N670" s="5">
        <f>SUMPRODUCT(I670:M670,$AJ$13:$AN$13)</f>
        <v>-7.663697793900609E-2</v>
      </c>
      <c r="P670" s="2" t="s">
        <v>661</v>
      </c>
      <c r="Q670" s="10" cm="1">
        <f t="array" aca="1" ref="Q670:U670" ca="1">_xlfn.LET(_xlpm.array,_xlfn.RANDARRAY(1,COLUMNS(_xlfn.ANCHORARRAY(Q669)),0,1,FALSE),_xlpm.array/SUM(_xlpm.array))</f>
        <v>0.20712896048294438</v>
      </c>
      <c r="R670" s="2">
        <f ca="1"/>
        <v>0.22598382529588026</v>
      </c>
      <c r="S670" s="2">
        <f ca="1"/>
        <v>0.1461664177080482</v>
      </c>
      <c r="T670" s="2">
        <f ca="1"/>
        <v>0.25457965007875771</v>
      </c>
      <c r="U670" s="2">
        <f ca="1"/>
        <v>0.16614114643436956</v>
      </c>
      <c r="V670" s="12"/>
      <c r="X670" s="2" cm="1">
        <f t="array" aca="1" ref="X670" ca="1">MMULT(MMULT(_xlfn.ANCHORARRAY(Q670),$Q$9:$U$13),TRANSPOSE(_xlfn.ANCHORARRAY(Q670)))</f>
        <v>2.8327932997338834E-4</v>
      </c>
      <c r="Y670" s="2">
        <f t="shared" ca="1" si="26"/>
        <v>1.6830904015334065E-2</v>
      </c>
      <c r="Z670" s="2" cm="1">
        <f t="array" aca="1" ref="Z670" ca="1">MMULT(_xlfn.ANCHORARRAY(Q670),TRANSPOSE($Q$3:$U$3))</f>
        <v>8.9482572680212372E-4</v>
      </c>
      <c r="AA670" s="11">
        <f ca="1">AVEDEV(Q670*$Q$3,R670*$R$3,S670*$S$3,T670*$T$3,U670*$U$3)</f>
        <v>5.5810806133310207E-5</v>
      </c>
      <c r="AB670" s="11" cm="1">
        <f t="array" aca="1" ref="AB670" ca="1">MMULT(_xlfn.ANCHORARRAY(Q670),TRANSPOSE($Q$6:$U$6))</f>
        <v>-2.2849596129253105E-2</v>
      </c>
      <c r="AD670" s="2" t="s">
        <v>661</v>
      </c>
      <c r="AE670" s="10" cm="1">
        <f t="array" aca="1" ref="AE670:AI670" ca="1">_xlfn.LET(_xlpm.array,_xlfn.RANDARRAY(1,COLUMNS(_xlfn.ANCHORARRAY(Q669)),-1,1,FALSE),_xlpm.array/SUM(_xlpm.array))</f>
        <v>3.2521972898543603</v>
      </c>
      <c r="AF670" s="10">
        <f ca="1"/>
        <v>1.6866746064515403</v>
      </c>
      <c r="AG670" s="10">
        <f ca="1"/>
        <v>-1.8690719533480304</v>
      </c>
      <c r="AH670" s="10">
        <f ca="1"/>
        <v>-2.7888646771973051</v>
      </c>
      <c r="AI670" s="10">
        <f ca="1"/>
        <v>0.71906473423943484</v>
      </c>
      <c r="AJ670" s="1"/>
      <c r="AK670" s="2" cm="1">
        <f t="array" aca="1" ref="AK670" ca="1">MMULT(MMULT(_xlfn.ANCHORARRAY(AE670),$Q$9:$U$13),TRANSPOSE(_xlfn.ANCHORARRAY(AE670)))</f>
        <v>7.0834233882736616E-3</v>
      </c>
      <c r="AL670" s="2">
        <f t="shared" ca="1" si="27"/>
        <v>8.4163076157384248E-2</v>
      </c>
      <c r="AM670" s="2" cm="1">
        <f t="array" aca="1" ref="AM670" ca="1">MMULT(_xlfn.ANCHORARRAY(AE671),TRANSPOSE($Q$3:$U$3))</f>
        <v>-2.1482506033712145E-3</v>
      </c>
    </row>
    <row r="671" spans="1:39" x14ac:dyDescent="0.35">
      <c r="A671" s="3">
        <v>44802</v>
      </c>
      <c r="B671" s="4">
        <v>30.7747383117675</v>
      </c>
      <c r="C671" s="4">
        <v>142.62629699707</v>
      </c>
      <c r="D671" s="4">
        <v>37.596355438232401</v>
      </c>
      <c r="E671" s="4">
        <v>29.576829910278299</v>
      </c>
      <c r="F671" s="4">
        <v>257.72052001953102</v>
      </c>
      <c r="I671" s="5">
        <f>B671/B670-1</f>
        <v>-3.8203454122750502E-3</v>
      </c>
      <c r="J671" s="5">
        <f>C671/C670-1</f>
        <v>7.4657052987572303E-3</v>
      </c>
      <c r="K671" s="5">
        <f>D671/D670-1</f>
        <v>-2.0274732184084265E-2</v>
      </c>
      <c r="L671" s="5">
        <f>E671/E670-1</f>
        <v>-1.3718334080353833E-2</v>
      </c>
      <c r="M671" s="5">
        <f>F671/F670-1</f>
        <v>-1.0668050288840214E-2</v>
      </c>
      <c r="N671" s="5">
        <f>SUMPRODUCT(I671:M671,$AJ$13:$AN$13)</f>
        <v>-1.9669791821524181E-2</v>
      </c>
      <c r="P671" s="2" t="s">
        <v>662</v>
      </c>
      <c r="Q671" s="10" cm="1">
        <f t="array" aca="1" ref="Q671:U671" ca="1">_xlfn.LET(_xlpm.array,_xlfn.RANDARRAY(1,COLUMNS(_xlfn.ANCHORARRAY(Q670)),0,1,FALSE),_xlpm.array/SUM(_xlpm.array))</f>
        <v>0.24312612609729711</v>
      </c>
      <c r="R671" s="2">
        <f ca="1"/>
        <v>4.5815592015865512E-2</v>
      </c>
      <c r="S671" s="2">
        <f ca="1"/>
        <v>0.13628699348510323</v>
      </c>
      <c r="T671" s="2">
        <f ca="1"/>
        <v>0.41601434489624239</v>
      </c>
      <c r="U671" s="2">
        <f ca="1"/>
        <v>0.15875694350549177</v>
      </c>
      <c r="V671" s="12"/>
      <c r="X671" s="2" cm="1">
        <f t="array" aca="1" ref="X671" ca="1">MMULT(MMULT(_xlfn.ANCHORARRAY(Q671),$Q$9:$U$13),TRANSPOSE(_xlfn.ANCHORARRAY(Q671)))</f>
        <v>2.9896916777188954E-4</v>
      </c>
      <c r="Y671" s="2">
        <f t="shared" ca="1" si="26"/>
        <v>1.7290724905910958E-2</v>
      </c>
      <c r="Z671" s="2" cm="1">
        <f t="array" aca="1" ref="Z671" ca="1">MMULT(_xlfn.ANCHORARRAY(Q671),TRANSPOSE($Q$3:$U$3))</f>
        <v>9.2478769248823781E-4</v>
      </c>
      <c r="AA671" s="11">
        <f ca="1">AVEDEV(Q671*$Q$3,R671*$R$3,S671*$S$3,T671*$T$3,U671*$U$3)</f>
        <v>1.105689942344329E-4</v>
      </c>
      <c r="AB671" s="11" cm="1">
        <f t="array" aca="1" ref="AB671" ca="1">MMULT(_xlfn.ANCHORARRAY(Q671),TRANSPOSE($Q$6:$U$6))</f>
        <v>-2.3561541386569983E-2</v>
      </c>
      <c r="AD671" s="2" t="s">
        <v>662</v>
      </c>
      <c r="AE671" s="10" cm="1">
        <f t="array" aca="1" ref="AE671:AI671" ca="1">_xlfn.LET(_xlpm.array,_xlfn.RANDARRAY(1,COLUMNS(_xlfn.ANCHORARRAY(Q670)),-1,1,FALSE),_xlpm.array/SUM(_xlpm.array))</f>
        <v>3.7928193182036125</v>
      </c>
      <c r="AF671" s="10">
        <f ca="1"/>
        <v>1.0287893153600862</v>
      </c>
      <c r="AG671" s="10">
        <f ca="1"/>
        <v>-2.2237640148313744</v>
      </c>
      <c r="AH671" s="10">
        <f ca="1"/>
        <v>2.4587300852386078E-2</v>
      </c>
      <c r="AI671" s="10">
        <f ca="1"/>
        <v>-1.6224319195847103</v>
      </c>
      <c r="AJ671" s="1"/>
      <c r="AK671" s="2" cm="1">
        <f t="array" aca="1" ref="AK671" ca="1">MMULT(MMULT(_xlfn.ANCHORARRAY(AE671),$Q$9:$U$13),TRANSPOSE(_xlfn.ANCHORARRAY(AE671)))</f>
        <v>8.7991589707707343E-3</v>
      </c>
      <c r="AL671" s="2">
        <f t="shared" ca="1" si="27"/>
        <v>9.3803832388504968E-2</v>
      </c>
      <c r="AM671" s="2" cm="1">
        <f t="array" aca="1" ref="AM671" ca="1">MMULT(_xlfn.ANCHORARRAY(AE672),TRANSPOSE($Q$3:$U$3))</f>
        <v>-2.8013768175772086E-3</v>
      </c>
    </row>
    <row r="672" spans="1:39" x14ac:dyDescent="0.35">
      <c r="A672" s="3">
        <v>44803</v>
      </c>
      <c r="B672" s="4">
        <v>30.94722366333</v>
      </c>
      <c r="C672" s="4">
        <v>139.15228271484301</v>
      </c>
      <c r="D672" s="4">
        <v>36.762722015380803</v>
      </c>
      <c r="E672" s="4">
        <v>28.414827346801701</v>
      </c>
      <c r="F672" s="4">
        <v>255.52453613281199</v>
      </c>
      <c r="I672" s="5">
        <f>B672/B671-1</f>
        <v>5.6047706991075863E-3</v>
      </c>
      <c r="J672" s="5">
        <f>C672/C671-1</f>
        <v>-2.4357459706735307E-2</v>
      </c>
      <c r="K672" s="5">
        <f>D672/D671-1</f>
        <v>-2.2173250921121546E-2</v>
      </c>
      <c r="L672" s="5">
        <f>E672/E671-1</f>
        <v>-3.9287596642424094E-2</v>
      </c>
      <c r="M672" s="5">
        <f>F672/F671-1</f>
        <v>-8.520795653185087E-3</v>
      </c>
      <c r="N672" s="5">
        <f>SUMPRODUCT(I672:M672,$AJ$13:$AN$13)</f>
        <v>-3.3571708149336903E-2</v>
      </c>
      <c r="P672" s="2" t="s">
        <v>663</v>
      </c>
      <c r="Q672" s="10" cm="1">
        <f t="array" aca="1" ref="Q672:U672" ca="1">_xlfn.LET(_xlpm.array,_xlfn.RANDARRAY(1,COLUMNS(_xlfn.ANCHORARRAY(Q671)),0,1,FALSE),_xlpm.array/SUM(_xlpm.array))</f>
        <v>7.9413434390080154E-2</v>
      </c>
      <c r="R672" s="2">
        <f ca="1"/>
        <v>0.33144817632193346</v>
      </c>
      <c r="S672" s="2">
        <f ca="1"/>
        <v>0.19986762263288749</v>
      </c>
      <c r="T672" s="2">
        <f ca="1"/>
        <v>0.32470039763452124</v>
      </c>
      <c r="U672" s="2">
        <f ca="1"/>
        <v>6.457036902057757E-2</v>
      </c>
      <c r="V672" s="12"/>
      <c r="X672" s="2" cm="1">
        <f t="array" aca="1" ref="X672" ca="1">MMULT(MMULT(_xlfn.ANCHORARRAY(Q672),$Q$9:$U$13),TRANSPOSE(_xlfn.ANCHORARRAY(Q672)))</f>
        <v>3.3059888458145456E-4</v>
      </c>
      <c r="Y672" s="2">
        <f t="shared" ca="1" si="26"/>
        <v>1.8182378408268116E-2</v>
      </c>
      <c r="Z672" s="2" cm="1">
        <f t="array" aca="1" ref="Z672" ca="1">MMULT(_xlfn.ANCHORARRAY(Q672),TRANSPOSE($Q$3:$U$3))</f>
        <v>9.8808953545398166E-4</v>
      </c>
      <c r="AA672" s="11">
        <f ca="1">AVEDEV(Q672*$Q$3,R672*$R$3,S672*$S$3,T672*$T$3,U672*$U$3)</f>
        <v>1.221949363614874E-4</v>
      </c>
      <c r="AB672" s="11" cm="1">
        <f t="array" aca="1" ref="AB672" ca="1">MMULT(_xlfn.ANCHORARRAY(Q672),TRANSPOSE($Q$6:$U$6))</f>
        <v>-2.3440244068056407E-2</v>
      </c>
      <c r="AD672" s="2" t="s">
        <v>663</v>
      </c>
      <c r="AE672" s="10" cm="1">
        <f t="array" aca="1" ref="AE672:AI672" ca="1">_xlfn.LET(_xlpm.array,_xlfn.RANDARRAY(1,COLUMNS(_xlfn.ANCHORARRAY(Q671)),-1,1,FALSE),_xlpm.array/SUM(_xlpm.array))</f>
        <v>-23.378431062479937</v>
      </c>
      <c r="AF672" s="10">
        <f ca="1"/>
        <v>10.528482110680526</v>
      </c>
      <c r="AG672" s="10">
        <f ca="1"/>
        <v>-4.2467667231397241</v>
      </c>
      <c r="AH672" s="10">
        <f ca="1"/>
        <v>-21.624099587209216</v>
      </c>
      <c r="AI672" s="10">
        <f ca="1"/>
        <v>39.720815262148349</v>
      </c>
      <c r="AJ672" s="1"/>
      <c r="AK672" s="2" cm="1">
        <f t="array" aca="1" ref="AK672" ca="1">MMULT(MMULT(_xlfn.ANCHORARRAY(AE672),$Q$9:$U$13),TRANSPOSE(_xlfn.ANCHORARRAY(AE672)))</f>
        <v>0.68158206104712138</v>
      </c>
      <c r="AL672" s="2">
        <f t="shared" ca="1" si="27"/>
        <v>0.82557983323669026</v>
      </c>
      <c r="AM672" s="2" cm="1">
        <f t="array" aca="1" ref="AM672" ca="1">MMULT(_xlfn.ANCHORARRAY(AE673),TRANSPOSE($Q$3:$U$3))</f>
        <v>2.1335488236119199E-3</v>
      </c>
    </row>
    <row r="673" spans="1:39" x14ac:dyDescent="0.35">
      <c r="A673" s="3">
        <v>44804</v>
      </c>
      <c r="B673" s="4">
        <v>30.511474609375</v>
      </c>
      <c r="C673" s="4">
        <v>136.93441772460901</v>
      </c>
      <c r="D673" s="4">
        <v>35.465980529785099</v>
      </c>
      <c r="E673" s="4">
        <v>27.996231079101499</v>
      </c>
      <c r="F673" s="4">
        <v>254.06695556640599</v>
      </c>
      <c r="I673" s="5">
        <f>B673/B672-1</f>
        <v>-1.4080392435051547E-2</v>
      </c>
      <c r="J673" s="5">
        <f>C673/C672-1</f>
        <v>-1.5938401777992772E-2</v>
      </c>
      <c r="K673" s="5">
        <f>D673/D672-1</f>
        <v>-3.5273271795629557E-2</v>
      </c>
      <c r="L673" s="5">
        <f>E673/E672-1</f>
        <v>-1.47316139771414E-2</v>
      </c>
      <c r="M673" s="5">
        <f>F673/F672-1</f>
        <v>-5.704268515522859E-3</v>
      </c>
      <c r="N673" s="5">
        <f>SUMPRODUCT(I673:M673,$AJ$13:$AN$13)</f>
        <v>-2.2560349888988026E-2</v>
      </c>
      <c r="P673" s="2" t="s">
        <v>664</v>
      </c>
      <c r="Q673" s="10" cm="1">
        <f t="array" aca="1" ref="Q673:U673" ca="1">_xlfn.LET(_xlpm.array,_xlfn.RANDARRAY(1,COLUMNS(_xlfn.ANCHORARRAY(Q672)),0,1,FALSE),_xlpm.array/SUM(_xlpm.array))</f>
        <v>0.28887063331125223</v>
      </c>
      <c r="R673" s="2">
        <f ca="1"/>
        <v>0.26799327426454578</v>
      </c>
      <c r="S673" s="2">
        <f ca="1"/>
        <v>0.14427158786201538</v>
      </c>
      <c r="T673" s="2">
        <f ca="1"/>
        <v>0.12441149970869937</v>
      </c>
      <c r="U673" s="2">
        <f ca="1"/>
        <v>0.17445300485348719</v>
      </c>
      <c r="V673" s="12"/>
      <c r="X673" s="2" cm="1">
        <f t="array" aca="1" ref="X673" ca="1">MMULT(MMULT(_xlfn.ANCHORARRAY(Q673),$Q$9:$U$13),TRANSPOSE(_xlfn.ANCHORARRAY(Q673)))</f>
        <v>2.7879495040276708E-4</v>
      </c>
      <c r="Y673" s="2">
        <f t="shared" ca="1" si="26"/>
        <v>1.6697153961162576E-2</v>
      </c>
      <c r="Z673" s="2" cm="1">
        <f t="array" aca="1" ref="Z673" ca="1">MMULT(_xlfn.ANCHORARRAY(Q673),TRANSPOSE($Q$3:$U$3))</f>
        <v>8.3734570504720885E-4</v>
      </c>
      <c r="AA673" s="11">
        <f ca="1">AVEDEV(Q673*$Q$3,R673*$R$3,S673*$S$3,T673*$T$3,U673*$U$3)</f>
        <v>3.8023216806684529E-5</v>
      </c>
      <c r="AB673" s="11" cm="1">
        <f t="array" aca="1" ref="AB673" ca="1">MMULT(_xlfn.ANCHORARRAY(Q673),TRANSPOSE($Q$6:$U$6))</f>
        <v>-2.2321669793092372E-2</v>
      </c>
      <c r="AD673" s="2" t="s">
        <v>664</v>
      </c>
      <c r="AE673" s="10" cm="1">
        <f t="array" aca="1" ref="AE673:AI673" ca="1">_xlfn.LET(_xlpm.array,_xlfn.RANDARRAY(1,COLUMNS(_xlfn.ANCHORARRAY(Q672)),-1,1,FALSE),_xlpm.array/SUM(_xlpm.array))</f>
        <v>-0.62297394340474854</v>
      </c>
      <c r="AF673" s="10">
        <f ca="1"/>
        <v>0.77545429333106242</v>
      </c>
      <c r="AG673" s="10">
        <f ca="1"/>
        <v>1.2549949493198065</v>
      </c>
      <c r="AH673" s="10">
        <f ca="1"/>
        <v>0.61321945687747614</v>
      </c>
      <c r="AI673" s="10">
        <f ca="1"/>
        <v>-1.0206947561235964</v>
      </c>
      <c r="AJ673" s="1"/>
      <c r="AK673" s="2" cm="1">
        <f t="array" aca="1" ref="AK673" ca="1">MMULT(MMULT(_xlfn.ANCHORARRAY(AE673),$Q$9:$U$13),TRANSPOSE(_xlfn.ANCHORARRAY(AE673)))</f>
        <v>1.9032104763298616E-3</v>
      </c>
      <c r="AL673" s="2">
        <f t="shared" ca="1" si="27"/>
        <v>4.3625800580961965E-2</v>
      </c>
      <c r="AM673" s="2" cm="1">
        <f t="array" aca="1" ref="AM673" ca="1">MMULT(_xlfn.ANCHORARRAY(AE674),TRANSPOSE($Q$3:$U$3))</f>
        <v>-7.9332655072829902E-4</v>
      </c>
    </row>
    <row r="674" spans="1:39" x14ac:dyDescent="0.35">
      <c r="A674" s="3">
        <v>44805</v>
      </c>
      <c r="B674" s="4">
        <v>30.584577560424801</v>
      </c>
      <c r="C674" s="4">
        <v>134.75119018554599</v>
      </c>
      <c r="D674" s="4">
        <v>34.873176574707003</v>
      </c>
      <c r="E674" s="4">
        <v>27.209529876708899</v>
      </c>
      <c r="F674" s="4">
        <v>253.02728271484301</v>
      </c>
      <c r="I674" s="5">
        <f>B674/B673-1</f>
        <v>2.3959166833364964E-3</v>
      </c>
      <c r="J674" s="5">
        <f>C674/C673-1</f>
        <v>-1.5943599683271303E-2</v>
      </c>
      <c r="K674" s="5">
        <f>D674/D673-1</f>
        <v>-1.6714720592040266E-2</v>
      </c>
      <c r="L674" s="5">
        <f>E674/E673-1</f>
        <v>-2.8100253929531749E-2</v>
      </c>
      <c r="M674" s="5">
        <f>F674/F673-1</f>
        <v>-4.0921215009845913E-3</v>
      </c>
      <c r="N674" s="5">
        <f>SUMPRODUCT(I674:M674,$AJ$13:$AN$13)</f>
        <v>-2.3370470969357147E-2</v>
      </c>
      <c r="P674" s="2" t="s">
        <v>665</v>
      </c>
      <c r="Q674" s="10" cm="1">
        <f t="array" aca="1" ref="Q674:U674" ca="1">_xlfn.LET(_xlpm.array,_xlfn.RANDARRAY(1,COLUMNS(_xlfn.ANCHORARRAY(Q673)),0,1,FALSE),_xlpm.array/SUM(_xlpm.array))</f>
        <v>0.35784045889527882</v>
      </c>
      <c r="R674" s="2">
        <f ca="1"/>
        <v>6.0343692398278165E-2</v>
      </c>
      <c r="S674" s="2">
        <f ca="1"/>
        <v>0.28572820569928009</v>
      </c>
      <c r="T674" s="2">
        <f ca="1"/>
        <v>9.5660696993203655E-3</v>
      </c>
      <c r="U674" s="2">
        <f ca="1"/>
        <v>0.2865215733078425</v>
      </c>
      <c r="V674" s="12"/>
      <c r="X674" s="2" cm="1">
        <f t="array" aca="1" ref="X674" ca="1">MMULT(MMULT(_xlfn.ANCHORARRAY(Q674),$Q$9:$U$13),TRANSPOSE(_xlfn.ANCHORARRAY(Q674)))</f>
        <v>3.0646788100665185E-4</v>
      </c>
      <c r="Y674" s="2">
        <f t="shared" ca="1" si="26"/>
        <v>1.7506224064790552E-2</v>
      </c>
      <c r="Z674" s="2" cm="1">
        <f t="array" aca="1" ref="Z674" ca="1">MMULT(_xlfn.ANCHORARRAY(Q674),TRANSPOSE($Q$3:$U$3))</f>
        <v>9.1887919777886517E-4</v>
      </c>
      <c r="AA674" s="11">
        <f ca="1">AVEDEV(Q674*$Q$3,R674*$R$3,S674*$S$3,T674*$T$3,U674*$U$3)</f>
        <v>1.262473068481376E-4</v>
      </c>
      <c r="AB674" s="11" cm="1">
        <f t="array" aca="1" ref="AB674" ca="1">MMULT(_xlfn.ANCHORARRAY(Q674),TRANSPOSE($Q$6:$U$6))</f>
        <v>-2.2741322093644076E-2</v>
      </c>
      <c r="AD674" s="2" t="s">
        <v>665</v>
      </c>
      <c r="AE674" s="10" cm="1">
        <f t="array" aca="1" ref="AE674:AI674" ca="1">_xlfn.LET(_xlpm.array,_xlfn.RANDARRAY(1,COLUMNS(_xlfn.ANCHORARRAY(Q673)),-1,1,FALSE),_xlpm.array/SUM(_xlpm.array))</f>
        <v>0.20276131847588266</v>
      </c>
      <c r="AF674" s="10">
        <f ca="1"/>
        <v>1.138306660444528</v>
      </c>
      <c r="AG674" s="10">
        <f ca="1"/>
        <v>-1.8582100287950947</v>
      </c>
      <c r="AH674" s="10">
        <f ca="1"/>
        <v>0.50524131126740268</v>
      </c>
      <c r="AI674" s="10">
        <f ca="1"/>
        <v>1.0119007386072814</v>
      </c>
      <c r="AJ674" s="1"/>
      <c r="AK674" s="2" cm="1">
        <f t="array" aca="1" ref="AK674" ca="1">MMULT(MMULT(_xlfn.ANCHORARRAY(AE674),$Q$9:$U$13),TRANSPOSE(_xlfn.ANCHORARRAY(AE674)))</f>
        <v>2.8175520951190104E-3</v>
      </c>
      <c r="AL674" s="2">
        <f t="shared" ca="1" si="27"/>
        <v>5.3080618827581603E-2</v>
      </c>
      <c r="AM674" s="2" cm="1">
        <f t="array" aca="1" ref="AM674" ca="1">MMULT(_xlfn.ANCHORARRAY(AE675),TRANSPOSE($Q$3:$U$3))</f>
        <v>1.8053769088064121E-3</v>
      </c>
    </row>
    <row r="675" spans="1:39" x14ac:dyDescent="0.35">
      <c r="A675" s="3">
        <v>44806</v>
      </c>
      <c r="B675" s="4">
        <v>30.548025131225501</v>
      </c>
      <c r="C675" s="4">
        <v>136.752517700195</v>
      </c>
      <c r="D675" s="4">
        <v>35.002857208251903</v>
      </c>
      <c r="E675" s="4">
        <v>28.068397521972599</v>
      </c>
      <c r="F675" s="4">
        <v>248.81018066406199</v>
      </c>
      <c r="I675" s="5">
        <f>B675/B674-1</f>
        <v>-1.195126175180472E-3</v>
      </c>
      <c r="J675" s="5">
        <f>C675/C674-1</f>
        <v>1.4852021061136922E-2</v>
      </c>
      <c r="K675" s="5">
        <f>D675/D674-1</f>
        <v>3.7186355325873333E-3</v>
      </c>
      <c r="L675" s="5">
        <f>E675/E674-1</f>
        <v>3.1564957173290997E-2</v>
      </c>
      <c r="M675" s="5">
        <f>F675/F674-1</f>
        <v>-1.6666590280438709E-2</v>
      </c>
      <c r="N675" s="5">
        <f>SUMPRODUCT(I675:M675,$AJ$13:$AN$13)</f>
        <v>1.0976784088873148E-2</v>
      </c>
      <c r="P675" s="2" t="s">
        <v>666</v>
      </c>
      <c r="Q675" s="10" cm="1">
        <f t="array" aca="1" ref="Q675:U675" ca="1">_xlfn.LET(_xlpm.array,_xlfn.RANDARRAY(1,COLUMNS(_xlfn.ANCHORARRAY(Q674)),0,1,FALSE),_xlpm.array/SUM(_xlpm.array))</f>
        <v>2.2476168395689126E-4</v>
      </c>
      <c r="R675" s="2">
        <f ca="1"/>
        <v>0.12639200019831048</v>
      </c>
      <c r="S675" s="2">
        <f ca="1"/>
        <v>0.1476076935355263</v>
      </c>
      <c r="T675" s="2">
        <f ca="1"/>
        <v>0.35561451693614021</v>
      </c>
      <c r="U675" s="2">
        <f ca="1"/>
        <v>0.37016102764606618</v>
      </c>
      <c r="V675" s="12"/>
      <c r="X675" s="2" cm="1">
        <f t="array" aca="1" ref="X675" ca="1">MMULT(MMULT(_xlfn.ANCHORARRAY(Q675),$Q$9:$U$13),TRANSPOSE(_xlfn.ANCHORARRAY(Q675)))</f>
        <v>2.7178646882018698E-4</v>
      </c>
      <c r="Y675" s="2">
        <f t="shared" ca="1" si="26"/>
        <v>1.6485947616688187E-2</v>
      </c>
      <c r="Z675" s="2" cm="1">
        <f t="array" aca="1" ref="Z675" ca="1">MMULT(_xlfn.ANCHORARRAY(Q675),TRANSPOSE($Q$3:$U$3))</f>
        <v>9.785465730857213E-4</v>
      </c>
      <c r="AA675" s="11">
        <f ca="1">AVEDEV(Q675*$Q$3,R675*$R$3,S675*$S$3,T675*$T$3,U675*$U$3)</f>
        <v>1.1960320835835876E-4</v>
      </c>
      <c r="AB675" s="11" cm="1">
        <f t="array" aca="1" ref="AB675" ca="1">MMULT(_xlfn.ANCHORARRAY(Q675),TRANSPOSE($Q$6:$U$6))</f>
        <v>-2.3015497222416324E-2</v>
      </c>
      <c r="AD675" s="2" t="s">
        <v>666</v>
      </c>
      <c r="AE675" s="10" cm="1">
        <f t="array" aca="1" ref="AE675:AI675" ca="1">_xlfn.LET(_xlpm.array,_xlfn.RANDARRAY(1,COLUMNS(_xlfn.ANCHORARRAY(Q674)),-1,1,FALSE),_xlpm.array/SUM(_xlpm.array))</f>
        <v>2.4504352134618945E-2</v>
      </c>
      <c r="AF675" s="10">
        <f ca="1"/>
        <v>-0.88210680396809382</v>
      </c>
      <c r="AG675" s="10">
        <f ca="1"/>
        <v>0.87877182761500006</v>
      </c>
      <c r="AH675" s="10">
        <f ca="1"/>
        <v>1.0176026752104612</v>
      </c>
      <c r="AI675" s="10">
        <f ca="1"/>
        <v>-3.8772050991986468E-2</v>
      </c>
      <c r="AJ675" s="1"/>
      <c r="AK675" s="2" cm="1">
        <f t="array" aca="1" ref="AK675" ca="1">MMULT(MMULT(_xlfn.ANCHORARRAY(AE675),$Q$9:$U$13),TRANSPOSE(_xlfn.ANCHORARRAY(AE675)))</f>
        <v>9.8174673181516286E-4</v>
      </c>
      <c r="AL675" s="2">
        <f t="shared" ca="1" si="27"/>
        <v>3.1332837915119705E-2</v>
      </c>
      <c r="AM675" s="2" cm="1">
        <f t="array" aca="1" ref="AM675" ca="1">MMULT(_xlfn.ANCHORARRAY(AE676),TRANSPOSE($Q$3:$U$3))</f>
        <v>1.7657126341439236E-3</v>
      </c>
    </row>
    <row r="676" spans="1:39" x14ac:dyDescent="0.35">
      <c r="A676" s="3">
        <v>44810</v>
      </c>
      <c r="B676" s="4">
        <v>30.2099208831787</v>
      </c>
      <c r="C676" s="4">
        <v>136.120025634765</v>
      </c>
      <c r="D676" s="4">
        <v>34.539730072021399</v>
      </c>
      <c r="E676" s="4">
        <v>27.195089340209901</v>
      </c>
      <c r="F676" s="4">
        <v>246.07971191406199</v>
      </c>
      <c r="I676" s="5">
        <f>B676/B675-1</f>
        <v>-1.1067957637012626E-2</v>
      </c>
      <c r="J676" s="5">
        <f>C676/C675-1</f>
        <v>-4.6250853444367301E-3</v>
      </c>
      <c r="K676" s="5">
        <f>D676/D675-1</f>
        <v>-1.3231123775842013E-2</v>
      </c>
      <c r="L676" s="5">
        <f>E676/E675-1</f>
        <v>-3.1113574655590948E-2</v>
      </c>
      <c r="M676" s="5">
        <f>F676/F675-1</f>
        <v>-1.0974103803600421E-2</v>
      </c>
      <c r="N676" s="5">
        <f>SUMPRODUCT(I676:M676,$AJ$13:$AN$13)</f>
        <v>-2.1740431508362315E-2</v>
      </c>
      <c r="P676" s="2" t="s">
        <v>667</v>
      </c>
      <c r="Q676" s="10" cm="1">
        <f t="array" aca="1" ref="Q676:U676" ca="1">_xlfn.LET(_xlpm.array,_xlfn.RANDARRAY(1,COLUMNS(_xlfn.ANCHORARRAY(Q675)),0,1,FALSE),_xlpm.array/SUM(_xlpm.array))</f>
        <v>0.19888351763617013</v>
      </c>
      <c r="R676" s="2">
        <f ca="1"/>
        <v>0.32776192901946105</v>
      </c>
      <c r="S676" s="2">
        <f ca="1"/>
        <v>0.19570701036737689</v>
      </c>
      <c r="T676" s="2">
        <f ca="1"/>
        <v>0.15086758298921754</v>
      </c>
      <c r="U676" s="2">
        <f ca="1"/>
        <v>0.12677995998777455</v>
      </c>
      <c r="V676" s="12"/>
      <c r="X676" s="2" cm="1">
        <f t="array" aca="1" ref="X676" ca="1">MMULT(MMULT(_xlfn.ANCHORARRAY(Q676),$Q$9:$U$13),TRANSPOSE(_xlfn.ANCHORARRAY(Q676)))</f>
        <v>2.9429233632966511E-4</v>
      </c>
      <c r="Y676" s="2">
        <f t="shared" ca="1" si="26"/>
        <v>1.7154950781907395E-2</v>
      </c>
      <c r="Z676" s="2" cm="1">
        <f t="array" aca="1" ref="Z676" ca="1">MMULT(_xlfn.ANCHORARRAY(Q676),TRANSPOSE($Q$3:$U$3))</f>
        <v>9.0935174015922609E-4</v>
      </c>
      <c r="AA676" s="11">
        <f ca="1">AVEDEV(Q676*$Q$3,R676*$R$3,S676*$S$3,T676*$T$3,U676*$U$3)</f>
        <v>7.7372879804586014E-5</v>
      </c>
      <c r="AB676" s="11" cm="1">
        <f t="array" aca="1" ref="AB676" ca="1">MMULT(_xlfn.ANCHORARRAY(Q676),TRANSPOSE($Q$6:$U$6))</f>
        <v>-2.2710956549188529E-2</v>
      </c>
      <c r="AD676" s="2" t="s">
        <v>667</v>
      </c>
      <c r="AE676" s="10" cm="1">
        <f t="array" aca="1" ref="AE676:AI676" ca="1">_xlfn.LET(_xlpm.array,_xlfn.RANDARRAY(1,COLUMNS(_xlfn.ANCHORARRAY(Q675)),-1,1,FALSE),_xlpm.array/SUM(_xlpm.array))</f>
        <v>-1.2704716757332994</v>
      </c>
      <c r="AF676" s="10">
        <f ca="1"/>
        <v>0.66811059272668205</v>
      </c>
      <c r="AG676" s="10">
        <f ca="1"/>
        <v>0.63010639162110693</v>
      </c>
      <c r="AH676" s="10">
        <f ca="1"/>
        <v>0.60997294463223672</v>
      </c>
      <c r="AI676" s="10">
        <f ca="1"/>
        <v>0.36228174675327379</v>
      </c>
      <c r="AJ676" s="1"/>
      <c r="AK676" s="2" cm="1">
        <f t="array" aca="1" ref="AK676" ca="1">MMULT(MMULT(_xlfn.ANCHORARRAY(AE676),$Q$9:$U$13),TRANSPOSE(_xlfn.ANCHORARRAY(AE676)))</f>
        <v>1.0173069965571447E-3</v>
      </c>
      <c r="AL676" s="2">
        <f t="shared" ca="1" si="27"/>
        <v>3.189525037614762E-2</v>
      </c>
      <c r="AM676" s="2" cm="1">
        <f t="array" aca="1" ref="AM676" ca="1">MMULT(_xlfn.ANCHORARRAY(AE677),TRANSPOSE($Q$3:$U$3))</f>
        <v>1.0334125634605318E-3</v>
      </c>
    </row>
    <row r="677" spans="1:39" x14ac:dyDescent="0.35">
      <c r="A677" s="3">
        <v>44811</v>
      </c>
      <c r="B677" s="4">
        <v>30.675958633422798</v>
      </c>
      <c r="C677" s="4">
        <v>134.37867736816401</v>
      </c>
      <c r="D677" s="4">
        <v>35.178836822509702</v>
      </c>
      <c r="E677" s="4">
        <v>25.6144905090332</v>
      </c>
      <c r="F677" s="4">
        <v>250.78265380859301</v>
      </c>
      <c r="I677" s="5">
        <f>B677/B676-1</f>
        <v>1.5426645837513409E-2</v>
      </c>
      <c r="J677" s="5">
        <f>C677/C676-1</f>
        <v>-1.2792741247884765E-2</v>
      </c>
      <c r="K677" s="5">
        <f>D677/D676-1</f>
        <v>1.8503524757016221E-2</v>
      </c>
      <c r="L677" s="5">
        <f>E677/E676-1</f>
        <v>-5.8120744205082286E-2</v>
      </c>
      <c r="M677" s="5">
        <f>F677/F676-1</f>
        <v>1.9111457250784669E-2</v>
      </c>
      <c r="N677" s="5">
        <f>SUMPRODUCT(I677:M677,$AJ$13:$AN$13)</f>
        <v>-1.5181390239342049E-2</v>
      </c>
      <c r="P677" s="2" t="s">
        <v>668</v>
      </c>
      <c r="Q677" s="10" cm="1">
        <f t="array" aca="1" ref="Q677:U677" ca="1">_xlfn.LET(_xlpm.array,_xlfn.RANDARRAY(1,COLUMNS(_xlfn.ANCHORARRAY(Q676)),0,1,FALSE),_xlpm.array/SUM(_xlpm.array))</f>
        <v>4.1753015948343727E-2</v>
      </c>
      <c r="R677" s="2">
        <f ca="1"/>
        <v>0.36586868271898737</v>
      </c>
      <c r="S677" s="2">
        <f ca="1"/>
        <v>0.14497923101045188</v>
      </c>
      <c r="T677" s="2">
        <f ca="1"/>
        <v>7.106159244019089E-2</v>
      </c>
      <c r="U677" s="2">
        <f ca="1"/>
        <v>0.37633747788202604</v>
      </c>
      <c r="V677" s="12"/>
      <c r="X677" s="2" cm="1">
        <f t="array" aca="1" ref="X677" ca="1">MMULT(MMULT(_xlfn.ANCHORARRAY(Q677),$Q$9:$U$13),TRANSPOSE(_xlfn.ANCHORARRAY(Q677)))</f>
        <v>2.5871563591863775E-4</v>
      </c>
      <c r="Y677" s="2">
        <f t="shared" ca="1" si="26"/>
        <v>1.608463975097477E-2</v>
      </c>
      <c r="Z677" s="2" cm="1">
        <f t="array" aca="1" ref="Z677" ca="1">MMULT(_xlfn.ANCHORARRAY(Q677),TRANSPOSE($Q$3:$U$3))</f>
        <v>8.8427969262036121E-4</v>
      </c>
      <c r="AA677" s="11">
        <f ca="1">AVEDEV(Q677*$Q$3,R677*$R$3,S677*$S$3,T677*$T$3,U677*$U$3)</f>
        <v>1.0395732939165322E-4</v>
      </c>
      <c r="AB677" s="11" cm="1">
        <f t="array" aca="1" ref="AB677" ca="1">MMULT(_xlfn.ANCHORARRAY(Q677),TRANSPOSE($Q$6:$U$6))</f>
        <v>-2.1738479344184866E-2</v>
      </c>
      <c r="AD677" s="2" t="s">
        <v>668</v>
      </c>
      <c r="AE677" s="10" cm="1">
        <f t="array" aca="1" ref="AE677:AI677" ca="1">_xlfn.LET(_xlpm.array,_xlfn.RANDARRAY(1,COLUMNS(_xlfn.ANCHORARRAY(Q676)),-1,1,FALSE),_xlpm.array/SUM(_xlpm.array))</f>
        <v>0.11574886024177605</v>
      </c>
      <c r="AF677" s="10">
        <f ca="1"/>
        <v>0.50170756117479198</v>
      </c>
      <c r="AG677" s="10">
        <f ca="1"/>
        <v>0.15363737212103454</v>
      </c>
      <c r="AH677" s="10">
        <f ca="1"/>
        <v>0.71517301595352012</v>
      </c>
      <c r="AI677" s="10">
        <f ca="1"/>
        <v>-0.48626680949112266</v>
      </c>
      <c r="AJ677" s="1"/>
      <c r="AK677" s="2" cm="1">
        <f t="array" aca="1" ref="AK677" ca="1">MMULT(MMULT(_xlfn.ANCHORARRAY(AE677),$Q$9:$U$13),TRANSPOSE(_xlfn.ANCHORARRAY(AE677)))</f>
        <v>7.4556065245824892E-4</v>
      </c>
      <c r="AL677" s="2">
        <f t="shared" ca="1" si="27"/>
        <v>2.7304956554776806E-2</v>
      </c>
      <c r="AM677" s="2" cm="1">
        <f t="array" aca="1" ref="AM677" ca="1">MMULT(_xlfn.ANCHORARRAY(AE678),TRANSPOSE($Q$3:$U$3))</f>
        <v>1.6679061797890723E-3</v>
      </c>
    </row>
    <row r="678" spans="1:39" x14ac:dyDescent="0.35">
      <c r="A678" s="3">
        <v>44812</v>
      </c>
      <c r="B678" s="4">
        <v>31.6628513336181</v>
      </c>
      <c r="C678" s="4">
        <v>135.1064453125</v>
      </c>
      <c r="D678" s="4">
        <v>35.660503387451101</v>
      </c>
      <c r="E678" s="4">
        <v>25.650575637817301</v>
      </c>
      <c r="F678" s="4">
        <v>251.20050048828099</v>
      </c>
      <c r="I678" s="5">
        <f>B678/B677-1</f>
        <v>3.2171535761560177E-2</v>
      </c>
      <c r="J678" s="5">
        <f>C678/C677-1</f>
        <v>5.4157992814745093E-3</v>
      </c>
      <c r="K678" s="5">
        <f>D678/D677-1</f>
        <v>1.3691941190994594E-2</v>
      </c>
      <c r="L678" s="5">
        <f>E678/E677-1</f>
        <v>1.4087779247990984E-3</v>
      </c>
      <c r="M678" s="5">
        <f>F678/F677-1</f>
        <v>1.6661705797518245E-3</v>
      </c>
      <c r="N678" s="5">
        <f>SUMPRODUCT(I678:M678,$AJ$13:$AN$13)</f>
        <v>-1.1380109879394191E-3</v>
      </c>
      <c r="P678" s="2" t="s">
        <v>669</v>
      </c>
      <c r="Q678" s="10" cm="1">
        <f t="array" aca="1" ref="Q678:U678" ca="1">_xlfn.LET(_xlpm.array,_xlfn.RANDARRAY(1,COLUMNS(_xlfn.ANCHORARRAY(Q677)),0,1,FALSE),_xlpm.array/SUM(_xlpm.array))</f>
        <v>3.3269298155428097E-2</v>
      </c>
      <c r="R678" s="2">
        <f ca="1"/>
        <v>0.28955665651390367</v>
      </c>
      <c r="S678" s="2">
        <f ca="1"/>
        <v>0.3043286131661227</v>
      </c>
      <c r="T678" s="2">
        <f ca="1"/>
        <v>0.15514049375526137</v>
      </c>
      <c r="U678" s="2">
        <f ca="1"/>
        <v>0.21770493840928418</v>
      </c>
      <c r="V678" s="12"/>
      <c r="X678" s="2" cm="1">
        <f t="array" aca="1" ref="X678" ca="1">MMULT(MMULT(_xlfn.ANCHORARRAY(Q678),$Q$9:$U$13),TRANSPOSE(_xlfn.ANCHORARRAY(Q678)))</f>
        <v>3.0349598840132604E-4</v>
      </c>
      <c r="Y678" s="2">
        <f t="shared" ca="1" si="26"/>
        <v>1.7421136254599644E-2</v>
      </c>
      <c r="Z678" s="2" cm="1">
        <f t="array" aca="1" ref="Z678" ca="1">MMULT(_xlfn.ANCHORARRAY(Q678),TRANSPOSE($Q$3:$U$3))</f>
        <v>1.0475911153880954E-3</v>
      </c>
      <c r="AA678" s="11">
        <f ca="1">AVEDEV(Q678*$Q$3,R678*$R$3,S678*$S$3,T678*$T$3,U678*$U$3)</f>
        <v>1.1465561379119163E-4</v>
      </c>
      <c r="AB678" s="11" cm="1">
        <f t="array" aca="1" ref="AB678" ca="1">MMULT(_xlfn.ANCHORARRAY(Q678),TRANSPOSE($Q$6:$U$6))</f>
        <v>-2.3232239513708758E-2</v>
      </c>
      <c r="AD678" s="2" t="s">
        <v>669</v>
      </c>
      <c r="AE678" s="10" cm="1">
        <f t="array" aca="1" ref="AE678:AI678" ca="1">_xlfn.LET(_xlpm.array,_xlfn.RANDARRAY(1,COLUMNS(_xlfn.ANCHORARRAY(Q677)),-1,1,FALSE),_xlpm.array/SUM(_xlpm.array))</f>
        <v>-0.66848469264521371</v>
      </c>
      <c r="AF678" s="10">
        <f ca="1"/>
        <v>0.10079779940142233</v>
      </c>
      <c r="AG678" s="10">
        <f ca="1"/>
        <v>0.73845521446687301</v>
      </c>
      <c r="AH678" s="10">
        <f ca="1"/>
        <v>0.39165125520814026</v>
      </c>
      <c r="AI678" s="10">
        <f ca="1"/>
        <v>0.43758042356877819</v>
      </c>
      <c r="AJ678" s="1"/>
      <c r="AK678" s="2" cm="1">
        <f t="array" aca="1" ref="AK678" ca="1">MMULT(MMULT(_xlfn.ANCHORARRAY(AE678),$Q$9:$U$13),TRANSPOSE(_xlfn.ANCHORARRAY(AE678)))</f>
        <v>7.1343195266268436E-4</v>
      </c>
      <c r="AL678" s="2">
        <f t="shared" ca="1" si="27"/>
        <v>2.6710146998148183E-2</v>
      </c>
      <c r="AM678" s="2" cm="1">
        <f t="array" aca="1" ref="AM678" ca="1">MMULT(_xlfn.ANCHORARRAY(AE679),TRANSPOSE($Q$3:$U$3))</f>
        <v>7.2215786008069098E-4</v>
      </c>
    </row>
    <row r="679" spans="1:39" x14ac:dyDescent="0.35">
      <c r="A679" s="3">
        <v>44813</v>
      </c>
      <c r="B679" s="4">
        <v>31.927848815917901</v>
      </c>
      <c r="C679" s="4">
        <v>138.58912658691401</v>
      </c>
      <c r="D679" s="4">
        <v>36.855354309082003</v>
      </c>
      <c r="E679" s="4">
        <v>25.975358963012599</v>
      </c>
      <c r="F679" s="4">
        <v>256.97229003906199</v>
      </c>
      <c r="I679" s="5">
        <f>B679/B678-1</f>
        <v>8.3693499207520006E-3</v>
      </c>
      <c r="J679" s="5">
        <f>C679/C678-1</f>
        <v>2.5777314075273061E-2</v>
      </c>
      <c r="K679" s="5">
        <f>D679/D678-1</f>
        <v>3.3506283089973721E-2</v>
      </c>
      <c r="L679" s="5">
        <f>E679/E678-1</f>
        <v>1.2661833784207932E-2</v>
      </c>
      <c r="M679" s="5">
        <f>F679/F678-1</f>
        <v>2.297682345203067E-2</v>
      </c>
      <c r="N679" s="5">
        <f>SUMPRODUCT(I679:M679,$AJ$13:$AN$13)</f>
        <v>2.77724061647945E-2</v>
      </c>
      <c r="P679" s="2" t="s">
        <v>670</v>
      </c>
      <c r="Q679" s="10" cm="1">
        <f t="array" aca="1" ref="Q679:U679" ca="1">_xlfn.LET(_xlpm.array,_xlfn.RANDARRAY(1,COLUMNS(_xlfn.ANCHORARRAY(Q678)),0,1,FALSE),_xlpm.array/SUM(_xlpm.array))</f>
        <v>0.21655971623728604</v>
      </c>
      <c r="R679" s="2">
        <f ca="1"/>
        <v>0.11731559021061942</v>
      </c>
      <c r="S679" s="2">
        <f ca="1"/>
        <v>0.24291564724086992</v>
      </c>
      <c r="T679" s="2">
        <f ca="1"/>
        <v>0.15962085742800861</v>
      </c>
      <c r="U679" s="2">
        <f ca="1"/>
        <v>0.263588188883216</v>
      </c>
      <c r="V679" s="12"/>
      <c r="X679" s="2" cm="1">
        <f t="array" aca="1" ref="X679" ca="1">MMULT(MMULT(_xlfn.ANCHORARRAY(Q679),$Q$9:$U$13),TRANSPOSE(_xlfn.ANCHORARRAY(Q679)))</f>
        <v>2.7769545113692578E-4</v>
      </c>
      <c r="Y679" s="2">
        <f t="shared" ca="1" si="26"/>
        <v>1.6664196684416738E-2</v>
      </c>
      <c r="Z679" s="2" cm="1">
        <f t="array" aca="1" ref="Z679" ca="1">MMULT(_xlfn.ANCHORARRAY(Q679),TRANSPOSE($Q$3:$U$3))</f>
        <v>9.5490712145522539E-4</v>
      </c>
      <c r="AA679" s="11">
        <f ca="1">AVEDEV(Q679*$Q$3,R679*$R$3,S679*$S$3,T679*$T$3,U679*$U$3)</f>
        <v>8.5655513190801099E-5</v>
      </c>
      <c r="AB679" s="11" cm="1">
        <f t="array" aca="1" ref="AB679" ca="1">MMULT(_xlfn.ANCHORARRAY(Q679),TRANSPOSE($Q$6:$U$6))</f>
        <v>-2.3013839512701004E-2</v>
      </c>
      <c r="AD679" s="2" t="s">
        <v>670</v>
      </c>
      <c r="AE679" s="10" cm="1">
        <f t="array" aca="1" ref="AE679:AI679" ca="1">_xlfn.LET(_xlpm.array,_xlfn.RANDARRAY(1,COLUMNS(_xlfn.ANCHORARRAY(Q678)),-1,1,FALSE),_xlpm.array/SUM(_xlpm.array))</f>
        <v>0.39071071559247755</v>
      </c>
      <c r="AF679" s="10">
        <f ca="1"/>
        <v>0.39214361309784623</v>
      </c>
      <c r="AG679" s="10">
        <f ca="1"/>
        <v>-5.676410323762044E-2</v>
      </c>
      <c r="AH679" s="10">
        <f ca="1"/>
        <v>0.46699054129563333</v>
      </c>
      <c r="AI679" s="10">
        <f ca="1"/>
        <v>-0.19308076674833674</v>
      </c>
      <c r="AJ679" s="1"/>
      <c r="AK679" s="2" cm="1">
        <f t="array" aca="1" ref="AK679" ca="1">MMULT(MMULT(_xlfn.ANCHORARRAY(AE679),$Q$9:$U$13),TRANSPOSE(_xlfn.ANCHORARRAY(AE679)))</f>
        <v>4.9709236316316944E-4</v>
      </c>
      <c r="AL679" s="2">
        <f t="shared" ca="1" si="27"/>
        <v>2.2295568240418756E-2</v>
      </c>
      <c r="AM679" s="2" cm="1">
        <f t="array" aca="1" ref="AM679" ca="1">MMULT(_xlfn.ANCHORARRAY(AE680),TRANSPOSE($Q$3:$U$3))</f>
        <v>1.713989809722063E-3</v>
      </c>
    </row>
    <row r="680" spans="1:39" x14ac:dyDescent="0.35">
      <c r="A680" s="3">
        <v>44816</v>
      </c>
      <c r="B680" s="4">
        <v>32.229400634765597</v>
      </c>
      <c r="C680" s="4">
        <v>140.78097534179599</v>
      </c>
      <c r="D680" s="4">
        <v>37.327735900878899</v>
      </c>
      <c r="E680" s="4">
        <v>26.329006195068299</v>
      </c>
      <c r="F680" s="4">
        <v>259.100341796875</v>
      </c>
      <c r="I680" s="5">
        <f>B680/B679-1</f>
        <v>9.4447897378340251E-3</v>
      </c>
      <c r="J680" s="5">
        <f>C680/C679-1</f>
        <v>1.5815445330102484E-2</v>
      </c>
      <c r="K680" s="5">
        <f>D680/D679-1</f>
        <v>1.2817176788895823E-2</v>
      </c>
      <c r="L680" s="5">
        <f>E680/E679-1</f>
        <v>1.3614719725693503E-2</v>
      </c>
      <c r="M680" s="5">
        <f>F680/F679-1</f>
        <v>8.2812499257780559E-3</v>
      </c>
      <c r="N680" s="5">
        <f>SUMPRODUCT(I680:M680,$AJ$13:$AN$13)</f>
        <v>1.2551736740806885E-2</v>
      </c>
      <c r="P680" s="2" t="s">
        <v>671</v>
      </c>
      <c r="Q680" s="10" cm="1">
        <f t="array" aca="1" ref="Q680:U680" ca="1">_xlfn.LET(_xlpm.array,_xlfn.RANDARRAY(1,COLUMNS(_xlfn.ANCHORARRAY(Q679)),0,1,FALSE),_xlpm.array/SUM(_xlpm.array))</f>
        <v>0.2898755821684863</v>
      </c>
      <c r="R680" s="2">
        <f ca="1"/>
        <v>0.1208908631826012</v>
      </c>
      <c r="S680" s="2">
        <f ca="1"/>
        <v>0.23308038301182801</v>
      </c>
      <c r="T680" s="2">
        <f ca="1"/>
        <v>0.20841269921916397</v>
      </c>
      <c r="U680" s="2">
        <f ca="1"/>
        <v>0.14774047241792054</v>
      </c>
      <c r="V680" s="12"/>
      <c r="X680" s="2" cm="1">
        <f t="array" aca="1" ref="X680" ca="1">MMULT(MMULT(_xlfn.ANCHORARRAY(Q680),$Q$9:$U$13),TRANSPOSE(_xlfn.ANCHORARRAY(Q680)))</f>
        <v>2.9377211154475128E-4</v>
      </c>
      <c r="Y680" s="2">
        <f t="shared" ca="1" si="26"/>
        <v>1.713978154892154E-2</v>
      </c>
      <c r="Z680" s="2" cm="1">
        <f t="array" aca="1" ref="Z680" ca="1">MMULT(_xlfn.ANCHORARRAY(Q680),TRANSPOSE($Q$3:$U$3))</f>
        <v>9.4004797539316051E-4</v>
      </c>
      <c r="AA680" s="11">
        <f ca="1">AVEDEV(Q680*$Q$3,R680*$R$3,S680*$S$3,T680*$T$3,U680*$U$3)</f>
        <v>8.6168606021626035E-5</v>
      </c>
      <c r="AB680" s="11" cm="1">
        <f t="array" aca="1" ref="AB680" ca="1">MMULT(_xlfn.ANCHORARRAY(Q680),TRANSPOSE($Q$6:$U$6))</f>
        <v>-2.3300529126785773E-2</v>
      </c>
      <c r="AD680" s="2" t="s">
        <v>671</v>
      </c>
      <c r="AE680" s="10" cm="1">
        <f t="array" aca="1" ref="AE680:AI680" ca="1">_xlfn.LET(_xlpm.array,_xlfn.RANDARRAY(1,COLUMNS(_xlfn.ANCHORARRAY(Q679)),-1,1,FALSE),_xlpm.array/SUM(_xlpm.array))</f>
        <v>-0.77524340619345034</v>
      </c>
      <c r="AF680" s="10">
        <f ca="1"/>
        <v>-0.3031828024384749</v>
      </c>
      <c r="AG680" s="10">
        <f ca="1"/>
        <v>0.63680596857224903</v>
      </c>
      <c r="AH680" s="10">
        <f ca="1"/>
        <v>0.75009998057420557</v>
      </c>
      <c r="AI680" s="10">
        <f ca="1"/>
        <v>0.69152025948547069</v>
      </c>
      <c r="AJ680" s="1"/>
      <c r="AK680" s="2" cm="1">
        <f t="array" aca="1" ref="AK680" ca="1">MMULT(MMULT(_xlfn.ANCHORARRAY(AE680),$Q$9:$U$13),TRANSPOSE(_xlfn.ANCHORARRAY(AE680)))</f>
        <v>8.0956539818892166E-4</v>
      </c>
      <c r="AL680" s="2">
        <f t="shared" ca="1" si="27"/>
        <v>2.8452862741540116E-2</v>
      </c>
      <c r="AM680" s="2" cm="1">
        <f t="array" aca="1" ref="AM680" ca="1">MMULT(_xlfn.ANCHORARRAY(AE681),TRANSPOSE($Q$3:$U$3))</f>
        <v>3.0222186752997494E-3</v>
      </c>
    </row>
    <row r="681" spans="1:39" x14ac:dyDescent="0.35">
      <c r="A681" s="3">
        <v>44817</v>
      </c>
      <c r="B681" s="4">
        <v>31.0688877105712</v>
      </c>
      <c r="C681" s="4">
        <v>138.10400390625</v>
      </c>
      <c r="D681" s="4">
        <v>35.4752388000488</v>
      </c>
      <c r="E681" s="4">
        <v>25.794923782348601</v>
      </c>
      <c r="F681" s="4">
        <v>244.85539245605401</v>
      </c>
      <c r="I681" s="5">
        <f>B681/B680-1</f>
        <v>-3.6007896558354235E-2</v>
      </c>
      <c r="J681" s="5">
        <f>C681/C680-1</f>
        <v>-1.9015150513389312E-2</v>
      </c>
      <c r="K681" s="5">
        <f>D681/D680-1</f>
        <v>-4.9627898829687211E-2</v>
      </c>
      <c r="L681" s="5">
        <f>E681/E680-1</f>
        <v>-2.0284943866196392E-2</v>
      </c>
      <c r="M681" s="5">
        <f>F681/F680-1</f>
        <v>-5.4978504628868885E-2</v>
      </c>
      <c r="N681" s="5">
        <f>SUMPRODUCT(I681:M681,$AJ$13:$AN$13)</f>
        <v>-4.2646573636788643E-2</v>
      </c>
      <c r="P681" s="2" t="s">
        <v>672</v>
      </c>
      <c r="Q681" s="10" cm="1">
        <f t="array" aca="1" ref="Q681:U681" ca="1">_xlfn.LET(_xlpm.array,_xlfn.RANDARRAY(1,COLUMNS(_xlfn.ANCHORARRAY(Q680)),0,1,FALSE),_xlpm.array/SUM(_xlpm.array))</f>
        <v>0.20201545921257266</v>
      </c>
      <c r="R681" s="2">
        <f ca="1"/>
        <v>0.1280675329142078</v>
      </c>
      <c r="S681" s="2">
        <f ca="1"/>
        <v>0.27217038753542877</v>
      </c>
      <c r="T681" s="2">
        <f ca="1"/>
        <v>0.24129001726359692</v>
      </c>
      <c r="U681" s="2">
        <f ca="1"/>
        <v>0.15645660307419396</v>
      </c>
      <c r="V681" s="12"/>
      <c r="X681" s="2" cm="1">
        <f t="array" aca="1" ref="X681" ca="1">MMULT(MMULT(_xlfn.ANCHORARRAY(Q681),$Q$9:$U$13),TRANSPOSE(_xlfn.ANCHORARRAY(Q681)))</f>
        <v>3.0009994133172097E-4</v>
      </c>
      <c r="Y681" s="2">
        <f t="shared" ca="1" si="26"/>
        <v>1.7323392893186976E-2</v>
      </c>
      <c r="Z681" s="2" cm="1">
        <f t="array" aca="1" ref="Z681" ca="1">MMULT(_xlfn.ANCHORARRAY(Q681),TRANSPOSE($Q$3:$U$3))</f>
        <v>1.0043708766819047E-3</v>
      </c>
      <c r="AA681" s="11">
        <f ca="1">AVEDEV(Q681*$Q$3,R681*$R$3,S681*$S$3,T681*$T$3,U681*$U$3)</f>
        <v>1.147050333237675E-4</v>
      </c>
      <c r="AB681" s="11" cm="1">
        <f t="array" aca="1" ref="AB681" ca="1">MMULT(_xlfn.ANCHORARRAY(Q681),TRANSPOSE($Q$6:$U$6))</f>
        <v>-2.3613908860782806E-2</v>
      </c>
      <c r="AD681" s="2" t="s">
        <v>672</v>
      </c>
      <c r="AE681" s="10" cm="1">
        <f t="array" aca="1" ref="AE681:AI681" ca="1">_xlfn.LET(_xlpm.array,_xlfn.RANDARRAY(1,COLUMNS(_xlfn.ANCHORARRAY(Q680)),-1,1,FALSE),_xlpm.array/SUM(_xlpm.array))</f>
        <v>-0.70342891785433226</v>
      </c>
      <c r="AF681" s="10">
        <f ca="1"/>
        <v>-1.4913492731590077</v>
      </c>
      <c r="AG681" s="10">
        <f ca="1"/>
        <v>1.8129127801145182</v>
      </c>
      <c r="AH681" s="10">
        <f ca="1"/>
        <v>1.8214380713315637</v>
      </c>
      <c r="AI681" s="10">
        <f ca="1"/>
        <v>-0.43957266043274201</v>
      </c>
      <c r="AJ681" s="1"/>
      <c r="AK681" s="2" cm="1">
        <f t="array" aca="1" ref="AK681" ca="1">MMULT(MMULT(_xlfn.ANCHORARRAY(AE681),$Q$9:$U$13),TRANSPOSE(_xlfn.ANCHORARRAY(AE681)))</f>
        <v>3.3261239490886842E-3</v>
      </c>
      <c r="AL681" s="2">
        <f t="shared" ca="1" si="27"/>
        <v>5.7672558024494495E-2</v>
      </c>
      <c r="AM681" s="2" cm="1">
        <f t="array" aca="1" ref="AM681" ca="1">MMULT(_xlfn.ANCHORARRAY(AE682),TRANSPOSE($Q$3:$U$3))</f>
        <v>-3.4933430803440704E-5</v>
      </c>
    </row>
    <row r="682" spans="1:39" x14ac:dyDescent="0.35">
      <c r="A682" s="3">
        <v>44818</v>
      </c>
      <c r="B682" s="4">
        <v>30.950096130371001</v>
      </c>
      <c r="C682" s="4">
        <v>141.44808959960901</v>
      </c>
      <c r="D682" s="4">
        <v>35.317779541015597</v>
      </c>
      <c r="E682" s="4">
        <v>26.466140747070298</v>
      </c>
      <c r="F682" s="4">
        <v>245.07887268066401</v>
      </c>
      <c r="I682" s="5">
        <f>B682/B681-1</f>
        <v>-3.8234899590492422E-3</v>
      </c>
      <c r="J682" s="5">
        <f>C682/C681-1</f>
        <v>2.4214255914181138E-2</v>
      </c>
      <c r="K682" s="5">
        <f>D682/D681-1</f>
        <v>-4.438567980351027E-3</v>
      </c>
      <c r="L682" s="5">
        <f>E682/E681-1</f>
        <v>2.6021281178625122E-2</v>
      </c>
      <c r="M682" s="5">
        <f>F682/F681-1</f>
        <v>9.1270289115685799E-4</v>
      </c>
      <c r="N682" s="5">
        <f>SUMPRODUCT(I682:M682,$AJ$13:$AN$13)</f>
        <v>1.0464959852353621E-2</v>
      </c>
      <c r="P682" s="2" t="s">
        <v>673</v>
      </c>
      <c r="Q682" s="10" cm="1">
        <f t="array" aca="1" ref="Q682:U682" ca="1">_xlfn.LET(_xlpm.array,_xlfn.RANDARRAY(1,COLUMNS(_xlfn.ANCHORARRAY(Q681)),0,1,FALSE),_xlpm.array/SUM(_xlpm.array))</f>
        <v>0.28574938239699693</v>
      </c>
      <c r="R682" s="2">
        <f ca="1"/>
        <v>0.11706042720024255</v>
      </c>
      <c r="S682" s="2">
        <f ca="1"/>
        <v>1.7124960892215574E-2</v>
      </c>
      <c r="T682" s="2">
        <f ca="1"/>
        <v>0.21163226044698794</v>
      </c>
      <c r="U682" s="2">
        <f ca="1"/>
        <v>0.3684329690635571</v>
      </c>
      <c r="V682" s="12"/>
      <c r="X682" s="2" cm="1">
        <f t="array" aca="1" ref="X682" ca="1">MMULT(MMULT(_xlfn.ANCHORARRAY(Q682),$Q$9:$U$13),TRANSPOSE(_xlfn.ANCHORARRAY(Q682)))</f>
        <v>2.5121632089172141E-4</v>
      </c>
      <c r="Y682" s="2">
        <f t="shared" ca="1" si="26"/>
        <v>1.584980507425001E-2</v>
      </c>
      <c r="Z682" s="2" cm="1">
        <f t="array" aca="1" ref="Z682" ca="1">MMULT(_xlfn.ANCHORARRAY(Q682),TRANSPOSE($Q$3:$U$3))</f>
        <v>7.5652860095690329E-4</v>
      </c>
      <c r="AA682" s="11">
        <f ca="1">AVEDEV(Q682*$Q$3,R682*$R$3,S682*$S$3,T682*$T$3,U682*$U$3)</f>
        <v>7.8157225812454026E-5</v>
      </c>
      <c r="AB682" s="11" cm="1">
        <f t="array" aca="1" ref="AB682" ca="1">MMULT(_xlfn.ANCHORARRAY(Q682),TRANSPOSE($Q$6:$U$6))</f>
        <v>-2.1792479910154094E-2</v>
      </c>
      <c r="AD682" s="2" t="s">
        <v>673</v>
      </c>
      <c r="AE682" s="10" cm="1">
        <f t="array" aca="1" ref="AE682:AI682" ca="1">_xlfn.LET(_xlpm.array,_xlfn.RANDARRAY(1,COLUMNS(_xlfn.ANCHORARRAY(Q681)),-1,1,FALSE),_xlpm.array/SUM(_xlpm.array))</f>
        <v>0.59265074183669331</v>
      </c>
      <c r="AF682" s="10">
        <f ca="1"/>
        <v>0.23085619053584114</v>
      </c>
      <c r="AG682" s="10">
        <f ca="1"/>
        <v>-1.0392931605559306</v>
      </c>
      <c r="AH682" s="10">
        <f ca="1"/>
        <v>0.98607549318516297</v>
      </c>
      <c r="AI682" s="10">
        <f ca="1"/>
        <v>0.22971073499823302</v>
      </c>
      <c r="AJ682" s="1"/>
      <c r="AK682" s="2" cm="1">
        <f t="array" aca="1" ref="AK682" ca="1">MMULT(MMULT(_xlfn.ANCHORARRAY(AE682),$Q$9:$U$13),TRANSPOSE(_xlfn.ANCHORARRAY(AE682)))</f>
        <v>1.4162133092413991E-3</v>
      </c>
      <c r="AL682" s="2">
        <f t="shared" ca="1" si="27"/>
        <v>3.7632609652286923E-2</v>
      </c>
      <c r="AM682" s="2" cm="1">
        <f t="array" aca="1" ref="AM682" ca="1">MMULT(_xlfn.ANCHORARRAY(AE683),TRANSPOSE($Q$3:$U$3))</f>
        <v>6.8382777310176078E-3</v>
      </c>
    </row>
    <row r="683" spans="1:39" x14ac:dyDescent="0.35">
      <c r="A683" s="3">
        <v>44819</v>
      </c>
      <c r="B683" s="4">
        <v>31.534914016723601</v>
      </c>
      <c r="C683" s="4">
        <v>139.15228271484301</v>
      </c>
      <c r="D683" s="4">
        <v>34.873176574707003</v>
      </c>
      <c r="E683" s="4">
        <v>25.715534210205</v>
      </c>
      <c r="F683" s="4">
        <v>238.432525634765</v>
      </c>
      <c r="I683" s="5">
        <f>B683/B682-1</f>
        <v>1.8895511144429777E-2</v>
      </c>
      <c r="J683" s="5">
        <f>C683/C682-1</f>
        <v>-1.6230738013250257E-2</v>
      </c>
      <c r="K683" s="5">
        <f>D683/D682-1</f>
        <v>-1.2588644362317991E-2</v>
      </c>
      <c r="L683" s="5">
        <f>E683/E682-1</f>
        <v>-2.8361012058336743E-2</v>
      </c>
      <c r="M683" s="5">
        <f>F683/F682-1</f>
        <v>-2.7119216655444367E-2</v>
      </c>
      <c r="N683" s="5">
        <f>SUMPRODUCT(I683:M683,$AJ$13:$AN$13)</f>
        <v>-3.3798580570100135E-2</v>
      </c>
      <c r="P683" s="2" t="s">
        <v>674</v>
      </c>
      <c r="Q683" s="10" cm="1">
        <f t="array" aca="1" ref="Q683:U683" ca="1">_xlfn.LET(_xlpm.array,_xlfn.RANDARRAY(1,COLUMNS(_xlfn.ANCHORARRAY(Q682)),0,1,FALSE),_xlpm.array/SUM(_xlpm.array))</f>
        <v>0.25352904895245482</v>
      </c>
      <c r="R683" s="2">
        <f ca="1"/>
        <v>0.24871701442701211</v>
      </c>
      <c r="S683" s="2">
        <f ca="1"/>
        <v>0.24252926773073336</v>
      </c>
      <c r="T683" s="2">
        <f ca="1"/>
        <v>0.2386430485542094</v>
      </c>
      <c r="U683" s="2">
        <f ca="1"/>
        <v>1.6581620335590429E-2</v>
      </c>
      <c r="V683" s="12"/>
      <c r="X683" s="2" cm="1">
        <f t="array" aca="1" ref="X683" ca="1">MMULT(MMULT(_xlfn.ANCHORARRAY(Q683),$Q$9:$U$13),TRANSPOSE(_xlfn.ANCHORARRAY(Q683)))</f>
        <v>3.2844583582157538E-4</v>
      </c>
      <c r="Y683" s="2">
        <f t="shared" ca="1" si="26"/>
        <v>1.8123074679026609E-2</v>
      </c>
      <c r="Z683" s="2" cm="1">
        <f t="array" aca="1" ref="Z683" ca="1">MMULT(_xlfn.ANCHORARRAY(Q683),TRANSPOSE($Q$3:$U$3))</f>
        <v>9.6083012339273177E-4</v>
      </c>
      <c r="AA683" s="11">
        <f ca="1">AVEDEV(Q683*$Q$3,R683*$R$3,S683*$S$3,T683*$T$3,U683*$U$3)</f>
        <v>1.0133499783066189E-4</v>
      </c>
      <c r="AB683" s="11" cm="1">
        <f t="array" aca="1" ref="AB683" ca="1">MMULT(_xlfn.ANCHORARRAY(Q683),TRANSPOSE($Q$6:$U$6))</f>
        <v>-2.3525305384655828E-2</v>
      </c>
      <c r="AD683" s="2" t="s">
        <v>674</v>
      </c>
      <c r="AE683" s="10" cm="1">
        <f t="array" aca="1" ref="AE683:AI683" ca="1">_xlfn.LET(_xlpm.array,_xlfn.RANDARRAY(1,COLUMNS(_xlfn.ANCHORARRAY(Q682)),-1,1,FALSE),_xlpm.array/SUM(_xlpm.array))</f>
        <v>-7.778773053365561</v>
      </c>
      <c r="AF683" s="10">
        <f ca="1"/>
        <v>14.055919220938781</v>
      </c>
      <c r="AG683" s="10">
        <f ca="1"/>
        <v>0.76162123362825329</v>
      </c>
      <c r="AH683" s="10">
        <f ca="1"/>
        <v>15.226200739601977</v>
      </c>
      <c r="AI683" s="10">
        <f ca="1"/>
        <v>-21.26496814080345</v>
      </c>
      <c r="AJ683" s="1"/>
      <c r="AK683" s="2" cm="1">
        <f t="array" aca="1" ref="AK683" ca="1">MMULT(MMULT(_xlfn.ANCHORARRAY(AE683),$Q$9:$U$13),TRANSPOSE(_xlfn.ANCHORARRAY(AE683)))</f>
        <v>0.36082375987995224</v>
      </c>
      <c r="AL683" s="2">
        <f t="shared" ca="1" si="27"/>
        <v>0.60068607431831833</v>
      </c>
      <c r="AM683" s="2" cm="1">
        <f t="array" aca="1" ref="AM683" ca="1">MMULT(_xlfn.ANCHORARRAY(AE684),TRANSPOSE($Q$3:$U$3))</f>
        <v>1.1337456791733265E-3</v>
      </c>
    </row>
    <row r="684" spans="1:39" x14ac:dyDescent="0.35">
      <c r="A684" s="3">
        <v>44820</v>
      </c>
      <c r="B684" s="4">
        <v>31.178539276123001</v>
      </c>
      <c r="C684" s="4">
        <v>135.53959655761699</v>
      </c>
      <c r="D684" s="4">
        <v>35.160320281982401</v>
      </c>
      <c r="E684" s="4">
        <v>25.318576812744102</v>
      </c>
      <c r="F684" s="4">
        <v>237.81066894531199</v>
      </c>
      <c r="I684" s="5">
        <f>B684/B683-1</f>
        <v>-1.1300958055937893E-2</v>
      </c>
      <c r="J684" s="5">
        <f>C684/C683-1</f>
        <v>-2.5962104873473724E-2</v>
      </c>
      <c r="K684" s="5">
        <f>D684/D683-1</f>
        <v>8.2339418280483745E-3</v>
      </c>
      <c r="L684" s="5">
        <f>E684/E683-1</f>
        <v>-1.5436482641817739E-2</v>
      </c>
      <c r="M684" s="5">
        <f>F684/F683-1</f>
        <v>-2.6081034363809596E-3</v>
      </c>
      <c r="N684" s="5">
        <f>SUMPRODUCT(I684:M684,$AJ$13:$AN$13)</f>
        <v>3.2211591270220081E-4</v>
      </c>
      <c r="P684" s="2" t="s">
        <v>675</v>
      </c>
      <c r="Q684" s="10" cm="1">
        <f t="array" aca="1" ref="Q684:U684" ca="1">_xlfn.LET(_xlpm.array,_xlfn.RANDARRAY(1,COLUMNS(_xlfn.ANCHORARRAY(Q683)),0,1,FALSE),_xlpm.array/SUM(_xlpm.array))</f>
        <v>0.1197037260134033</v>
      </c>
      <c r="R684" s="2">
        <f ca="1"/>
        <v>0.34895229294934743</v>
      </c>
      <c r="S684" s="2">
        <f ca="1"/>
        <v>6.4160895511284288E-2</v>
      </c>
      <c r="T684" s="2">
        <f ca="1"/>
        <v>0.20803503211959307</v>
      </c>
      <c r="U684" s="2">
        <f ca="1"/>
        <v>0.25914805340637193</v>
      </c>
      <c r="V684" s="12"/>
      <c r="X684" s="2" cm="1">
        <f t="array" aca="1" ref="X684" ca="1">MMULT(MMULT(_xlfn.ANCHORARRAY(Q684),$Q$9:$U$13),TRANSPOSE(_xlfn.ANCHORARRAY(Q684)))</f>
        <v>2.6986437543111971E-4</v>
      </c>
      <c r="Y684" s="2">
        <f t="shared" ca="1" si="26"/>
        <v>1.6427549282565544E-2</v>
      </c>
      <c r="Z684" s="2" cm="1">
        <f t="array" aca="1" ref="Z684" ca="1">MMULT(_xlfn.ANCHORARRAY(Q684),TRANSPOSE($Q$3:$U$3))</f>
        <v>8.3059743394037417E-4</v>
      </c>
      <c r="AA684" s="11">
        <f ca="1">AVEDEV(Q684*$Q$3,R684*$R$3,S684*$S$3,T684*$T$3,U684*$U$3)</f>
        <v>6.6881064053067428E-5</v>
      </c>
      <c r="AB684" s="11" cm="1">
        <f t="array" aca="1" ref="AB684" ca="1">MMULT(_xlfn.ANCHORARRAY(Q684),TRANSPOSE($Q$6:$U$6))</f>
        <v>-2.1967892568709971E-2</v>
      </c>
      <c r="AD684" s="2" t="s">
        <v>675</v>
      </c>
      <c r="AE684" s="10" cm="1">
        <f t="array" aca="1" ref="AE684:AI684" ca="1">_xlfn.LET(_xlpm.array,_xlfn.RANDARRAY(1,COLUMNS(_xlfn.ANCHORARRAY(Q683)),-1,1,FALSE),_xlpm.array/SUM(_xlpm.array))</f>
        <v>-0.14351548441295045</v>
      </c>
      <c r="AF684" s="10">
        <f ca="1"/>
        <v>1.02432164268018</v>
      </c>
      <c r="AG684" s="10">
        <f ca="1"/>
        <v>0.71100110562669294</v>
      </c>
      <c r="AH684" s="10">
        <f ca="1"/>
        <v>-0.9476941151390148</v>
      </c>
      <c r="AI684" s="10">
        <f ca="1"/>
        <v>0.35588685124509239</v>
      </c>
      <c r="AJ684" s="1"/>
      <c r="AK684" s="2" cm="1">
        <f t="array" aca="1" ref="AK684" ca="1">MMULT(MMULT(_xlfn.ANCHORARRAY(AE684),$Q$9:$U$13),TRANSPOSE(_xlfn.ANCHORARRAY(AE684)))</f>
        <v>8.7753594697993808E-4</v>
      </c>
      <c r="AL684" s="2">
        <f t="shared" ca="1" si="27"/>
        <v>2.962323322967866E-2</v>
      </c>
      <c r="AM684" s="2" cm="1">
        <f t="array" aca="1" ref="AM684" ca="1">MMULT(_xlfn.ANCHORARRAY(AE685),TRANSPOSE($Q$3:$U$3))</f>
        <v>1.2504085443348924E-3</v>
      </c>
    </row>
    <row r="685" spans="1:39" x14ac:dyDescent="0.35">
      <c r="A685" s="3">
        <v>44823</v>
      </c>
      <c r="B685" s="4">
        <v>31.6994018554687</v>
      </c>
      <c r="C685" s="4">
        <v>135.92945861816401</v>
      </c>
      <c r="D685" s="4">
        <v>35.030651092529297</v>
      </c>
      <c r="E685" s="4">
        <v>25.080400466918899</v>
      </c>
      <c r="F685" s="4">
        <v>237.59687805175699</v>
      </c>
      <c r="I685" s="5">
        <f>B685/B684-1</f>
        <v>1.6705804423127191E-2</v>
      </c>
      <c r="J685" s="5">
        <f>C685/C684-1</f>
        <v>2.8763702301657368E-3</v>
      </c>
      <c r="K685" s="5">
        <f>D685/D684-1</f>
        <v>-3.6879410771337717E-3</v>
      </c>
      <c r="L685" s="5">
        <f>E685/E684-1</f>
        <v>-9.4071774881642201E-3</v>
      </c>
      <c r="M685" s="5">
        <f>F685/F684-1</f>
        <v>-8.9899622461497852E-4</v>
      </c>
      <c r="N685" s="5">
        <f>SUMPRODUCT(I685:M685,$AJ$13:$AN$13)</f>
        <v>-1.1541856797474619E-2</v>
      </c>
      <c r="P685" s="2" t="s">
        <v>676</v>
      </c>
      <c r="Q685" s="10" cm="1">
        <f t="array" aca="1" ref="Q685:U685" ca="1">_xlfn.LET(_xlpm.array,_xlfn.RANDARRAY(1,COLUMNS(_xlfn.ANCHORARRAY(Q684)),0,1,FALSE),_xlpm.array/SUM(_xlpm.array))</f>
        <v>0.1617779199368643</v>
      </c>
      <c r="R685" s="2">
        <f ca="1"/>
        <v>0.15794144983802927</v>
      </c>
      <c r="S685" s="2">
        <f ca="1"/>
        <v>0.35442522714403546</v>
      </c>
      <c r="T685" s="2">
        <f ca="1"/>
        <v>0.19999034274974445</v>
      </c>
      <c r="U685" s="2">
        <f ca="1"/>
        <v>0.12586506033132647</v>
      </c>
      <c r="V685" s="12"/>
      <c r="X685" s="2" cm="1">
        <f t="array" aca="1" ref="X685" ca="1">MMULT(MMULT(_xlfn.ANCHORARRAY(Q685),$Q$9:$U$13),TRANSPOSE(_xlfn.ANCHORARRAY(Q685)))</f>
        <v>3.2687379574963436E-4</v>
      </c>
      <c r="Y685" s="2">
        <f t="shared" ca="1" si="26"/>
        <v>1.8079651427769131E-2</v>
      </c>
      <c r="Z685" s="2" cm="1">
        <f t="array" aca="1" ref="Z685" ca="1">MMULT(_xlfn.ANCHORARRAY(Q685),TRANSPOSE($Q$3:$U$3))</f>
        <v>1.0737268090781267E-3</v>
      </c>
      <c r="AA685" s="11">
        <f ca="1">AVEDEV(Q685*$Q$3,R685*$R$3,S685*$S$3,T685*$T$3,U685*$U$3)</f>
        <v>1.4433659243920897E-4</v>
      </c>
      <c r="AB685" s="11" cm="1">
        <f t="array" aca="1" ref="AB685" ca="1">MMULT(_xlfn.ANCHORARRAY(Q685),TRANSPOSE($Q$6:$U$6))</f>
        <v>-2.3938073087423826E-2</v>
      </c>
      <c r="AD685" s="2" t="s">
        <v>676</v>
      </c>
      <c r="AE685" s="10" cm="1">
        <f t="array" aca="1" ref="AE685:AI685" ca="1">_xlfn.LET(_xlpm.array,_xlfn.RANDARRAY(1,COLUMNS(_xlfn.ANCHORARRAY(Q684)),-1,1,FALSE),_xlpm.array/SUM(_xlpm.array))</f>
        <v>-0.4330233391318562</v>
      </c>
      <c r="AF685" s="10">
        <f ca="1"/>
        <v>0.27750414093855752</v>
      </c>
      <c r="AG685" s="10">
        <f ca="1"/>
        <v>0.28784120248731532</v>
      </c>
      <c r="AH685" s="10">
        <f ca="1"/>
        <v>0.53257417806123497</v>
      </c>
      <c r="AI685" s="10">
        <f ca="1"/>
        <v>0.33510381764474845</v>
      </c>
      <c r="AJ685" s="1"/>
      <c r="AK685" s="2" cm="1">
        <f t="array" aca="1" ref="AK685" ca="1">MMULT(MMULT(_xlfn.ANCHORARRAY(AE685),$Q$9:$U$13),TRANSPOSE(_xlfn.ANCHORARRAY(AE685)))</f>
        <v>4.1849761039244545E-4</v>
      </c>
      <c r="AL685" s="2">
        <f t="shared" ca="1" si="27"/>
        <v>2.0457214140553095E-2</v>
      </c>
      <c r="AM685" s="2" cm="1">
        <f t="array" aca="1" ref="AM685" ca="1">MMULT(_xlfn.ANCHORARRAY(AE686),TRANSPOSE($Q$3:$U$3))</f>
        <v>1.0307388254019374E-2</v>
      </c>
    </row>
    <row r="686" spans="1:39" x14ac:dyDescent="0.35">
      <c r="A686" s="3">
        <v>44824</v>
      </c>
      <c r="B686" s="4">
        <v>31.2242317199707</v>
      </c>
      <c r="C686" s="4">
        <v>135.392318725585</v>
      </c>
      <c r="D686" s="4">
        <v>34.224815368652301</v>
      </c>
      <c r="E686" s="4">
        <v>24.979356765746999</v>
      </c>
      <c r="F686" s="4">
        <v>235.58546447753901</v>
      </c>
      <c r="I686" s="5">
        <f>B686/B685-1</f>
        <v>-1.4989877022427933E-2</v>
      </c>
      <c r="J686" s="5">
        <f>C686/C685-1</f>
        <v>-3.951607679744229E-3</v>
      </c>
      <c r="K686" s="5">
        <f>D686/D685-1</f>
        <v>-2.3003732409896616E-2</v>
      </c>
      <c r="L686" s="5">
        <f>E686/E685-1</f>
        <v>-4.0287913785578278E-3</v>
      </c>
      <c r="M686" s="5">
        <f>F686/F685-1</f>
        <v>-8.4656565806383588E-3</v>
      </c>
      <c r="N686" s="5">
        <f>SUMPRODUCT(I686:M686,$AJ$13:$AN$13)</f>
        <v>-1.2223076946686872E-2</v>
      </c>
      <c r="P686" s="2" t="s">
        <v>677</v>
      </c>
      <c r="Q686" s="10" cm="1">
        <f t="array" aca="1" ref="Q686:U686" ca="1">_xlfn.LET(_xlpm.array,_xlfn.RANDARRAY(1,COLUMNS(_xlfn.ANCHORARRAY(Q685)),0,1,FALSE),_xlpm.array/SUM(_xlpm.array))</f>
        <v>0.2606199779731776</v>
      </c>
      <c r="R686" s="2">
        <f ca="1"/>
        <v>0.29580349354531493</v>
      </c>
      <c r="S686" s="2">
        <f ca="1"/>
        <v>0.10418437383655285</v>
      </c>
      <c r="T686" s="2">
        <f ca="1"/>
        <v>0.20205716150518763</v>
      </c>
      <c r="U686" s="2">
        <f ca="1"/>
        <v>0.13733499313976699</v>
      </c>
      <c r="V686" s="12"/>
      <c r="X686" s="2" cm="1">
        <f t="array" aca="1" ref="X686" ca="1">MMULT(MMULT(_xlfn.ANCHORARRAY(Q686),$Q$9:$U$13),TRANSPOSE(_xlfn.ANCHORARRAY(Q686)))</f>
        <v>2.8848652840267471E-4</v>
      </c>
      <c r="Y686" s="2">
        <f t="shared" ca="1" si="26"/>
        <v>1.6984891180183485E-2</v>
      </c>
      <c r="Z686" s="2" cm="1">
        <f t="array" aca="1" ref="Z686" ca="1">MMULT(_xlfn.ANCHORARRAY(Q686),TRANSPOSE($Q$3:$U$3))</f>
        <v>8.2912814195416928E-4</v>
      </c>
      <c r="AA686" s="11">
        <f ca="1">AVEDEV(Q686*$Q$3,R686*$R$3,S686*$S$3,T686*$T$3,U686*$U$3)</f>
        <v>3.7660374875033774E-5</v>
      </c>
      <c r="AB686" s="11" cm="1">
        <f t="array" aca="1" ref="AB686" ca="1">MMULT(_xlfn.ANCHORARRAY(Q686),TRANSPOSE($Q$6:$U$6))</f>
        <v>-2.2402326836387952E-2</v>
      </c>
      <c r="AD686" s="2" t="s">
        <v>677</v>
      </c>
      <c r="AE686" s="10" cm="1">
        <f t="array" aca="1" ref="AE686:AI686" ca="1">_xlfn.LET(_xlpm.array,_xlfn.RANDARRAY(1,COLUMNS(_xlfn.ANCHORARRAY(Q685)),-1,1,FALSE),_xlpm.array/SUM(_xlpm.array))</f>
        <v>-8.8920449824720187</v>
      </c>
      <c r="AF686" s="10">
        <f ca="1"/>
        <v>-7.6009612764719137</v>
      </c>
      <c r="AG686" s="10">
        <f ca="1"/>
        <v>5.612494558434185</v>
      </c>
      <c r="AH686" s="10">
        <f ca="1"/>
        <v>8.4735831440145546</v>
      </c>
      <c r="AI686" s="10">
        <f ca="1"/>
        <v>3.4069285564951941</v>
      </c>
      <c r="AJ686" s="1"/>
      <c r="AK686" s="2" cm="1">
        <f t="array" aca="1" ref="AK686" ca="1">MMULT(MMULT(_xlfn.ANCHORARRAY(AE686),$Q$9:$U$13),TRANSPOSE(_xlfn.ANCHORARRAY(AE686)))</f>
        <v>6.6398813168107154E-2</v>
      </c>
      <c r="AL686" s="2">
        <f t="shared" ca="1" si="27"/>
        <v>0.25767967162371802</v>
      </c>
      <c r="AM686" s="2" cm="1">
        <f t="array" aca="1" ref="AM686" ca="1">MMULT(_xlfn.ANCHORARRAY(AE687),TRANSPOSE($Q$3:$U$3))</f>
        <v>4.1562607667298469E-4</v>
      </c>
    </row>
    <row r="687" spans="1:39" x14ac:dyDescent="0.35">
      <c r="A687" s="3">
        <v>44825</v>
      </c>
      <c r="B687" s="4">
        <v>30.292165756225501</v>
      </c>
      <c r="C687" s="4">
        <v>134.292068481445</v>
      </c>
      <c r="D687" s="4">
        <v>34.067348480224602</v>
      </c>
      <c r="E687" s="4">
        <v>24.618486404418899</v>
      </c>
      <c r="F687" s="4">
        <v>232.18458557128901</v>
      </c>
      <c r="I687" s="5">
        <f>B687/B686-1</f>
        <v>-2.9850725299001013E-2</v>
      </c>
      <c r="J687" s="5">
        <f>C687/C686-1</f>
        <v>-8.1263860054719972E-3</v>
      </c>
      <c r="K687" s="5">
        <f>D687/D686-1</f>
        <v>-4.6009565495546134E-3</v>
      </c>
      <c r="L687" s="5">
        <f>E687/E686-1</f>
        <v>-1.4446743553578778E-2</v>
      </c>
      <c r="M687" s="5">
        <f>F687/F686-1</f>
        <v>-1.4435860522176824E-2</v>
      </c>
      <c r="N687" s="5">
        <f>SUMPRODUCT(I687:M687,$AJ$13:$AN$13)</f>
        <v>-5.068705350387415E-3</v>
      </c>
      <c r="P687" s="2" t="s">
        <v>678</v>
      </c>
      <c r="Q687" s="10" cm="1">
        <f t="array" aca="1" ref="Q687:U687" ca="1">_xlfn.LET(_xlpm.array,_xlfn.RANDARRAY(1,COLUMNS(_xlfn.ANCHORARRAY(Q686)),0,1,FALSE),_xlpm.array/SUM(_xlpm.array))</f>
        <v>0.24945661871028016</v>
      </c>
      <c r="R687" s="2">
        <f ca="1"/>
        <v>0.23548587013905856</v>
      </c>
      <c r="S687" s="2">
        <f ca="1"/>
        <v>0.18613486329692128</v>
      </c>
      <c r="T687" s="2">
        <f ca="1"/>
        <v>9.2591192913168488E-2</v>
      </c>
      <c r="U687" s="2">
        <f ca="1"/>
        <v>0.23633145494057142</v>
      </c>
      <c r="V687" s="12"/>
      <c r="X687" s="2" cm="1">
        <f t="array" aca="1" ref="X687" ca="1">MMULT(MMULT(_xlfn.ANCHORARRAY(Q687),$Q$9:$U$13),TRANSPOSE(_xlfn.ANCHORARRAY(Q687)))</f>
        <v>2.7161557892615469E-4</v>
      </c>
      <c r="Y687" s="2">
        <f t="shared" ca="1" si="26"/>
        <v>1.6480763906025556E-2</v>
      </c>
      <c r="Z687" s="2" cm="1">
        <f t="array" aca="1" ref="Z687" ca="1">MMULT(_xlfn.ANCHORARRAY(Q687),TRANSPOSE($Q$3:$U$3))</f>
        <v>8.7638129421974045E-4</v>
      </c>
      <c r="AA687" s="11">
        <f ca="1">AVEDEV(Q687*$Q$3,R687*$R$3,S687*$S$3,T687*$T$3,U687*$U$3)</f>
        <v>5.2995863930003874E-5</v>
      </c>
      <c r="AB687" s="11" cm="1">
        <f t="array" aca="1" ref="AB687" ca="1">MMULT(_xlfn.ANCHORARRAY(Q687),TRANSPOSE($Q$6:$U$6))</f>
        <v>-2.2381868060820809E-2</v>
      </c>
      <c r="AD687" s="2" t="s">
        <v>678</v>
      </c>
      <c r="AE687" s="10" cm="1">
        <f t="array" aca="1" ref="AE687:AI687" ca="1">_xlfn.LET(_xlpm.array,_xlfn.RANDARRAY(1,COLUMNS(_xlfn.ANCHORARRAY(Q686)),-1,1,FALSE),_xlpm.array/SUM(_xlpm.array))</f>
        <v>-1.1331483582260113</v>
      </c>
      <c r="AF687" s="10">
        <f ca="1"/>
        <v>-0.13022316957694255</v>
      </c>
      <c r="AG687" s="10">
        <f ca="1"/>
        <v>-0.80670708583134465</v>
      </c>
      <c r="AH687" s="10">
        <f ca="1"/>
        <v>0.18916294234378167</v>
      </c>
      <c r="AI687" s="10">
        <f ca="1"/>
        <v>2.8809156712905168</v>
      </c>
      <c r="AJ687" s="1"/>
      <c r="AK687" s="2" cm="1">
        <f t="array" aca="1" ref="AK687" ca="1">MMULT(MMULT(_xlfn.ANCHORARRAY(AE687),$Q$9:$U$13),TRANSPOSE(_xlfn.ANCHORARRAY(AE687)))</f>
        <v>2.3316702429754884E-3</v>
      </c>
      <c r="AL687" s="2">
        <f t="shared" ca="1" si="27"/>
        <v>4.8287371464757617E-2</v>
      </c>
      <c r="AM687" s="2" cm="1">
        <f t="array" aca="1" ref="AM687" ca="1">MMULT(_xlfn.ANCHORARRAY(AE688),TRANSPOSE($Q$3:$U$3))</f>
        <v>1.0312148348872721E-3</v>
      </c>
    </row>
    <row r="688" spans="1:39" x14ac:dyDescent="0.35">
      <c r="A688" s="3">
        <v>44826</v>
      </c>
      <c r="B688" s="4">
        <v>29.698196411132798</v>
      </c>
      <c r="C688" s="4">
        <v>134.18811035156199</v>
      </c>
      <c r="D688" s="4">
        <v>33.604228973388601</v>
      </c>
      <c r="E688" s="4">
        <v>24.748405456542901</v>
      </c>
      <c r="F688" s="4">
        <v>234.15708923339801</v>
      </c>
      <c r="I688" s="5">
        <f>B688/B687-1</f>
        <v>-1.9608018451788389E-2</v>
      </c>
      <c r="J688" s="5">
        <f>C688/C687-1</f>
        <v>-7.7411965619822443E-4</v>
      </c>
      <c r="K688" s="5">
        <f>D688/D687-1</f>
        <v>-1.3594233995194327E-2</v>
      </c>
      <c r="L688" s="5">
        <f>E688/E687-1</f>
        <v>5.2772964994582949E-3</v>
      </c>
      <c r="M688" s="5">
        <f>F688/F687-1</f>
        <v>8.4954117744537871E-3</v>
      </c>
      <c r="N688" s="5">
        <f>SUMPRODUCT(I688:M688,$AJ$13:$AN$13)</f>
        <v>3.9218254446527281E-3</v>
      </c>
      <c r="P688" s="2" t="s">
        <v>679</v>
      </c>
      <c r="Q688" s="10" cm="1">
        <f t="array" aca="1" ref="Q688:U688" ca="1">_xlfn.LET(_xlpm.array,_xlfn.RANDARRAY(1,COLUMNS(_xlfn.ANCHORARRAY(Q687)),0,1,FALSE),_xlpm.array/SUM(_xlpm.array))</f>
        <v>0.25694035619171957</v>
      </c>
      <c r="R688" s="2">
        <f ca="1"/>
        <v>0.12246114106755988</v>
      </c>
      <c r="S688" s="2">
        <f ca="1"/>
        <v>0.18491453152304002</v>
      </c>
      <c r="T688" s="2">
        <f ca="1"/>
        <v>0.26658480324870848</v>
      </c>
      <c r="U688" s="2">
        <f ca="1"/>
        <v>0.16909916796897198</v>
      </c>
      <c r="V688" s="12"/>
      <c r="X688" s="2" cm="1">
        <f t="array" aca="1" ref="X688" ca="1">MMULT(MMULT(_xlfn.ANCHORARRAY(Q688),$Q$9:$U$13),TRANSPOSE(_xlfn.ANCHORARRAY(Q688)))</f>
        <v>2.8486337717267103E-4</v>
      </c>
      <c r="Y688" s="2">
        <f t="shared" ca="1" si="26"/>
        <v>1.6877896112154234E-2</v>
      </c>
      <c r="Z688" s="2" cm="1">
        <f t="array" aca="1" ref="Z688" ca="1">MMULT(_xlfn.ANCHORARRAY(Q688),TRANSPOSE($Q$3:$U$3))</f>
        <v>9.2199996618339778E-4</v>
      </c>
      <c r="AA688" s="11">
        <f ca="1">AVEDEV(Q688*$Q$3,R688*$R$3,S688*$S$3,T688*$T$3,U688*$U$3)</f>
        <v>8.1539582585973949E-5</v>
      </c>
      <c r="AB688" s="11" cm="1">
        <f t="array" aca="1" ref="AB688" ca="1">MMULT(_xlfn.ANCHORARRAY(Q688),TRANSPOSE($Q$6:$U$6))</f>
        <v>-2.3207181816460625E-2</v>
      </c>
      <c r="AD688" s="2" t="s">
        <v>679</v>
      </c>
      <c r="AE688" s="10" cm="1">
        <f t="array" aca="1" ref="AE688:AI688" ca="1">_xlfn.LET(_xlpm.array,_xlfn.RANDARRAY(1,COLUMNS(_xlfn.ANCHORARRAY(Q687)),-1,1,FALSE),_xlpm.array/SUM(_xlpm.array))</f>
        <v>7.65364167508059E-2</v>
      </c>
      <c r="AF688" s="10">
        <f ca="1"/>
        <v>0.15184376111174044</v>
      </c>
      <c r="AG688" s="10">
        <f ca="1"/>
        <v>0.29131454724677025</v>
      </c>
      <c r="AH688" s="10">
        <f ca="1"/>
        <v>0.15958226851228599</v>
      </c>
      <c r="AI688" s="10">
        <f ca="1"/>
        <v>0.32072300637839729</v>
      </c>
      <c r="AJ688" s="1"/>
      <c r="AK688" s="2" cm="1">
        <f t="array" aca="1" ref="AK688" ca="1">MMULT(MMULT(_xlfn.ANCHORARRAY(AE688),$Q$9:$U$13),TRANSPOSE(_xlfn.ANCHORARRAY(AE688)))</f>
        <v>2.870605920819978E-4</v>
      </c>
      <c r="AL688" s="2">
        <f t="shared" ca="1" si="27"/>
        <v>1.6942862570474854E-2</v>
      </c>
      <c r="AM688" s="2" cm="1">
        <f t="array" aca="1" ref="AM688" ca="1">MMULT(_xlfn.ANCHORARRAY(AE689),TRANSPOSE($Q$3:$U$3))</f>
        <v>1.9187201694919921E-3</v>
      </c>
    </row>
    <row r="689" spans="1:39" x14ac:dyDescent="0.35">
      <c r="A689" s="3">
        <v>44827</v>
      </c>
      <c r="B689" s="4">
        <v>28.994583129882798</v>
      </c>
      <c r="C689" s="4">
        <v>125.420722961425</v>
      </c>
      <c r="D689" s="4">
        <v>32.900283813476499</v>
      </c>
      <c r="E689" s="4">
        <v>23.203882217407202</v>
      </c>
      <c r="F689" s="4">
        <v>231.18376159667901</v>
      </c>
      <c r="I689" s="5">
        <f>B689/B688-1</f>
        <v>-2.3692121619420692E-2</v>
      </c>
      <c r="J689" s="5">
        <f>C689/C688-1</f>
        <v>-6.5336544103401839E-2</v>
      </c>
      <c r="K689" s="5">
        <f>D689/D688-1</f>
        <v>-2.0948112229254301E-2</v>
      </c>
      <c r="L689" s="5">
        <f>E689/E688-1</f>
        <v>-6.2409000121151803E-2</v>
      </c>
      <c r="M689" s="5">
        <f>F689/F688-1</f>
        <v>-1.2698003918879097E-2</v>
      </c>
      <c r="N689" s="5">
        <f>SUMPRODUCT(I689:M689,$AJ$13:$AN$13)</f>
        <v>-3.5317220119568976E-2</v>
      </c>
      <c r="P689" s="2" t="s">
        <v>680</v>
      </c>
      <c r="Q689" s="10" cm="1">
        <f t="array" aca="1" ref="Q689:U689" ca="1">_xlfn.LET(_xlpm.array,_xlfn.RANDARRAY(1,COLUMNS(_xlfn.ANCHORARRAY(Q688)),0,1,FALSE),_xlpm.array/SUM(_xlpm.array))</f>
        <v>0.1329932620901873</v>
      </c>
      <c r="R689" s="2">
        <f ca="1"/>
        <v>0.15395805829689857</v>
      </c>
      <c r="S689" s="2">
        <f ca="1"/>
        <v>0.41638034018027675</v>
      </c>
      <c r="T689" s="2">
        <f ca="1"/>
        <v>0.23220496011827543</v>
      </c>
      <c r="U689" s="2">
        <f ca="1"/>
        <v>6.4463379314362024E-2</v>
      </c>
      <c r="V689" s="12"/>
      <c r="X689" s="2" cm="1">
        <f t="array" aca="1" ref="X689" ca="1">MMULT(MMULT(_xlfn.ANCHORARRAY(Q689),$Q$9:$U$13),TRANSPOSE(_xlfn.ANCHORARRAY(Q689)))</f>
        <v>3.6250583060320617E-4</v>
      </c>
      <c r="Y689" s="2">
        <f t="shared" ca="1" si="26"/>
        <v>1.9039585883185751E-2</v>
      </c>
      <c r="Z689" s="2" cm="1">
        <f t="array" aca="1" ref="Z689" ca="1">MMULT(_xlfn.ANCHORARRAY(Q689),TRANSPOSE($Q$3:$U$3))</f>
        <v>1.1427511328594053E-3</v>
      </c>
      <c r="AA689" s="11">
        <f ca="1">AVEDEV(Q689*$Q$3,R689*$R$3,S689*$S$3,T689*$T$3,U689*$U$3)</f>
        <v>1.8253044218164734E-4</v>
      </c>
      <c r="AB689" s="11" cm="1">
        <f t="array" aca="1" ref="AB689" ca="1">MMULT(_xlfn.ANCHORARRAY(Q689),TRANSPOSE($Q$6:$U$6))</f>
        <v>-2.44908148258207E-2</v>
      </c>
      <c r="AD689" s="2" t="s">
        <v>680</v>
      </c>
      <c r="AE689" s="10" cm="1">
        <f t="array" aca="1" ref="AE689:AI689" ca="1">_xlfn.LET(_xlpm.array,_xlfn.RANDARRAY(1,COLUMNS(_xlfn.ANCHORARRAY(Q688)),-1,1,FALSE),_xlpm.array/SUM(_xlpm.array))</f>
        <v>-1.267885783284741</v>
      </c>
      <c r="AF689" s="10">
        <f ca="1"/>
        <v>0.93883933084631077</v>
      </c>
      <c r="AG689" s="10">
        <f ca="1"/>
        <v>0.48160106710580464</v>
      </c>
      <c r="AH689" s="10">
        <f ca="1"/>
        <v>1.7418722261109589</v>
      </c>
      <c r="AI689" s="10">
        <f ca="1"/>
        <v>-0.89442684077833323</v>
      </c>
      <c r="AJ689" s="1"/>
      <c r="AK689" s="2" cm="1">
        <f t="array" aca="1" ref="AK689" ca="1">MMULT(MMULT(_xlfn.ANCHORARRAY(AE689),$Q$9:$U$13),TRANSPOSE(_xlfn.ANCHORARRAY(AE689)))</f>
        <v>2.7272465841817408E-3</v>
      </c>
      <c r="AL689" s="2">
        <f t="shared" ca="1" si="27"/>
        <v>5.2223046485069605E-2</v>
      </c>
      <c r="AM689" s="2" cm="1">
        <f t="array" aca="1" ref="AM689" ca="1">MMULT(_xlfn.ANCHORARRAY(AE690),TRANSPOSE($Q$3:$U$3))</f>
        <v>6.2434651114585743E-4</v>
      </c>
    </row>
    <row r="690" spans="1:39" x14ac:dyDescent="0.35">
      <c r="A690" s="3">
        <v>44830</v>
      </c>
      <c r="B690" s="4">
        <v>28.354925155639599</v>
      </c>
      <c r="C690" s="4">
        <v>122.11993408203099</v>
      </c>
      <c r="D690" s="4">
        <v>32.140754699707003</v>
      </c>
      <c r="E690" s="4">
        <v>22.8574504852294</v>
      </c>
      <c r="F690" s="4">
        <v>230.72703552246</v>
      </c>
      <c r="I690" s="5">
        <f>B690/B689-1</f>
        <v>-2.2061292324080606E-2</v>
      </c>
      <c r="J690" s="5">
        <f>C690/C689-1</f>
        <v>-2.6317731244534515E-2</v>
      </c>
      <c r="K690" s="5">
        <f>D690/D689-1</f>
        <v>-2.3085792149257434E-2</v>
      </c>
      <c r="L690" s="5">
        <f>E690/E689-1</f>
        <v>-1.4929903924349119E-2</v>
      </c>
      <c r="M690" s="5">
        <f>F690/F689-1</f>
        <v>-1.975597555228803E-3</v>
      </c>
      <c r="N690" s="5">
        <f>SUMPRODUCT(I690:M690,$AJ$13:$AN$13)</f>
        <v>-1.2413540526557536E-2</v>
      </c>
      <c r="P690" s="2" t="s">
        <v>681</v>
      </c>
      <c r="Q690" s="10" cm="1">
        <f t="array" aca="1" ref="Q690:U690" ca="1">_xlfn.LET(_xlpm.array,_xlfn.RANDARRAY(1,COLUMNS(_xlfn.ANCHORARRAY(Q689)),0,1,FALSE),_xlpm.array/SUM(_xlpm.array))</f>
        <v>0.15826727055967005</v>
      </c>
      <c r="R690" s="2">
        <f ca="1"/>
        <v>0.38484384627406149</v>
      </c>
      <c r="S690" s="2">
        <f ca="1"/>
        <v>0.39562096202928804</v>
      </c>
      <c r="T690" s="2">
        <f ca="1"/>
        <v>3.1959902396212519E-2</v>
      </c>
      <c r="U690" s="2">
        <f ca="1"/>
        <v>2.9308018740767956E-2</v>
      </c>
      <c r="V690" s="12"/>
      <c r="X690" s="2" cm="1">
        <f t="array" aca="1" ref="X690" ca="1">MMULT(MMULT(_xlfn.ANCHORARRAY(Q690),$Q$9:$U$13),TRANSPOSE(_xlfn.ANCHORARRAY(Q690)))</f>
        <v>3.656679999375507E-4</v>
      </c>
      <c r="Y690" s="2">
        <f t="shared" ca="1" si="26"/>
        <v>1.9122447540457541E-2</v>
      </c>
      <c r="Z690" s="2" cm="1">
        <f t="array" aca="1" ref="Z690" ca="1">MMULT(_xlfn.ANCHORARRAY(Q690),TRANSPOSE($Q$3:$U$3))</f>
        <v>1.0590226326397582E-3</v>
      </c>
      <c r="AA690" s="11">
        <f ca="1">AVEDEV(Q690*$Q$3,R690*$R$3,S690*$S$3,T690*$T$3,U690*$U$3)</f>
        <v>1.999630798282965E-4</v>
      </c>
      <c r="AB690" s="11" cm="1">
        <f t="array" aca="1" ref="AB690" ca="1">MMULT(_xlfn.ANCHORARRAY(Q690),TRANSPOSE($Q$6:$U$6))</f>
        <v>-2.3482814608860262E-2</v>
      </c>
      <c r="AD690" s="2" t="s">
        <v>681</v>
      </c>
      <c r="AE690" s="10" cm="1">
        <f t="array" aca="1" ref="AE690:AI690" ca="1">_xlfn.LET(_xlpm.array,_xlfn.RANDARRAY(1,COLUMNS(_xlfn.ANCHORARRAY(Q689)),-1,1,FALSE),_xlpm.array/SUM(_xlpm.array))</f>
        <v>0.6931947312632053</v>
      </c>
      <c r="AF690" s="10">
        <f ca="1"/>
        <v>0.13476153893652912</v>
      </c>
      <c r="AG690" s="10">
        <f ca="1"/>
        <v>-0.20766506634740997</v>
      </c>
      <c r="AH690" s="10">
        <f ca="1"/>
        <v>0.858577726906675</v>
      </c>
      <c r="AI690" s="10">
        <f ca="1"/>
        <v>-0.4788689307589995</v>
      </c>
      <c r="AJ690" s="1"/>
      <c r="AK690" s="2" cm="1">
        <f t="array" aca="1" ref="AK690" ca="1">MMULT(MMULT(_xlfn.ANCHORARRAY(AE690),$Q$9:$U$13),TRANSPOSE(_xlfn.ANCHORARRAY(AE690)))</f>
        <v>8.7630109351671836E-4</v>
      </c>
      <c r="AL690" s="2">
        <f t="shared" ca="1" si="27"/>
        <v>2.9602383240487889E-2</v>
      </c>
      <c r="AM690" s="2" cm="1">
        <f t="array" aca="1" ref="AM690" ca="1">MMULT(_xlfn.ANCHORARRAY(AE691),TRANSPOSE($Q$3:$U$3))</f>
        <v>-1.9988049881947446E-3</v>
      </c>
    </row>
    <row r="691" spans="1:39" x14ac:dyDescent="0.35">
      <c r="A691" s="3">
        <v>44831</v>
      </c>
      <c r="B691" s="4">
        <v>27.934585571288999</v>
      </c>
      <c r="C691" s="4">
        <v>122.171897888183</v>
      </c>
      <c r="D691" s="4">
        <v>32.159282684326101</v>
      </c>
      <c r="E691" s="4">
        <v>23.824577331542901</v>
      </c>
      <c r="F691" s="4">
        <v>229.716537475585</v>
      </c>
      <c r="I691" s="5">
        <f>B691/B690-1</f>
        <v>-1.4824217734427658E-2</v>
      </c>
      <c r="J691" s="5">
        <f>C691/C690-1</f>
        <v>4.2551452834138637E-4</v>
      </c>
      <c r="K691" s="5">
        <f>D691/D690-1</f>
        <v>5.7646389427401523E-4</v>
      </c>
      <c r="L691" s="5">
        <f>E691/E690-1</f>
        <v>4.2311230070845474E-2</v>
      </c>
      <c r="M691" s="5">
        <f>F691/F690-1</f>
        <v>-4.379625667130127E-3</v>
      </c>
      <c r="N691" s="5">
        <f>SUMPRODUCT(I691:M691,$AJ$13:$AN$13)</f>
        <v>2.288076996073949E-2</v>
      </c>
      <c r="P691" s="2" t="s">
        <v>682</v>
      </c>
      <c r="Q691" s="10" cm="1">
        <f t="array" aca="1" ref="Q691:U691" ca="1">_xlfn.LET(_xlpm.array,_xlfn.RANDARRAY(1,COLUMNS(_xlfn.ANCHORARRAY(Q690)),0,1,FALSE),_xlpm.array/SUM(_xlpm.array))</f>
        <v>5.2259123932641618E-3</v>
      </c>
      <c r="R691" s="2">
        <f ca="1"/>
        <v>0.25672967640073668</v>
      </c>
      <c r="S691" s="2">
        <f ca="1"/>
        <v>0.23623792781203756</v>
      </c>
      <c r="T691" s="2">
        <f ca="1"/>
        <v>0.24852847234354941</v>
      </c>
      <c r="U691" s="2">
        <f ca="1"/>
        <v>0.25327801105041226</v>
      </c>
      <c r="V691" s="12"/>
      <c r="X691" s="2" cm="1">
        <f t="array" aca="1" ref="X691" ca="1">MMULT(MMULT(_xlfn.ANCHORARRAY(Q691),$Q$9:$U$13),TRANSPOSE(_xlfn.ANCHORARRAY(Q691)))</f>
        <v>2.8873938773689526E-4</v>
      </c>
      <c r="Y691" s="2">
        <f t="shared" ca="1" si="26"/>
        <v>1.699233320462188E-2</v>
      </c>
      <c r="Z691" s="2" cm="1">
        <f t="array" aca="1" ref="Z691" ca="1">MMULT(_xlfn.ANCHORARRAY(Q691),TRANSPOSE($Q$3:$U$3))</f>
        <v>1.0214022602050719E-3</v>
      </c>
      <c r="AA691" s="11">
        <f ca="1">AVEDEV(Q691*$Q$3,R691*$R$3,S691*$S$3,T691*$T$3,U691*$U$3)</f>
        <v>9.1596246883787416E-5</v>
      </c>
      <c r="AB691" s="11" cm="1">
        <f t="array" aca="1" ref="AB691" ca="1">MMULT(_xlfn.ANCHORARRAY(Q691),TRANSPOSE($Q$6:$U$6))</f>
        <v>-2.3167349754907352E-2</v>
      </c>
      <c r="AD691" s="2" t="s">
        <v>682</v>
      </c>
      <c r="AE691" s="10" cm="1">
        <f t="array" aca="1" ref="AE691:AI691" ca="1">_xlfn.LET(_xlpm.array,_xlfn.RANDARRAY(1,COLUMNS(_xlfn.ANCHORARRAY(Q690)),-1,1,FALSE),_xlpm.array/SUM(_xlpm.array))</f>
        <v>-0.61712404540437094</v>
      </c>
      <c r="AF691" s="10">
        <f ca="1"/>
        <v>-7.1353094606737599</v>
      </c>
      <c r="AG691" s="10">
        <f ca="1"/>
        <v>-4.7666621334027788</v>
      </c>
      <c r="AH691" s="10">
        <f ca="1"/>
        <v>3.6074416848542072</v>
      </c>
      <c r="AI691" s="10">
        <f ca="1"/>
        <v>9.9116539546267024</v>
      </c>
      <c r="AJ691" s="1"/>
      <c r="AK691" s="2" cm="1">
        <f t="array" aca="1" ref="AK691" ca="1">MMULT(MMULT(_xlfn.ANCHORARRAY(AE691),$Q$9:$U$13),TRANSPOSE(_xlfn.ANCHORARRAY(AE691)))</f>
        <v>4.2486654917223733E-2</v>
      </c>
      <c r="AL691" s="2">
        <f t="shared" ca="1" si="27"/>
        <v>0.20612291215976872</v>
      </c>
      <c r="AM691" s="2" cm="1">
        <f t="array" aca="1" ref="AM691" ca="1">MMULT(_xlfn.ANCHORARRAY(AE692),TRANSPOSE($Q$3:$U$3))</f>
        <v>1.4336092104259908E-3</v>
      </c>
    </row>
    <row r="692" spans="1:39" x14ac:dyDescent="0.35">
      <c r="A692" s="3">
        <v>44832</v>
      </c>
      <c r="B692" s="4">
        <v>28.3914794921875</v>
      </c>
      <c r="C692" s="4">
        <v>126.295722961425</v>
      </c>
      <c r="D692" s="4">
        <v>32.687240600585902</v>
      </c>
      <c r="E692" s="4">
        <v>24.235969543456999</v>
      </c>
      <c r="F692" s="4">
        <v>234.24455261230401</v>
      </c>
      <c r="I692" s="5">
        <f>B692/B691-1</f>
        <v>1.6355851055406267E-2</v>
      </c>
      <c r="J692" s="5">
        <f>C692/C691-1</f>
        <v>3.3754285105862092E-2</v>
      </c>
      <c r="K692" s="5">
        <f>D692/D691-1</f>
        <v>1.6416968047521685E-2</v>
      </c>
      <c r="L692" s="5">
        <f>E692/E691-1</f>
        <v>1.7267555524245415E-2</v>
      </c>
      <c r="M692" s="5">
        <f>F692/F691-1</f>
        <v>1.9711315460691381E-2</v>
      </c>
      <c r="N692" s="5">
        <f>SUMPRODUCT(I692:M692,$AJ$13:$AN$13)</f>
        <v>1.7364549572218578E-2</v>
      </c>
      <c r="P692" s="2" t="s">
        <v>683</v>
      </c>
      <c r="Q692" s="10" cm="1">
        <f t="array" aca="1" ref="Q692:U692" ca="1">_xlfn.LET(_xlpm.array,_xlfn.RANDARRAY(1,COLUMNS(_xlfn.ANCHORARRAY(Q691)),0,1,FALSE),_xlpm.array/SUM(_xlpm.array))</f>
        <v>0.23403851676888679</v>
      </c>
      <c r="R692" s="2">
        <f ca="1"/>
        <v>2.8444863733509129E-2</v>
      </c>
      <c r="S692" s="2">
        <f ca="1"/>
        <v>0.34117928649238782</v>
      </c>
      <c r="T692" s="2">
        <f ca="1"/>
        <v>0.32027302190009072</v>
      </c>
      <c r="U692" s="2">
        <f ca="1"/>
        <v>7.6064311105125737E-2</v>
      </c>
      <c r="V692" s="12"/>
      <c r="X692" s="2" cm="1">
        <f t="array" aca="1" ref="X692" ca="1">MMULT(MMULT(_xlfn.ANCHORARRAY(Q692),$Q$9:$U$13),TRANSPOSE(_xlfn.ANCHORARRAY(Q692)))</f>
        <v>3.3959023498337073E-4</v>
      </c>
      <c r="Y692" s="2">
        <f t="shared" ca="1" si="26"/>
        <v>1.8427974250670383E-2</v>
      </c>
      <c r="Z692" s="2" cm="1">
        <f t="array" aca="1" ref="Z692" ca="1">MMULT(_xlfn.ANCHORARRAY(Q692),TRANSPOSE($Q$3:$U$3))</f>
        <v>1.0791706563750638E-3</v>
      </c>
      <c r="AA692" s="11">
        <f ca="1">AVEDEV(Q692*$Q$3,R692*$R$3,S692*$S$3,T692*$T$3,U692*$U$3)</f>
        <v>1.7984142678634189E-4</v>
      </c>
      <c r="AB692" s="11" cm="1">
        <f t="array" aca="1" ref="AB692" ca="1">MMULT(_xlfn.ANCHORARRAY(Q692),TRANSPOSE($Q$6:$U$6))</f>
        <v>-2.4496656289914438E-2</v>
      </c>
      <c r="AD692" s="2" t="s">
        <v>683</v>
      </c>
      <c r="AE692" s="10" cm="1">
        <f t="array" aca="1" ref="AE692:AI692" ca="1">_xlfn.LET(_xlpm.array,_xlfn.RANDARRAY(1,COLUMNS(_xlfn.ANCHORARRAY(Q691)),-1,1,FALSE),_xlpm.array/SUM(_xlpm.array))</f>
        <v>-0.50426004925295986</v>
      </c>
      <c r="AF692" s="10">
        <f ca="1"/>
        <v>0.59920241220357862</v>
      </c>
      <c r="AG692" s="10">
        <f ca="1"/>
        <v>0.79832916941044463</v>
      </c>
      <c r="AH692" s="10">
        <f ca="1"/>
        <v>-0.4898767526910246</v>
      </c>
      <c r="AI692" s="10">
        <f ca="1"/>
        <v>0.59660522032996122</v>
      </c>
      <c r="AJ692" s="1"/>
      <c r="AK692" s="2" cm="1">
        <f t="array" aca="1" ref="AK692" ca="1">MMULT(MMULT(_xlfn.ANCHORARRAY(AE692),$Q$9:$U$13),TRANSPOSE(_xlfn.ANCHORARRAY(AE692)))</f>
        <v>8.3450785478964788E-4</v>
      </c>
      <c r="AL692" s="2">
        <f t="shared" ca="1" si="27"/>
        <v>2.8887849604801806E-2</v>
      </c>
      <c r="AM692" s="2" cm="1">
        <f t="array" aca="1" ref="AM692" ca="1">MMULT(_xlfn.ANCHORARRAY(AE693),TRANSPOSE($Q$3:$U$3))</f>
        <v>1.1420855355157131E-3</v>
      </c>
    </row>
    <row r="693" spans="1:39" x14ac:dyDescent="0.35">
      <c r="A693" s="3">
        <v>44833</v>
      </c>
      <c r="B693" s="4">
        <v>28.01682472229</v>
      </c>
      <c r="C693" s="4">
        <v>125.420722961425</v>
      </c>
      <c r="D693" s="4">
        <v>31.668371200561499</v>
      </c>
      <c r="E693" s="4">
        <v>23.846229553222599</v>
      </c>
      <c r="F693" s="4">
        <v>230.775634765625</v>
      </c>
      <c r="I693" s="5">
        <f>B693/B692-1</f>
        <v>-1.3196028407064686E-2</v>
      </c>
      <c r="J693" s="5">
        <f>C693/C692-1</f>
        <v>-6.9281839438636306E-3</v>
      </c>
      <c r="K693" s="5">
        <f>D693/D692-1</f>
        <v>-3.1170248124466671E-2</v>
      </c>
      <c r="L693" s="5">
        <f>E693/E692-1</f>
        <v>-1.6081056280235262E-2</v>
      </c>
      <c r="M693" s="5">
        <f>F693/F692-1</f>
        <v>-1.4808958449592513E-2</v>
      </c>
      <c r="N693" s="5">
        <f>SUMPRODUCT(I693:M693,$AJ$13:$AN$13)</f>
        <v>-2.4646898417938091E-2</v>
      </c>
      <c r="P693" s="2" t="s">
        <v>684</v>
      </c>
      <c r="Q693" s="10" cm="1">
        <f t="array" aca="1" ref="Q693:U693" ca="1">_xlfn.LET(_xlpm.array,_xlfn.RANDARRAY(1,COLUMNS(_xlfn.ANCHORARRAY(Q692)),0,1,FALSE),_xlpm.array/SUM(_xlpm.array))</f>
        <v>2.2660790092030075E-2</v>
      </c>
      <c r="R693" s="2">
        <f ca="1"/>
        <v>0.33020431632873332</v>
      </c>
      <c r="S693" s="2">
        <f ca="1"/>
        <v>0.25125888529538826</v>
      </c>
      <c r="T693" s="2">
        <f ca="1"/>
        <v>0.34532978554536148</v>
      </c>
      <c r="U693" s="2">
        <f ca="1"/>
        <v>5.0546222738487009E-2</v>
      </c>
      <c r="V693" s="12"/>
      <c r="X693" s="2" cm="1">
        <f t="array" aca="1" ref="X693" ca="1">MMULT(MMULT(_xlfn.ANCHORARRAY(Q693),$Q$9:$U$13),TRANSPOSE(_xlfn.ANCHORARRAY(Q693)))</f>
        <v>3.4796371746509088E-4</v>
      </c>
      <c r="Y693" s="2">
        <f t="shared" ca="1" si="26"/>
        <v>1.865378560681694E-2</v>
      </c>
      <c r="Z693" s="2" cm="1">
        <f t="array" aca="1" ref="Z693" ca="1">MMULT(_xlfn.ANCHORARRAY(Q693),TRANSPOSE($Q$3:$U$3))</f>
        <v>1.0521452663091561E-3</v>
      </c>
      <c r="AA693" s="11">
        <f ca="1">AVEDEV(Q693*$Q$3,R693*$R$3,S693*$S$3,T693*$T$3,U693*$U$3)</f>
        <v>1.4827214942299063E-4</v>
      </c>
      <c r="AB693" s="11" cm="1">
        <f t="array" aca="1" ref="AB693" ca="1">MMULT(_xlfn.ANCHORARRAY(Q693),TRANSPOSE($Q$6:$U$6))</f>
        <v>-2.3820405122629802E-2</v>
      </c>
      <c r="AD693" s="2" t="s">
        <v>684</v>
      </c>
      <c r="AE693" s="10" cm="1">
        <f t="array" aca="1" ref="AE693:AI693" ca="1">_xlfn.LET(_xlpm.array,_xlfn.RANDARRAY(1,COLUMNS(_xlfn.ANCHORARRAY(Q692)),-1,1,FALSE),_xlpm.array/SUM(_xlpm.array))</f>
        <v>0.32395272011100834</v>
      </c>
      <c r="AF693" s="10">
        <f ca="1"/>
        <v>-5.3217690922337857E-2</v>
      </c>
      <c r="AG693" s="10">
        <f ca="1"/>
        <v>0.61516469379355865</v>
      </c>
      <c r="AH693" s="10">
        <f ca="1"/>
        <v>-0.27261898852378436</v>
      </c>
      <c r="AI693" s="10">
        <f ca="1"/>
        <v>0.38671926554155533</v>
      </c>
      <c r="AJ693" s="1"/>
      <c r="AK693" s="2" cm="1">
        <f t="array" aca="1" ref="AK693" ca="1">MMULT(MMULT(_xlfn.ANCHORARRAY(AE693),$Q$9:$U$13),TRANSPOSE(_xlfn.ANCHORARRAY(AE693)))</f>
        <v>5.6916883983728402E-4</v>
      </c>
      <c r="AL693" s="2">
        <f t="shared" ca="1" si="27"/>
        <v>2.38572596883482E-2</v>
      </c>
      <c r="AM693" s="2" cm="1">
        <f t="array" aca="1" ref="AM693" ca="1">MMULT(_xlfn.ANCHORARRAY(AE694),TRANSPOSE($Q$3:$U$3))</f>
        <v>4.8531804661615152E-4</v>
      </c>
    </row>
    <row r="694" spans="1:39" x14ac:dyDescent="0.35">
      <c r="A694" s="3">
        <v>44834</v>
      </c>
      <c r="B694" s="4">
        <v>27.596481323242099</v>
      </c>
      <c r="C694" s="4">
        <v>124.46769714355401</v>
      </c>
      <c r="D694" s="4">
        <v>31.649845123291001</v>
      </c>
      <c r="E694" s="4">
        <v>23.896749496459901</v>
      </c>
      <c r="F694" s="4">
        <v>226.30587768554599</v>
      </c>
      <c r="I694" s="5">
        <f>B694/B693-1</f>
        <v>-1.5003249055324908E-2</v>
      </c>
      <c r="J694" s="5">
        <f>C694/C693-1</f>
        <v>-7.5986311940181572E-3</v>
      </c>
      <c r="K694" s="5">
        <f>D694/D693-1</f>
        <v>-5.8500252991122714E-4</v>
      </c>
      <c r="L694" s="5">
        <f>E694/E693-1</f>
        <v>2.1185715387224135E-3</v>
      </c>
      <c r="M694" s="5">
        <f>F694/F693-1</f>
        <v>-1.9368409861025726E-2</v>
      </c>
      <c r="N694" s="5">
        <f>SUMPRODUCT(I694:M694,$AJ$13:$AN$13)</f>
        <v>-1.1965336531110978E-3</v>
      </c>
      <c r="P694" s="2" t="s">
        <v>685</v>
      </c>
      <c r="Q694" s="10" cm="1">
        <f t="array" aca="1" ref="Q694:U694" ca="1">_xlfn.LET(_xlpm.array,_xlfn.RANDARRAY(1,COLUMNS(_xlfn.ANCHORARRAY(Q693)),0,1,FALSE),_xlpm.array/SUM(_xlpm.array))</f>
        <v>0.20441640420417653</v>
      </c>
      <c r="R694" s="2">
        <f ca="1"/>
        <v>4.284865789421078E-2</v>
      </c>
      <c r="S694" s="2">
        <f ca="1"/>
        <v>0.25820676132021214</v>
      </c>
      <c r="T694" s="2">
        <f ca="1"/>
        <v>0.2510723088616999</v>
      </c>
      <c r="U694" s="2">
        <f ca="1"/>
        <v>0.24345586771970076</v>
      </c>
      <c r="V694" s="12"/>
      <c r="X694" s="2" cm="1">
        <f t="array" aca="1" ref="X694" ca="1">MMULT(MMULT(_xlfn.ANCHORARRAY(Q694),$Q$9:$U$13),TRANSPOSE(_xlfn.ANCHORARRAY(Q694)))</f>
        <v>2.865549227032613E-4</v>
      </c>
      <c r="Y694" s="2">
        <f t="shared" ca="1" si="26"/>
        <v>1.692793320825851E-2</v>
      </c>
      <c r="Z694" s="2" cm="1">
        <f t="array" aca="1" ref="Z694" ca="1">MMULT(_xlfn.ANCHORARRAY(Q694),TRANSPOSE($Q$3:$U$3))</f>
        <v>9.9721953427912846E-4</v>
      </c>
      <c r="AA694" s="11">
        <f ca="1">AVEDEV(Q694*$Q$3,R694*$R$3,S694*$S$3,T694*$T$3,U694*$U$3)</f>
        <v>1.107759748551307E-4</v>
      </c>
      <c r="AB694" s="11" cm="1">
        <f t="array" aca="1" ref="AB694" ca="1">MMULT(_xlfn.ANCHORARRAY(Q694),TRANSPOSE($Q$6:$U$6))</f>
        <v>-2.3528645118470581E-2</v>
      </c>
      <c r="AD694" s="2" t="s">
        <v>685</v>
      </c>
      <c r="AE694" s="10" cm="1">
        <f t="array" aca="1" ref="AE694:AI694" ca="1">_xlfn.LET(_xlpm.array,_xlfn.RANDARRAY(1,COLUMNS(_xlfn.ANCHORARRAY(Q693)),-1,1,FALSE),_xlpm.array/SUM(_xlpm.array))</f>
        <v>0.60291075898520707</v>
      </c>
      <c r="AF694" s="10">
        <f ca="1"/>
        <v>-0.4328501225702302</v>
      </c>
      <c r="AG694" s="10">
        <f ca="1"/>
        <v>-0.38832710376513879</v>
      </c>
      <c r="AH694" s="10">
        <f ca="1"/>
        <v>0.75486928657619634</v>
      </c>
      <c r="AI694" s="10">
        <f ca="1"/>
        <v>0.46339718077396558</v>
      </c>
      <c r="AJ694" s="1"/>
      <c r="AK694" s="2" cm="1">
        <f t="array" aca="1" ref="AK694" ca="1">MMULT(MMULT(_xlfn.ANCHORARRAY(AE694),$Q$9:$U$13),TRANSPOSE(_xlfn.ANCHORARRAY(AE694)))</f>
        <v>5.0040215998351152E-4</v>
      </c>
      <c r="AL694" s="2">
        <f t="shared" ca="1" si="27"/>
        <v>2.2369670538108323E-2</v>
      </c>
      <c r="AM694" s="2" cm="1">
        <f t="array" aca="1" ref="AM694" ca="1">MMULT(_xlfn.ANCHORARRAY(AE695),TRANSPOSE($Q$3:$U$3))</f>
        <v>6.5488410379517916E-4</v>
      </c>
    </row>
    <row r="695" spans="1:39" x14ac:dyDescent="0.35">
      <c r="A695" s="3">
        <v>44837</v>
      </c>
      <c r="B695" s="4">
        <v>28.4097576141357</v>
      </c>
      <c r="C695" s="4">
        <v>131.45046997070301</v>
      </c>
      <c r="D695" s="4">
        <v>33.2337226867675</v>
      </c>
      <c r="E695" s="4">
        <v>24.9504890441894</v>
      </c>
      <c r="F695" s="4">
        <v>233.92391967773401</v>
      </c>
      <c r="I695" s="5">
        <f>B695/B694-1</f>
        <v>2.9470289395505223E-2</v>
      </c>
      <c r="J695" s="5">
        <f>C695/C694-1</f>
        <v>5.6101084758525488E-2</v>
      </c>
      <c r="K695" s="5">
        <f>D695/D694-1</f>
        <v>5.0043769797499804E-2</v>
      </c>
      <c r="L695" s="5">
        <f>E695/E694-1</f>
        <v>4.4095518006982637E-2</v>
      </c>
      <c r="M695" s="5">
        <f>F695/F694-1</f>
        <v>3.3662590075425936E-2</v>
      </c>
      <c r="N695" s="5">
        <f>SUMPRODUCT(I695:M695,$AJ$13:$AN$13)</f>
        <v>4.7544020548250479E-2</v>
      </c>
      <c r="P695" s="2" t="s">
        <v>686</v>
      </c>
      <c r="Q695" s="10" cm="1">
        <f t="array" aca="1" ref="Q695:U695" ca="1">_xlfn.LET(_xlpm.array,_xlfn.RANDARRAY(1,COLUMNS(_xlfn.ANCHORARRAY(Q694)),0,1,FALSE),_xlpm.array/SUM(_xlpm.array))</f>
        <v>0.15970199420294029</v>
      </c>
      <c r="R695" s="2">
        <f ca="1"/>
        <v>0.20234083573457956</v>
      </c>
      <c r="S695" s="2">
        <f ca="1"/>
        <v>0.19427894534210344</v>
      </c>
      <c r="T695" s="2">
        <f ca="1"/>
        <v>0.39561606548049355</v>
      </c>
      <c r="U695" s="2">
        <f ca="1"/>
        <v>4.8062159239883134E-2</v>
      </c>
      <c r="V695" s="12"/>
      <c r="X695" s="2" cm="1">
        <f t="array" aca="1" ref="X695" ca="1">MMULT(MMULT(_xlfn.ANCHORARRAY(Q695),$Q$9:$U$13),TRANSPOSE(_xlfn.ANCHORARRAY(Q695)))</f>
        <v>3.3295575777459721E-4</v>
      </c>
      <c r="Y695" s="2">
        <f t="shared" ca="1" si="26"/>
        <v>1.8247075321119195E-2</v>
      </c>
      <c r="Z695" s="2" cm="1">
        <f t="array" aca="1" ref="Z695" ca="1">MMULT(_xlfn.ANCHORARRAY(Q695),TRANSPOSE($Q$3:$U$3))</f>
        <v>9.8536295035342274E-4</v>
      </c>
      <c r="AA695" s="11">
        <f ca="1">AVEDEV(Q695*$Q$3,R695*$R$3,S695*$S$3,T695*$T$3,U695*$U$3)</f>
        <v>1.3021285019312751E-4</v>
      </c>
      <c r="AB695" s="11" cm="1">
        <f t="array" aca="1" ref="AB695" ca="1">MMULT(_xlfn.ANCHORARRAY(Q695),TRANSPOSE($Q$6:$U$6))</f>
        <v>-2.3816139465383957E-2</v>
      </c>
      <c r="AD695" s="2" t="s">
        <v>686</v>
      </c>
      <c r="AE695" s="10" cm="1">
        <f t="array" aca="1" ref="AE695:AI695" ca="1">_xlfn.LET(_xlpm.array,_xlfn.RANDARRAY(1,COLUMNS(_xlfn.ANCHORARRAY(Q694)),-1,1,FALSE),_xlpm.array/SUM(_xlpm.array))</f>
        <v>0.324943443542065</v>
      </c>
      <c r="AF695" s="10">
        <f ca="1"/>
        <v>5.672511975850119E-2</v>
      </c>
      <c r="AG695" s="10">
        <f ca="1"/>
        <v>-0.1791408714944866</v>
      </c>
      <c r="AH695" s="10">
        <f ca="1"/>
        <v>0.50351857220896024</v>
      </c>
      <c r="AI695" s="10">
        <f ca="1"/>
        <v>0.29395373598496011</v>
      </c>
      <c r="AJ695" s="1"/>
      <c r="AK695" s="2" cm="1">
        <f t="array" aca="1" ref="AK695" ca="1">MMULT(MMULT(_xlfn.ANCHORARRAY(AE695),$Q$9:$U$13),TRANSPOSE(_xlfn.ANCHORARRAY(AE695)))</f>
        <v>3.3786856562347494E-4</v>
      </c>
      <c r="AL695" s="2">
        <f t="shared" ca="1" si="27"/>
        <v>1.8381201419479493E-2</v>
      </c>
      <c r="AM695" s="2" cm="1">
        <f t="array" aca="1" ref="AM695" ca="1">MMULT(_xlfn.ANCHORARRAY(AE696),TRANSPOSE($Q$3:$U$3))</f>
        <v>1.3338718652743222E-3</v>
      </c>
    </row>
    <row r="696" spans="1:39" x14ac:dyDescent="0.35">
      <c r="A696" s="3">
        <v>44838</v>
      </c>
      <c r="B696" s="4">
        <v>29.588546752929599</v>
      </c>
      <c r="C696" s="4">
        <v>136.561920166015</v>
      </c>
      <c r="D696" s="4">
        <v>34.697193145751903</v>
      </c>
      <c r="E696" s="4">
        <v>25.607273101806602</v>
      </c>
      <c r="F696" s="4">
        <v>241.83341979980401</v>
      </c>
      <c r="I696" s="5">
        <f>B696/B695-1</f>
        <v>4.1492403941080225E-2</v>
      </c>
      <c r="J696" s="5">
        <f>C696/C695-1</f>
        <v>3.8884989885933363E-2</v>
      </c>
      <c r="K696" s="5">
        <f>D696/D695-1</f>
        <v>4.4035706525501705E-2</v>
      </c>
      <c r="L696" s="5">
        <f>E696/E695-1</f>
        <v>2.6323494359328237E-2</v>
      </c>
      <c r="M696" s="5">
        <f>F696/F695-1</f>
        <v>3.3812275944104186E-2</v>
      </c>
      <c r="N696" s="5">
        <f>SUMPRODUCT(I696:M696,$AJ$13:$AN$13)</f>
        <v>3.3248768308568585E-2</v>
      </c>
      <c r="P696" s="2" t="s">
        <v>687</v>
      </c>
      <c r="Q696" s="10" cm="1">
        <f t="array" aca="1" ref="Q696:U696" ca="1">_xlfn.LET(_xlpm.array,_xlfn.RANDARRAY(1,COLUMNS(_xlfn.ANCHORARRAY(Q695)),0,1,FALSE),_xlpm.array/SUM(_xlpm.array))</f>
        <v>0.13561623149509261</v>
      </c>
      <c r="R696" s="2">
        <f ca="1"/>
        <v>7.087276161719086E-2</v>
      </c>
      <c r="S696" s="2">
        <f ca="1"/>
        <v>0.45362145749676391</v>
      </c>
      <c r="T696" s="2">
        <f ca="1"/>
        <v>0.33732388143055553</v>
      </c>
      <c r="U696" s="2">
        <f ca="1"/>
        <v>2.5656679603971275E-3</v>
      </c>
      <c r="V696" s="12"/>
      <c r="X696" s="2" cm="1">
        <f t="array" aca="1" ref="X696" ca="1">MMULT(MMULT(_xlfn.ANCHORARRAY(Q696),$Q$9:$U$13),TRANSPOSE(_xlfn.ANCHORARRAY(Q696)))</f>
        <v>3.992078236990623E-4</v>
      </c>
      <c r="Y696" s="2">
        <f t="shared" ca="1" si="26"/>
        <v>1.9980185777391118E-2</v>
      </c>
      <c r="Z696" s="2" cm="1">
        <f t="array" aca="1" ref="Z696" ca="1">MMULT(_xlfn.ANCHORARRAY(Q696),TRANSPOSE($Q$3:$U$3))</f>
        <v>1.2039403120050758E-3</v>
      </c>
      <c r="AA696" s="11">
        <f ca="1">AVEDEV(Q696*$Q$3,R696*$R$3,S696*$S$3,T696*$T$3,U696*$U$3)</f>
        <v>2.3988853099482388E-4</v>
      </c>
      <c r="AB696" s="11" cm="1">
        <f t="array" aca="1" ref="AB696" ca="1">MMULT(_xlfn.ANCHORARRAY(Q696),TRANSPOSE($Q$6:$U$6))</f>
        <v>-2.5246343139798177E-2</v>
      </c>
      <c r="AD696" s="2" t="s">
        <v>687</v>
      </c>
      <c r="AE696" s="10" cm="1">
        <f t="array" aca="1" ref="AE696:AI696" ca="1">_xlfn.LET(_xlpm.array,_xlfn.RANDARRAY(1,COLUMNS(_xlfn.ANCHORARRAY(Q695)),-1,1,FALSE),_xlpm.array/SUM(_xlpm.array))</f>
        <v>-0.22019411012963419</v>
      </c>
      <c r="AF696" s="10">
        <f ca="1"/>
        <v>0.46390936318466974</v>
      </c>
      <c r="AG696" s="10">
        <f ca="1"/>
        <v>0.4855663961221498</v>
      </c>
      <c r="AH696" s="10">
        <f ca="1"/>
        <v>0.43386181851311384</v>
      </c>
      <c r="AI696" s="10">
        <f ca="1"/>
        <v>-0.16314346769029917</v>
      </c>
      <c r="AJ696" s="1"/>
      <c r="AK696" s="2" cm="1">
        <f t="array" aca="1" ref="AK696" ca="1">MMULT(MMULT(_xlfn.ANCHORARRAY(AE696),$Q$9:$U$13),TRANSPOSE(_xlfn.ANCHORARRAY(AE696)))</f>
        <v>5.4991099398464093E-4</v>
      </c>
      <c r="AL696" s="2">
        <f t="shared" ca="1" si="27"/>
        <v>2.3450181107715157E-2</v>
      </c>
      <c r="AM696" s="2" cm="1">
        <f t="array" aca="1" ref="AM696" ca="1">MMULT(_xlfn.ANCHORARRAY(AE697),TRANSPOSE($Q$3:$U$3))</f>
        <v>7.2710422933445215E-4</v>
      </c>
    </row>
    <row r="697" spans="1:39" x14ac:dyDescent="0.35">
      <c r="A697" s="3">
        <v>44839</v>
      </c>
      <c r="B697" s="4">
        <v>29.1682014465332</v>
      </c>
      <c r="C697" s="4">
        <v>137.34159851074199</v>
      </c>
      <c r="D697" s="4">
        <v>35.067699432372997</v>
      </c>
      <c r="E697" s="4">
        <v>25.5206604003906</v>
      </c>
      <c r="F697" s="4">
        <v>242.14437866210901</v>
      </c>
      <c r="I697" s="5">
        <f>B697/B696-1</f>
        <v>-1.4206351866699274E-2</v>
      </c>
      <c r="J697" s="5">
        <f>C697/C696-1</f>
        <v>5.7093393515494917E-3</v>
      </c>
      <c r="K697" s="5">
        <f>D697/D696-1</f>
        <v>1.0678278357119986E-2</v>
      </c>
      <c r="L697" s="5">
        <f>E697/E696-1</f>
        <v>-3.3823477053435136E-3</v>
      </c>
      <c r="M697" s="5">
        <f>F697/F696-1</f>
        <v>1.28583908114277E-3</v>
      </c>
      <c r="N697" s="5">
        <f>SUMPRODUCT(I697:M697,$AJ$13:$AN$13)</f>
        <v>8.3306111582523122E-3</v>
      </c>
      <c r="P697" s="2" t="s">
        <v>688</v>
      </c>
      <c r="Q697" s="10" cm="1">
        <f t="array" aca="1" ref="Q697:U697" ca="1">_xlfn.LET(_xlpm.array,_xlfn.RANDARRAY(1,COLUMNS(_xlfn.ANCHORARRAY(Q696)),0,1,FALSE),_xlpm.array/SUM(_xlpm.array))</f>
        <v>0.45496375439385017</v>
      </c>
      <c r="R697" s="2">
        <f ca="1"/>
        <v>3.2820884938581256E-2</v>
      </c>
      <c r="S697" s="2">
        <f ca="1"/>
        <v>0.33352274406672588</v>
      </c>
      <c r="T697" s="2">
        <f ca="1"/>
        <v>0.12484554078865287</v>
      </c>
      <c r="U697" s="2">
        <f ca="1"/>
        <v>5.3847075812189817E-2</v>
      </c>
      <c r="V697" s="12"/>
      <c r="X697" s="2" cm="1">
        <f t="array" aca="1" ref="X697" ca="1">MMULT(MMULT(_xlfn.ANCHORARRAY(Q697),$Q$9:$U$13),TRANSPOSE(_xlfn.ANCHORARRAY(Q697)))</f>
        <v>3.4972291999929995E-4</v>
      </c>
      <c r="Y697" s="2">
        <f t="shared" ca="1" si="26"/>
        <v>1.8700880193170052E-2</v>
      </c>
      <c r="Z697" s="2" cm="1">
        <f t="array" aca="1" ref="Z697" ca="1">MMULT(_xlfn.ANCHORARRAY(Q697),TRANSPOSE($Q$3:$U$3))</f>
        <v>9.6557139105087324E-4</v>
      </c>
      <c r="AA697" s="11">
        <f ca="1">AVEDEV(Q697*$Q$3,R697*$R$3,S697*$S$3,T697*$T$3,U697*$U$3)</f>
        <v>1.546585034443105E-4</v>
      </c>
      <c r="AB697" s="11" cm="1">
        <f t="array" aca="1" ref="AB697" ca="1">MMULT(_xlfn.ANCHORARRAY(Q697),TRANSPOSE($Q$6:$U$6))</f>
        <v>-2.3787978867927859E-2</v>
      </c>
      <c r="AD697" s="2" t="s">
        <v>688</v>
      </c>
      <c r="AE697" s="10" cm="1">
        <f t="array" aca="1" ref="AE697:AI697" ca="1">_xlfn.LET(_xlpm.array,_xlfn.RANDARRAY(1,COLUMNS(_xlfn.ANCHORARRAY(Q696)),-1,1,FALSE),_xlpm.array/SUM(_xlpm.array))</f>
        <v>0.21640428270564974</v>
      </c>
      <c r="AF697" s="10">
        <f ca="1"/>
        <v>0.41757933371518391</v>
      </c>
      <c r="AG697" s="10">
        <f ca="1"/>
        <v>8.8186453820530836E-3</v>
      </c>
      <c r="AH697" s="10">
        <f ca="1"/>
        <v>9.6038988197022987E-2</v>
      </c>
      <c r="AI697" s="10">
        <f ca="1"/>
        <v>0.2611587500000902</v>
      </c>
      <c r="AJ697" s="1"/>
      <c r="AK697" s="2" cm="1">
        <f t="array" aca="1" ref="AK697" ca="1">MMULT(MMULT(_xlfn.ANCHORARRAY(AE697),$Q$9:$U$13),TRANSPOSE(_xlfn.ANCHORARRAY(AE697)))</f>
        <v>2.7215046318984886E-4</v>
      </c>
      <c r="AL697" s="2">
        <f t="shared" ca="1" si="27"/>
        <v>1.6496983457282392E-2</v>
      </c>
      <c r="AM697" s="2" cm="1">
        <f t="array" aca="1" ref="AM697" ca="1">MMULT(_xlfn.ANCHORARRAY(AE698),TRANSPOSE($Q$3:$U$3))</f>
        <v>4.6115112354578821E-4</v>
      </c>
    </row>
    <row r="698" spans="1:39" x14ac:dyDescent="0.35">
      <c r="A698" s="3">
        <v>44840</v>
      </c>
      <c r="B698" s="4">
        <v>28.747856140136701</v>
      </c>
      <c r="C698" s="4">
        <v>139.84532165527301</v>
      </c>
      <c r="D698" s="4">
        <v>34.715721130371001</v>
      </c>
      <c r="E698" s="4">
        <v>25.4845790863037</v>
      </c>
      <c r="F698" s="4">
        <v>239.80261230468699</v>
      </c>
      <c r="I698" s="5">
        <f>B698/B697-1</f>
        <v>-1.441108075062536E-2</v>
      </c>
      <c r="J698" s="5">
        <f>C698/C697-1</f>
        <v>1.8229896634960108E-2</v>
      </c>
      <c r="K698" s="5">
        <f>D698/D697-1</f>
        <v>-1.0037108441652287E-2</v>
      </c>
      <c r="L698" s="5">
        <f>E698/E697-1</f>
        <v>-1.4138080096998129E-3</v>
      </c>
      <c r="M698" s="5">
        <f>F698/F697-1</f>
        <v>-9.6709507375751791E-3</v>
      </c>
      <c r="N698" s="5">
        <f>SUMPRODUCT(I698:M698,$AJ$13:$AN$13)</f>
        <v>-5.5465664362942882E-3</v>
      </c>
      <c r="P698" s="2" t="s">
        <v>689</v>
      </c>
      <c r="Q698" s="10" cm="1">
        <f t="array" aca="1" ref="Q698:U698" ca="1">_xlfn.LET(_xlpm.array,_xlfn.RANDARRAY(1,COLUMNS(_xlfn.ANCHORARRAY(Q697)),0,1,FALSE),_xlpm.array/SUM(_xlpm.array))</f>
        <v>0.43274866766338588</v>
      </c>
      <c r="R698" s="2">
        <f ca="1"/>
        <v>0.13298136340904648</v>
      </c>
      <c r="S698" s="2">
        <f ca="1"/>
        <v>9.0524844065608415E-2</v>
      </c>
      <c r="T698" s="2">
        <f ca="1"/>
        <v>0.13419668392679093</v>
      </c>
      <c r="U698" s="2">
        <f ca="1"/>
        <v>0.20954844093516828</v>
      </c>
      <c r="V698" s="12"/>
      <c r="X698" s="2" cm="1">
        <f t="array" aca="1" ref="X698" ca="1">MMULT(MMULT(_xlfn.ANCHORARRAY(Q698),$Q$9:$U$13),TRANSPOSE(_xlfn.ANCHORARRAY(Q698)))</f>
        <v>2.7871163857561964E-4</v>
      </c>
      <c r="Y698" s="2">
        <f t="shared" ca="1" si="26"/>
        <v>1.669465898350786E-2</v>
      </c>
      <c r="Z698" s="2" cm="1">
        <f t="array" aca="1" ref="Z698" ca="1">MMULT(_xlfn.ANCHORARRAY(Q698),TRANSPOSE($Q$3:$U$3))</f>
        <v>7.6143504323145106E-4</v>
      </c>
      <c r="AA698" s="11">
        <f ca="1">AVEDEV(Q698*$Q$3,R698*$R$3,S698*$S$3,T698*$T$3,U698*$U$3)</f>
        <v>3.0257117651263096E-5</v>
      </c>
      <c r="AB698" s="11" cm="1">
        <f t="array" aca="1" ref="AB698" ca="1">MMULT(_xlfn.ANCHORARRAY(Q698),TRANSPOSE($Q$6:$U$6))</f>
        <v>-2.2142981971437811E-2</v>
      </c>
      <c r="AD698" s="2" t="s">
        <v>689</v>
      </c>
      <c r="AE698" s="10" cm="1">
        <f t="array" aca="1" ref="AE698:AI698" ca="1">_xlfn.LET(_xlpm.array,_xlfn.RANDARRAY(1,COLUMNS(_xlfn.ANCHORARRAY(Q697)),-1,1,FALSE),_xlpm.array/SUM(_xlpm.array))</f>
        <v>0.6605238262482479</v>
      </c>
      <c r="AF698" s="10">
        <f ca="1"/>
        <v>0.34205224630678416</v>
      </c>
      <c r="AG698" s="10">
        <f ca="1"/>
        <v>-0.21418103029032634</v>
      </c>
      <c r="AH698" s="10">
        <f ca="1"/>
        <v>0.24008788379294321</v>
      </c>
      <c r="AI698" s="10">
        <f ca="1"/>
        <v>-2.8482926057648957E-2</v>
      </c>
      <c r="AJ698" s="1"/>
      <c r="AK698" s="2" cm="1">
        <f t="array" aca="1" ref="AK698" ca="1">MMULT(MMULT(_xlfn.ANCHORARRAY(AE698),$Q$9:$U$13),TRANSPOSE(_xlfn.ANCHORARRAY(AE698)))</f>
        <v>4.6161159953554454E-4</v>
      </c>
      <c r="AL698" s="2">
        <f t="shared" ca="1" si="27"/>
        <v>2.1485148347999476E-2</v>
      </c>
      <c r="AM698" s="2" cm="1">
        <f t="array" aca="1" ref="AM698" ca="1">MMULT(_xlfn.ANCHORARRAY(AE699),TRANSPOSE($Q$3:$U$3))</f>
        <v>1.0273814029979056E-3</v>
      </c>
    </row>
    <row r="699" spans="1:39" x14ac:dyDescent="0.35">
      <c r="A699" s="3">
        <v>44841</v>
      </c>
      <c r="B699" s="4">
        <v>28.0990676879882</v>
      </c>
      <c r="C699" s="4">
        <v>138.64111328125</v>
      </c>
      <c r="D699" s="4">
        <v>32.048126220703097</v>
      </c>
      <c r="E699" s="4">
        <v>25.4340515136718</v>
      </c>
      <c r="F699" s="4">
        <v>227.60792541503901</v>
      </c>
      <c r="I699" s="5">
        <f>B699/B698-1</f>
        <v>-2.2568237749133857E-2</v>
      </c>
      <c r="J699" s="5">
        <f>C699/C698-1</f>
        <v>-8.6110022113679019E-3</v>
      </c>
      <c r="K699" s="5">
        <f>D699/D698-1</f>
        <v>-7.6841120472481372E-2</v>
      </c>
      <c r="L699" s="5">
        <f>E699/E698-1</f>
        <v>-1.9826724412747021E-3</v>
      </c>
      <c r="M699" s="5">
        <f>F699/F698-1</f>
        <v>-5.0853019374758612E-2</v>
      </c>
      <c r="N699" s="5">
        <f>SUMPRODUCT(I699:M699,$AJ$13:$AN$13)</f>
        <v>-5.1113582528024559E-2</v>
      </c>
      <c r="P699" s="2" t="s">
        <v>690</v>
      </c>
      <c r="Q699" s="10" cm="1">
        <f t="array" aca="1" ref="Q699:U699" ca="1">_xlfn.LET(_xlpm.array,_xlfn.RANDARRAY(1,COLUMNS(_xlfn.ANCHORARRAY(Q698)),0,1,FALSE),_xlpm.array/SUM(_xlpm.array))</f>
        <v>0.46340450741962597</v>
      </c>
      <c r="R699" s="2">
        <f ca="1"/>
        <v>0.23706668323225313</v>
      </c>
      <c r="S699" s="2">
        <f ca="1"/>
        <v>0.14153379847834288</v>
      </c>
      <c r="T699" s="2">
        <f ca="1"/>
        <v>0.15733679656066418</v>
      </c>
      <c r="U699" s="2">
        <f ca="1"/>
        <v>6.5821430911385665E-4</v>
      </c>
      <c r="V699" s="12"/>
      <c r="X699" s="2" cm="1">
        <f t="array" aca="1" ref="X699" ca="1">MMULT(MMULT(_xlfn.ANCHORARRAY(Q699),$Q$9:$U$13),TRANSPOSE(_xlfn.ANCHORARRAY(Q699)))</f>
        <v>3.3144403954810505E-4</v>
      </c>
      <c r="Y699" s="2">
        <f t="shared" ca="1" si="26"/>
        <v>1.820560461913048E-2</v>
      </c>
      <c r="Z699" s="2" cm="1">
        <f t="array" aca="1" ref="Z699" ca="1">MMULT(_xlfn.ANCHORARRAY(Q699),TRANSPOSE($Q$3:$U$3))</f>
        <v>7.9973135316117091E-4</v>
      </c>
      <c r="AA699" s="11">
        <f ca="1">AVEDEV(Q699*$Q$3,R699*$R$3,S699*$S$3,T699*$T$3,U699*$U$3)</f>
        <v>6.3777133161961204E-5</v>
      </c>
      <c r="AB699" s="11" cm="1">
        <f t="array" aca="1" ref="AB699" ca="1">MMULT(_xlfn.ANCHORARRAY(Q699),TRANSPOSE($Q$6:$U$6))</f>
        <v>-2.2711851887953521E-2</v>
      </c>
      <c r="AD699" s="2" t="s">
        <v>690</v>
      </c>
      <c r="AE699" s="10" cm="1">
        <f t="array" aca="1" ref="AE699:AI699" ca="1">_xlfn.LET(_xlpm.array,_xlfn.RANDARRAY(1,COLUMNS(_xlfn.ANCHORARRAY(Q698)),-1,1,FALSE),_xlpm.array/SUM(_xlpm.array))</f>
        <v>-1.7813788968280937</v>
      </c>
      <c r="AF699" s="10">
        <f ca="1"/>
        <v>1.9456827869798767</v>
      </c>
      <c r="AG699" s="10">
        <f ca="1"/>
        <v>-0.41201091425880237</v>
      </c>
      <c r="AH699" s="10">
        <f ca="1"/>
        <v>0.88306836709471226</v>
      </c>
      <c r="AI699" s="10">
        <f ca="1"/>
        <v>0.3646386570123073</v>
      </c>
      <c r="AJ699" s="1"/>
      <c r="AK699" s="2" cm="1">
        <f t="array" aca="1" ref="AK699" ca="1">MMULT(MMULT(_xlfn.ANCHORARRAY(AE699),$Q$9:$U$13),TRANSPOSE(_xlfn.ANCHORARRAY(AE699)))</f>
        <v>2.2313288387327481E-3</v>
      </c>
      <c r="AL699" s="2">
        <f t="shared" ca="1" si="27"/>
        <v>4.7236943579498751E-2</v>
      </c>
      <c r="AM699" s="2" cm="1">
        <f t="array" aca="1" ref="AM699" ca="1">MMULT(_xlfn.ANCHORARRAY(AE700),TRANSPOSE($Q$3:$U$3))</f>
        <v>1.3114912092773937E-3</v>
      </c>
    </row>
    <row r="700" spans="1:39" x14ac:dyDescent="0.35">
      <c r="A700" s="3">
        <v>44844</v>
      </c>
      <c r="B700" s="4">
        <v>28.01682472229</v>
      </c>
      <c r="C700" s="4">
        <v>136.13739013671801</v>
      </c>
      <c r="D700" s="4">
        <v>31.936977386474599</v>
      </c>
      <c r="E700" s="4">
        <v>25.3546638488769</v>
      </c>
      <c r="F700" s="4">
        <v>222.75920104980401</v>
      </c>
      <c r="I700" s="5">
        <f>B700/B699-1</f>
        <v>-2.9268930418412387E-3</v>
      </c>
      <c r="J700" s="5">
        <f>C700/C699-1</f>
        <v>-1.8059023656661566E-2</v>
      </c>
      <c r="K700" s="5">
        <f>D700/D699-1</f>
        <v>-3.4681851120735852E-3</v>
      </c>
      <c r="L700" s="5">
        <f>E700/E699-1</f>
        <v>-3.1213141465969985E-3</v>
      </c>
      <c r="M700" s="5">
        <f>F700/F699-1</f>
        <v>-2.1302968059629057E-2</v>
      </c>
      <c r="N700" s="5">
        <f>SUMPRODUCT(I700:M700,$AJ$13:$AN$13)</f>
        <v>-8.942272495269717E-3</v>
      </c>
      <c r="P700" s="2" t="s">
        <v>691</v>
      </c>
      <c r="Q700" s="10" cm="1">
        <f t="array" aca="1" ref="Q700:U700" ca="1">_xlfn.LET(_xlpm.array,_xlfn.RANDARRAY(1,COLUMNS(_xlfn.ANCHORARRAY(Q699)),0,1,FALSE),_xlpm.array/SUM(_xlpm.array))</f>
        <v>0.22431284362362072</v>
      </c>
      <c r="R700" s="2">
        <f ca="1"/>
        <v>5.1276209074807365E-2</v>
      </c>
      <c r="S700" s="2">
        <f ca="1"/>
        <v>0.20208583578366907</v>
      </c>
      <c r="T700" s="2">
        <f ca="1"/>
        <v>0.30509981104688833</v>
      </c>
      <c r="U700" s="2">
        <f ca="1"/>
        <v>0.21722530047101446</v>
      </c>
      <c r="V700" s="12"/>
      <c r="X700" s="2" cm="1">
        <f t="array" aca="1" ref="X700" ca="1">MMULT(MMULT(_xlfn.ANCHORARRAY(Q700),$Q$9:$U$13),TRANSPOSE(_xlfn.ANCHORARRAY(Q700)))</f>
        <v>2.8202566641971551E-4</v>
      </c>
      <c r="Y700" s="2">
        <f t="shared" ca="1" si="26"/>
        <v>1.6793619812884759E-2</v>
      </c>
      <c r="Z700" s="2" cm="1">
        <f t="array" aca="1" ref="Z700" ca="1">MMULT(_xlfn.ANCHORARRAY(Q700),TRANSPOSE($Q$3:$U$3))</f>
        <v>9.5747839749694291E-4</v>
      </c>
      <c r="AA700" s="11">
        <f ca="1">AVEDEV(Q700*$Q$3,R700*$R$3,S700*$S$3,T700*$T$3,U700*$U$3)</f>
        <v>1.0275655477801291E-4</v>
      </c>
      <c r="AB700" s="11" cm="1">
        <f t="array" aca="1" ref="AB700" ca="1">MMULT(_xlfn.ANCHORARRAY(Q700),TRANSPOSE($Q$6:$U$6))</f>
        <v>-2.3439948090830894E-2</v>
      </c>
      <c r="AD700" s="2" t="s">
        <v>691</v>
      </c>
      <c r="AE700" s="10" cm="1">
        <f t="array" aca="1" ref="AE700:AI700" ca="1">_xlfn.LET(_xlpm.array,_xlfn.RANDARRAY(1,COLUMNS(_xlfn.ANCHORARRAY(Q699)),-1,1,FALSE),_xlpm.array/SUM(_xlpm.array))</f>
        <v>-0.15534672005081329</v>
      </c>
      <c r="AF700" s="10">
        <f ca="1"/>
        <v>-0.13843856910615507</v>
      </c>
      <c r="AG700" s="10">
        <f ca="1"/>
        <v>0.60747394418508871</v>
      </c>
      <c r="AH700" s="10">
        <f ca="1"/>
        <v>-7.7609070200946484E-2</v>
      </c>
      <c r="AI700" s="10">
        <f ca="1"/>
        <v>0.76392041517282616</v>
      </c>
      <c r="AJ700" s="1"/>
      <c r="AK700" s="2" cm="1">
        <f t="array" aca="1" ref="AK700" ca="1">MMULT(MMULT(_xlfn.ANCHORARRAY(AE700),$Q$9:$U$13),TRANSPOSE(_xlfn.ANCHORARRAY(AE700)))</f>
        <v>6.1003400337724658E-4</v>
      </c>
      <c r="AL700" s="2">
        <f t="shared" ca="1" si="27"/>
        <v>2.4698866439115109E-2</v>
      </c>
      <c r="AM700" s="2" cm="1">
        <f t="array" aca="1" ref="AM700" ca="1">MMULT(_xlfn.ANCHORARRAY(AE701),TRANSPOSE($Q$3:$U$3))</f>
        <v>1.050480961679809E-3</v>
      </c>
    </row>
    <row r="701" spans="1:39" x14ac:dyDescent="0.35">
      <c r="A701" s="3">
        <v>44845</v>
      </c>
      <c r="B701" s="4">
        <v>27.2035522460937</v>
      </c>
      <c r="C701" s="4">
        <v>136.16336059570301</v>
      </c>
      <c r="D701" s="4">
        <v>31.371963500976499</v>
      </c>
      <c r="E701" s="4">
        <v>24.986574172973601</v>
      </c>
      <c r="F701" s="4">
        <v>219.02796936035099</v>
      </c>
      <c r="I701" s="5">
        <f>B701/B700-1</f>
        <v>-2.902800314659737E-2</v>
      </c>
      <c r="J701" s="5">
        <f>C701/C700-1</f>
        <v>1.9076654076388699E-4</v>
      </c>
      <c r="K701" s="5">
        <f>D701/D700-1</f>
        <v>-1.7691526616961051E-2</v>
      </c>
      <c r="L701" s="5">
        <f>E701/E700-1</f>
        <v>-1.4517631868331993E-2</v>
      </c>
      <c r="M701" s="5">
        <f>F701/F700-1</f>
        <v>-1.6750067659915824E-2</v>
      </c>
      <c r="N701" s="5">
        <f>SUMPRODUCT(I701:M701,$AJ$13:$AN$13)</f>
        <v>-1.3201207637978085E-2</v>
      </c>
      <c r="P701" s="2" t="s">
        <v>692</v>
      </c>
      <c r="Q701" s="10" cm="1">
        <f t="array" aca="1" ref="Q701:U701" ca="1">_xlfn.LET(_xlpm.array,_xlfn.RANDARRAY(1,COLUMNS(_xlfn.ANCHORARRAY(Q700)),0,1,FALSE),_xlpm.array/SUM(_xlpm.array))</f>
        <v>0.33542403315149338</v>
      </c>
      <c r="R701" s="2">
        <f ca="1"/>
        <v>0.1054610199501801</v>
      </c>
      <c r="S701" s="2">
        <f ca="1"/>
        <v>4.0789806550072791E-2</v>
      </c>
      <c r="T701" s="2">
        <f ca="1"/>
        <v>0.21647613064186055</v>
      </c>
      <c r="U701" s="2">
        <f ca="1"/>
        <v>0.30184900970639322</v>
      </c>
      <c r="V701" s="12"/>
      <c r="X701" s="2" cm="1">
        <f t="array" aca="1" ref="X701" ca="1">MMULT(MMULT(_xlfn.ANCHORARRAY(Q701),$Q$9:$U$13),TRANSPOSE(_xlfn.ANCHORARRAY(Q701)))</f>
        <v>2.596178088895567E-4</v>
      </c>
      <c r="Y701" s="2">
        <f t="shared" ca="1" si="26"/>
        <v>1.6112659894925999E-2</v>
      </c>
      <c r="Z701" s="2" cm="1">
        <f t="array" aca="1" ref="Z701" ca="1">MMULT(_xlfn.ANCHORARRAY(Q701),TRANSPOSE($Q$3:$U$3))</f>
        <v>7.6575852853418144E-4</v>
      </c>
      <c r="AA701" s="11">
        <f ca="1">AVEDEV(Q701*$Q$3,R701*$R$3,S701*$S$3,T701*$T$3,U701*$U$3)</f>
        <v>6.5219591639522828E-5</v>
      </c>
      <c r="AB701" s="11" cm="1">
        <f t="array" aca="1" ref="AB701" ca="1">MMULT(_xlfn.ANCHORARRAY(Q701),TRANSPOSE($Q$6:$U$6))</f>
        <v>-2.2051064747198951E-2</v>
      </c>
      <c r="AD701" s="2" t="s">
        <v>692</v>
      </c>
      <c r="AE701" s="10" cm="1">
        <f t="array" aca="1" ref="AE701:AI701" ca="1">_xlfn.LET(_xlpm.array,_xlfn.RANDARRAY(1,COLUMNS(_xlfn.ANCHORARRAY(Q700)),-1,1,FALSE),_xlpm.array/SUM(_xlpm.array))</f>
        <v>0.17505980906678828</v>
      </c>
      <c r="AF701" s="10">
        <f ca="1"/>
        <v>0.26291063150572275</v>
      </c>
      <c r="AG701" s="10">
        <f ca="1"/>
        <v>0.48187307926777229</v>
      </c>
      <c r="AH701" s="10">
        <f ca="1"/>
        <v>-0.28956778277979756</v>
      </c>
      <c r="AI701" s="10">
        <f ca="1"/>
        <v>0.36972426293951421</v>
      </c>
      <c r="AJ701" s="1"/>
      <c r="AK701" s="2" cm="1">
        <f t="array" aca="1" ref="AK701" ca="1">MMULT(MMULT(_xlfn.ANCHORARRAY(AE701),$Q$9:$U$13),TRANSPOSE(_xlfn.ANCHORARRAY(AE701)))</f>
        <v>4.31468371080099E-4</v>
      </c>
      <c r="AL701" s="2">
        <f t="shared" ca="1" si="27"/>
        <v>2.0771816749627341E-2</v>
      </c>
      <c r="AM701" s="2" cm="1">
        <f t="array" aca="1" ref="AM701" ca="1">MMULT(_xlfn.ANCHORARRAY(AE702),TRANSPOSE($Q$3:$U$3))</f>
        <v>1.060623815834753E-3</v>
      </c>
    </row>
    <row r="702" spans="1:39" x14ac:dyDescent="0.35">
      <c r="A702" s="3">
        <v>44846</v>
      </c>
      <c r="B702" s="4">
        <v>27.2857952117919</v>
      </c>
      <c r="C702" s="4">
        <v>136.57057189941401</v>
      </c>
      <c r="D702" s="4">
        <v>31.279344558715799</v>
      </c>
      <c r="E702" s="4">
        <v>24.835008621215799</v>
      </c>
      <c r="F702" s="4">
        <v>219.358306884765</v>
      </c>
      <c r="I702" s="5">
        <f>B702/B701-1</f>
        <v>3.0232436173849297E-3</v>
      </c>
      <c r="J702" s="5">
        <f>C702/C701-1</f>
        <v>2.9906085009174799E-3</v>
      </c>
      <c r="K702" s="5">
        <f>D702/D701-1</f>
        <v>-2.9522838842336308E-3</v>
      </c>
      <c r="L702" s="5">
        <f>E702/E701-1</f>
        <v>-6.0658796483489263E-3</v>
      </c>
      <c r="M702" s="5">
        <f>F702/F701-1</f>
        <v>1.5081979044901939E-3</v>
      </c>
      <c r="N702" s="5">
        <f>SUMPRODUCT(I702:M702,$AJ$13:$AN$13)</f>
        <v>-4.8400273523434619E-3</v>
      </c>
      <c r="P702" s="2" t="s">
        <v>693</v>
      </c>
      <c r="Q702" s="10" cm="1">
        <f t="array" aca="1" ref="Q702:U702" ca="1">_xlfn.LET(_xlpm.array,_xlfn.RANDARRAY(1,COLUMNS(_xlfn.ANCHORARRAY(Q701)),0,1,FALSE),_xlpm.array/SUM(_xlpm.array))</f>
        <v>0.18684457943573696</v>
      </c>
      <c r="R702" s="2">
        <f ca="1"/>
        <v>0.28188404714001941</v>
      </c>
      <c r="S702" s="2">
        <f ca="1"/>
        <v>0.24146957184453874</v>
      </c>
      <c r="T702" s="2">
        <f ca="1"/>
        <v>0.19544303843243141</v>
      </c>
      <c r="U702" s="2">
        <f ca="1"/>
        <v>9.4358763147273372E-2</v>
      </c>
      <c r="V702" s="12"/>
      <c r="X702" s="2" cm="1">
        <f t="array" aca="1" ref="X702" ca="1">MMULT(MMULT(_xlfn.ANCHORARRAY(Q702),$Q$9:$U$13),TRANSPOSE(_xlfn.ANCHORARRAY(Q702)))</f>
        <v>3.0748235714525525E-4</v>
      </c>
      <c r="Y702" s="2">
        <f t="shared" ca="1" si="26"/>
        <v>1.7535174853569476E-2</v>
      </c>
      <c r="Z702" s="2" cm="1">
        <f t="array" aca="1" ref="Z702" ca="1">MMULT(_xlfn.ANCHORARRAY(Q702),TRANSPOSE($Q$3:$U$3))</f>
        <v>9.6479118191084327E-4</v>
      </c>
      <c r="AA702" s="11">
        <f ca="1">AVEDEV(Q702*$Q$3,R702*$R$3,S702*$S$3,T702*$T$3,U702*$U$3)</f>
        <v>8.7513102481634914E-5</v>
      </c>
      <c r="AB702" s="11" cm="1">
        <f t="array" aca="1" ref="AB702" ca="1">MMULT(_xlfn.ANCHORARRAY(Q702),TRANSPOSE($Q$6:$U$6))</f>
        <v>-2.3217325651133824E-2</v>
      </c>
      <c r="AD702" s="2" t="s">
        <v>693</v>
      </c>
      <c r="AE702" s="10" cm="1">
        <f t="array" aca="1" ref="AE702:AI702" ca="1">_xlfn.LET(_xlpm.array,_xlfn.RANDARRAY(1,COLUMNS(_xlfn.ANCHORARRAY(Q701)),-1,1,FALSE),_xlpm.array/SUM(_xlpm.array))</f>
        <v>1.8898476187229497E-2</v>
      </c>
      <c r="AF702" s="10">
        <f ca="1"/>
        <v>9.3068051893555118E-2</v>
      </c>
      <c r="AG702" s="10">
        <f ca="1"/>
        <v>0.26405665690299296</v>
      </c>
      <c r="AH702" s="10">
        <f ca="1"/>
        <v>0.29979963483902783</v>
      </c>
      <c r="AI702" s="10">
        <f ca="1"/>
        <v>0.32417718017719449</v>
      </c>
      <c r="AJ702" s="1"/>
      <c r="AK702" s="2" cm="1">
        <f t="array" aca="1" ref="AK702" ca="1">MMULT(MMULT(_xlfn.ANCHORARRAY(AE702),$Q$9:$U$13),TRANSPOSE(_xlfn.ANCHORARRAY(AE702)))</f>
        <v>2.8891582257146168E-4</v>
      </c>
      <c r="AL702" s="2">
        <f t="shared" ca="1" si="27"/>
        <v>1.6997524012969115E-2</v>
      </c>
      <c r="AM702" s="2" cm="1">
        <f t="array" aca="1" ref="AM702" ca="1">MMULT(_xlfn.ANCHORARRAY(AE703),TRANSPOSE($Q$3:$U$3))</f>
        <v>-3.9482649112115107E-3</v>
      </c>
    </row>
    <row r="703" spans="1:39" x14ac:dyDescent="0.35">
      <c r="A703" s="3">
        <v>44847</v>
      </c>
      <c r="B703" s="4">
        <v>28.958028793334901</v>
      </c>
      <c r="C703" s="4">
        <v>143.18942260742099</v>
      </c>
      <c r="D703" s="4">
        <v>32.409366607666001</v>
      </c>
      <c r="E703" s="4">
        <v>25.636142730712798</v>
      </c>
      <c r="F703" s="4">
        <v>227.60792541503901</v>
      </c>
      <c r="I703" s="5">
        <f>B703/B702-1</f>
        <v>6.1285865724753474E-2</v>
      </c>
      <c r="J703" s="5">
        <f>C703/C702-1</f>
        <v>4.8464692033960644E-2</v>
      </c>
      <c r="K703" s="5">
        <f>D703/D702-1</f>
        <v>3.612678158357796E-2</v>
      </c>
      <c r="L703" s="5">
        <f>E703/E702-1</f>
        <v>3.2258257756859088E-2</v>
      </c>
      <c r="M703" s="5">
        <f>F703/F702-1</f>
        <v>3.7607960452611167E-2</v>
      </c>
      <c r="N703" s="5">
        <f>SUMPRODUCT(I703:M703,$AJ$13:$AN$13)</f>
        <v>2.7133416886913064E-2</v>
      </c>
      <c r="P703" s="2" t="s">
        <v>694</v>
      </c>
      <c r="Q703" s="10" cm="1">
        <f t="array" aca="1" ref="Q703:U703" ca="1">_xlfn.LET(_xlpm.array,_xlfn.RANDARRAY(1,COLUMNS(_xlfn.ANCHORARRAY(Q702)),0,1,FALSE),_xlpm.array/SUM(_xlpm.array))</f>
        <v>3.0357027036840077E-3</v>
      </c>
      <c r="R703" s="2">
        <f ca="1"/>
        <v>0.45530021000960719</v>
      </c>
      <c r="S703" s="2">
        <f ca="1"/>
        <v>2.6988315714996897E-2</v>
      </c>
      <c r="T703" s="2">
        <f ca="1"/>
        <v>0.14550677571731682</v>
      </c>
      <c r="U703" s="2">
        <f ca="1"/>
        <v>0.36916899585439522</v>
      </c>
      <c r="V703" s="12"/>
      <c r="X703" s="2" cm="1">
        <f t="array" aca="1" ref="X703" ca="1">MMULT(MMULT(_xlfn.ANCHORARRAY(Q703),$Q$9:$U$13),TRANSPOSE(_xlfn.ANCHORARRAY(Q703)))</f>
        <v>2.6646068923392454E-4</v>
      </c>
      <c r="Y703" s="2">
        <f t="shared" ca="1" si="26"/>
        <v>1.6323623655117896E-2</v>
      </c>
      <c r="Z703" s="2" cm="1">
        <f t="array" aca="1" ref="Z703" ca="1">MMULT(_xlfn.ANCHORARRAY(Q703),TRANSPOSE($Q$3:$U$3))</f>
        <v>8.088624526591049E-4</v>
      </c>
      <c r="AA703" s="11">
        <f ca="1">AVEDEV(Q703*$Q$3,R703*$R$3,S703*$S$3,T703*$T$3,U703*$U$3)</f>
        <v>1.1651733093834957E-4</v>
      </c>
      <c r="AB703" s="11" cm="1">
        <f t="array" aca="1" ref="AB703" ca="1">MMULT(_xlfn.ANCHORARRAY(Q703),TRANSPOSE($Q$6:$U$6))</f>
        <v>-2.1269465636797259E-2</v>
      </c>
      <c r="AD703" s="2" t="s">
        <v>694</v>
      </c>
      <c r="AE703" s="10" cm="1">
        <f t="array" aca="1" ref="AE703:AI703" ca="1">_xlfn.LET(_xlpm.array,_xlfn.RANDARRAY(1,COLUMNS(_xlfn.ANCHORARRAY(Q702)),-1,1,FALSE),_xlpm.array/SUM(_xlpm.array))</f>
        <v>9.2220110468633969</v>
      </c>
      <c r="AF703" s="10">
        <f ca="1"/>
        <v>3.1679398522744049</v>
      </c>
      <c r="AG703" s="10">
        <f ca="1"/>
        <v>-0.44665408290631442</v>
      </c>
      <c r="AH703" s="10">
        <f ca="1"/>
        <v>-7.2178610107050787</v>
      </c>
      <c r="AI703" s="10">
        <f ca="1"/>
        <v>-3.7254358055264087</v>
      </c>
      <c r="AJ703" s="1"/>
      <c r="AK703" s="2" cm="1">
        <f t="array" aca="1" ref="AK703" ca="1">MMULT(MMULT(_xlfn.ANCHORARRAY(AE703),$Q$9:$U$13),TRANSPOSE(_xlfn.ANCHORARRAY(AE703)))</f>
        <v>3.8324389099423151E-2</v>
      </c>
      <c r="AL703" s="2">
        <f t="shared" ca="1" si="27"/>
        <v>0.19576615922938048</v>
      </c>
      <c r="AM703" s="2" cm="1">
        <f t="array" aca="1" ref="AM703" ca="1">MMULT(_xlfn.ANCHORARRAY(AE704),TRANSPOSE($Q$3:$U$3))</f>
        <v>1.4018682824153458E-3</v>
      </c>
    </row>
    <row r="704" spans="1:39" x14ac:dyDescent="0.35">
      <c r="A704" s="3">
        <v>44848</v>
      </c>
      <c r="B704" s="4">
        <v>28.967168807983398</v>
      </c>
      <c r="C704" s="4">
        <v>138.73637390136699</v>
      </c>
      <c r="D704" s="4">
        <v>31.7332038879394</v>
      </c>
      <c r="E704" s="4">
        <v>24.365879058837798</v>
      </c>
      <c r="F704" s="4">
        <v>222.08871459960901</v>
      </c>
      <c r="I704" s="5">
        <f>B704/B703-1</f>
        <v>3.1562972444465487E-4</v>
      </c>
      <c r="J704" s="5">
        <f>C704/C703-1</f>
        <v>-3.1099005952854641E-2</v>
      </c>
      <c r="K704" s="5">
        <f>D704/D703-1</f>
        <v>-2.0863188346503025E-2</v>
      </c>
      <c r="L704" s="5">
        <f>E704/E703-1</f>
        <v>-4.9549719129671987E-2</v>
      </c>
      <c r="M704" s="5">
        <f>F704/F703-1</f>
        <v>-2.4248763769389003E-2</v>
      </c>
      <c r="N704" s="5">
        <f>SUMPRODUCT(I704:M704,$AJ$13:$AN$13)</f>
        <v>-4.1187947109640778E-2</v>
      </c>
      <c r="P704" s="2" t="s">
        <v>695</v>
      </c>
      <c r="Q704" s="10" cm="1">
        <f t="array" aca="1" ref="Q704:U704" ca="1">_xlfn.LET(_xlpm.array,_xlfn.RANDARRAY(1,COLUMNS(_xlfn.ANCHORARRAY(Q703)),0,1,FALSE),_xlpm.array/SUM(_xlpm.array))</f>
        <v>0.18288372223601865</v>
      </c>
      <c r="R704" s="2">
        <f ca="1"/>
        <v>0.20370663558060101</v>
      </c>
      <c r="S704" s="2">
        <f ca="1"/>
        <v>0.21251686786541285</v>
      </c>
      <c r="T704" s="2">
        <f ca="1"/>
        <v>0.20914414735354731</v>
      </c>
      <c r="U704" s="2">
        <f ca="1"/>
        <v>0.19174862696442024</v>
      </c>
      <c r="V704" s="12"/>
      <c r="X704" s="2" cm="1">
        <f t="array" aca="1" ref="X704" ca="1">MMULT(MMULT(_xlfn.ANCHORARRAY(Q704),$Q$9:$U$13),TRANSPOSE(_xlfn.ANCHORARRAY(Q704)))</f>
        <v>2.8206498117292156E-4</v>
      </c>
      <c r="Y704" s="2">
        <f t="shared" ca="1" si="26"/>
        <v>1.6794790298569423E-2</v>
      </c>
      <c r="Z704" s="2" cm="1">
        <f t="array" aca="1" ref="Z704" ca="1">MMULT(_xlfn.ANCHORARRAY(Q704),TRANSPOSE($Q$3:$U$3))</f>
        <v>9.4715697546495447E-4</v>
      </c>
      <c r="AA704" s="11">
        <f ca="1">AVEDEV(Q704*$Q$3,R704*$R$3,S704*$S$3,T704*$T$3,U704*$U$3)</f>
        <v>7.1972004187986785E-5</v>
      </c>
      <c r="AB704" s="11" cm="1">
        <f t="array" aca="1" ref="AB704" ca="1">MMULT(_xlfn.ANCHORARRAY(Q704),TRANSPOSE($Q$6:$U$6))</f>
        <v>-2.3040437063511075E-2</v>
      </c>
      <c r="AD704" s="2" t="s">
        <v>695</v>
      </c>
      <c r="AE704" s="10" cm="1">
        <f t="array" aca="1" ref="AE704:AI704" ca="1">_xlfn.LET(_xlpm.array,_xlfn.RANDARRAY(1,COLUMNS(_xlfn.ANCHORARRAY(Q703)),-1,1,FALSE),_xlpm.array/SUM(_xlpm.array))</f>
        <v>-0.46041760335148635</v>
      </c>
      <c r="AF704" s="10">
        <f ca="1"/>
        <v>0.10418032139434019</v>
      </c>
      <c r="AG704" s="10">
        <f ca="1"/>
        <v>0.47396293512333504</v>
      </c>
      <c r="AH704" s="10">
        <f ca="1"/>
        <v>0.44893558726531996</v>
      </c>
      <c r="AI704" s="10">
        <f ca="1"/>
        <v>0.43333875956849122</v>
      </c>
      <c r="AJ704" s="1"/>
      <c r="AK704" s="2" cm="1">
        <f t="array" aca="1" ref="AK704" ca="1">MMULT(MMULT(_xlfn.ANCHORARRAY(AE704),$Q$9:$U$13),TRANSPOSE(_xlfn.ANCHORARRAY(AE704)))</f>
        <v>4.693623130140348E-4</v>
      </c>
      <c r="AL704" s="2">
        <f t="shared" ca="1" si="27"/>
        <v>2.1664771243058045E-2</v>
      </c>
      <c r="AM704" s="2" cm="1">
        <f t="array" aca="1" ref="AM704" ca="1">MMULT(_xlfn.ANCHORARRAY(AE705),TRANSPOSE($Q$3:$U$3))</f>
        <v>2.9151114958129282E-4</v>
      </c>
    </row>
    <row r="705" spans="1:39" x14ac:dyDescent="0.35">
      <c r="A705" s="3">
        <v>44851</v>
      </c>
      <c r="B705" s="4">
        <v>30.721641540527301</v>
      </c>
      <c r="C705" s="4">
        <v>139.75001525878901</v>
      </c>
      <c r="D705" s="4">
        <v>31.927719116210898</v>
      </c>
      <c r="E705" s="4">
        <v>24.914402008056602</v>
      </c>
      <c r="F705" s="4">
        <v>230.80477905273401</v>
      </c>
      <c r="I705" s="5">
        <f>B705/B704-1</f>
        <v>6.0567628965533027E-2</v>
      </c>
      <c r="J705" s="5">
        <f>C705/C704-1</f>
        <v>7.3062408142701152E-3</v>
      </c>
      <c r="K705" s="5">
        <f>D705/D704-1</f>
        <v>6.1297065672409889E-3</v>
      </c>
      <c r="L705" s="5">
        <f>E705/E704-1</f>
        <v>2.2511929403172815E-2</v>
      </c>
      <c r="M705" s="5">
        <f>F705/F704-1</f>
        <v>3.9245868340670453E-2</v>
      </c>
      <c r="N705" s="5">
        <f>SUMPRODUCT(I705:M705,$AJ$13:$AN$13)</f>
        <v>9.0640080493051365E-3</v>
      </c>
      <c r="P705" s="2" t="s">
        <v>696</v>
      </c>
      <c r="Q705" s="10" cm="1">
        <f t="array" aca="1" ref="Q705:U705" ca="1">_xlfn.LET(_xlpm.array,_xlfn.RANDARRAY(1,COLUMNS(_xlfn.ANCHORARRAY(Q704)),0,1,FALSE),_xlpm.array/SUM(_xlpm.array))</f>
        <v>0.33611220363186267</v>
      </c>
      <c r="R705" s="2">
        <f ca="1"/>
        <v>9.2146784378453847E-2</v>
      </c>
      <c r="S705" s="2">
        <f ca="1"/>
        <v>0.23239713489285424</v>
      </c>
      <c r="T705" s="2">
        <f ca="1"/>
        <v>0.18114882207250713</v>
      </c>
      <c r="U705" s="2">
        <f ca="1"/>
        <v>0.1581950550243221</v>
      </c>
      <c r="V705" s="12"/>
      <c r="X705" s="2" cm="1">
        <f t="array" aca="1" ref="X705" ca="1">MMULT(MMULT(_xlfn.ANCHORARRAY(Q705),$Q$9:$U$13),TRANSPOSE(_xlfn.ANCHORARRAY(Q705)))</f>
        <v>2.9384465097884795E-4</v>
      </c>
      <c r="Y705" s="2">
        <f t="shared" ca="1" si="26"/>
        <v>1.7141897531453395E-2</v>
      </c>
      <c r="Z705" s="2" cm="1">
        <f t="array" aca="1" ref="Z705" ca="1">MMULT(_xlfn.ANCHORARRAY(Q705),TRANSPOSE($Q$3:$U$3))</f>
        <v>9.2159090406795897E-4</v>
      </c>
      <c r="AA705" s="11">
        <f ca="1">AVEDEV(Q705*$Q$3,R705*$R$3,S705*$S$3,T705*$T$3,U705*$U$3)</f>
        <v>7.7536601708614951E-5</v>
      </c>
      <c r="AB705" s="11" cm="1">
        <f t="array" aca="1" ref="AB705" ca="1">MMULT(_xlfn.ANCHORARRAY(Q705),TRANSPOSE($Q$6:$U$6))</f>
        <v>-2.3213386058817637E-2</v>
      </c>
      <c r="AD705" s="2" t="s">
        <v>696</v>
      </c>
      <c r="AE705" s="10" cm="1">
        <f t="array" aca="1" ref="AE705:AI705" ca="1">_xlfn.LET(_xlpm.array,_xlfn.RANDARRAY(1,COLUMNS(_xlfn.ANCHORARRAY(Q704)),-1,1,FALSE),_xlpm.array/SUM(_xlpm.array))</f>
        <v>1.0164221511772709</v>
      </c>
      <c r="AF705" s="10">
        <f ca="1"/>
        <v>1.4387732363209389</v>
      </c>
      <c r="AG705" s="10">
        <f ca="1"/>
        <v>0.17206773881311302</v>
      </c>
      <c r="AH705" s="10">
        <f ca="1"/>
        <v>-1.209478572635112</v>
      </c>
      <c r="AI705" s="10">
        <f ca="1"/>
        <v>-0.41778455367621065</v>
      </c>
      <c r="AJ705" s="1"/>
      <c r="AK705" s="2" cm="1">
        <f t="array" aca="1" ref="AK705" ca="1">MMULT(MMULT(_xlfn.ANCHORARRAY(AE705),$Q$9:$U$13),TRANSPOSE(_xlfn.ANCHORARRAY(AE705)))</f>
        <v>1.2089874881965417E-3</v>
      </c>
      <c r="AL705" s="2">
        <f t="shared" ca="1" si="27"/>
        <v>3.4770497382070074E-2</v>
      </c>
      <c r="AM705" s="2" cm="1">
        <f t="array" aca="1" ref="AM705" ca="1">MMULT(_xlfn.ANCHORARRAY(AE706),TRANSPOSE($Q$3:$U$3))</f>
        <v>1.0368650341547672E-3</v>
      </c>
    </row>
    <row r="706" spans="1:39" x14ac:dyDescent="0.35">
      <c r="A706" s="3">
        <v>44852</v>
      </c>
      <c r="B706" s="4">
        <v>31.873027801513601</v>
      </c>
      <c r="C706" s="4">
        <v>140.97157287597599</v>
      </c>
      <c r="D706" s="4">
        <v>32.320499420166001</v>
      </c>
      <c r="E706" s="4">
        <v>24.560749053955</v>
      </c>
      <c r="F706" s="4">
        <v>231.74728393554599</v>
      </c>
      <c r="I706" s="5">
        <f>B706/B705-1</f>
        <v>3.7478018857404427E-2</v>
      </c>
      <c r="J706" s="5">
        <f>C706/C705-1</f>
        <v>8.7410195621440145E-3</v>
      </c>
      <c r="K706" s="5">
        <f>D706/D705-1</f>
        <v>1.2302172370204589E-2</v>
      </c>
      <c r="L706" s="5">
        <f>E706/E705-1</f>
        <v>-1.4194719744316631E-2</v>
      </c>
      <c r="M706" s="5">
        <f>F706/F705-1</f>
        <v>4.0835587836620668E-3</v>
      </c>
      <c r="N706" s="5">
        <f>SUMPRODUCT(I706:M706,$AJ$13:$AN$13)</f>
        <v>-9.9885877734171569E-3</v>
      </c>
      <c r="P706" s="2" t="s">
        <v>697</v>
      </c>
      <c r="Q706" s="10" cm="1">
        <f t="array" aca="1" ref="Q706:U706" ca="1">_xlfn.LET(_xlpm.array,_xlfn.RANDARRAY(1,COLUMNS(_xlfn.ANCHORARRAY(Q705)),0,1,FALSE),_xlpm.array/SUM(_xlpm.array))</f>
        <v>0.29105308855097733</v>
      </c>
      <c r="R706" s="2">
        <f ca="1"/>
        <v>0.39646406599532613</v>
      </c>
      <c r="S706" s="2">
        <f ca="1"/>
        <v>0.15031209704918538</v>
      </c>
      <c r="T706" s="2">
        <f ca="1"/>
        <v>0.14456981616522013</v>
      </c>
      <c r="U706" s="2">
        <f ca="1"/>
        <v>1.7600932239291191E-2</v>
      </c>
      <c r="V706" s="12"/>
      <c r="X706" s="2" cm="1">
        <f t="array" aca="1" ref="X706" ca="1">MMULT(MMULT(_xlfn.ANCHORARRAY(Q706),$Q$9:$U$13),TRANSPOSE(_xlfn.ANCHORARRAY(Q706)))</f>
        <v>3.2511074461245496E-4</v>
      </c>
      <c r="Y706" s="2">
        <f t="shared" ca="1" si="26"/>
        <v>1.8030827618621806E-2</v>
      </c>
      <c r="Z706" s="2" cm="1">
        <f t="array" aca="1" ref="Z706" ca="1">MMULT(_xlfn.ANCHORARRAY(Q706),TRANSPOSE($Q$3:$U$3))</f>
        <v>8.4270428488619764E-4</v>
      </c>
      <c r="AA706" s="11">
        <f ca="1">AVEDEV(Q706*$Q$3,R706*$R$3,S706*$S$3,T706*$T$3,U706*$U$3)</f>
        <v>7.8615516191866532E-5</v>
      </c>
      <c r="AB706" s="11" cm="1">
        <f t="array" aca="1" ref="AB706" ca="1">MMULT(_xlfn.ANCHORARRAY(Q706),TRANSPOSE($Q$6:$U$6))</f>
        <v>-2.2529108552572591E-2</v>
      </c>
      <c r="AD706" s="2" t="s">
        <v>697</v>
      </c>
      <c r="AE706" s="10" cm="1">
        <f t="array" aca="1" ref="AE706:AI706" ca="1">_xlfn.LET(_xlpm.array,_xlfn.RANDARRAY(1,COLUMNS(_xlfn.ANCHORARRAY(Q705)),-1,1,FALSE),_xlpm.array/SUM(_xlpm.array))</f>
        <v>0.245950228521121</v>
      </c>
      <c r="AF706" s="10">
        <f ca="1"/>
        <v>0.15998927191156898</v>
      </c>
      <c r="AG706" s="10">
        <f ca="1"/>
        <v>0.29197032110438581</v>
      </c>
      <c r="AH706" s="10">
        <f ca="1"/>
        <v>0.3498026508370603</v>
      </c>
      <c r="AI706" s="10">
        <f ca="1"/>
        <v>-4.7712472374135964E-2</v>
      </c>
      <c r="AJ706" s="1"/>
      <c r="AK706" s="2" cm="1">
        <f t="array" aca="1" ref="AK706" ca="1">MMULT(MMULT(_xlfn.ANCHORARRAY(AE706),$Q$9:$U$13),TRANSPOSE(_xlfn.ANCHORARRAY(AE706)))</f>
        <v>3.6356325239493879E-4</v>
      </c>
      <c r="AL706" s="2">
        <f t="shared" ca="1" si="27"/>
        <v>1.9067334695623789E-2</v>
      </c>
      <c r="AM706" s="2" cm="1">
        <f t="array" aca="1" ref="AM706" ca="1">MMULT(_xlfn.ANCHORARRAY(AE707),TRANSPOSE($Q$3:$U$3))</f>
        <v>6.2332118252381294E-4</v>
      </c>
    </row>
    <row r="707" spans="1:39" x14ac:dyDescent="0.35">
      <c r="A707" s="3">
        <v>44853</v>
      </c>
      <c r="B707" s="4">
        <v>30.995782852172798</v>
      </c>
      <c r="C707" s="4">
        <v>145.54585266113199</v>
      </c>
      <c r="D707" s="4">
        <v>32.255039215087798</v>
      </c>
      <c r="E707" s="4">
        <v>24.647361755371001</v>
      </c>
      <c r="F707" s="4">
        <v>229.78451538085901</v>
      </c>
      <c r="I707" s="5">
        <f>B707/B706-1</f>
        <v>-2.752311311004918E-2</v>
      </c>
      <c r="J707" s="5">
        <f>C707/C706-1</f>
        <v>3.244824252035805E-2</v>
      </c>
      <c r="K707" s="5">
        <f>D707/D706-1</f>
        <v>-2.0253463359962698E-3</v>
      </c>
      <c r="L707" s="5">
        <f>E707/E706-1</f>
        <v>3.5264682370121925E-3</v>
      </c>
      <c r="M707" s="5">
        <f>F707/F706-1</f>
        <v>-8.4694349869182117E-3</v>
      </c>
      <c r="N707" s="5">
        <f>SUMPRODUCT(I707:M707,$AJ$13:$AN$13)</f>
        <v>4.6610333912449221E-3</v>
      </c>
      <c r="P707" s="2" t="s">
        <v>698</v>
      </c>
      <c r="Q707" s="10" cm="1">
        <f t="array" aca="1" ref="Q707:U707" ca="1">_xlfn.LET(_xlpm.array,_xlfn.RANDARRAY(1,COLUMNS(_xlfn.ANCHORARRAY(Q706)),0,1,FALSE),_xlpm.array/SUM(_xlpm.array))</f>
        <v>0.46876442713072636</v>
      </c>
      <c r="R707" s="2">
        <f ca="1"/>
        <v>0.15437774770270801</v>
      </c>
      <c r="S707" s="2">
        <f ca="1"/>
        <v>0.20099380895348393</v>
      </c>
      <c r="T707" s="2">
        <f ca="1"/>
        <v>9.9676249368564132E-2</v>
      </c>
      <c r="U707" s="2">
        <f ca="1"/>
        <v>7.6187766844517599E-2</v>
      </c>
      <c r="V707" s="12"/>
      <c r="X707" s="2" cm="1">
        <f t="array" aca="1" ref="X707" ca="1">MMULT(MMULT(_xlfn.ANCHORARRAY(Q707),$Q$9:$U$13),TRANSPOSE(_xlfn.ANCHORARRAY(Q707)))</f>
        <v>3.1600774482991789E-4</v>
      </c>
      <c r="Y707" s="2">
        <f t="shared" ca="1" si="26"/>
        <v>1.7776606673657318E-2</v>
      </c>
      <c r="Z707" s="2" cm="1">
        <f t="array" aca="1" ref="Z707" ca="1">MMULT(_xlfn.ANCHORARRAY(Q707),TRANSPOSE($Q$3:$U$3))</f>
        <v>8.3749798962400696E-4</v>
      </c>
      <c r="AA707" s="11">
        <f ca="1">AVEDEV(Q707*$Q$3,R707*$R$3,S707*$S$3,T707*$T$3,U707*$U$3)</f>
        <v>9.1865066487076995E-5</v>
      </c>
      <c r="AB707" s="11" cm="1">
        <f t="array" aca="1" ref="AB707" ca="1">MMULT(_xlfn.ANCHORARRAY(Q707),TRANSPOSE($Q$6:$U$6))</f>
        <v>-2.2808199466952894E-2</v>
      </c>
      <c r="AD707" s="2" t="s">
        <v>698</v>
      </c>
      <c r="AE707" s="10" cm="1">
        <f t="array" aca="1" ref="AE707:AI707" ca="1">_xlfn.LET(_xlpm.array,_xlfn.RANDARRAY(1,COLUMNS(_xlfn.ANCHORARRAY(Q706)),-1,1,FALSE),_xlpm.array/SUM(_xlpm.array))</f>
        <v>0.29780213920217191</v>
      </c>
      <c r="AF707" s="10">
        <f ca="1"/>
        <v>-8.1739389641967017E-2</v>
      </c>
      <c r="AG707" s="10">
        <f ca="1"/>
        <v>-0.23846584917815272</v>
      </c>
      <c r="AH707" s="10">
        <f ca="1"/>
        <v>0.53330620647580251</v>
      </c>
      <c r="AI707" s="10">
        <f ca="1"/>
        <v>0.48909689314214538</v>
      </c>
      <c r="AJ707" s="1"/>
      <c r="AK707" s="2" cm="1">
        <f t="array" aca="1" ref="AK707" ca="1">MMULT(MMULT(_xlfn.ANCHORARRAY(AE707),$Q$9:$U$13),TRANSPOSE(_xlfn.ANCHORARRAY(AE707)))</f>
        <v>3.3493590324357094E-4</v>
      </c>
      <c r="AL707" s="2">
        <f t="shared" ca="1" si="27"/>
        <v>1.8301254144008027E-2</v>
      </c>
      <c r="AM707" s="2" cm="1">
        <f t="array" aca="1" ref="AM707" ca="1">MMULT(_xlfn.ANCHORARRAY(AE708),TRANSPOSE($Q$3:$U$3))</f>
        <v>8.5664803208809303E-4</v>
      </c>
    </row>
    <row r="708" spans="1:39" x14ac:dyDescent="0.35">
      <c r="A708" s="3">
        <v>44854</v>
      </c>
      <c r="B708" s="4">
        <v>30.794750213623001</v>
      </c>
      <c r="C708" s="4">
        <v>146.37757873535099</v>
      </c>
      <c r="D708" s="4">
        <v>32.601058959960902</v>
      </c>
      <c r="E708" s="4">
        <v>24.813358306884702</v>
      </c>
      <c r="F708" s="4">
        <v>229.46385192871</v>
      </c>
      <c r="I708" s="5">
        <f>B708/B707-1</f>
        <v>-6.4858061339690964E-3</v>
      </c>
      <c r="J708" s="5">
        <f>C708/C707-1</f>
        <v>5.7145295383680406E-3</v>
      </c>
      <c r="K708" s="5">
        <f>D708/D707-1</f>
        <v>1.0727618173573594E-2</v>
      </c>
      <c r="L708" s="5">
        <f>E708/E707-1</f>
        <v>6.7348608407358235E-3</v>
      </c>
      <c r="M708" s="5">
        <f>F708/F707-1</f>
        <v>-1.3954963484702487E-3</v>
      </c>
      <c r="N708" s="5">
        <f>SUMPRODUCT(I708:M708,$AJ$13:$AN$13)</f>
        <v>9.9548882463407328E-3</v>
      </c>
      <c r="P708" s="2" t="s">
        <v>699</v>
      </c>
      <c r="Q708" s="10" cm="1">
        <f t="array" aca="1" ref="Q708:U708" ca="1">_xlfn.LET(_xlpm.array,_xlfn.RANDARRAY(1,COLUMNS(_xlfn.ANCHORARRAY(Q707)),0,1,FALSE),_xlpm.array/SUM(_xlpm.array))</f>
        <v>0.16353158839375415</v>
      </c>
      <c r="R708" s="2">
        <f ca="1"/>
        <v>8.8847234212434109E-2</v>
      </c>
      <c r="S708" s="2">
        <f ca="1"/>
        <v>0.22599358895524957</v>
      </c>
      <c r="T708" s="2">
        <f ca="1"/>
        <v>0.27347474472977118</v>
      </c>
      <c r="U708" s="2">
        <f ca="1"/>
        <v>0.2481528437087909</v>
      </c>
      <c r="V708" s="12"/>
      <c r="X708" s="2" cm="1">
        <f t="array" aca="1" ref="X708" ca="1">MMULT(MMULT(_xlfn.ANCHORARRAY(Q708),$Q$9:$U$13),TRANSPOSE(_xlfn.ANCHORARRAY(Q708)))</f>
        <v>2.7960355600949486E-4</v>
      </c>
      <c r="Y708" s="2">
        <f t="shared" ca="1" si="26"/>
        <v>1.6721350304610416E-2</v>
      </c>
      <c r="Z708" s="2" cm="1">
        <f t="array" aca="1" ref="Z708" ca="1">MMULT(_xlfn.ANCHORARRAY(Q708),TRANSPOSE($Q$3:$U$3))</f>
        <v>9.8419493206999245E-4</v>
      </c>
      <c r="AA708" s="11">
        <f ca="1">AVEDEV(Q708*$Q$3,R708*$R$3,S708*$S$3,T708*$T$3,U708*$U$3)</f>
        <v>1.0108890934475412E-4</v>
      </c>
      <c r="AB708" s="11" cm="1">
        <f t="array" aca="1" ref="AB708" ca="1">MMULT(_xlfn.ANCHORARRAY(Q708),TRANSPOSE($Q$6:$U$6))</f>
        <v>-2.337634813662957E-2</v>
      </c>
      <c r="AD708" s="2" t="s">
        <v>699</v>
      </c>
      <c r="AE708" s="10" cm="1">
        <f t="array" aca="1" ref="AE708:AI708" ca="1">_xlfn.LET(_xlpm.array,_xlfn.RANDARRAY(1,COLUMNS(_xlfn.ANCHORARRAY(Q707)),-1,1,FALSE),_xlpm.array/SUM(_xlpm.array))</f>
        <v>0.43942900153544112</v>
      </c>
      <c r="AF708" s="10">
        <f ca="1"/>
        <v>2.8929406342765904E-2</v>
      </c>
      <c r="AG708" s="10">
        <f ca="1"/>
        <v>0.26343184429719196</v>
      </c>
      <c r="AH708" s="10">
        <f ca="1"/>
        <v>-8.0892630539431881E-2</v>
      </c>
      <c r="AI708" s="10">
        <f ca="1"/>
        <v>0.34910237836403285</v>
      </c>
      <c r="AJ708" s="1"/>
      <c r="AK708" s="2" cm="1">
        <f t="array" aca="1" ref="AK708" ca="1">MMULT(MMULT(_xlfn.ANCHORARRAY(AE708),$Q$9:$U$13),TRANSPOSE(_xlfn.ANCHORARRAY(AE708)))</f>
        <v>3.234515682557415E-4</v>
      </c>
      <c r="AL708" s="2">
        <f t="shared" ca="1" si="27"/>
        <v>1.7984759332716729E-2</v>
      </c>
      <c r="AM708" s="2" cm="1">
        <f t="array" aca="1" ref="AM708" ca="1">MMULT(_xlfn.ANCHORARRAY(AE709),TRANSPOSE($Q$3:$U$3))</f>
        <v>1.0032191495693503E-3</v>
      </c>
    </row>
    <row r="709" spans="1:39" x14ac:dyDescent="0.35">
      <c r="A709" s="3">
        <v>44855</v>
      </c>
      <c r="B709" s="4">
        <v>31.936990737915</v>
      </c>
      <c r="C709" s="4">
        <v>150.04219055175699</v>
      </c>
      <c r="D709" s="4">
        <v>34.462108612060497</v>
      </c>
      <c r="E709" s="4">
        <v>24.8494453430175</v>
      </c>
      <c r="F709" s="4">
        <v>235.26486206054599</v>
      </c>
      <c r="I709" s="5">
        <f>B709/B708-1</f>
        <v>3.7092053560047855E-2</v>
      </c>
      <c r="J709" s="5">
        <f>C709/C708-1</f>
        <v>2.5035335657734636E-2</v>
      </c>
      <c r="K709" s="5">
        <f>D709/D708-1</f>
        <v>5.7085558306104289E-2</v>
      </c>
      <c r="L709" s="5">
        <f>E709/E708-1</f>
        <v>1.4543390574739412E-3</v>
      </c>
      <c r="M709" s="5">
        <f>F709/F708-1</f>
        <v>2.528071451375391E-2</v>
      </c>
      <c r="N709" s="5">
        <f>SUMPRODUCT(I709:M709,$AJ$13:$AN$13)</f>
        <v>2.72996396136495E-2</v>
      </c>
      <c r="P709" s="2" t="s">
        <v>700</v>
      </c>
      <c r="Q709" s="10" cm="1">
        <f t="array" aca="1" ref="Q709:U709" ca="1">_xlfn.LET(_xlpm.array,_xlfn.RANDARRAY(1,COLUMNS(_xlfn.ANCHORARRAY(Q708)),0,1,FALSE),_xlpm.array/SUM(_xlpm.array))</f>
        <v>3.003459587390175E-2</v>
      </c>
      <c r="R709" s="2">
        <f ca="1"/>
        <v>0.35673336090095198</v>
      </c>
      <c r="S709" s="2">
        <f ca="1"/>
        <v>0.12476479095828148</v>
      </c>
      <c r="T709" s="2">
        <f ca="1"/>
        <v>0.31213316985904555</v>
      </c>
      <c r="U709" s="2">
        <f ca="1"/>
        <v>0.17633408240781925</v>
      </c>
      <c r="V709" s="12"/>
      <c r="X709" s="2" cm="1">
        <f t="array" aca="1" ref="X709" ca="1">MMULT(MMULT(_xlfn.ANCHORARRAY(Q709),$Q$9:$U$13),TRANSPOSE(_xlfn.ANCHORARRAY(Q709)))</f>
        <v>3.0294574200865487E-4</v>
      </c>
      <c r="Y709" s="2">
        <f t="shared" ca="1" si="26"/>
        <v>1.7405336595672456E-2</v>
      </c>
      <c r="Z709" s="2" cm="1">
        <f t="array" aca="1" ref="Z709" ca="1">MMULT(_xlfn.ANCHORARRAY(Q709),TRANSPOSE($Q$3:$U$3))</f>
        <v>9.3213410628053769E-4</v>
      </c>
      <c r="AA709" s="11">
        <f ca="1">AVEDEV(Q709*$Q$3,R709*$R$3,S709*$S$3,T709*$T$3,U709*$U$3)</f>
        <v>8.9087550285722476E-5</v>
      </c>
      <c r="AB709" s="11" cm="1">
        <f t="array" aca="1" ref="AB709" ca="1">MMULT(_xlfn.ANCHORARRAY(Q709),TRANSPOSE($Q$6:$U$6))</f>
        <v>-2.2788466040066159E-2</v>
      </c>
      <c r="AD709" s="2" t="s">
        <v>700</v>
      </c>
      <c r="AE709" s="10" cm="1">
        <f t="array" aca="1" ref="AE709:AI709" ca="1">_xlfn.LET(_xlpm.array,_xlfn.RANDARRAY(1,COLUMNS(_xlfn.ANCHORARRAY(Q708)),-1,1,FALSE),_xlpm.array/SUM(_xlpm.array))</f>
        <v>0.24749698147302956</v>
      </c>
      <c r="AF709" s="10">
        <f ca="1"/>
        <v>0.14881800042673107</v>
      </c>
      <c r="AG709" s="10">
        <f ca="1"/>
        <v>0.264230255101919</v>
      </c>
      <c r="AH709" s="10">
        <f ca="1"/>
        <v>0.31162401137452156</v>
      </c>
      <c r="AI709" s="10">
        <f ca="1"/>
        <v>2.7830751623798704E-2</v>
      </c>
      <c r="AJ709" s="1"/>
      <c r="AK709" s="2" cm="1">
        <f t="array" aca="1" ref="AK709" ca="1">MMULT(MMULT(_xlfn.ANCHORARRAY(AE709),$Q$9:$U$13),TRANSPOSE(_xlfn.ANCHORARRAY(AE709)))</f>
        <v>3.3197057373188449E-4</v>
      </c>
      <c r="AL709" s="2">
        <f t="shared" ca="1" si="27"/>
        <v>1.8220059652259223E-2</v>
      </c>
      <c r="AM709" s="2" cm="1">
        <f t="array" aca="1" ref="AM709" ca="1">MMULT(_xlfn.ANCHORARRAY(AE710),TRANSPOSE($Q$3:$U$3))</f>
        <v>-8.5025944199262416E-5</v>
      </c>
    </row>
    <row r="710" spans="1:39" x14ac:dyDescent="0.35">
      <c r="A710" s="3">
        <v>44858</v>
      </c>
      <c r="B710" s="4">
        <v>32.046638488769503</v>
      </c>
      <c r="C710" s="4">
        <v>149.990234375</v>
      </c>
      <c r="D710" s="4">
        <v>34.864242553710902</v>
      </c>
      <c r="E710" s="4">
        <v>24.5174465179443</v>
      </c>
      <c r="F710" s="4">
        <v>240.24955749511699</v>
      </c>
      <c r="I710" s="5">
        <f>B710/B709-1</f>
        <v>3.4332524236333484E-3</v>
      </c>
      <c r="J710" s="5">
        <f>C710/C709-1</f>
        <v>-3.4627711422985374E-4</v>
      </c>
      <c r="K710" s="5">
        <f>D710/D709-1</f>
        <v>1.1668872214907644E-2</v>
      </c>
      <c r="L710" s="5">
        <f>E710/E709-1</f>
        <v>-1.3360411892110458E-2</v>
      </c>
      <c r="M710" s="5">
        <f>F710/F709-1</f>
        <v>2.118758998225645E-2</v>
      </c>
      <c r="N710" s="5">
        <f>SUMPRODUCT(I710:M710,$AJ$13:$AN$13)</f>
        <v>5.92895416544581E-3</v>
      </c>
      <c r="P710" s="2" t="s">
        <v>701</v>
      </c>
      <c r="Q710" s="10" cm="1">
        <f t="array" aca="1" ref="Q710:U710" ca="1">_xlfn.LET(_xlpm.array,_xlfn.RANDARRAY(1,COLUMNS(_xlfn.ANCHORARRAY(Q709)),0,1,FALSE),_xlpm.array/SUM(_xlpm.array))</f>
        <v>9.0378446032651716E-2</v>
      </c>
      <c r="R710" s="2">
        <f ca="1"/>
        <v>0.24305308911743742</v>
      </c>
      <c r="S710" s="2">
        <f ca="1"/>
        <v>0.25983704625060511</v>
      </c>
      <c r="T710" s="2">
        <f ca="1"/>
        <v>0.26807154013796702</v>
      </c>
      <c r="U710" s="2">
        <f ca="1"/>
        <v>0.13865987846133865</v>
      </c>
      <c r="V710" s="12"/>
      <c r="X710" s="2" cm="1">
        <f t="array" aca="1" ref="X710" ca="1">MMULT(MMULT(_xlfn.ANCHORARRAY(Q710),$Q$9:$U$13),TRANSPOSE(_xlfn.ANCHORARRAY(Q710)))</f>
        <v>3.0803301170139298E-4</v>
      </c>
      <c r="Y710" s="2">
        <f t="shared" ca="1" si="26"/>
        <v>1.7550869257714645E-2</v>
      </c>
      <c r="Z710" s="2" cm="1">
        <f t="array" aca="1" ref="Z710" ca="1">MMULT(_xlfn.ANCHORARRAY(Q710),TRANSPOSE($Q$3:$U$3))</f>
        <v>1.0253179408235883E-3</v>
      </c>
      <c r="AA710" s="11">
        <f ca="1">AVEDEV(Q710*$Q$3,R710*$R$3,S710*$S$3,T710*$T$3,U710*$U$3)</f>
        <v>1.142859457294851E-4</v>
      </c>
      <c r="AB710" s="11" cm="1">
        <f t="array" aca="1" ref="AB710" ca="1">MMULT(_xlfn.ANCHORARRAY(Q710),TRANSPOSE($Q$6:$U$6))</f>
        <v>-2.3550974286439201E-2</v>
      </c>
      <c r="AD710" s="2" t="s">
        <v>701</v>
      </c>
      <c r="AE710" s="10" cm="1">
        <f t="array" aca="1" ref="AE710:AI710" ca="1">_xlfn.LET(_xlpm.array,_xlfn.RANDARRAY(1,COLUMNS(_xlfn.ANCHORARRAY(Q709)),-1,1,FALSE),_xlpm.array/SUM(_xlpm.array))</f>
        <v>0.2922575307165638</v>
      </c>
      <c r="AF710" s="10">
        <f ca="1"/>
        <v>0.28830831152185732</v>
      </c>
      <c r="AG710" s="10">
        <f ca="1"/>
        <v>-1.2677726024537395</v>
      </c>
      <c r="AH710" s="10">
        <f ca="1"/>
        <v>1.2630248106281521</v>
      </c>
      <c r="AI710" s="10">
        <f ca="1"/>
        <v>0.42418194958716615</v>
      </c>
      <c r="AJ710" s="1"/>
      <c r="AK710" s="2" cm="1">
        <f t="array" aca="1" ref="AK710" ca="1">MMULT(MMULT(_xlfn.ANCHORARRAY(AE710),$Q$9:$U$13),TRANSPOSE(_xlfn.ANCHORARRAY(AE710)))</f>
        <v>1.9108275337046819E-3</v>
      </c>
      <c r="AL710" s="2">
        <f t="shared" ca="1" si="27"/>
        <v>4.3713013322175379E-2</v>
      </c>
      <c r="AM710" s="2" cm="1">
        <f t="array" aca="1" ref="AM710" ca="1">MMULT(_xlfn.ANCHORARRAY(AE711),TRANSPOSE($Q$3:$U$3))</f>
        <v>9.138990087342191E-4</v>
      </c>
    </row>
    <row r="711" spans="1:39" x14ac:dyDescent="0.35">
      <c r="A711" s="3">
        <v>44859</v>
      </c>
      <c r="B711" s="4">
        <v>32.3390502929687</v>
      </c>
      <c r="C711" s="4">
        <v>151.54965209960901</v>
      </c>
      <c r="D711" s="4">
        <v>35.294445037841797</v>
      </c>
      <c r="E711" s="4">
        <v>24.647361755371001</v>
      </c>
      <c r="F711" s="4">
        <v>243.56303405761699</v>
      </c>
      <c r="I711" s="5">
        <f>B711/B710-1</f>
        <v>9.1245702510005522E-3</v>
      </c>
      <c r="J711" s="5">
        <f>C711/C710-1</f>
        <v>1.0396795038737139E-2</v>
      </c>
      <c r="K711" s="5">
        <f>D711/D710-1</f>
        <v>1.2339361265862436E-2</v>
      </c>
      <c r="L711" s="5">
        <f>E711/E710-1</f>
        <v>5.2988893982746088E-3</v>
      </c>
      <c r="M711" s="5">
        <f>F711/F710-1</f>
        <v>1.3791811302575896E-2</v>
      </c>
      <c r="N711" s="5">
        <f>SUMPRODUCT(I711:M711,$AJ$13:$AN$13)</f>
        <v>1.0528242451355734E-2</v>
      </c>
      <c r="P711" s="2" t="s">
        <v>702</v>
      </c>
      <c r="Q711" s="10" cm="1">
        <f t="array" aca="1" ref="Q711:U711" ca="1">_xlfn.LET(_xlpm.array,_xlfn.RANDARRAY(1,COLUMNS(_xlfn.ANCHORARRAY(Q710)),0,1,FALSE),_xlpm.array/SUM(_xlpm.array))</f>
        <v>0.38504406783828876</v>
      </c>
      <c r="R711" s="2">
        <f ca="1"/>
        <v>0.1982429554532362</v>
      </c>
      <c r="S711" s="2">
        <f ca="1"/>
        <v>2.3837859591859231E-2</v>
      </c>
      <c r="T711" s="2">
        <f ca="1"/>
        <v>1.9912769011788182E-2</v>
      </c>
      <c r="U711" s="2">
        <f ca="1"/>
        <v>0.37296234810482759</v>
      </c>
      <c r="V711" s="12"/>
      <c r="X711" s="2" cm="1">
        <f t="array" aca="1" ref="X711" ca="1">MMULT(MMULT(_xlfn.ANCHORARRAY(Q711),$Q$9:$U$13),TRANSPOSE(_xlfn.ANCHORARRAY(Q711)))</f>
        <v>2.6162848688581793E-4</v>
      </c>
      <c r="Y711" s="2">
        <f t="shared" ca="1" si="26"/>
        <v>1.6174933906690867E-2</v>
      </c>
      <c r="Z711" s="2" cm="1">
        <f t="array" aca="1" ref="Z711" ca="1">MMULT(_xlfn.ANCHORARRAY(Q711),TRANSPOSE($Q$3:$U$3))</f>
        <v>6.8477955396577901E-4</v>
      </c>
      <c r="AA711" s="11">
        <f ca="1">AVEDEV(Q711*$Q$3,R711*$R$3,S711*$S$3,T711*$T$3,U711*$U$3)</f>
        <v>8.5942357324648018E-5</v>
      </c>
      <c r="AB711" s="11" cm="1">
        <f t="array" aca="1" ref="AB711" ca="1">MMULT(_xlfn.ANCHORARRAY(Q711),TRANSPOSE($Q$6:$U$6))</f>
        <v>-2.1059503828472458E-2</v>
      </c>
      <c r="AD711" s="2" t="s">
        <v>702</v>
      </c>
      <c r="AE711" s="10" cm="1">
        <f t="array" aca="1" ref="AE711:AI711" ca="1">_xlfn.LET(_xlpm.array,_xlfn.RANDARRAY(1,COLUMNS(_xlfn.ANCHORARRAY(Q710)),-1,1,FALSE),_xlpm.array/SUM(_xlpm.array))</f>
        <v>0.36759847307722393</v>
      </c>
      <c r="AF711" s="10">
        <f ca="1"/>
        <v>-0.4407011230107154</v>
      </c>
      <c r="AG711" s="10">
        <f ca="1"/>
        <v>0.13265891382543893</v>
      </c>
      <c r="AH711" s="10">
        <f ca="1"/>
        <v>0.4445552329828355</v>
      </c>
      <c r="AI711" s="10">
        <f ca="1"/>
        <v>0.49588850312521704</v>
      </c>
      <c r="AJ711" s="1"/>
      <c r="AK711" s="2" cm="1">
        <f t="array" aca="1" ref="AK711" ca="1">MMULT(MMULT(_xlfn.ANCHORARRAY(AE711),$Q$9:$U$13),TRANSPOSE(_xlfn.ANCHORARRAY(AE711)))</f>
        <v>3.1648637892829834E-4</v>
      </c>
      <c r="AL711" s="2">
        <f t="shared" ca="1" si="27"/>
        <v>1.7790064050708147E-2</v>
      </c>
      <c r="AM711" s="2" cm="1">
        <f t="array" aca="1" ref="AM711" ca="1">MMULT(_xlfn.ANCHORARRAY(AE712),TRANSPOSE($Q$3:$U$3))</f>
        <v>1.00982581392897E-3</v>
      </c>
    </row>
    <row r="712" spans="1:39" x14ac:dyDescent="0.35">
      <c r="A712" s="3">
        <v>44860</v>
      </c>
      <c r="B712" s="4">
        <v>32.622329711913999</v>
      </c>
      <c r="C712" s="4">
        <v>153.42095947265599</v>
      </c>
      <c r="D712" s="4">
        <v>35.341201782226499</v>
      </c>
      <c r="E712" s="4">
        <v>25.513442993163999</v>
      </c>
      <c r="F712" s="4">
        <v>224.77064514160099</v>
      </c>
      <c r="I712" s="5">
        <f>B712/B711-1</f>
        <v>8.759670317433299E-3</v>
      </c>
      <c r="J712" s="5">
        <f>C712/C711-1</f>
        <v>1.2347817016544749E-2</v>
      </c>
      <c r="K712" s="5">
        <f>D712/D711-1</f>
        <v>1.3247621356440309E-3</v>
      </c>
      <c r="L712" s="5">
        <f>E712/E711-1</f>
        <v>3.5138902345370315E-2</v>
      </c>
      <c r="M712" s="5">
        <f>F712/F711-1</f>
        <v>-7.7156162012542828E-2</v>
      </c>
      <c r="N712" s="5">
        <f>SUMPRODUCT(I712:M712,$AJ$13:$AN$13)</f>
        <v>-1.1603005852184755E-2</v>
      </c>
      <c r="P712" s="2" t="s">
        <v>703</v>
      </c>
      <c r="Q712" s="10" cm="1">
        <f t="array" aca="1" ref="Q712:U712" ca="1">_xlfn.LET(_xlpm.array,_xlfn.RANDARRAY(1,COLUMNS(_xlfn.ANCHORARRAY(Q711)),0,1,FALSE),_xlpm.array/SUM(_xlpm.array))</f>
        <v>0.45783790449278033</v>
      </c>
      <c r="R712" s="2">
        <f ca="1"/>
        <v>0.14622273485435899</v>
      </c>
      <c r="S712" s="2">
        <f ca="1"/>
        <v>0.23572990434231358</v>
      </c>
      <c r="T712" s="2">
        <f ca="1"/>
        <v>3.1433434042017934E-2</v>
      </c>
      <c r="U712" s="2">
        <f ca="1"/>
        <v>0.12877602226852913</v>
      </c>
      <c r="V712" s="12"/>
      <c r="X712" s="2" cm="1">
        <f t="array" aca="1" ref="X712" ca="1">MMULT(MMULT(_xlfn.ANCHORARRAY(Q712),$Q$9:$U$13),TRANSPOSE(_xlfn.ANCHORARRAY(Q712)))</f>
        <v>3.1449481828309408E-4</v>
      </c>
      <c r="Y712" s="2">
        <f t="shared" ca="1" si="26"/>
        <v>1.7734001756036174E-2</v>
      </c>
      <c r="Z712" s="2" cm="1">
        <f t="array" aca="1" ref="Z712" ca="1">MMULT(_xlfn.ANCHORARRAY(Q712),TRANSPOSE($Q$3:$U$3))</f>
        <v>8.5290526144953926E-4</v>
      </c>
      <c r="AA712" s="11">
        <f ca="1">AVEDEV(Q712*$Q$3,R712*$R$3,S712*$S$3,T712*$T$3,U712*$U$3)</f>
        <v>1.09743135651966E-4</v>
      </c>
      <c r="AB712" s="11" cm="1">
        <f t="array" aca="1" ref="AB712" ca="1">MMULT(_xlfn.ANCHORARRAY(Q712),TRANSPOSE($Q$6:$U$6))</f>
        <v>-2.2688577894054589E-2</v>
      </c>
      <c r="AD712" s="2" t="s">
        <v>703</v>
      </c>
      <c r="AE712" s="10" cm="1">
        <f t="array" aca="1" ref="AE712:AI712" ca="1">_xlfn.LET(_xlpm.array,_xlfn.RANDARRAY(1,COLUMNS(_xlfn.ANCHORARRAY(Q711)),-1,1,FALSE),_xlpm.array/SUM(_xlpm.array))</f>
        <v>0.20439006429211445</v>
      </c>
      <c r="AF712" s="10">
        <f ca="1"/>
        <v>0.32292582521122809</v>
      </c>
      <c r="AG712" s="10">
        <f ca="1"/>
        <v>0.26924498404187275</v>
      </c>
      <c r="AH712" s="10">
        <f ca="1"/>
        <v>0.30096600899478188</v>
      </c>
      <c r="AI712" s="10">
        <f ca="1"/>
        <v>-9.7526882539997181E-2</v>
      </c>
      <c r="AJ712" s="1"/>
      <c r="AK712" s="2" cm="1">
        <f t="array" aca="1" ref="AK712" ca="1">MMULT(MMULT(_xlfn.ANCHORARRAY(AE712),$Q$9:$U$13),TRANSPOSE(_xlfn.ANCHORARRAY(AE712)))</f>
        <v>3.8023510823128909E-4</v>
      </c>
      <c r="AL712" s="2">
        <f t="shared" ca="1" si="27"/>
        <v>1.9499618156038057E-2</v>
      </c>
      <c r="AM712" s="2" cm="1">
        <f t="array" aca="1" ref="AM712" ca="1">MMULT(_xlfn.ANCHORARRAY(AE713),TRANSPOSE($Q$3:$U$3))</f>
        <v>3.3310610752368078E-3</v>
      </c>
    </row>
    <row r="713" spans="1:39" x14ac:dyDescent="0.35">
      <c r="A713" s="3">
        <v>44861</v>
      </c>
      <c r="B713" s="4">
        <v>32.777671813964801</v>
      </c>
      <c r="C713" s="4">
        <v>154.12268066406199</v>
      </c>
      <c r="D713" s="4">
        <v>35.313133239746001</v>
      </c>
      <c r="E713" s="4">
        <v>25.888750076293899</v>
      </c>
      <c r="F713" s="4">
        <v>220.329986572265</v>
      </c>
      <c r="I713" s="5">
        <f>B713/B712-1</f>
        <v>4.7618334871426526E-3</v>
      </c>
      <c r="J713" s="5">
        <f>C713/C712-1</f>
        <v>4.5738287246930298E-3</v>
      </c>
      <c r="K713" s="5">
        <f>D713/D712-1</f>
        <v>-7.9421584623684538E-4</v>
      </c>
      <c r="L713" s="5">
        <f>E713/E712-1</f>
        <v>1.4710169977076859E-2</v>
      </c>
      <c r="M713" s="5">
        <f>F713/F712-1</f>
        <v>-1.9756399090897658E-2</v>
      </c>
      <c r="N713" s="5">
        <f>SUMPRODUCT(I713:M713,$AJ$13:$AN$13)</f>
        <v>-1.666681631664637E-3</v>
      </c>
      <c r="P713" s="2" t="s">
        <v>704</v>
      </c>
      <c r="Q713" s="10" cm="1">
        <f t="array" aca="1" ref="Q713:U713" ca="1">_xlfn.LET(_xlpm.array,_xlfn.RANDARRAY(1,COLUMNS(_xlfn.ANCHORARRAY(Q712)),0,1,FALSE),_xlpm.array/SUM(_xlpm.array))</f>
        <v>0.21157427932414982</v>
      </c>
      <c r="R713" s="2">
        <f ca="1"/>
        <v>0.32421242003271011</v>
      </c>
      <c r="S713" s="2">
        <f ca="1"/>
        <v>0.30934228840116729</v>
      </c>
      <c r="T713" s="2">
        <f ca="1"/>
        <v>0.11670440766911416</v>
      </c>
      <c r="U713" s="2">
        <f ca="1"/>
        <v>3.8166604572858621E-2</v>
      </c>
      <c r="V713" s="12"/>
      <c r="X713" s="2" cm="1">
        <f t="array" aca="1" ref="X713" ca="1">MMULT(MMULT(_xlfn.ANCHORARRAY(Q713),$Q$9:$U$13),TRANSPOSE(_xlfn.ANCHORARRAY(Q713)))</f>
        <v>3.3365629727871357E-4</v>
      </c>
      <c r="Y713" s="2">
        <f t="shared" ca="1" si="26"/>
        <v>1.8266261174052931E-2</v>
      </c>
      <c r="Z713" s="2" cm="1">
        <f t="array" aca="1" ref="Z713" ca="1">MMULT(_xlfn.ANCHORARRAY(Q713),TRANSPOSE($Q$3:$U$3))</f>
        <v>9.9507561325634284E-4</v>
      </c>
      <c r="AA713" s="11">
        <f ca="1">AVEDEV(Q713*$Q$3,R713*$R$3,S713*$S$3,T713*$T$3,U713*$U$3)</f>
        <v>1.364377758365554E-4</v>
      </c>
      <c r="AB713" s="11" cm="1">
        <f t="array" aca="1" ref="AB713" ca="1">MMULT(_xlfn.ANCHORARRAY(Q713),TRANSPOSE($Q$6:$U$6))</f>
        <v>-2.3353988673050344E-2</v>
      </c>
      <c r="AD713" s="2" t="s">
        <v>704</v>
      </c>
      <c r="AE713" s="10" cm="1">
        <f t="array" aca="1" ref="AE713:AI713" ca="1">_xlfn.LET(_xlpm.array,_xlfn.RANDARRAY(1,COLUMNS(_xlfn.ANCHORARRAY(Q712)),-1,1,FALSE),_xlpm.array/SUM(_xlpm.array))</f>
        <v>-4.1592409567743687</v>
      </c>
      <c r="AF713" s="10">
        <f ca="1"/>
        <v>1.1918974327352749</v>
      </c>
      <c r="AG713" s="10">
        <f ca="1"/>
        <v>2.2866836218453286</v>
      </c>
      <c r="AH713" s="10">
        <f ca="1"/>
        <v>-1.6529833626255419</v>
      </c>
      <c r="AI713" s="10">
        <f ca="1"/>
        <v>3.3336432648193073</v>
      </c>
      <c r="AJ713" s="1"/>
      <c r="AK713" s="2" cm="1">
        <f t="array" aca="1" ref="AK713" ca="1">MMULT(MMULT(_xlfn.ANCHORARRAY(AE713),$Q$9:$U$13),TRANSPOSE(_xlfn.ANCHORARRAY(AE713)))</f>
        <v>1.1677641961633975E-2</v>
      </c>
      <c r="AL713" s="2">
        <f t="shared" ca="1" si="27"/>
        <v>0.1080631387737464</v>
      </c>
      <c r="AM713" s="2" cm="1">
        <f t="array" aca="1" ref="AM713" ca="1">MMULT(_xlfn.ANCHORARRAY(AE714),TRANSPOSE($Q$3:$U$3))</f>
        <v>-6.4083706384051534E-4</v>
      </c>
    </row>
    <row r="714" spans="1:39" x14ac:dyDescent="0.35">
      <c r="A714" s="3">
        <v>44862</v>
      </c>
      <c r="B714" s="4">
        <v>33.060951232910099</v>
      </c>
      <c r="C714" s="4">
        <v>155.92468261718699</v>
      </c>
      <c r="D714" s="4">
        <v>36.622425079345703</v>
      </c>
      <c r="E714" s="4">
        <v>26.567184448242099</v>
      </c>
      <c r="F714" s="4">
        <v>229.19175720214801</v>
      </c>
      <c r="I714" s="5">
        <f>B714/B713-1</f>
        <v>8.6424508901394859E-3</v>
      </c>
      <c r="J714" s="5">
        <f>C714/C713-1</f>
        <v>1.1691997215210526E-2</v>
      </c>
      <c r="K714" s="5">
        <f>D714/D713-1</f>
        <v>3.7076626158056625E-2</v>
      </c>
      <c r="L714" s="5">
        <f>E714/E713-1</f>
        <v>2.6205760028926051E-2</v>
      </c>
      <c r="M714" s="5">
        <f>F714/F713-1</f>
        <v>4.0220447374177404E-2</v>
      </c>
      <c r="N714" s="5">
        <f>SUMPRODUCT(I714:M714,$AJ$13:$AN$13)</f>
        <v>4.2102510874329785E-2</v>
      </c>
      <c r="P714" s="2" t="s">
        <v>705</v>
      </c>
      <c r="Q714" s="10" cm="1">
        <f t="array" aca="1" ref="Q714:U714" ca="1">_xlfn.LET(_xlpm.array,_xlfn.RANDARRAY(1,COLUMNS(_xlfn.ANCHORARRAY(Q713)),0,1,FALSE),_xlpm.array/SUM(_xlpm.array))</f>
        <v>0.27969661653948275</v>
      </c>
      <c r="R714" s="2">
        <f ca="1"/>
        <v>0.41699162950874763</v>
      </c>
      <c r="S714" s="2">
        <f ca="1"/>
        <v>7.4972541284007821E-2</v>
      </c>
      <c r="T714" s="2">
        <f ca="1"/>
        <v>0.10287389318340719</v>
      </c>
      <c r="U714" s="2">
        <f ca="1"/>
        <v>0.12546531948435474</v>
      </c>
      <c r="V714" s="12"/>
      <c r="X714" s="2" cm="1">
        <f t="array" aca="1" ref="X714" ca="1">MMULT(MMULT(_xlfn.ANCHORARRAY(Q714),$Q$9:$U$13),TRANSPOSE(_xlfn.ANCHORARRAY(Q714)))</f>
        <v>2.9685574601836183E-4</v>
      </c>
      <c r="Y714" s="2">
        <f t="shared" ca="1" si="26"/>
        <v>1.7229502198797323E-2</v>
      </c>
      <c r="Z714" s="2" cm="1">
        <f t="array" aca="1" ref="Z714" ca="1">MMULT(_xlfn.ANCHORARRAY(Q714),TRANSPOSE($Q$3:$U$3))</f>
        <v>7.6947415161525347E-4</v>
      </c>
      <c r="AA714" s="11">
        <f ca="1">AVEDEV(Q714*$Q$3,R714*$R$3,S714*$S$3,T714*$T$3,U714*$U$3)</f>
        <v>6.0243496299711511E-5</v>
      </c>
      <c r="AB714" s="11" cm="1">
        <f t="array" aca="1" ref="AB714" ca="1">MMULT(_xlfn.ANCHORARRAY(Q714),TRANSPOSE($Q$6:$U$6))</f>
        <v>-2.178304644351535E-2</v>
      </c>
      <c r="AD714" s="2" t="s">
        <v>705</v>
      </c>
      <c r="AE714" s="10" cm="1">
        <f t="array" aca="1" ref="AE714:AI714" ca="1">_xlfn.LET(_xlpm.array,_xlfn.RANDARRAY(1,COLUMNS(_xlfn.ANCHORARRAY(Q713)),-1,1,FALSE),_xlpm.array/SUM(_xlpm.array))</f>
        <v>2.4319488313124316</v>
      </c>
      <c r="AF714" s="10">
        <f ca="1"/>
        <v>4.3798115548888417</v>
      </c>
      <c r="AG714" s="10">
        <f ca="1"/>
        <v>0.26584052312493295</v>
      </c>
      <c r="AH714" s="10">
        <f ca="1"/>
        <v>-3.3432514780667355</v>
      </c>
      <c r="AI714" s="10">
        <f ca="1"/>
        <v>-2.7343494312594703</v>
      </c>
      <c r="AJ714" s="1"/>
      <c r="AK714" s="2" cm="1">
        <f t="array" aca="1" ref="AK714" ca="1">MMULT(MMULT(_xlfn.ANCHORARRAY(AE714),$Q$9:$U$13),TRANSPOSE(_xlfn.ANCHORARRAY(AE714)))</f>
        <v>8.9323513397923798E-3</v>
      </c>
      <c r="AL714" s="2">
        <f t="shared" ca="1" si="27"/>
        <v>9.4511117545992326E-2</v>
      </c>
      <c r="AM714" s="2" cm="1">
        <f t="array" aca="1" ref="AM714" ca="1">MMULT(_xlfn.ANCHORARRAY(AE715),TRANSPOSE($Q$3:$U$3))</f>
        <v>1.816658628874697E-3</v>
      </c>
    </row>
    <row r="715" spans="1:39" x14ac:dyDescent="0.35">
      <c r="A715" s="3">
        <v>44865</v>
      </c>
      <c r="B715" s="4">
        <v>32.933017730712798</v>
      </c>
      <c r="C715" s="4">
        <v>156.72174072265599</v>
      </c>
      <c r="D715" s="4">
        <v>35.911663055419901</v>
      </c>
      <c r="E715" s="4">
        <v>26.184665679931602</v>
      </c>
      <c r="F715" s="4">
        <v>225.55767822265599</v>
      </c>
      <c r="I715" s="5">
        <f>B715/B714-1</f>
        <v>-3.8696255681219816E-3</v>
      </c>
      <c r="J715" s="5">
        <f>C715/C714-1</f>
        <v>5.1118148332287561E-3</v>
      </c>
      <c r="K715" s="5">
        <f>D715/D714-1</f>
        <v>-1.9407836110958643E-2</v>
      </c>
      <c r="L715" s="5">
        <f>E715/E714-1</f>
        <v>-1.4398167372824733E-2</v>
      </c>
      <c r="M715" s="5">
        <f>F715/F714-1</f>
        <v>-1.5856063166733936E-2</v>
      </c>
      <c r="N715" s="5">
        <f>SUMPRODUCT(I715:M715,$AJ$13:$AN$13)</f>
        <v>-2.1177744041284391E-2</v>
      </c>
      <c r="P715" s="2" t="s">
        <v>706</v>
      </c>
      <c r="Q715" s="10" cm="1">
        <f t="array" aca="1" ref="Q715:U715" ca="1">_xlfn.LET(_xlpm.array,_xlfn.RANDARRAY(1,COLUMNS(_xlfn.ANCHORARRAY(Q714)),0,1,FALSE),_xlpm.array/SUM(_xlpm.array))</f>
        <v>0.33519987062543577</v>
      </c>
      <c r="R715" s="2">
        <f ca="1"/>
        <v>0.21338084851035544</v>
      </c>
      <c r="S715" s="2">
        <f ca="1"/>
        <v>1.4551999782345228E-3</v>
      </c>
      <c r="T715" s="2">
        <f ca="1"/>
        <v>0.17350527805869076</v>
      </c>
      <c r="U715" s="2">
        <f ca="1"/>
        <v>0.27645880282728358</v>
      </c>
      <c r="V715" s="12"/>
      <c r="X715" s="2" cm="1">
        <f t="array" aca="1" ref="X715" ca="1">MMULT(MMULT(_xlfn.ANCHORARRAY(Q715),$Q$9:$U$13),TRANSPOSE(_xlfn.ANCHORARRAY(Q715)))</f>
        <v>2.6559327011902421E-4</v>
      </c>
      <c r="Y715" s="2">
        <f t="shared" ca="1" si="26"/>
        <v>1.6297032555622641E-2</v>
      </c>
      <c r="Z715" s="2" cm="1">
        <f t="array" aca="1" ref="Z715" ca="1">MMULT(_xlfn.ANCHORARRAY(Q715),TRANSPOSE($Q$3:$U$3))</f>
        <v>7.1725288466186973E-4</v>
      </c>
      <c r="AA715" s="11">
        <f ca="1">AVEDEV(Q715*$Q$3,R715*$R$3,S715*$S$3,T715*$T$3,U715*$U$3)</f>
        <v>5.6434932417040363E-5</v>
      </c>
      <c r="AB715" s="11" cm="1">
        <f t="array" aca="1" ref="AB715" ca="1">MMULT(_xlfn.ANCHORARRAY(Q715),TRANSPOSE($Q$6:$U$6))</f>
        <v>-2.1608897432921395E-2</v>
      </c>
      <c r="AD715" s="2" t="s">
        <v>706</v>
      </c>
      <c r="AE715" s="10" cm="1">
        <f t="array" aca="1" ref="AE715:AI715" ca="1">_xlfn.LET(_xlpm.array,_xlfn.RANDARRAY(1,COLUMNS(_xlfn.ANCHORARRAY(Q714)),-1,1,FALSE),_xlpm.array/SUM(_xlpm.array))</f>
        <v>-0.46302155454294669</v>
      </c>
      <c r="AF715" s="10">
        <f ca="1"/>
        <v>0.88842114545283746</v>
      </c>
      <c r="AG715" s="10">
        <f ca="1"/>
        <v>0.9550037568543831</v>
      </c>
      <c r="AH715" s="10">
        <f ca="1"/>
        <v>0.5579219932476569</v>
      </c>
      <c r="AI715" s="10">
        <f ca="1"/>
        <v>-0.93832534101193088</v>
      </c>
      <c r="AJ715" s="1"/>
      <c r="AK715" s="2" cm="1">
        <f t="array" aca="1" ref="AK715" ca="1">MMULT(MMULT(_xlfn.ANCHORARRAY(AE715),$Q$9:$U$13),TRANSPOSE(_xlfn.ANCHORARRAY(AE715)))</f>
        <v>1.497914571949579E-3</v>
      </c>
      <c r="AL715" s="2">
        <f t="shared" ca="1" si="27"/>
        <v>3.8702901337620402E-2</v>
      </c>
      <c r="AM715" s="2" cm="1">
        <f t="array" aca="1" ref="AM715" ca="1">MMULT(_xlfn.ANCHORARRAY(AE716),TRANSPOSE($Q$3:$U$3))</f>
        <v>-5.3797297441994935E-3</v>
      </c>
    </row>
    <row r="716" spans="1:39" x14ac:dyDescent="0.35">
      <c r="A716" s="3">
        <v>44866</v>
      </c>
      <c r="B716" s="4">
        <v>33.079231262207003</v>
      </c>
      <c r="C716" s="4">
        <v>157.865310668945</v>
      </c>
      <c r="D716" s="4">
        <v>36.613071441650298</v>
      </c>
      <c r="E716" s="4">
        <v>26.8486633300781</v>
      </c>
      <c r="F716" s="4">
        <v>221.70980834960901</v>
      </c>
      <c r="I716" s="5">
        <f>B716/B715-1</f>
        <v>4.4397246766076925E-3</v>
      </c>
      <c r="J716" s="5">
        <f>C716/C715-1</f>
        <v>7.2968175379874989E-3</v>
      </c>
      <c r="K716" s="5">
        <f>D716/D715-1</f>
        <v>1.9531492739502498E-2</v>
      </c>
      <c r="L716" s="5">
        <f>E716/E715-1</f>
        <v>2.5358263430317551E-2</v>
      </c>
      <c r="M716" s="5">
        <f>F716/F715-1</f>
        <v>-1.7059361061735223E-2</v>
      </c>
      <c r="N716" s="5">
        <f>SUMPRODUCT(I716:M716,$AJ$13:$AN$13)</f>
        <v>1.4796631848438145E-2</v>
      </c>
      <c r="P716" s="2" t="s">
        <v>707</v>
      </c>
      <c r="Q716" s="10" cm="1">
        <f t="array" aca="1" ref="Q716:U716" ca="1">_xlfn.LET(_xlpm.array,_xlfn.RANDARRAY(1,COLUMNS(_xlfn.ANCHORARRAY(Q715)),0,1,FALSE),_xlpm.array/SUM(_xlpm.array))</f>
        <v>2.3928484962998275E-2</v>
      </c>
      <c r="R716" s="2">
        <f ca="1"/>
        <v>0.40259197767322324</v>
      </c>
      <c r="S716" s="2">
        <f ca="1"/>
        <v>5.8882380930849292E-2</v>
      </c>
      <c r="T716" s="2">
        <f ca="1"/>
        <v>0.3793342828072423</v>
      </c>
      <c r="U716" s="2">
        <f ca="1"/>
        <v>0.13526287362568698</v>
      </c>
      <c r="V716" s="12"/>
      <c r="X716" s="2" cm="1">
        <f t="array" aca="1" ref="X716" ca="1">MMULT(MMULT(_xlfn.ANCHORARRAY(Q716),$Q$9:$U$13),TRANSPOSE(_xlfn.ANCHORARRAY(Q716)))</f>
        <v>3.3337540758943785E-4</v>
      </c>
      <c r="Y716" s="2">
        <f t="shared" ca="1" si="26"/>
        <v>1.8258570798105691E-2</v>
      </c>
      <c r="Z716" s="2" cm="1">
        <f t="array" aca="1" ref="Z716" ca="1">MMULT(_xlfn.ANCHORARRAY(Q716),TRANSPOSE($Q$3:$U$3))</f>
        <v>8.9276570330528934E-4</v>
      </c>
      <c r="AA716" s="11">
        <f ca="1">AVEDEV(Q716*$Q$3,R716*$R$3,S716*$S$3,T716*$T$3,U716*$U$3)</f>
        <v>1.2976660073053066E-4</v>
      </c>
      <c r="AB716" s="11" cm="1">
        <f t="array" aca="1" ref="AB716" ca="1">MMULT(_xlfn.ANCHORARRAY(Q716),TRANSPOSE($Q$6:$U$6))</f>
        <v>-2.2676653432231166E-2</v>
      </c>
      <c r="AD716" s="2" t="s">
        <v>707</v>
      </c>
      <c r="AE716" s="10" cm="1">
        <f t="array" aca="1" ref="AE716:AI716" ca="1">_xlfn.LET(_xlpm.array,_xlfn.RANDARRAY(1,COLUMNS(_xlfn.ANCHORARRAY(Q715)),-1,1,FALSE),_xlpm.array/SUM(_xlpm.array))</f>
        <v>5.7656111054789454</v>
      </c>
      <c r="AF716" s="10">
        <f ca="1"/>
        <v>4.1154178325983279</v>
      </c>
      <c r="AG716" s="10">
        <f ca="1"/>
        <v>-3.6414470737335023</v>
      </c>
      <c r="AH716" s="10">
        <f ca="1"/>
        <v>-5.4294817504713819</v>
      </c>
      <c r="AI716" s="10">
        <f ca="1"/>
        <v>0.18989988612761038</v>
      </c>
      <c r="AJ716" s="1"/>
      <c r="AK716" s="2" cm="1">
        <f t="array" aca="1" ref="AK716" ca="1">MMULT(MMULT(_xlfn.ANCHORARRAY(AE716),$Q$9:$U$13),TRANSPOSE(_xlfn.ANCHORARRAY(AE716)))</f>
        <v>2.5238934761685278E-2</v>
      </c>
      <c r="AL716" s="2">
        <f t="shared" ca="1" si="27"/>
        <v>0.15886766430487129</v>
      </c>
      <c r="AM716" s="2" cm="1">
        <f t="array" aca="1" ref="AM716" ca="1">MMULT(_xlfn.ANCHORARRAY(AE717),TRANSPOSE($Q$3:$U$3))</f>
        <v>1.8115735835510134E-3</v>
      </c>
    </row>
    <row r="717" spans="1:39" x14ac:dyDescent="0.35">
      <c r="A717" s="3">
        <v>44867</v>
      </c>
      <c r="B717" s="4">
        <v>32.978706359863203</v>
      </c>
      <c r="C717" s="4">
        <v>154.64250183105401</v>
      </c>
      <c r="D717" s="4">
        <v>35.228973388671797</v>
      </c>
      <c r="E717" s="4">
        <v>26.668226242065401</v>
      </c>
      <c r="F717" s="4">
        <v>213.86830139160099</v>
      </c>
      <c r="I717" s="5">
        <f>B717/B716-1</f>
        <v>-3.0389128921096686E-3</v>
      </c>
      <c r="J717" s="5">
        <f>C717/C716-1</f>
        <v>-2.0414927283483153E-2</v>
      </c>
      <c r="K717" s="5">
        <f>D717/D716-1</f>
        <v>-3.7803385470796091E-2</v>
      </c>
      <c r="L717" s="5">
        <f>E717/E716-1</f>
        <v>-6.7205240646210918E-3</v>
      </c>
      <c r="M717" s="5">
        <f>F717/F716-1</f>
        <v>-3.5368335827718145E-2</v>
      </c>
      <c r="N717" s="5">
        <f>SUMPRODUCT(I717:M717,$AJ$13:$AN$13)</f>
        <v>-3.3090323272876379E-2</v>
      </c>
      <c r="P717" s="2" t="s">
        <v>708</v>
      </c>
      <c r="Q717" s="10" cm="1">
        <f t="array" aca="1" ref="Q717:U717" ca="1">_xlfn.LET(_xlpm.array,_xlfn.RANDARRAY(1,COLUMNS(_xlfn.ANCHORARRAY(Q716)),0,1,FALSE),_xlpm.array/SUM(_xlpm.array))</f>
        <v>0.46973938005804661</v>
      </c>
      <c r="R717" s="2">
        <f ca="1"/>
        <v>2.9866089295435758E-2</v>
      </c>
      <c r="S717" s="2">
        <f ca="1"/>
        <v>0.40996215817266562</v>
      </c>
      <c r="T717" s="2">
        <f ca="1"/>
        <v>4.5031297489647156E-3</v>
      </c>
      <c r="U717" s="2">
        <f ca="1"/>
        <v>8.592924272488732E-2</v>
      </c>
      <c r="V717" s="12"/>
      <c r="X717" s="2" cm="1">
        <f t="array" aca="1" ref="X717" ca="1">MMULT(MMULT(_xlfn.ANCHORARRAY(Q717),$Q$9:$U$13),TRANSPOSE(_xlfn.ANCHORARRAY(Q717)))</f>
        <v>3.8469372428873253E-4</v>
      </c>
      <c r="Y717" s="2">
        <f t="shared" ca="1" si="26"/>
        <v>1.9613610689741257E-2</v>
      </c>
      <c r="Z717" s="2" cm="1">
        <f t="array" aca="1" ref="Z717" ca="1">MMULT(_xlfn.ANCHORARRAY(Q717),TRANSPOSE($Q$3:$U$3))</f>
        <v>9.9665530743066116E-4</v>
      </c>
      <c r="AA717" s="11">
        <f ca="1">AVEDEV(Q717*$Q$3,R717*$R$3,S717*$S$3,T717*$T$3,U717*$U$3)</f>
        <v>2.023440063848149E-4</v>
      </c>
      <c r="AB717" s="11" cm="1">
        <f t="array" aca="1" ref="AB717" ca="1">MMULT(_xlfn.ANCHORARRAY(Q717),TRANSPOSE($Q$6:$U$6))</f>
        <v>-2.3739375369497748E-2</v>
      </c>
      <c r="AD717" s="2" t="s">
        <v>708</v>
      </c>
      <c r="AE717" s="10" cm="1">
        <f t="array" aca="1" ref="AE717:AI717" ca="1">_xlfn.LET(_xlpm.array,_xlfn.RANDARRAY(1,COLUMNS(_xlfn.ANCHORARRAY(Q716)),-1,1,FALSE),_xlpm.array/SUM(_xlpm.array))</f>
        <v>1.5718078319036028</v>
      </c>
      <c r="AF717" s="10">
        <f ca="1"/>
        <v>-0.32440062777516609</v>
      </c>
      <c r="AG717" s="10">
        <f ca="1"/>
        <v>1.899347667060316</v>
      </c>
      <c r="AH717" s="10">
        <f ca="1"/>
        <v>-0.75162710594380777</v>
      </c>
      <c r="AI717" s="10">
        <f ca="1"/>
        <v>-1.3951277652449448</v>
      </c>
      <c r="AJ717" s="1"/>
      <c r="AK717" s="2" cm="1">
        <f t="array" aca="1" ref="AK717" ca="1">MMULT(MMULT(_xlfn.ANCHORARRAY(AE717),$Q$9:$U$13),TRANSPOSE(_xlfn.ANCHORARRAY(AE717)))</f>
        <v>3.6026312454189757E-3</v>
      </c>
      <c r="AL717" s="2">
        <f t="shared" ca="1" si="27"/>
        <v>6.002192303999411E-2</v>
      </c>
      <c r="AM717" s="2" cm="1">
        <f t="array" aca="1" ref="AM717" ca="1">MMULT(_xlfn.ANCHORARRAY(AE718),TRANSPOSE($Q$3:$U$3))</f>
        <v>6.9752031458686706E-4</v>
      </c>
    </row>
    <row r="718" spans="1:39" x14ac:dyDescent="0.35">
      <c r="A718" s="3">
        <v>44868</v>
      </c>
      <c r="B718" s="4">
        <v>32.795948028564403</v>
      </c>
      <c r="C718" s="4">
        <v>156.92098999023401</v>
      </c>
      <c r="D718" s="4">
        <v>34.929714202880803</v>
      </c>
      <c r="E718" s="4">
        <v>26.8486633300781</v>
      </c>
      <c r="F718" s="4">
        <v>208.18388366699199</v>
      </c>
      <c r="I718" s="5">
        <f>B718/B717-1</f>
        <v>-5.5417071035032128E-3</v>
      </c>
      <c r="J718" s="5">
        <f>C718/C717-1</f>
        <v>1.4733906475913328E-2</v>
      </c>
      <c r="K718" s="5">
        <f>D718/D717-1</f>
        <v>-8.4946893708581772E-3</v>
      </c>
      <c r="L718" s="5">
        <f>E718/E717-1</f>
        <v>6.7659950974949812E-3</v>
      </c>
      <c r="M718" s="5">
        <f>F718/F717-1</f>
        <v>-2.6579056772890408E-2</v>
      </c>
      <c r="N718" s="5">
        <f>SUMPRODUCT(I718:M718,$AJ$13:$AN$13)</f>
        <v>-9.0200959779583364E-3</v>
      </c>
      <c r="P718" s="2" t="s">
        <v>709</v>
      </c>
      <c r="Q718" s="10" cm="1">
        <f t="array" aca="1" ref="Q718:U718" ca="1">_xlfn.LET(_xlpm.array,_xlfn.RANDARRAY(1,COLUMNS(_xlfn.ANCHORARRAY(Q717)),0,1,FALSE),_xlpm.array/SUM(_xlpm.array))</f>
        <v>1.8873127508077438E-2</v>
      </c>
      <c r="R718" s="2">
        <f ca="1"/>
        <v>0.21310259662348013</v>
      </c>
      <c r="S718" s="2">
        <f ca="1"/>
        <v>7.4330019978638889E-2</v>
      </c>
      <c r="T718" s="2">
        <f ca="1"/>
        <v>0.33614507830284196</v>
      </c>
      <c r="U718" s="2">
        <f ca="1"/>
        <v>0.35754917758696159</v>
      </c>
      <c r="V718" s="12"/>
      <c r="X718" s="2" cm="1">
        <f t="array" aca="1" ref="X718" ca="1">MMULT(MMULT(_xlfn.ANCHORARRAY(Q718),$Q$9:$U$13),TRANSPOSE(_xlfn.ANCHORARRAY(Q718)))</f>
        <v>2.6741582213005437E-4</v>
      </c>
      <c r="Y718" s="2">
        <f t="shared" ca="1" si="26"/>
        <v>1.6352853638740072E-2</v>
      </c>
      <c r="Z718" s="2" cm="1">
        <f t="array" aca="1" ref="Z718" ca="1">MMULT(_xlfn.ANCHORARRAY(Q718),TRANSPOSE($Q$3:$U$3))</f>
        <v>9.0280446638460097E-4</v>
      </c>
      <c r="AA718" s="11">
        <f ca="1">AVEDEV(Q718*$Q$3,R718*$R$3,S718*$S$3,T718*$T$3,U718*$U$3)</f>
        <v>1.0230505445510884E-4</v>
      </c>
      <c r="AB718" s="11" cm="1">
        <f t="array" aca="1" ref="AB718" ca="1">MMULT(_xlfn.ANCHORARRAY(Q718),TRANSPOSE($Q$6:$U$6))</f>
        <v>-2.247125978340302E-2</v>
      </c>
      <c r="AD718" s="2" t="s">
        <v>709</v>
      </c>
      <c r="AE718" s="10" cm="1">
        <f t="array" aca="1" ref="AE718:AI718" ca="1">_xlfn.LET(_xlpm.array,_xlfn.RANDARRAY(1,COLUMNS(_xlfn.ANCHORARRAY(Q717)),-1,1,FALSE),_xlpm.array/SUM(_xlpm.array))</f>
        <v>-4.8748820356426116E-2</v>
      </c>
      <c r="AF718" s="10">
        <f ca="1"/>
        <v>9.0541094072390041E-2</v>
      </c>
      <c r="AG718" s="10">
        <f ca="1"/>
        <v>-0.23513262637165108</v>
      </c>
      <c r="AH718" s="10">
        <f ca="1"/>
        <v>0.48801645317399456</v>
      </c>
      <c r="AI718" s="10">
        <f ca="1"/>
        <v>0.70532389948169261</v>
      </c>
      <c r="AJ718" s="1"/>
      <c r="AK718" s="2" cm="1">
        <f t="array" aca="1" ref="AK718" ca="1">MMULT(MMULT(_xlfn.ANCHORARRAY(AE718),$Q$9:$U$13),TRANSPOSE(_xlfn.ANCHORARRAY(AE718)))</f>
        <v>3.3362598098688129E-4</v>
      </c>
      <c r="AL718" s="2">
        <f t="shared" ca="1" si="27"/>
        <v>1.8265431311274345E-2</v>
      </c>
      <c r="AM718" s="2" cm="1">
        <f t="array" aca="1" ref="AM718" ca="1">MMULT(_xlfn.ANCHORARRAY(AE719),TRANSPOSE($Q$3:$U$3))</f>
        <v>1.6473867691386571E-3</v>
      </c>
    </row>
    <row r="719" spans="1:39" x14ac:dyDescent="0.35">
      <c r="A719" s="3">
        <v>44869</v>
      </c>
      <c r="B719" s="4">
        <v>33.618370056152301</v>
      </c>
      <c r="C719" s="4">
        <v>158.90492248535099</v>
      </c>
      <c r="D719" s="4">
        <v>36.472789764404297</v>
      </c>
      <c r="E719" s="4">
        <v>27.411617279052699</v>
      </c>
      <c r="F719" s="4">
        <v>215.12173461914</v>
      </c>
      <c r="I719" s="5">
        <f>B719/B718-1</f>
        <v>2.5076940202234388E-2</v>
      </c>
      <c r="J719" s="5">
        <f>C719/C718-1</f>
        <v>1.2642875215358007E-2</v>
      </c>
      <c r="K719" s="5">
        <f>D719/D718-1</f>
        <v>4.4176587090318353E-2</v>
      </c>
      <c r="L719" s="5">
        <f>E719/E718-1</f>
        <v>2.0967671353081085E-2</v>
      </c>
      <c r="M719" s="5">
        <f>F719/F718-1</f>
        <v>3.3325590962870688E-2</v>
      </c>
      <c r="N719" s="5">
        <f>SUMPRODUCT(I719:M719,$AJ$13:$AN$13)</f>
        <v>3.6264310493191509E-2</v>
      </c>
      <c r="P719" s="2" t="s">
        <v>710</v>
      </c>
      <c r="Q719" s="10" cm="1">
        <f t="array" aca="1" ref="Q719:U719" ca="1">_xlfn.LET(_xlpm.array,_xlfn.RANDARRAY(1,COLUMNS(_xlfn.ANCHORARRAY(Q718)),0,1,FALSE),_xlpm.array/SUM(_xlpm.array))</f>
        <v>0.57539147974311489</v>
      </c>
      <c r="R719" s="2">
        <f ca="1"/>
        <v>0.20695500807382741</v>
      </c>
      <c r="S719" s="2">
        <f ca="1"/>
        <v>5.3298609847940895E-2</v>
      </c>
      <c r="T719" s="2">
        <f ca="1"/>
        <v>4.1439713448656039E-2</v>
      </c>
      <c r="U719" s="2">
        <f ca="1"/>
        <v>0.12291518888646079</v>
      </c>
      <c r="V719" s="12"/>
      <c r="X719" s="2" cm="1">
        <f t="array" aca="1" ref="X719" ca="1">MMULT(MMULT(_xlfn.ANCHORARRAY(Q719),$Q$9:$U$13),TRANSPOSE(_xlfn.ANCHORARRAY(Q719)))</f>
        <v>3.1762241684592723E-4</v>
      </c>
      <c r="Y719" s="2">
        <f t="shared" ca="1" si="26"/>
        <v>1.7821964449687561E-2</v>
      </c>
      <c r="Z719" s="2" cm="1">
        <f t="array" aca="1" ref="Z719" ca="1">MMULT(_xlfn.ANCHORARRAY(Q719),TRANSPOSE($Q$3:$U$3))</f>
        <v>6.6647184469318082E-4</v>
      </c>
      <c r="AA719" s="11">
        <f ca="1">AVEDEV(Q719*$Q$3,R719*$R$3,S719*$S$3,T719*$T$3,U719*$U$3)</f>
        <v>7.0791380288344781E-5</v>
      </c>
      <c r="AB719" s="11" cm="1">
        <f t="array" aca="1" ref="AB719" ca="1">MMULT(_xlfn.ANCHORARRAY(Q719),TRANSPOSE($Q$6:$U$6))</f>
        <v>-2.1660395960258677E-2</v>
      </c>
      <c r="AD719" s="2" t="s">
        <v>710</v>
      </c>
      <c r="AE719" s="10" cm="1">
        <f t="array" aca="1" ref="AE719:AI719" ca="1">_xlfn.LET(_xlpm.array,_xlfn.RANDARRAY(1,COLUMNS(_xlfn.ANCHORARRAY(Q718)),-1,1,FALSE),_xlpm.array/SUM(_xlpm.array))</f>
        <v>-0.61556155370786769</v>
      </c>
      <c r="AF719" s="10">
        <f ca="1"/>
        <v>-0.31922880291919314</v>
      </c>
      <c r="AG719" s="10">
        <f ca="1"/>
        <v>0.50531333215817564</v>
      </c>
      <c r="AH719" s="10">
        <f ca="1"/>
        <v>1.0881101177005246</v>
      </c>
      <c r="AI719" s="10">
        <f ca="1"/>
        <v>0.34136690676836068</v>
      </c>
      <c r="AJ719" s="1"/>
      <c r="AK719" s="2" cm="1">
        <f t="array" aca="1" ref="AK719" ca="1">MMULT(MMULT(_xlfn.ANCHORARRAY(AE719),$Q$9:$U$13),TRANSPOSE(_xlfn.ANCHORARRAY(AE719)))</f>
        <v>7.7005527796933056E-4</v>
      </c>
      <c r="AL719" s="2">
        <f t="shared" ca="1" si="27"/>
        <v>2.7749869873016173E-2</v>
      </c>
      <c r="AM719" s="2" cm="1">
        <f t="array" aca="1" ref="AM719" ca="1">MMULT(_xlfn.ANCHORARRAY(AE720),TRANSPOSE($Q$3:$U$3))</f>
        <v>1.938169605211324E-3</v>
      </c>
    </row>
    <row r="720" spans="1:39" x14ac:dyDescent="0.35">
      <c r="A720" s="3">
        <v>44872</v>
      </c>
      <c r="B720" s="4">
        <v>33.819400787353501</v>
      </c>
      <c r="C720" s="4">
        <v>160.80221557617099</v>
      </c>
      <c r="D720" s="4">
        <v>37.286411285400298</v>
      </c>
      <c r="E720" s="4">
        <v>27.563177108764599</v>
      </c>
      <c r="F720" s="4">
        <v>221.41825866699199</v>
      </c>
      <c r="I720" s="5">
        <f>B720/B719-1</f>
        <v>5.9797881594325641E-3</v>
      </c>
      <c r="J720" s="5">
        <f>C720/C719-1</f>
        <v>1.1939800612500884E-2</v>
      </c>
      <c r="K720" s="5">
        <f>D720/D719-1</f>
        <v>2.2307630599457395E-2</v>
      </c>
      <c r="L720" s="5">
        <f>E720/E719-1</f>
        <v>5.5290363997499981E-3</v>
      </c>
      <c r="M720" s="5">
        <f>F720/F719-1</f>
        <v>2.9269585702251799E-2</v>
      </c>
      <c r="N720" s="5">
        <f>SUMPRODUCT(I720:M720,$AJ$13:$AN$13)</f>
        <v>2.1855234311199657E-2</v>
      </c>
      <c r="P720" s="2" t="s">
        <v>711</v>
      </c>
      <c r="Q720" s="10" cm="1">
        <f t="array" aca="1" ref="Q720:U720" ca="1">_xlfn.LET(_xlpm.array,_xlfn.RANDARRAY(1,COLUMNS(_xlfn.ANCHORARRAY(Q719)),0,1,FALSE),_xlpm.array/SUM(_xlpm.array))</f>
        <v>0.27105977818198423</v>
      </c>
      <c r="R720" s="2">
        <f ca="1"/>
        <v>4.4407087731411415E-2</v>
      </c>
      <c r="S720" s="2">
        <f ca="1"/>
        <v>3.9235072899047048E-2</v>
      </c>
      <c r="T720" s="2">
        <f ca="1"/>
        <v>0.37291695800786201</v>
      </c>
      <c r="U720" s="2">
        <f ca="1"/>
        <v>0.27238110317969538</v>
      </c>
      <c r="V720" s="12"/>
      <c r="X720" s="2" cm="1">
        <f t="array" aca="1" ref="X720" ca="1">MMULT(MMULT(_xlfn.ANCHORARRAY(Q720),$Q$9:$U$13),TRANSPOSE(_xlfn.ANCHORARRAY(Q720)))</f>
        <v>2.7349131716642702E-4</v>
      </c>
      <c r="Y720" s="2">
        <f t="shared" ca="1" si="26"/>
        <v>1.6537572892248338E-2</v>
      </c>
      <c r="Z720" s="2" cm="1">
        <f t="array" aca="1" ref="Z720" ca="1">MMULT(_xlfn.ANCHORARRAY(Q720),TRANSPOSE($Q$3:$U$3))</f>
        <v>8.2322077119618368E-4</v>
      </c>
      <c r="AA720" s="11">
        <f ca="1">AVEDEV(Q720*$Q$3,R720*$R$3,S720*$S$3,T720*$T$3,U720*$U$3)</f>
        <v>1.0400870777355245E-4</v>
      </c>
      <c r="AB720" s="11" cm="1">
        <f t="array" aca="1" ref="AB720" ca="1">MMULT(_xlfn.ANCHORARRAY(Q720),TRANSPOSE($Q$6:$U$6))</f>
        <v>-2.2703789576477864E-2</v>
      </c>
      <c r="AD720" s="2" t="s">
        <v>711</v>
      </c>
      <c r="AE720" s="10" cm="1">
        <f t="array" aca="1" ref="AE720:AI720" ca="1">_xlfn.LET(_xlpm.array,_xlfn.RANDARRAY(1,COLUMNS(_xlfn.ANCHORARRAY(Q719)),-1,1,FALSE),_xlpm.array/SUM(_xlpm.array))</f>
        <v>0.23697562655934953</v>
      </c>
      <c r="AF720" s="10">
        <f ca="1"/>
        <v>0.35368283464867528</v>
      </c>
      <c r="AG720" s="10">
        <f ca="1"/>
        <v>1.572495069536705</v>
      </c>
      <c r="AH720" s="10">
        <f ca="1"/>
        <v>-0.40751996425021852</v>
      </c>
      <c r="AI720" s="10">
        <f ca="1"/>
        <v>-0.7556335664945113</v>
      </c>
      <c r="AJ720" s="1"/>
      <c r="AK720" s="2" cm="1">
        <f t="array" aca="1" ref="AK720" ca="1">MMULT(MMULT(_xlfn.ANCHORARRAY(AE720),$Q$9:$U$13),TRANSPOSE(_xlfn.ANCHORARRAY(AE720)))</f>
        <v>1.9415664333868455E-3</v>
      </c>
      <c r="AL720" s="2">
        <f t="shared" ca="1" si="27"/>
        <v>4.4063209522081405E-2</v>
      </c>
      <c r="AM720" s="2" cm="1">
        <f t="array" aca="1" ref="AM720" ca="1">MMULT(_xlfn.ANCHORARRAY(AE721),TRANSPOSE($Q$3:$U$3))</f>
        <v>1.273217307186507E-3</v>
      </c>
    </row>
    <row r="721" spans="1:39" x14ac:dyDescent="0.35">
      <c r="A721" s="3">
        <v>44873</v>
      </c>
      <c r="B721" s="4">
        <v>33.910774230957003</v>
      </c>
      <c r="C721" s="4">
        <v>160.56831359863199</v>
      </c>
      <c r="D721" s="4">
        <v>37.800773620605398</v>
      </c>
      <c r="E721" s="4">
        <v>26.863100051879801</v>
      </c>
      <c r="F721" s="4">
        <v>222.38998413085901</v>
      </c>
      <c r="I721" s="5">
        <f>B721/B720-1</f>
        <v>2.7018055162488785E-3</v>
      </c>
      <c r="J721" s="5">
        <f>C721/C720-1</f>
        <v>-1.4545942461110517E-3</v>
      </c>
      <c r="K721" s="5">
        <f>D721/D720-1</f>
        <v>1.3794900540790245E-2</v>
      </c>
      <c r="L721" s="5">
        <f>E721/E720-1</f>
        <v>-2.539899715197147E-2</v>
      </c>
      <c r="M721" s="5">
        <f>F721/F720-1</f>
        <v>4.3886419743208727E-3</v>
      </c>
      <c r="N721" s="5">
        <f>SUMPRODUCT(I721:M721,$AJ$13:$AN$13)</f>
        <v>-3.9529541621171182E-3</v>
      </c>
      <c r="P721" s="2" t="s">
        <v>712</v>
      </c>
      <c r="Q721" s="10" cm="1">
        <f t="array" aca="1" ref="Q721:U721" ca="1">_xlfn.LET(_xlpm.array,_xlfn.RANDARRAY(1,COLUMNS(_xlfn.ANCHORARRAY(Q720)),0,1,FALSE),_xlpm.array/SUM(_xlpm.array))</f>
        <v>9.7568956316167965E-2</v>
      </c>
      <c r="R721" s="2">
        <f ca="1"/>
        <v>0.33047939317482916</v>
      </c>
      <c r="S721" s="2">
        <f ca="1"/>
        <v>0.24599581129862449</v>
      </c>
      <c r="T721" s="2">
        <f ca="1"/>
        <v>0.2902567544001759</v>
      </c>
      <c r="U721" s="2">
        <f ca="1"/>
        <v>3.5699084810202508E-2</v>
      </c>
      <c r="V721" s="12"/>
      <c r="X721" s="2" cm="1">
        <f t="array" aca="1" ref="X721" ca="1">MMULT(MMULT(_xlfn.ANCHORARRAY(Q721),$Q$9:$U$13),TRANSPOSE(_xlfn.ANCHORARRAY(Q721)))</f>
        <v>3.3776480148761445E-4</v>
      </c>
      <c r="Y721" s="2">
        <f t="shared" ca="1" si="26"/>
        <v>1.8378378641425757E-2</v>
      </c>
      <c r="Z721" s="2" cm="1">
        <f t="array" aca="1" ref="Z721" ca="1">MMULT(_xlfn.ANCHORARRAY(Q721),TRANSPOSE($Q$3:$U$3))</f>
        <v>1.0142512543154165E-3</v>
      </c>
      <c r="AA721" s="11">
        <f ca="1">AVEDEV(Q721*$Q$3,R721*$R$3,S721*$S$3,T721*$T$3,U721*$U$3)</f>
        <v>1.3152274580769522E-4</v>
      </c>
      <c r="AB721" s="11" cm="1">
        <f t="array" aca="1" ref="AB721" ca="1">MMULT(_xlfn.ANCHORARRAY(Q721),TRANSPOSE($Q$6:$U$6))</f>
        <v>-2.361715155826177E-2</v>
      </c>
      <c r="AD721" s="2" t="s">
        <v>712</v>
      </c>
      <c r="AE721" s="10" cm="1">
        <f t="array" aca="1" ref="AE721:AI721" ca="1">_xlfn.LET(_xlpm.array,_xlfn.RANDARRAY(1,COLUMNS(_xlfn.ANCHORARRAY(Q720)),-1,1,FALSE),_xlpm.array/SUM(_xlpm.array))</f>
        <v>0.38533590484699892</v>
      </c>
      <c r="AF721" s="10">
        <f ca="1"/>
        <v>-0.74525076080393371</v>
      </c>
      <c r="AG721" s="10">
        <f ca="1"/>
        <v>0.91146539968425255</v>
      </c>
      <c r="AH721" s="10">
        <f ca="1"/>
        <v>-0.78529836184537838</v>
      </c>
      <c r="AI721" s="10">
        <f ca="1"/>
        <v>1.2337478181180606</v>
      </c>
      <c r="AJ721" s="1"/>
      <c r="AK721" s="2" cm="1">
        <f t="array" aca="1" ref="AK721" ca="1">MMULT(MMULT(_xlfn.ANCHORARRAY(AE721),$Q$9:$U$13),TRANSPOSE(_xlfn.ANCHORARRAY(AE721)))</f>
        <v>1.9009114959086279E-3</v>
      </c>
      <c r="AL721" s="2">
        <f t="shared" ca="1" si="27"/>
        <v>4.3599443756871803E-2</v>
      </c>
      <c r="AM721" s="2" cm="1">
        <f t="array" aca="1" ref="AM721" ca="1">MMULT(_xlfn.ANCHORARRAY(AE722),TRANSPOSE($Q$3:$U$3))</f>
        <v>-4.7631944315765246E-3</v>
      </c>
    </row>
    <row r="722" spans="1:39" x14ac:dyDescent="0.35">
      <c r="A722" s="3">
        <v>44874</v>
      </c>
      <c r="B722" s="4">
        <v>33.371635437011697</v>
      </c>
      <c r="C722" s="4">
        <v>154.148681640625</v>
      </c>
      <c r="D722" s="4">
        <v>36.781406402587798</v>
      </c>
      <c r="E722" s="4">
        <v>25.318576812744102</v>
      </c>
      <c r="F722" s="4">
        <v>218.15344238281199</v>
      </c>
      <c r="I722" s="5">
        <f>B722/B721-1</f>
        <v>-1.5898746229542793E-2</v>
      </c>
      <c r="J722" s="5">
        <f>C722/C721-1</f>
        <v>-3.9980689926494173E-2</v>
      </c>
      <c r="K722" s="5">
        <f>D722/D721-1</f>
        <v>-2.6966834812659379E-2</v>
      </c>
      <c r="L722" s="5">
        <f>E722/E721-1</f>
        <v>-5.7496090777044095E-2</v>
      </c>
      <c r="M722" s="5">
        <f>F722/F721-1</f>
        <v>-1.9050056433990048E-2</v>
      </c>
      <c r="N722" s="5">
        <f>SUMPRODUCT(I722:M722,$AJ$13:$AN$13)</f>
        <v>-4.1361942232483601E-2</v>
      </c>
      <c r="P722" s="2" t="s">
        <v>713</v>
      </c>
      <c r="Q722" s="10" cm="1">
        <f t="array" aca="1" ref="Q722:U722" ca="1">_xlfn.LET(_xlpm.array,_xlfn.RANDARRAY(1,COLUMNS(_xlfn.ANCHORARRAY(Q721)),0,1,FALSE),_xlpm.array/SUM(_xlpm.array))</f>
        <v>0.19821750837896643</v>
      </c>
      <c r="R722" s="2">
        <f ca="1"/>
        <v>0.16107447799556363</v>
      </c>
      <c r="S722" s="2">
        <f ca="1"/>
        <v>0.27861208086423445</v>
      </c>
      <c r="T722" s="2">
        <f ca="1"/>
        <v>0.15034712886701151</v>
      </c>
      <c r="U722" s="2">
        <f ca="1"/>
        <v>0.2117488038942239</v>
      </c>
      <c r="V722" s="12"/>
      <c r="X722" s="2" cm="1">
        <f t="array" aca="1" ref="X722" ca="1">MMULT(MMULT(_xlfn.ANCHORARRAY(Q722),$Q$9:$U$13),TRANSPOSE(_xlfn.ANCHORARRAY(Q722)))</f>
        <v>2.91215816793324E-4</v>
      </c>
      <c r="Y722" s="2">
        <f t="shared" ca="1" si="26"/>
        <v>1.7065046639060909E-2</v>
      </c>
      <c r="Z722" s="2" cm="1">
        <f t="array" aca="1" ref="Z722" ca="1">MMULT(_xlfn.ANCHORARRAY(Q722),TRANSPOSE($Q$3:$U$3))</f>
        <v>9.8638649610550966E-4</v>
      </c>
      <c r="AA722" s="11">
        <f ca="1">AVEDEV(Q722*$Q$3,R722*$R$3,S722*$S$3,T722*$T$3,U722*$U$3)</f>
        <v>1.0207557420701261E-4</v>
      </c>
      <c r="AB722" s="11" cm="1">
        <f t="array" aca="1" ref="AB722" ca="1">MMULT(_xlfn.ANCHORARRAY(Q722),TRANSPOSE($Q$6:$U$6))</f>
        <v>-2.3211214936785268E-2</v>
      </c>
      <c r="AD722" s="2" t="s">
        <v>713</v>
      </c>
      <c r="AE722" s="10" cm="1">
        <f t="array" aca="1" ref="AE722:AI722" ca="1">_xlfn.LET(_xlpm.array,_xlfn.RANDARRAY(1,COLUMNS(_xlfn.ANCHORARRAY(Q721)),-1,1,FALSE),_xlpm.array/SUM(_xlpm.array))</f>
        <v>4.5294512936898075</v>
      </c>
      <c r="AF722" s="10">
        <f ca="1"/>
        <v>4.676423671511249</v>
      </c>
      <c r="AG722" s="10">
        <f ca="1"/>
        <v>-3.1313322274910318</v>
      </c>
      <c r="AH722" s="10">
        <f ca="1"/>
        <v>-5.8949578489199084</v>
      </c>
      <c r="AI722" s="10">
        <f ca="1"/>
        <v>0.82041511120988364</v>
      </c>
      <c r="AJ722" s="1"/>
      <c r="AK722" s="2" cm="1">
        <f t="array" aca="1" ref="AK722" ca="1">MMULT(MMULT(_xlfn.ANCHORARRAY(AE722),$Q$9:$U$13),TRANSPOSE(_xlfn.ANCHORARRAY(AE722)))</f>
        <v>2.1665905959581393E-2</v>
      </c>
      <c r="AL722" s="2">
        <f t="shared" ca="1" si="27"/>
        <v>0.14719343042262922</v>
      </c>
      <c r="AM722" s="2" cm="1">
        <f t="array" aca="1" ref="AM722" ca="1">MMULT(_xlfn.ANCHORARRAY(AE723),TRANSPOSE($Q$3:$U$3))</f>
        <v>4.0040749719224091E-4</v>
      </c>
    </row>
    <row r="723" spans="1:39" x14ac:dyDescent="0.35">
      <c r="A723" s="3">
        <v>44875</v>
      </c>
      <c r="B723" s="4">
        <v>34.842842102050703</v>
      </c>
      <c r="C723" s="4">
        <v>157.06825256347599</v>
      </c>
      <c r="D723" s="4">
        <v>39.016529083251903</v>
      </c>
      <c r="E723" s="4">
        <v>25.745708465576101</v>
      </c>
      <c r="F723" s="4">
        <v>236.10047912597599</v>
      </c>
      <c r="I723" s="5">
        <f>B723/B722-1</f>
        <v>4.4085542880146766E-2</v>
      </c>
      <c r="J723" s="5">
        <f>C723/C722-1</f>
        <v>1.8939966866908131E-2</v>
      </c>
      <c r="K723" s="5">
        <f>D723/D722-1</f>
        <v>6.0767732919175366E-2</v>
      </c>
      <c r="L723" s="5">
        <f>E723/E722-1</f>
        <v>1.6870286825008352E-2</v>
      </c>
      <c r="M723" s="5">
        <f>F723/F722-1</f>
        <v>8.2267951159215924E-2</v>
      </c>
      <c r="N723" s="5">
        <f>SUMPRODUCT(I723:M723,$AJ$13:$AN$13)</f>
        <v>5.3633488922406464E-2</v>
      </c>
      <c r="P723" s="2" t="s">
        <v>714</v>
      </c>
      <c r="Q723" s="10" cm="1">
        <f t="array" aca="1" ref="Q723:U723" ca="1">_xlfn.LET(_xlpm.array,_xlfn.RANDARRAY(1,COLUMNS(_xlfn.ANCHORARRAY(Q722)),0,1,FALSE),_xlpm.array/SUM(_xlpm.array))</f>
        <v>0.14957429298223818</v>
      </c>
      <c r="R723" s="2">
        <f ca="1"/>
        <v>5.952949245953798E-2</v>
      </c>
      <c r="S723" s="2">
        <f ca="1"/>
        <v>0.19584566463121666</v>
      </c>
      <c r="T723" s="2">
        <f ca="1"/>
        <v>0.22337855640170698</v>
      </c>
      <c r="U723" s="2">
        <f ca="1"/>
        <v>0.37167199352530017</v>
      </c>
      <c r="V723" s="12"/>
      <c r="X723" s="2" cm="1">
        <f t="array" aca="1" ref="X723" ca="1">MMULT(MMULT(_xlfn.ANCHORARRAY(Q723),$Q$9:$U$13),TRANSPOSE(_xlfn.ANCHORARRAY(Q723)))</f>
        <v>2.6259557314411237E-4</v>
      </c>
      <c r="Y723" s="2">
        <f t="shared" ca="1" si="26"/>
        <v>1.6204800928864026E-2</v>
      </c>
      <c r="Z723" s="2" cm="1">
        <f t="array" aca="1" ref="Z723" ca="1">MMULT(_xlfn.ANCHORARRAY(Q723),TRANSPOSE($Q$3:$U$3))</f>
        <v>9.5002694611394357E-4</v>
      </c>
      <c r="AA723" s="11">
        <f ca="1">AVEDEV(Q723*$Q$3,R723*$R$3,S723*$S$3,T723*$T$3,U723*$U$3)</f>
        <v>1.0420777815203276E-4</v>
      </c>
      <c r="AB723" s="11" cm="1">
        <f t="array" aca="1" ref="AB723" ca="1">MMULT(_xlfn.ANCHORARRAY(Q723),TRANSPOSE($Q$6:$U$6))</f>
        <v>-2.287806646006698E-2</v>
      </c>
      <c r="AD723" s="2" t="s">
        <v>714</v>
      </c>
      <c r="AE723" s="10" cm="1">
        <f t="array" aca="1" ref="AE723:AI723" ca="1">_xlfn.LET(_xlpm.array,_xlfn.RANDARRAY(1,COLUMNS(_xlfn.ANCHORARRAY(Q722)),-1,1,FALSE),_xlpm.array/SUM(_xlpm.array))</f>
        <v>-0.86339962427403727</v>
      </c>
      <c r="AF723" s="10">
        <f ca="1"/>
        <v>-0.92641075051519162</v>
      </c>
      <c r="AG723" s="10">
        <f ca="1"/>
        <v>-1.3490792665192259</v>
      </c>
      <c r="AH723" s="10">
        <f ca="1"/>
        <v>2.1069546566934552</v>
      </c>
      <c r="AI723" s="10">
        <f ca="1"/>
        <v>2.0319349846149999</v>
      </c>
      <c r="AJ723" s="1"/>
      <c r="AK723" s="2" cm="1">
        <f t="array" aca="1" ref="AK723" ca="1">MMULT(MMULT(_xlfn.ANCHORARRAY(AE723),$Q$9:$U$13),TRANSPOSE(_xlfn.ANCHORARRAY(AE723)))</f>
        <v>3.0405971029086282E-3</v>
      </c>
      <c r="AL723" s="2">
        <f t="shared" ca="1" si="27"/>
        <v>5.5141609542237957E-2</v>
      </c>
      <c r="AM723" s="2" cm="1">
        <f t="array" aca="1" ref="AM723" ca="1">MMULT(_xlfn.ANCHORARRAY(AE724),TRANSPOSE($Q$3:$U$3))</f>
        <v>1.197438410199432E-3</v>
      </c>
    </row>
    <row r="724" spans="1:39" x14ac:dyDescent="0.35">
      <c r="A724" s="3">
        <v>44876</v>
      </c>
      <c r="B724" s="4">
        <v>35.098705291747997</v>
      </c>
      <c r="C724" s="4">
        <v>161.53860473632801</v>
      </c>
      <c r="D724" s="4">
        <v>39.914321899413999</v>
      </c>
      <c r="E724" s="4">
        <v>25.937181472778299</v>
      </c>
      <c r="F724" s="4">
        <v>240.11354064941401</v>
      </c>
      <c r="I724" s="5">
        <f>B724/B723-1</f>
        <v>7.3433501477262464E-3</v>
      </c>
      <c r="J724" s="5">
        <f>C724/C723-1</f>
        <v>2.8461207786375731E-2</v>
      </c>
      <c r="K724" s="5">
        <f>D724/D723-1</f>
        <v>2.3010576216208722E-2</v>
      </c>
      <c r="L724" s="5">
        <f>E724/E723-1</f>
        <v>7.437084415766293E-3</v>
      </c>
      <c r="M724" s="5">
        <f>F724/F723-1</f>
        <v>1.6997261243577366E-2</v>
      </c>
      <c r="N724" s="5">
        <f>SUMPRODUCT(I724:M724,$AJ$13:$AN$13)</f>
        <v>1.8077636320242885E-2</v>
      </c>
      <c r="P724" s="2" t="s">
        <v>715</v>
      </c>
      <c r="Q724" s="10" cm="1">
        <f t="array" aca="1" ref="Q724:U724" ca="1">_xlfn.LET(_xlpm.array,_xlfn.RANDARRAY(1,COLUMNS(_xlfn.ANCHORARRAY(Q723)),0,1,FALSE),_xlpm.array/SUM(_xlpm.array))</f>
        <v>0.20793855319506746</v>
      </c>
      <c r="R724" s="2">
        <f ca="1"/>
        <v>0.37775127306256678</v>
      </c>
      <c r="S724" s="2">
        <f ca="1"/>
        <v>0.37807927308891442</v>
      </c>
      <c r="T724" s="2">
        <f ca="1"/>
        <v>1.0536836223568198E-2</v>
      </c>
      <c r="U724" s="2">
        <f ca="1"/>
        <v>2.5694064429883107E-2</v>
      </c>
      <c r="V724" s="12"/>
      <c r="X724" s="2" cm="1">
        <f t="array" aca="1" ref="X724" ca="1">MMULT(MMULT(_xlfn.ANCHORARRAY(Q724),$Q$9:$U$13),TRANSPOSE(_xlfn.ANCHORARRAY(Q724)))</f>
        <v>3.6090427628221417E-4</v>
      </c>
      <c r="Y724" s="2">
        <f t="shared" ca="1" si="26"/>
        <v>1.899748078778379E-2</v>
      </c>
      <c r="Z724" s="2" cm="1">
        <f t="array" aca="1" ref="Z724" ca="1">MMULT(_xlfn.ANCHORARRAY(Q724),TRANSPOSE($Q$3:$U$3))</f>
        <v>1.0259505672483196E-3</v>
      </c>
      <c r="AA724" s="11">
        <f ca="1">AVEDEV(Q724*$Q$3,R724*$R$3,S724*$S$3,T724*$T$3,U724*$U$3)</f>
        <v>1.9178781416271865E-4</v>
      </c>
      <c r="AB724" s="11" cm="1">
        <f t="array" aca="1" ref="AB724" ca="1">MMULT(_xlfn.ANCHORARRAY(Q724),TRANSPOSE($Q$6:$U$6))</f>
        <v>-2.3321947294241446E-2</v>
      </c>
      <c r="AD724" s="2" t="s">
        <v>715</v>
      </c>
      <c r="AE724" s="10" cm="1">
        <f t="array" aca="1" ref="AE724:AI724" ca="1">_xlfn.LET(_xlpm.array,_xlfn.RANDARRAY(1,COLUMNS(_xlfn.ANCHORARRAY(Q723)),-1,1,FALSE),_xlpm.array/SUM(_xlpm.array))</f>
        <v>-5.9363348717351293E-2</v>
      </c>
      <c r="AF724" s="10">
        <f ca="1"/>
        <v>0.34607818104155774</v>
      </c>
      <c r="AG724" s="10">
        <f ca="1"/>
        <v>0.39735761207340653</v>
      </c>
      <c r="AH724" s="10">
        <f ca="1"/>
        <v>0.34250353582416071</v>
      </c>
      <c r="AI724" s="10">
        <f ca="1"/>
        <v>-2.6575980221773671E-2</v>
      </c>
      <c r="AJ724" s="1"/>
      <c r="AK724" s="2" cm="1">
        <f t="array" aca="1" ref="AK724" ca="1">MMULT(MMULT(_xlfn.ANCHORARRAY(AE724),$Q$9:$U$13),TRANSPOSE(_xlfn.ANCHORARRAY(AE724)))</f>
        <v>4.1361622561192596E-4</v>
      </c>
      <c r="AL724" s="2">
        <f t="shared" ca="1" si="27"/>
        <v>2.0337557021725249E-2</v>
      </c>
      <c r="AM724" s="2" cm="1">
        <f t="array" aca="1" ref="AM724" ca="1">MMULT(_xlfn.ANCHORARRAY(AE725),TRANSPOSE($Q$3:$U$3))</f>
        <v>7.2726323589524205E-4</v>
      </c>
    </row>
    <row r="725" spans="1:39" x14ac:dyDescent="0.35">
      <c r="A725" s="3">
        <v>44879</v>
      </c>
      <c r="B725" s="4">
        <v>34.504737854003899</v>
      </c>
      <c r="C725" s="4">
        <v>161.61654663085901</v>
      </c>
      <c r="D725" s="4">
        <v>39.512195587158203</v>
      </c>
      <c r="E725" s="4">
        <v>25.532136917114201</v>
      </c>
      <c r="F725" s="4">
        <v>234.71098327636699</v>
      </c>
      <c r="I725" s="5">
        <f>B725/B724-1</f>
        <v>-1.692277344155324E-2</v>
      </c>
      <c r="J725" s="5">
        <f>C725/C724-1</f>
        <v>4.8249701461888783E-4</v>
      </c>
      <c r="K725" s="5">
        <f>D725/D724-1</f>
        <v>-1.007473741553655E-2</v>
      </c>
      <c r="L725" s="5">
        <f>E725/E724-1</f>
        <v>-1.5616367417917054E-2</v>
      </c>
      <c r="M725" s="5">
        <f>F725/F724-1</f>
        <v>-2.2500011279810384E-2</v>
      </c>
      <c r="N725" s="5">
        <f>SUMPRODUCT(I725:M725,$AJ$13:$AN$13)</f>
        <v>-1.5180042234104706E-2</v>
      </c>
      <c r="P725" s="2" t="s">
        <v>716</v>
      </c>
      <c r="Q725" s="10" cm="1">
        <f t="array" aca="1" ref="Q725:U725" ca="1">_xlfn.LET(_xlpm.array,_xlfn.RANDARRAY(1,COLUMNS(_xlfn.ANCHORARRAY(Q724)),0,1,FALSE),_xlpm.array/SUM(_xlpm.array))</f>
        <v>0.26418252032090977</v>
      </c>
      <c r="R725" s="2">
        <f ca="1"/>
        <v>0.16095039851970191</v>
      </c>
      <c r="S725" s="2">
        <f ca="1"/>
        <v>0.23744493201742176</v>
      </c>
      <c r="T725" s="2">
        <f ca="1"/>
        <v>2.2172296514599992E-2</v>
      </c>
      <c r="U725" s="2">
        <f ca="1"/>
        <v>0.31524985262736649</v>
      </c>
      <c r="V725" s="12"/>
      <c r="X725" s="2" cm="1">
        <f t="array" aca="1" ref="X725" ca="1">MMULT(MMULT(_xlfn.ANCHORARRAY(Q725),$Q$9:$U$13),TRANSPOSE(_xlfn.ANCHORARRAY(Q725)))</f>
        <v>2.7957994470314716E-4</v>
      </c>
      <c r="Y725" s="2">
        <f t="shared" ca="1" si="26"/>
        <v>1.6720644266987657E-2</v>
      </c>
      <c r="Z725" s="2" cm="1">
        <f t="array" aca="1" ref="Z725" ca="1">MMULT(_xlfn.ANCHORARRAY(Q725),TRANSPOSE($Q$3:$U$3))</f>
        <v>9.0118444494942667E-4</v>
      </c>
      <c r="AA725" s="11">
        <f ca="1">AVEDEV(Q725*$Q$3,R725*$R$3,S725*$S$3,T725*$T$3,U725*$U$3)</f>
        <v>1.0650281143245052E-4</v>
      </c>
      <c r="AB725" s="11" cm="1">
        <f t="array" aca="1" ref="AB725" ca="1">MMULT(_xlfn.ANCHORARRAY(Q725),TRANSPOSE($Q$6:$U$6))</f>
        <v>-2.2374447698295104E-2</v>
      </c>
      <c r="AD725" s="2" t="s">
        <v>716</v>
      </c>
      <c r="AE725" s="10" cm="1">
        <f t="array" aca="1" ref="AE725:AI725" ca="1">_xlfn.LET(_xlpm.array,_xlfn.RANDARRAY(1,COLUMNS(_xlfn.ANCHORARRAY(Q724)),-1,1,FALSE),_xlpm.array/SUM(_xlpm.array))</f>
        <v>-0.23927966150963093</v>
      </c>
      <c r="AF725" s="10">
        <f ca="1"/>
        <v>0.57102952541917829</v>
      </c>
      <c r="AG725" s="10">
        <f ca="1"/>
        <v>-4.988900933664224E-2</v>
      </c>
      <c r="AH725" s="10">
        <f ca="1"/>
        <v>-0.14162268515589563</v>
      </c>
      <c r="AI725" s="10">
        <f ca="1"/>
        <v>0.85976183058299049</v>
      </c>
      <c r="AJ725" s="1"/>
      <c r="AK725" s="2" cm="1">
        <f t="array" aca="1" ref="AK725" ca="1">MMULT(MMULT(_xlfn.ANCHORARRAY(AE725),$Q$9:$U$13),TRANSPOSE(_xlfn.ANCHORARRAY(AE725)))</f>
        <v>3.3133285190946099E-4</v>
      </c>
      <c r="AL725" s="2">
        <f t="shared" ca="1" si="27"/>
        <v>1.8202550697895638E-2</v>
      </c>
      <c r="AM725" s="2" cm="1">
        <f t="array" aca="1" ref="AM725" ca="1">MMULT(_xlfn.ANCHORARRAY(AE726),TRANSPOSE($Q$3:$U$3))</f>
        <v>9.2554579905379096E-4</v>
      </c>
    </row>
    <row r="726" spans="1:39" x14ac:dyDescent="0.35">
      <c r="A726" s="3">
        <v>44880</v>
      </c>
      <c r="B726" s="4">
        <v>34.449913024902301</v>
      </c>
      <c r="C726" s="4">
        <v>162.91610717773401</v>
      </c>
      <c r="D726" s="4">
        <v>39.605697631835902</v>
      </c>
      <c r="E726" s="4">
        <v>26.577875137329102</v>
      </c>
      <c r="F726" s="4">
        <v>235.11907958984301</v>
      </c>
      <c r="I726" s="5">
        <f>B726/B725-1</f>
        <v>-1.588907277996765E-3</v>
      </c>
      <c r="J726" s="5">
        <f>C726/C725-1</f>
        <v>8.0410117278602034E-3</v>
      </c>
      <c r="K726" s="5">
        <f>D726/D725-1</f>
        <v>2.3664097448456989E-3</v>
      </c>
      <c r="L726" s="5">
        <f>E726/E725-1</f>
        <v>4.0957724126645445E-2</v>
      </c>
      <c r="M726" s="5">
        <f>F726/F725-1</f>
        <v>1.7387184348143236E-3</v>
      </c>
      <c r="N726" s="5">
        <f>SUMPRODUCT(I726:M726,$AJ$13:$AN$13)</f>
        <v>2.1146794426337767E-2</v>
      </c>
      <c r="P726" s="2" t="s">
        <v>717</v>
      </c>
      <c r="Q726" s="10" cm="1">
        <f t="array" aca="1" ref="Q726:U726" ca="1">_xlfn.LET(_xlpm.array,_xlfn.RANDARRAY(1,COLUMNS(_xlfn.ANCHORARRAY(Q725)),0,1,FALSE),_xlpm.array/SUM(_xlpm.array))</f>
        <v>0.26698100000155972</v>
      </c>
      <c r="R726" s="2">
        <f ca="1"/>
        <v>0.19847692145012258</v>
      </c>
      <c r="S726" s="2">
        <f ca="1"/>
        <v>0.11161439440255407</v>
      </c>
      <c r="T726" s="2">
        <f ca="1"/>
        <v>0.29609664273135916</v>
      </c>
      <c r="U726" s="2">
        <f ca="1"/>
        <v>0.12683104141440446</v>
      </c>
      <c r="V726" s="12"/>
      <c r="X726" s="2" cm="1">
        <f t="array" aca="1" ref="X726" ca="1">MMULT(MMULT(_xlfn.ANCHORARRAY(Q726),$Q$9:$U$13),TRANSPOSE(_xlfn.ANCHORARRAY(Q726)))</f>
        <v>2.9413278846634257E-4</v>
      </c>
      <c r="Y726" s="2">
        <f t="shared" ca="1" si="26"/>
        <v>1.7150299952663876E-2</v>
      </c>
      <c r="Z726" s="2" cm="1">
        <f t="array" aca="1" ref="Z726" ca="1">MMULT(_xlfn.ANCHORARRAY(Q726),TRANSPOSE($Q$3:$U$3))</f>
        <v>8.6139416024672228E-4</v>
      </c>
      <c r="AA726" s="11">
        <f ca="1">AVEDEV(Q726*$Q$3,R726*$R$3,S726*$S$3,T726*$T$3,U726*$U$3)</f>
        <v>5.5680640057817771E-5</v>
      </c>
      <c r="AB726" s="11" cm="1">
        <f t="array" aca="1" ref="AB726" ca="1">MMULT(_xlfn.ANCHORARRAY(Q726),TRANSPOSE($Q$6:$U$6))</f>
        <v>-2.2891602677457545E-2</v>
      </c>
      <c r="AD726" s="2" t="s">
        <v>717</v>
      </c>
      <c r="AE726" s="10" cm="1">
        <f t="array" aca="1" ref="AE726:AI726" ca="1">_xlfn.LET(_xlpm.array,_xlfn.RANDARRAY(1,COLUMNS(_xlfn.ANCHORARRAY(Q725)),-1,1,FALSE),_xlpm.array/SUM(_xlpm.array))</f>
        <v>0.27071466622954837</v>
      </c>
      <c r="AF726" s="10">
        <f ca="1"/>
        <v>0.27351604311627381</v>
      </c>
      <c r="AG726" s="10">
        <f ca="1"/>
        <v>0.19639926884135878</v>
      </c>
      <c r="AH726" s="10">
        <f ca="1"/>
        <v>0.27609581363974656</v>
      </c>
      <c r="AI726" s="10">
        <f ca="1"/>
        <v>-1.6725791826927575E-2</v>
      </c>
      <c r="AJ726" s="1"/>
      <c r="AK726" s="2" cm="1">
        <f t="array" aca="1" ref="AK726" ca="1">MMULT(MMULT(_xlfn.ANCHORARRAY(AE726),$Q$9:$U$13),TRANSPOSE(_xlfn.ANCHORARRAY(AE726)))</f>
        <v>3.3839479584273503E-4</v>
      </c>
      <c r="AL726" s="2">
        <f t="shared" ca="1" si="27"/>
        <v>1.839551020881821E-2</v>
      </c>
      <c r="AM726" s="2" cm="1">
        <f t="array" aca="1" ref="AM726" ca="1">MMULT(_xlfn.ANCHORARRAY(AE727),TRANSPOSE($Q$3:$U$3))</f>
        <v>-4.8364293219200242E-3</v>
      </c>
    </row>
    <row r="727" spans="1:39" x14ac:dyDescent="0.35">
      <c r="A727" s="3">
        <v>44881</v>
      </c>
      <c r="B727" s="4">
        <v>34.1392211914062</v>
      </c>
      <c r="C727" s="4">
        <v>160.26509094238199</v>
      </c>
      <c r="D727" s="4">
        <v>38.511524200439403</v>
      </c>
      <c r="E727" s="4">
        <v>25.775163650512599</v>
      </c>
      <c r="F727" s="4">
        <v>235.54783630371</v>
      </c>
      <c r="I727" s="5">
        <f>B727/B726-1</f>
        <v>-9.0186536398949579E-3</v>
      </c>
      <c r="J727" s="5">
        <f>C727/C726-1</f>
        <v>-1.6272278298792631E-2</v>
      </c>
      <c r="K727" s="5">
        <f>D727/D726-1</f>
        <v>-2.7626667293368934E-2</v>
      </c>
      <c r="L727" s="5">
        <f>E727/E726-1</f>
        <v>-3.0202244636520215E-2</v>
      </c>
      <c r="M727" s="5">
        <f>F727/F726-1</f>
        <v>1.8235726110145123E-3</v>
      </c>
      <c r="N727" s="5">
        <f>SUMPRODUCT(I727:M727,$AJ$13:$AN$13)</f>
        <v>-2.4746063856560988E-2</v>
      </c>
      <c r="P727" s="2" t="s">
        <v>718</v>
      </c>
      <c r="Q727" s="10" cm="1">
        <f t="array" aca="1" ref="Q727:U727" ca="1">_xlfn.LET(_xlpm.array,_xlfn.RANDARRAY(1,COLUMNS(_xlfn.ANCHORARRAY(Q726)),0,1,FALSE),_xlpm.array/SUM(_xlpm.array))</f>
        <v>0.35224937244017318</v>
      </c>
      <c r="R727" s="2">
        <f ca="1"/>
        <v>4.5055854348565218E-2</v>
      </c>
      <c r="S727" s="2">
        <f ca="1"/>
        <v>0.35816685249013797</v>
      </c>
      <c r="T727" s="2">
        <f ca="1"/>
        <v>0.15876393946410552</v>
      </c>
      <c r="U727" s="2">
        <f ca="1"/>
        <v>8.5763981257018118E-2</v>
      </c>
      <c r="V727" s="12"/>
      <c r="X727" s="2" cm="1">
        <f t="array" aca="1" ref="X727" ca="1">MMULT(MMULT(_xlfn.ANCHORARRAY(Q727),$Q$9:$U$13),TRANSPOSE(_xlfn.ANCHORARRAY(Q727)))</f>
        <v>3.4159760928774321E-4</v>
      </c>
      <c r="Y727" s="2">
        <f t="shared" ca="1" si="26"/>
        <v>1.848235940803401E-2</v>
      </c>
      <c r="Z727" s="2" cm="1">
        <f t="array" aca="1" ref="Z727" ca="1">MMULT(_xlfn.ANCHORARRAY(Q727),TRANSPOSE($Q$3:$U$3))</f>
        <v>1.0213870794393799E-3</v>
      </c>
      <c r="AA727" s="11">
        <f ca="1">AVEDEV(Q727*$Q$3,R727*$R$3,S727*$S$3,T727*$T$3,U727*$U$3)</f>
        <v>1.5095433179230518E-4</v>
      </c>
      <c r="AB727" s="11" cm="1">
        <f t="array" aca="1" ref="AB727" ca="1">MMULT(_xlfn.ANCHORARRAY(Q727),TRANSPOSE($Q$6:$U$6))</f>
        <v>-2.398556760234926E-2</v>
      </c>
      <c r="AD727" s="2" t="s">
        <v>718</v>
      </c>
      <c r="AE727" s="10" cm="1">
        <f t="array" aca="1" ref="AE727:AI727" ca="1">_xlfn.LET(_xlpm.array,_xlfn.RANDARRAY(1,COLUMNS(_xlfn.ANCHORARRAY(Q726)),-1,1,FALSE),_xlpm.array/SUM(_xlpm.array))</f>
        <v>-2.2484266740960073</v>
      </c>
      <c r="AF727" s="10">
        <f ca="1"/>
        <v>-3.2728633787372465</v>
      </c>
      <c r="AG727" s="10">
        <f ca="1"/>
        <v>-10.791129828200935</v>
      </c>
      <c r="AH727" s="10">
        <f ca="1"/>
        <v>11.604580467474419</v>
      </c>
      <c r="AI727" s="10">
        <f ca="1"/>
        <v>5.7078394135597694</v>
      </c>
      <c r="AJ727" s="1"/>
      <c r="AK727" s="2" cm="1">
        <f t="array" aca="1" ref="AK727" ca="1">MMULT(MMULT(_xlfn.ANCHORARRAY(AE727),$Q$9:$U$13),TRANSPOSE(_xlfn.ANCHORARRAY(AE727)))</f>
        <v>0.11495619737209217</v>
      </c>
      <c r="AL727" s="2">
        <f t="shared" ca="1" si="27"/>
        <v>0.33905190955382064</v>
      </c>
      <c r="AM727" s="2" cm="1">
        <f t="array" aca="1" ref="AM727" ca="1">MMULT(_xlfn.ANCHORARRAY(AE728),TRANSPOSE($Q$3:$U$3))</f>
        <v>1.2526151086312211E-3</v>
      </c>
    </row>
    <row r="728" spans="1:39" x14ac:dyDescent="0.35">
      <c r="A728" s="3">
        <v>44882</v>
      </c>
      <c r="B728" s="4">
        <v>33.965599060058501</v>
      </c>
      <c r="C728" s="4">
        <v>160.71905517578099</v>
      </c>
      <c r="D728" s="4">
        <v>39.053943634033203</v>
      </c>
      <c r="E728" s="4">
        <v>25.701524734496999</v>
      </c>
      <c r="F728" s="4">
        <v>235.499099731445</v>
      </c>
      <c r="I728" s="5">
        <f>B728/B727-1</f>
        <v>-5.0857086157374276E-3</v>
      </c>
      <c r="J728" s="5">
        <f>C728/C727-1</f>
        <v>2.8325833825046942E-3</v>
      </c>
      <c r="K728" s="5">
        <f>D728/D727-1</f>
        <v>1.4084600515178014E-2</v>
      </c>
      <c r="L728" s="5">
        <f>E728/E727-1</f>
        <v>-2.856971812636222E-3</v>
      </c>
      <c r="M728" s="5">
        <f>F728/F727-1</f>
        <v>-2.0690732307193649E-4</v>
      </c>
      <c r="N728" s="5">
        <f>SUMPRODUCT(I728:M728,$AJ$13:$AN$13)</f>
        <v>7.3074650436544463E-3</v>
      </c>
      <c r="P728" s="2" t="s">
        <v>719</v>
      </c>
      <c r="Q728" s="10" cm="1">
        <f t="array" aca="1" ref="Q728:U728" ca="1">_xlfn.LET(_xlpm.array,_xlfn.RANDARRAY(1,COLUMNS(_xlfn.ANCHORARRAY(Q727)),0,1,FALSE),_xlpm.array/SUM(_xlpm.array))</f>
        <v>0.19448348531748083</v>
      </c>
      <c r="R728" s="2">
        <f ca="1"/>
        <v>0.20052964909718196</v>
      </c>
      <c r="S728" s="2">
        <f ca="1"/>
        <v>0.12490951398040137</v>
      </c>
      <c r="T728" s="2">
        <f ca="1"/>
        <v>0.26616918229262221</v>
      </c>
      <c r="U728" s="2">
        <f ca="1"/>
        <v>0.21390816931231363</v>
      </c>
      <c r="V728" s="12"/>
      <c r="X728" s="2" cm="1">
        <f t="array" aca="1" ref="X728" ca="1">MMULT(MMULT(_xlfn.ANCHORARRAY(Q728),$Q$9:$U$13),TRANSPOSE(_xlfn.ANCHORARRAY(Q728)))</f>
        <v>2.7338928298430013E-4</v>
      </c>
      <c r="Y728" s="2">
        <f t="shared" ca="1" si="26"/>
        <v>1.653448768436144E-2</v>
      </c>
      <c r="Z728" s="2" cm="1">
        <f t="array" aca="1" ref="Z728" ca="1">MMULT(_xlfn.ANCHORARRAY(Q728),TRANSPOSE($Q$3:$U$3))</f>
        <v>8.8366470441062406E-4</v>
      </c>
      <c r="AA728" s="11">
        <f ca="1">AVEDEV(Q728*$Q$3,R728*$R$3,S728*$S$3,T728*$T$3,U728*$U$3)</f>
        <v>4.8524104321417991E-5</v>
      </c>
      <c r="AB728" s="11" cm="1">
        <f t="array" aca="1" ref="AB728" ca="1">MMULT(_xlfn.ANCHORARRAY(Q728),TRANSPOSE($Q$6:$U$6))</f>
        <v>-2.2728022664630084E-2</v>
      </c>
      <c r="AD728" s="2" t="s">
        <v>719</v>
      </c>
      <c r="AE728" s="10" cm="1">
        <f t="array" aca="1" ref="AE728:AI728" ca="1">_xlfn.LET(_xlpm.array,_xlfn.RANDARRAY(1,COLUMNS(_xlfn.ANCHORARRAY(Q727)),-1,1,FALSE),_xlpm.array/SUM(_xlpm.array))</f>
        <v>-0.64452361186269891</v>
      </c>
      <c r="AF728" s="10">
        <f ca="1"/>
        <v>0.20756577964728753</v>
      </c>
      <c r="AG728" s="10">
        <f ca="1"/>
        <v>0.33410694492039666</v>
      </c>
      <c r="AH728" s="10">
        <f ca="1"/>
        <v>0.16555920541344407</v>
      </c>
      <c r="AI728" s="10">
        <f ca="1"/>
        <v>0.93729168188157064</v>
      </c>
      <c r="AJ728" s="1"/>
      <c r="AK728" s="2" cm="1">
        <f t="array" aca="1" ref="AK728" ca="1">MMULT(MMULT(_xlfn.ANCHORARRAY(AE728),$Q$9:$U$13),TRANSPOSE(_xlfn.ANCHORARRAY(AE728)))</f>
        <v>5.0708910691004241E-4</v>
      </c>
      <c r="AL728" s="2">
        <f t="shared" ca="1" si="27"/>
        <v>2.2518639099866636E-2</v>
      </c>
      <c r="AM728" s="2" cm="1">
        <f t="array" aca="1" ref="AM728" ca="1">MMULT(_xlfn.ANCHORARRAY(AE729),TRANSPOSE($Q$3:$U$3))</f>
        <v>8.0267088831897644E-4</v>
      </c>
    </row>
    <row r="729" spans="1:39" x14ac:dyDescent="0.35">
      <c r="A729" s="3">
        <v>44883</v>
      </c>
      <c r="B729" s="4">
        <v>33.983879089355398</v>
      </c>
      <c r="C729" s="4">
        <v>159.75872802734301</v>
      </c>
      <c r="D729" s="4">
        <v>39.315799713134702</v>
      </c>
      <c r="E729" s="4">
        <v>24.965089797973601</v>
      </c>
      <c r="F729" s="4">
        <v>235.050857543945</v>
      </c>
      <c r="I729" s="5">
        <f>B729/B728-1</f>
        <v>5.3819245951092221E-4</v>
      </c>
      <c r="J729" s="5">
        <f>C729/C728-1</f>
        <v>-5.9751915999485261E-3</v>
      </c>
      <c r="K729" s="5">
        <f>D729/D728-1</f>
        <v>6.7049843046658175E-3</v>
      </c>
      <c r="L729" s="5">
        <f>E729/E728-1</f>
        <v>-2.8653355944090908E-2</v>
      </c>
      <c r="M729" s="5">
        <f>F729/F728-1</f>
        <v>-1.9033711297035127E-3</v>
      </c>
      <c r="N729" s="5">
        <f>SUMPRODUCT(I729:M729,$AJ$13:$AN$13)</f>
        <v>-1.0493072868578856E-2</v>
      </c>
      <c r="P729" s="2" t="s">
        <v>720</v>
      </c>
      <c r="Q729" s="10" cm="1">
        <f t="array" aca="1" ref="Q729:U729" ca="1">_xlfn.LET(_xlpm.array,_xlfn.RANDARRAY(1,COLUMNS(_xlfn.ANCHORARRAY(Q728)),0,1,FALSE),_xlpm.array/SUM(_xlpm.array))</f>
        <v>0.35992357582418116</v>
      </c>
      <c r="R729" s="2">
        <f ca="1"/>
        <v>0.26896165526790033</v>
      </c>
      <c r="S729" s="2">
        <f ca="1"/>
        <v>5.6769617469367831E-2</v>
      </c>
      <c r="T729" s="2">
        <f ca="1"/>
        <v>0.30070978484223182</v>
      </c>
      <c r="U729" s="2">
        <f ca="1"/>
        <v>1.3635366596318905E-2</v>
      </c>
      <c r="V729" s="12"/>
      <c r="X729" s="2" cm="1">
        <f t="array" aca="1" ref="X729" ca="1">MMULT(MMULT(_xlfn.ANCHORARRAY(Q729),$Q$9:$U$13),TRANSPOSE(_xlfn.ANCHORARRAY(Q729)))</f>
        <v>3.364234989471647E-4</v>
      </c>
      <c r="Y729" s="2">
        <f t="shared" ca="1" si="26"/>
        <v>1.8341851022924724E-2</v>
      </c>
      <c r="Z729" s="2" cm="1">
        <f t="array" aca="1" ref="Z729" ca="1">MMULT(_xlfn.ANCHORARRAY(Q729),TRANSPOSE($Q$3:$U$3))</f>
        <v>7.8916934141474288E-4</v>
      </c>
      <c r="AA729" s="11">
        <f ca="1">AVEDEV(Q729*$Q$3,R729*$R$3,S729*$S$3,T729*$T$3,U729*$U$3)</f>
        <v>8.5217908681242251E-5</v>
      </c>
      <c r="AB729" s="11" cm="1">
        <f t="array" aca="1" ref="AB729" ca="1">MMULT(_xlfn.ANCHORARRAY(Q729),TRANSPOSE($Q$6:$U$6))</f>
        <v>-2.2700307139665279E-2</v>
      </c>
      <c r="AD729" s="2" t="s">
        <v>720</v>
      </c>
      <c r="AE729" s="10" cm="1">
        <f t="array" aca="1" ref="AE729:AI729" ca="1">_xlfn.LET(_xlpm.array,_xlfn.RANDARRAY(1,COLUMNS(_xlfn.ANCHORARRAY(Q728)),-1,1,FALSE),_xlpm.array/SUM(_xlpm.array))</f>
        <v>0.35880922374266094</v>
      </c>
      <c r="AF729" s="10">
        <f ca="1"/>
        <v>0.33865164909418743</v>
      </c>
      <c r="AG729" s="10">
        <f ca="1"/>
        <v>0.23870026620933726</v>
      </c>
      <c r="AH729" s="10">
        <f ca="1"/>
        <v>-0.24717715718758121</v>
      </c>
      <c r="AI729" s="10">
        <f ca="1"/>
        <v>0.31101601814139557</v>
      </c>
      <c r="AJ729" s="1"/>
      <c r="AK729" s="2" cm="1">
        <f t="array" aca="1" ref="AK729" ca="1">MMULT(MMULT(_xlfn.ANCHORARRAY(AE729),$Q$9:$U$13),TRANSPOSE(_xlfn.ANCHORARRAY(AE729)))</f>
        <v>3.2631452282172989E-4</v>
      </c>
      <c r="AL729" s="2">
        <f t="shared" ca="1" si="27"/>
        <v>1.8064177889450986E-2</v>
      </c>
      <c r="AM729" s="2" cm="1">
        <f t="array" aca="1" ref="AM729" ca="1">MMULT(_xlfn.ANCHORARRAY(AE730),TRANSPOSE($Q$3:$U$3))</f>
        <v>8.5109127223820691E-4</v>
      </c>
    </row>
    <row r="730" spans="1:39" x14ac:dyDescent="0.35">
      <c r="A730" s="3">
        <v>44886</v>
      </c>
      <c r="B730" s="4">
        <v>34.093532562255803</v>
      </c>
      <c r="C730" s="4">
        <v>158.23089599609301</v>
      </c>
      <c r="D730" s="4">
        <v>38.408653259277301</v>
      </c>
      <c r="E730" s="4">
        <v>24.854621887206999</v>
      </c>
      <c r="F730" s="4">
        <v>235.85964965820301</v>
      </c>
      <c r="I730" s="5">
        <f>B730/B729-1</f>
        <v>3.226632033738408E-3</v>
      </c>
      <c r="J730" s="5">
        <f>C730/C729-1</f>
        <v>-9.5633712793989911E-3</v>
      </c>
      <c r="K730" s="5">
        <f>D730/D729-1</f>
        <v>-2.3073330835855721E-2</v>
      </c>
      <c r="L730" s="5">
        <f>E730/E729-1</f>
        <v>-4.4248953903449628E-3</v>
      </c>
      <c r="M730" s="5">
        <f>F730/F729-1</f>
        <v>3.4409239034867145E-3</v>
      </c>
      <c r="N730" s="5">
        <f>SUMPRODUCT(I730:M730,$AJ$13:$AN$13)</f>
        <v>-1.3551658322031009E-2</v>
      </c>
      <c r="P730" s="2" t="s">
        <v>721</v>
      </c>
      <c r="Q730" s="10" cm="1">
        <f t="array" aca="1" ref="Q730:U730" ca="1">_xlfn.LET(_xlpm.array,_xlfn.RANDARRAY(1,COLUMNS(_xlfn.ANCHORARRAY(Q729)),0,1,FALSE),_xlpm.array/SUM(_xlpm.array))</f>
        <v>0.28096150600833159</v>
      </c>
      <c r="R730" s="2">
        <f ca="1"/>
        <v>0.1455298368890364</v>
      </c>
      <c r="S730" s="2">
        <f ca="1"/>
        <v>2.6589044897737175E-2</v>
      </c>
      <c r="T730" s="2">
        <f ca="1"/>
        <v>0.35394228530680516</v>
      </c>
      <c r="U730" s="2">
        <f ca="1"/>
        <v>0.19297732689808964</v>
      </c>
      <c r="V730" s="12"/>
      <c r="X730" s="2" cm="1">
        <f t="array" aca="1" ref="X730" ca="1">MMULT(MMULT(_xlfn.ANCHORARRAY(Q730),$Q$9:$U$13),TRANSPOSE(_xlfn.ANCHORARRAY(Q730)))</f>
        <v>2.8864815963400807E-4</v>
      </c>
      <c r="Y730" s="2">
        <f t="shared" ref="Y730:Y793" ca="1" si="28">SQRT(X730)</f>
        <v>1.6989648602428718E-2</v>
      </c>
      <c r="Z730" s="2" cm="1">
        <f t="array" aca="1" ref="Z730" ca="1">MMULT(_xlfn.ANCHORARRAY(Q730),TRANSPOSE($Q$3:$U$3))</f>
        <v>8.0144277609968753E-4</v>
      </c>
      <c r="AA730" s="11">
        <f ca="1">AVEDEV(Q730*$Q$3,R730*$R$3,S730*$S$3,T730*$T$3,U730*$U$3)</f>
        <v>8.0521978155547998E-5</v>
      </c>
      <c r="AB730" s="11" cm="1">
        <f t="array" aca="1" ref="AB730" ca="1">MMULT(_xlfn.ANCHORARRAY(Q730),TRANSPOSE($Q$6:$U$6))</f>
        <v>-2.2581602636743945E-2</v>
      </c>
      <c r="AD730" s="2" t="s">
        <v>721</v>
      </c>
      <c r="AE730" s="10" cm="1">
        <f t="array" aca="1" ref="AE730:AI730" ca="1">_xlfn.LET(_xlpm.array,_xlfn.RANDARRAY(1,COLUMNS(_xlfn.ANCHORARRAY(Q729)),-1,1,FALSE),_xlpm.array/SUM(_xlpm.array))</f>
        <v>0.80919953936864941</v>
      </c>
      <c r="AF730" s="10">
        <f ca="1"/>
        <v>-0.88973928672790015</v>
      </c>
      <c r="AG730" s="10">
        <f ca="1"/>
        <v>8.2263681574417186E-2</v>
      </c>
      <c r="AH730" s="10">
        <f ca="1"/>
        <v>0.74936513290561202</v>
      </c>
      <c r="AI730" s="10">
        <f ca="1"/>
        <v>0.24891093287922156</v>
      </c>
      <c r="AJ730" s="1"/>
      <c r="AK730" s="2" cm="1">
        <f t="array" aca="1" ref="AK730" ca="1">MMULT(MMULT(_xlfn.ANCHORARRAY(AE730),$Q$9:$U$13),TRANSPOSE(_xlfn.ANCHORARRAY(AE730)))</f>
        <v>5.0493384549161894E-4</v>
      </c>
      <c r="AL730" s="2">
        <f t="shared" ref="AL730:AL793" ca="1" si="29">SQRT(AK730)</f>
        <v>2.2470733087543427E-2</v>
      </c>
      <c r="AM730" s="2" cm="1">
        <f t="array" aca="1" ref="AM730" ca="1">MMULT(_xlfn.ANCHORARRAY(AE731),TRANSPOSE($Q$3:$U$3))</f>
        <v>0.11381409057943867</v>
      </c>
    </row>
    <row r="731" spans="1:39" x14ac:dyDescent="0.35">
      <c r="A731" s="3">
        <v>44887</v>
      </c>
      <c r="B731" s="4">
        <v>34.258022308349602</v>
      </c>
      <c r="C731" s="4">
        <v>162.29054260253901</v>
      </c>
      <c r="D731" s="4">
        <v>41.008506774902301</v>
      </c>
      <c r="E731" s="4">
        <v>26.136018753051701</v>
      </c>
      <c r="F731" s="4">
        <v>238.76344299316401</v>
      </c>
      <c r="I731" s="5">
        <f>B731/B730-1</f>
        <v>4.8246612695073132E-3</v>
      </c>
      <c r="J731" s="5">
        <f>C731/C730-1</f>
        <v>2.5656472339929293E-2</v>
      </c>
      <c r="K731" s="5">
        <f>D731/D730-1</f>
        <v>6.7689265178727087E-2</v>
      </c>
      <c r="L731" s="5">
        <f>E731/E730-1</f>
        <v>5.1555677316670545E-2</v>
      </c>
      <c r="M731" s="5">
        <f>F731/F730-1</f>
        <v>1.2311530773360557E-2</v>
      </c>
      <c r="N731" s="5">
        <f>SUMPRODUCT(I731:M731,$AJ$13:$AN$13)</f>
        <v>6.121038148392826E-2</v>
      </c>
      <c r="P731" s="2" t="s">
        <v>722</v>
      </c>
      <c r="Q731" s="10" cm="1">
        <f t="array" aca="1" ref="Q731:U731" ca="1">_xlfn.LET(_xlpm.array,_xlfn.RANDARRAY(1,COLUMNS(_xlfn.ANCHORARRAY(Q730)),0,1,FALSE),_xlpm.array/SUM(_xlpm.array))</f>
        <v>0.3123203929541698</v>
      </c>
      <c r="R731" s="2">
        <f ca="1"/>
        <v>0.12584965409012269</v>
      </c>
      <c r="S731" s="2">
        <f ca="1"/>
        <v>0.27640437991121897</v>
      </c>
      <c r="T731" s="2">
        <f ca="1"/>
        <v>0.14255191160963601</v>
      </c>
      <c r="U731" s="2">
        <f ca="1"/>
        <v>0.14287366143485258</v>
      </c>
      <c r="V731" s="12"/>
      <c r="X731" s="2" cm="1">
        <f t="array" aca="1" ref="X731" ca="1">MMULT(MMULT(_xlfn.ANCHORARRAY(Q731),$Q$9:$U$13),TRANSPOSE(_xlfn.ANCHORARRAY(Q731)))</f>
        <v>3.0410663018528075E-4</v>
      </c>
      <c r="Y731" s="2">
        <f t="shared" ca="1" si="28"/>
        <v>1.7438653336346841E-2</v>
      </c>
      <c r="Z731" s="2" cm="1">
        <f t="array" aca="1" ref="Z731" ca="1">MMULT(_xlfn.ANCHORARRAY(Q731),TRANSPOSE($Q$3:$U$3))</f>
        <v>9.5442786588850444E-4</v>
      </c>
      <c r="AA731" s="11">
        <f ca="1">AVEDEV(Q731*$Q$3,R731*$R$3,S731*$S$3,T731*$T$3,U731*$U$3)</f>
        <v>1.03198141402521E-4</v>
      </c>
      <c r="AB731" s="11" cm="1">
        <f t="array" aca="1" ref="AB731" ca="1">MMULT(_xlfn.ANCHORARRAY(Q731),TRANSPOSE($Q$6:$U$6))</f>
        <v>-2.3308721654560605E-2</v>
      </c>
      <c r="AD731" s="2" t="s">
        <v>722</v>
      </c>
      <c r="AE731" s="10" cm="1">
        <f t="array" aca="1" ref="AE731:AI731" ca="1">_xlfn.LET(_xlpm.array,_xlfn.RANDARRAY(1,COLUMNS(_xlfn.ANCHORARRAY(Q730)),-1,1,FALSE),_xlpm.array/SUM(_xlpm.array))</f>
        <v>161.18891200029981</v>
      </c>
      <c r="AF731" s="10">
        <f ca="1"/>
        <v>-169.22877490150972</v>
      </c>
      <c r="AG731" s="10">
        <f ca="1"/>
        <v>172.32842236977126</v>
      </c>
      <c r="AH731" s="10">
        <f ca="1"/>
        <v>1.9406106461693668</v>
      </c>
      <c r="AI731" s="10">
        <f ca="1"/>
        <v>-165.22917011473072</v>
      </c>
      <c r="AJ731" s="1"/>
      <c r="AK731" s="2" cm="1">
        <f t="array" aca="1" ref="AK731" ca="1">MMULT(MMULT(_xlfn.ANCHORARRAY(AE731),$Q$9:$U$13),TRANSPOSE(_xlfn.ANCHORARRAY(AE731)))</f>
        <v>30.601172623051745</v>
      </c>
      <c r="AL731" s="2">
        <f t="shared" ca="1" si="29"/>
        <v>5.5318326640501105</v>
      </c>
      <c r="AM731" s="2" cm="1">
        <f t="array" aca="1" ref="AM731" ca="1">MMULT(_xlfn.ANCHORARRAY(AE732),TRANSPOSE($Q$3:$U$3))</f>
        <v>8.6291823004872948E-4</v>
      </c>
    </row>
    <row r="732" spans="1:39" x14ac:dyDescent="0.35">
      <c r="A732" s="3">
        <v>44888</v>
      </c>
      <c r="B732" s="4">
        <v>34.367671966552699</v>
      </c>
      <c r="C732" s="4">
        <v>160.850006103515</v>
      </c>
      <c r="D732" s="4">
        <v>41.7192573547363</v>
      </c>
      <c r="E732" s="4">
        <v>26.496864318847599</v>
      </c>
      <c r="F732" s="4">
        <v>241.24821472167901</v>
      </c>
      <c r="I732" s="5">
        <f>B732/B731-1</f>
        <v>3.2007001810017144E-3</v>
      </c>
      <c r="J732" s="5">
        <f>C732/C731-1</f>
        <v>-8.8762812417971793E-3</v>
      </c>
      <c r="K732" s="5">
        <f>D732/D731-1</f>
        <v>1.7331783957297953E-2</v>
      </c>
      <c r="L732" s="5">
        <f>E732/E731-1</f>
        <v>1.3806447309568259E-2</v>
      </c>
      <c r="M732" s="5">
        <f>F732/F731-1</f>
        <v>1.0406834887978E-2</v>
      </c>
      <c r="N732" s="5">
        <f>SUMPRODUCT(I732:M732,$AJ$13:$AN$13)</f>
        <v>1.8316815359463921E-2</v>
      </c>
      <c r="P732" s="2" t="s">
        <v>723</v>
      </c>
      <c r="Q732" s="10" cm="1">
        <f t="array" aca="1" ref="Q732:U732" ca="1">_xlfn.LET(_xlpm.array,_xlfn.RANDARRAY(1,COLUMNS(_xlfn.ANCHORARRAY(Q731)),0,1,FALSE),_xlpm.array/SUM(_xlpm.array))</f>
        <v>0.19514559537297169</v>
      </c>
      <c r="R732" s="2">
        <f ca="1"/>
        <v>0.17873892554699797</v>
      </c>
      <c r="S732" s="2">
        <f ca="1"/>
        <v>3.2230100173319572E-2</v>
      </c>
      <c r="T732" s="2">
        <f ca="1"/>
        <v>0.18154519864733262</v>
      </c>
      <c r="U732" s="2">
        <f ca="1"/>
        <v>0.41234018025937824</v>
      </c>
      <c r="V732" s="12"/>
      <c r="X732" s="2" cm="1">
        <f t="array" aca="1" ref="X732" ca="1">MMULT(MMULT(_xlfn.ANCHORARRAY(Q732),$Q$9:$U$13),TRANSPOSE(_xlfn.ANCHORARRAY(Q732)))</f>
        <v>2.4458346264106455E-4</v>
      </c>
      <c r="Y732" s="2">
        <f t="shared" ca="1" si="28"/>
        <v>1.5639164384360967E-2</v>
      </c>
      <c r="Z732" s="2" cm="1">
        <f t="array" aca="1" ref="Z732" ca="1">MMULT(_xlfn.ANCHORARRAY(Q732),TRANSPOSE($Q$3:$U$3))</f>
        <v>7.828955125636297E-4</v>
      </c>
      <c r="AA732" s="11">
        <f ca="1">AVEDEV(Q732*$Q$3,R732*$R$3,S732*$S$3,T732*$T$3,U732*$U$3)</f>
        <v>7.5076576148976019E-5</v>
      </c>
      <c r="AB732" s="11" cm="1">
        <f t="array" aca="1" ref="AB732" ca="1">MMULT(_xlfn.ANCHORARRAY(Q732),TRANSPOSE($Q$6:$U$6))</f>
        <v>-2.1642017367646788E-2</v>
      </c>
      <c r="AD732" s="2" t="s">
        <v>723</v>
      </c>
      <c r="AE732" s="10" cm="1">
        <f t="array" aca="1" ref="AE732:AI732" ca="1">_xlfn.LET(_xlpm.array,_xlfn.RANDARRAY(1,COLUMNS(_xlfn.ANCHORARRAY(Q731)),-1,1,FALSE),_xlpm.array/SUM(_xlpm.array))</f>
        <v>0.21923224055177359</v>
      </c>
      <c r="AF732" s="10">
        <f ca="1"/>
        <v>0.31782659637044347</v>
      </c>
      <c r="AG732" s="10">
        <f ca="1"/>
        <v>0.21348921575391311</v>
      </c>
      <c r="AH732" s="10">
        <f ca="1"/>
        <v>-7.0477557150541062E-2</v>
      </c>
      <c r="AI732" s="10">
        <f ca="1"/>
        <v>0.31992950447441099</v>
      </c>
      <c r="AJ732" s="1"/>
      <c r="AK732" s="2" cm="1">
        <f t="array" aca="1" ref="AK732" ca="1">MMULT(MMULT(_xlfn.ANCHORARRAY(AE732),$Q$9:$U$13),TRANSPOSE(_xlfn.ANCHORARRAY(AE732)))</f>
        <v>2.7986655786906489E-4</v>
      </c>
      <c r="AL732" s="2">
        <f t="shared" ca="1" si="29"/>
        <v>1.6729212709182248E-2</v>
      </c>
      <c r="AM732" s="2" cm="1">
        <f t="array" aca="1" ref="AM732" ca="1">MMULT(_xlfn.ANCHORARRAY(AE733),TRANSPOSE($Q$3:$U$3))</f>
        <v>1.2455882508330716E-4</v>
      </c>
    </row>
    <row r="733" spans="1:39" x14ac:dyDescent="0.35">
      <c r="A733" s="3">
        <v>44890</v>
      </c>
      <c r="B733" s="4">
        <v>34.449913024902301</v>
      </c>
      <c r="C733" s="4">
        <v>160.37857055664</v>
      </c>
      <c r="D733" s="4">
        <v>41.737960815429602</v>
      </c>
      <c r="E733" s="4">
        <v>27.108110427856399</v>
      </c>
      <c r="F733" s="4">
        <v>241.16049194335901</v>
      </c>
      <c r="I733" s="5">
        <f>B733/B732-1</f>
        <v>2.392977284863651E-3</v>
      </c>
      <c r="J733" s="5">
        <f>C733/C732-1</f>
        <v>-2.9309016411949163E-3</v>
      </c>
      <c r="K733" s="5">
        <f>D733/D732-1</f>
        <v>4.4831720119731244E-4</v>
      </c>
      <c r="L733" s="5">
        <f>E733/E732-1</f>
        <v>2.3068620560283026E-2</v>
      </c>
      <c r="M733" s="5">
        <f>F733/F732-1</f>
        <v>-3.6362042480275747E-4</v>
      </c>
      <c r="N733" s="5">
        <f>SUMPRODUCT(I733:M733,$AJ$13:$AN$13)</f>
        <v>1.0294863428062269E-2</v>
      </c>
      <c r="P733" s="2" t="s">
        <v>724</v>
      </c>
      <c r="Q733" s="10" cm="1">
        <f t="array" aca="1" ref="Q733:U733" ca="1">_xlfn.LET(_xlpm.array,_xlfn.RANDARRAY(1,COLUMNS(_xlfn.ANCHORARRAY(Q732)),0,1,FALSE),_xlpm.array/SUM(_xlpm.array))</f>
        <v>0.33553114157073299</v>
      </c>
      <c r="R733" s="2">
        <f ca="1"/>
        <v>0.15410803967366993</v>
      </c>
      <c r="S733" s="2">
        <f ca="1"/>
        <v>0.2555799659709494</v>
      </c>
      <c r="T733" s="2">
        <f ca="1"/>
        <v>0.1968599882773682</v>
      </c>
      <c r="U733" s="2">
        <f ca="1"/>
        <v>5.7920864507279561E-2</v>
      </c>
      <c r="V733" s="12"/>
      <c r="X733" s="2" cm="1">
        <f t="array" aca="1" ref="X733" ca="1">MMULT(MMULT(_xlfn.ANCHORARRAY(Q733),$Q$9:$U$13),TRANSPOSE(_xlfn.ANCHORARRAY(Q733)))</f>
        <v>3.1772966818204116E-4</v>
      </c>
      <c r="Y733" s="2">
        <f t="shared" ca="1" si="28"/>
        <v>1.7824973160766363E-2</v>
      </c>
      <c r="Z733" s="2" cm="1">
        <f t="array" aca="1" ref="Z733" ca="1">MMULT(_xlfn.ANCHORARRAY(Q733),TRANSPOSE($Q$3:$U$3))</f>
        <v>9.4354674423097261E-4</v>
      </c>
      <c r="AA733" s="11">
        <f ca="1">AVEDEV(Q733*$Q$3,R733*$R$3,S733*$S$3,T733*$T$3,U733*$U$3)</f>
        <v>9.5503560112068241E-5</v>
      </c>
      <c r="AB733" s="11" cm="1">
        <f t="array" aca="1" ref="AB733" ca="1">MMULT(_xlfn.ANCHORARRAY(Q733),TRANSPOSE($Q$6:$U$6))</f>
        <v>-2.3483489013978252E-2</v>
      </c>
      <c r="AD733" s="2" t="s">
        <v>724</v>
      </c>
      <c r="AE733" s="10" cm="1">
        <f t="array" aca="1" ref="AE733:AI733" ca="1">_xlfn.LET(_xlpm.array,_xlfn.RANDARRAY(1,COLUMNS(_xlfn.ANCHORARRAY(Q732)),-1,1,FALSE),_xlpm.array/SUM(_xlpm.array))</f>
        <v>0.60166966682014145</v>
      </c>
      <c r="AF733" s="10">
        <f ca="1"/>
        <v>0.35376804929026467</v>
      </c>
      <c r="AG733" s="10">
        <f ca="1"/>
        <v>-0.61239201197994586</v>
      </c>
      <c r="AH733" s="10">
        <f ca="1"/>
        <v>0.20438407122571739</v>
      </c>
      <c r="AI733" s="10">
        <f ca="1"/>
        <v>0.45257022464382235</v>
      </c>
      <c r="AJ733" s="1"/>
      <c r="AK733" s="2" cm="1">
        <f t="array" aca="1" ref="AK733" ca="1">MMULT(MMULT(_xlfn.ANCHORARRAY(AE733),$Q$9:$U$13),TRANSPOSE(_xlfn.ANCHORARRAY(AE733)))</f>
        <v>5.7540933083229388E-4</v>
      </c>
      <c r="AL733" s="2">
        <f t="shared" ca="1" si="29"/>
        <v>2.398769123597129E-2</v>
      </c>
      <c r="AM733" s="2" cm="1">
        <f t="array" aca="1" ref="AM733" ca="1">MMULT(_xlfn.ANCHORARRAY(AE734),TRANSPOSE($Q$3:$U$3))</f>
        <v>1.1069373610902706E-3</v>
      </c>
    </row>
    <row r="734" spans="1:39" x14ac:dyDescent="0.35">
      <c r="A734" s="3">
        <v>44893</v>
      </c>
      <c r="B734" s="4">
        <v>33.682327270507798</v>
      </c>
      <c r="C734" s="4">
        <v>155.71652221679599</v>
      </c>
      <c r="D734" s="4">
        <v>40.756008148193303</v>
      </c>
      <c r="E734" s="4">
        <v>26.666244506835898</v>
      </c>
      <c r="F734" s="4">
        <v>235.577056884765</v>
      </c>
      <c r="I734" s="5">
        <f>B734/B733-1</f>
        <v>-2.228121022655849E-2</v>
      </c>
      <c r="J734" s="5">
        <f>C734/C733-1</f>
        <v>-2.9069022897903585E-2</v>
      </c>
      <c r="K734" s="5">
        <f>D734/D733-1</f>
        <v>-2.3526608584895081E-2</v>
      </c>
      <c r="L734" s="5">
        <f>E734/E733-1</f>
        <v>-1.6300137266905823E-2</v>
      </c>
      <c r="M734" s="5">
        <f>F734/F733-1</f>
        <v>-2.3152362203280652E-2</v>
      </c>
      <c r="N734" s="5">
        <f>SUMPRODUCT(I734:M734,$AJ$13:$AN$13)</f>
        <v>-2.0203584347609164E-2</v>
      </c>
      <c r="P734" s="2" t="s">
        <v>725</v>
      </c>
      <c r="Q734" s="10" cm="1">
        <f t="array" aca="1" ref="Q734:U734" ca="1">_xlfn.LET(_xlpm.array,_xlfn.RANDARRAY(1,COLUMNS(_xlfn.ANCHORARRAY(Q733)),0,1,FALSE),_xlpm.array/SUM(_xlpm.array))</f>
        <v>0.27307935570343556</v>
      </c>
      <c r="R734" s="2">
        <f ca="1"/>
        <v>0.18010596390051087</v>
      </c>
      <c r="S734" s="2">
        <f ca="1"/>
        <v>0.10990554440982239</v>
      </c>
      <c r="T734" s="2">
        <f ca="1"/>
        <v>0.20051363870957123</v>
      </c>
      <c r="U734" s="2">
        <f ca="1"/>
        <v>0.23639549727665995</v>
      </c>
      <c r="V734" s="12"/>
      <c r="X734" s="2" cm="1">
        <f t="array" aca="1" ref="X734" ca="1">MMULT(MMULT(_xlfn.ANCHORARRAY(Q734),$Q$9:$U$13),TRANSPOSE(_xlfn.ANCHORARRAY(Q734)))</f>
        <v>2.6558520439968076E-4</v>
      </c>
      <c r="Y734" s="2">
        <f t="shared" ca="1" si="28"/>
        <v>1.6296785093989574E-2</v>
      </c>
      <c r="Z734" s="2" cm="1">
        <f t="array" aca="1" ref="Z734" ca="1">MMULT(_xlfn.ANCHORARRAY(Q734),TRANSPOSE($Q$3:$U$3))</f>
        <v>8.3445482078569548E-4</v>
      </c>
      <c r="AA734" s="11">
        <f ca="1">AVEDEV(Q734*$Q$3,R734*$R$3,S734*$S$3,T734*$T$3,U734*$U$3)</f>
        <v>2.5387985096570142E-5</v>
      </c>
      <c r="AB734" s="11" cm="1">
        <f t="array" aca="1" ref="AB734" ca="1">MMULT(_xlfn.ANCHORARRAY(Q734),TRANSPOSE($Q$6:$U$6))</f>
        <v>-2.2398836817058891E-2</v>
      </c>
      <c r="AD734" s="2" t="s">
        <v>725</v>
      </c>
      <c r="AE734" s="10" cm="1">
        <f t="array" aca="1" ref="AE734:AI734" ca="1">_xlfn.LET(_xlpm.array,_xlfn.RANDARRAY(1,COLUMNS(_xlfn.ANCHORARRAY(Q733)),-1,1,FALSE),_xlpm.array/SUM(_xlpm.array))</f>
        <v>0.31387102789527577</v>
      </c>
      <c r="AF734" s="10">
        <f ca="1"/>
        <v>-0.21071683577996236</v>
      </c>
      <c r="AG734" s="10">
        <f ca="1"/>
        <v>0.42664913580890551</v>
      </c>
      <c r="AH734" s="10">
        <f ca="1"/>
        <v>0.18996874912510214</v>
      </c>
      <c r="AI734" s="10">
        <f ca="1"/>
        <v>0.28022792295067883</v>
      </c>
      <c r="AJ734" s="1"/>
      <c r="AK734" s="2" cm="1">
        <f t="array" aca="1" ref="AK734" ca="1">MMULT(MMULT(_xlfn.ANCHORARRAY(AE734),$Q$9:$U$13),TRANSPOSE(_xlfn.ANCHORARRAY(AE734)))</f>
        <v>3.7071687225683338E-4</v>
      </c>
      <c r="AL734" s="2">
        <f t="shared" ca="1" si="29"/>
        <v>1.9254009251499633E-2</v>
      </c>
      <c r="AM734" s="2" cm="1">
        <f t="array" aca="1" ref="AM734" ca="1">MMULT(_xlfn.ANCHORARRAY(AE735),TRANSPOSE($Q$3:$U$3))</f>
        <v>8.3066462418546205E-4</v>
      </c>
    </row>
    <row r="735" spans="1:39" x14ac:dyDescent="0.35">
      <c r="A735" s="3">
        <v>44894</v>
      </c>
      <c r="B735" s="4">
        <v>33.810256958007798</v>
      </c>
      <c r="C735" s="4">
        <v>158.04754638671801</v>
      </c>
      <c r="D735" s="4">
        <v>40.699882507324197</v>
      </c>
      <c r="E735" s="4">
        <v>27.719345092773398</v>
      </c>
      <c r="F735" s="4">
        <v>234.18363952636699</v>
      </c>
      <c r="I735" s="5">
        <f>B735/B734-1</f>
        <v>3.7981249476195522E-3</v>
      </c>
      <c r="J735" s="5">
        <f>C735/C734-1</f>
        <v>1.4969664983120134E-2</v>
      </c>
      <c r="K735" s="5">
        <f>D735/D734-1</f>
        <v>-1.3771132998361413E-3</v>
      </c>
      <c r="L735" s="5">
        <f>E735/E734-1</f>
        <v>3.9491897168629775E-2</v>
      </c>
      <c r="M735" s="5">
        <f>F735/F734-1</f>
        <v>-5.9149111412815092E-3</v>
      </c>
      <c r="N735" s="5">
        <f>SUMPRODUCT(I735:M735,$AJ$13:$AN$13)</f>
        <v>1.4171067234238612E-2</v>
      </c>
      <c r="P735" s="2" t="s">
        <v>726</v>
      </c>
      <c r="Q735" s="10" cm="1">
        <f t="array" aca="1" ref="Q735:U735" ca="1">_xlfn.LET(_xlpm.array,_xlfn.RANDARRAY(1,COLUMNS(_xlfn.ANCHORARRAY(Q734)),0,1,FALSE),_xlpm.array/SUM(_xlpm.array))</f>
        <v>0.18933991773553852</v>
      </c>
      <c r="R735" s="2">
        <f ca="1"/>
        <v>0.23246915662332998</v>
      </c>
      <c r="S735" s="2">
        <f ca="1"/>
        <v>0.14374589575688193</v>
      </c>
      <c r="T735" s="2">
        <f ca="1"/>
        <v>0.13461185509608292</v>
      </c>
      <c r="U735" s="2">
        <f ca="1"/>
        <v>0.29983317478816651</v>
      </c>
      <c r="V735" s="12"/>
      <c r="X735" s="2" cm="1">
        <f t="array" aca="1" ref="X735" ca="1">MMULT(MMULT(_xlfn.ANCHORARRAY(Q735),$Q$9:$U$13),TRANSPOSE(_xlfn.ANCHORARRAY(Q735)))</f>
        <v>2.5766667984977699E-4</v>
      </c>
      <c r="Y735" s="2">
        <f t="shared" ca="1" si="28"/>
        <v>1.6051999247750325E-2</v>
      </c>
      <c r="Z735" s="2" cm="1">
        <f t="array" aca="1" ref="Z735" ca="1">MMULT(_xlfn.ANCHORARRAY(Q735),TRANSPOSE($Q$3:$U$3))</f>
        <v>8.6628312952483999E-4</v>
      </c>
      <c r="AA735" s="11">
        <f ca="1">AVEDEV(Q735*$Q$3,R735*$R$3,S735*$S$3,T735*$T$3,U735*$U$3)</f>
        <v>4.6503497005398315E-5</v>
      </c>
      <c r="AB735" s="11" cm="1">
        <f t="array" aca="1" ref="AB735" ca="1">MMULT(_xlfn.ANCHORARRAY(Q735),TRANSPOSE($Q$6:$U$6))</f>
        <v>-2.2205415585381562E-2</v>
      </c>
      <c r="AD735" s="2" t="s">
        <v>726</v>
      </c>
      <c r="AE735" s="10" cm="1">
        <f t="array" aca="1" ref="AE735:AI735" ca="1">_xlfn.LET(_xlpm.array,_xlfn.RANDARRAY(1,COLUMNS(_xlfn.ANCHORARRAY(Q734)),-1,1,FALSE),_xlpm.array/SUM(_xlpm.array))</f>
        <v>0.24709947985319264</v>
      </c>
      <c r="AF735" s="10">
        <f ca="1"/>
        <v>0.36899271854727456</v>
      </c>
      <c r="AG735" s="10">
        <f ca="1"/>
        <v>0.10527001639676695</v>
      </c>
      <c r="AH735" s="10">
        <f ca="1"/>
        <v>0.20076305778743261</v>
      </c>
      <c r="AI735" s="10">
        <f ca="1"/>
        <v>7.7874727415333272E-2</v>
      </c>
      <c r="AJ735" s="1"/>
      <c r="AK735" s="2" cm="1">
        <f t="array" aca="1" ref="AK735" ca="1">MMULT(MMULT(_xlfn.ANCHORARRAY(AE735),$Q$9:$U$13),TRANSPOSE(_xlfn.ANCHORARRAY(AE735)))</f>
        <v>3.0839568535241636E-4</v>
      </c>
      <c r="AL735" s="2">
        <f t="shared" ca="1" si="29"/>
        <v>1.7561198289194741E-2</v>
      </c>
      <c r="AM735" s="2" cm="1">
        <f t="array" aca="1" ref="AM735" ca="1">MMULT(_xlfn.ANCHORARRAY(AE736),TRANSPOSE($Q$3:$U$3))</f>
        <v>8.1730581879239743E-4</v>
      </c>
    </row>
    <row r="736" spans="1:39" x14ac:dyDescent="0.35">
      <c r="A736" s="3">
        <v>44895</v>
      </c>
      <c r="B736" s="4">
        <v>34.5869750976562</v>
      </c>
      <c r="C736" s="4">
        <v>160.03807067871</v>
      </c>
      <c r="D736" s="4">
        <v>41.887596130371001</v>
      </c>
      <c r="E736" s="4">
        <v>28.337953567504801</v>
      </c>
      <c r="F736" s="4">
        <v>248.61485290527301</v>
      </c>
      <c r="I736" s="5">
        <f>B736/B735-1</f>
        <v>2.2972855267355152E-2</v>
      </c>
      <c r="J736" s="5">
        <f>C736/C735-1</f>
        <v>1.2594465004356792E-2</v>
      </c>
      <c r="K736" s="5">
        <f>D736/D735-1</f>
        <v>2.9182237143634771E-2</v>
      </c>
      <c r="L736" s="5">
        <f>E736/E735-1</f>
        <v>2.2316850295740931E-2</v>
      </c>
      <c r="M736" s="5">
        <f>F736/F735-1</f>
        <v>6.1623490898394806E-2</v>
      </c>
      <c r="N736" s="5">
        <f>SUMPRODUCT(I736:M736,$AJ$13:$AN$13)</f>
        <v>3.9150490190810766E-2</v>
      </c>
      <c r="P736" s="2" t="s">
        <v>727</v>
      </c>
      <c r="Q736" s="10" cm="1">
        <f t="array" aca="1" ref="Q736:U736" ca="1">_xlfn.LET(_xlpm.array,_xlfn.RANDARRAY(1,COLUMNS(_xlfn.ANCHORARRAY(Q735)),0,1,FALSE),_xlpm.array/SUM(_xlpm.array))</f>
        <v>0.14049112151286955</v>
      </c>
      <c r="R736" s="2">
        <f ca="1"/>
        <v>9.6765042228147496E-2</v>
      </c>
      <c r="S736" s="2">
        <f ca="1"/>
        <v>0.12610484863629126</v>
      </c>
      <c r="T736" s="2">
        <f ca="1"/>
        <v>0.43642406701023229</v>
      </c>
      <c r="U736" s="2">
        <f ca="1"/>
        <v>0.20021492061245938</v>
      </c>
      <c r="V736" s="12"/>
      <c r="X736" s="2" cm="1">
        <f t="array" aca="1" ref="X736" ca="1">MMULT(MMULT(_xlfn.ANCHORARRAY(Q736),$Q$9:$U$13),TRANSPOSE(_xlfn.ANCHORARRAY(Q736)))</f>
        <v>2.9656585323399435E-4</v>
      </c>
      <c r="Y736" s="2">
        <f t="shared" ca="1" si="28"/>
        <v>1.7221087457939304E-2</v>
      </c>
      <c r="Z736" s="2" cm="1">
        <f t="array" aca="1" ref="Z736" ca="1">MMULT(_xlfn.ANCHORARRAY(Q736),TRANSPOSE($Q$3:$U$3))</f>
        <v>9.4585351728941136E-4</v>
      </c>
      <c r="AA736" s="11">
        <f ca="1">AVEDEV(Q736*$Q$3,R736*$R$3,S736*$S$3,T736*$T$3,U736*$U$3)</f>
        <v>1.0892450649032614E-4</v>
      </c>
      <c r="AB736" s="11" cm="1">
        <f t="array" aca="1" ref="AB736" ca="1">MMULT(_xlfn.ANCHORARRAY(Q736),TRANSPOSE($Q$6:$U$6))</f>
        <v>-2.3464886190330561E-2</v>
      </c>
      <c r="AD736" s="2" t="s">
        <v>727</v>
      </c>
      <c r="AE736" s="10" cm="1">
        <f t="array" aca="1" ref="AE736:AI736" ca="1">_xlfn.LET(_xlpm.array,_xlfn.RANDARRAY(1,COLUMNS(_xlfn.ANCHORARRAY(Q735)),-1,1,FALSE),_xlpm.array/SUM(_xlpm.array))</f>
        <v>0.26742239067930179</v>
      </c>
      <c r="AF736" s="10">
        <f ca="1"/>
        <v>0.31904345560644753</v>
      </c>
      <c r="AG736" s="10">
        <f ca="1"/>
        <v>7.5692254574961731E-2</v>
      </c>
      <c r="AH736" s="10">
        <f ca="1"/>
        <v>0.26128131981639957</v>
      </c>
      <c r="AI736" s="10">
        <f ca="1"/>
        <v>7.6560579322889302E-2</v>
      </c>
      <c r="AJ736" s="1"/>
      <c r="AK736" s="2" cm="1">
        <f t="array" aca="1" ref="AK736" ca="1">MMULT(MMULT(_xlfn.ANCHORARRAY(AE736),$Q$9:$U$13),TRANSPOSE(_xlfn.ANCHORARRAY(AE736)))</f>
        <v>3.1205825106037994E-4</v>
      </c>
      <c r="AL736" s="2">
        <f t="shared" ca="1" si="29"/>
        <v>1.7665170564146272E-2</v>
      </c>
      <c r="AM736" s="2" cm="1">
        <f t="array" aca="1" ref="AM736" ca="1">MMULT(_xlfn.ANCHORARRAY(AE737),TRANSPOSE($Q$3:$U$3))</f>
        <v>1.073958156136942E-3</v>
      </c>
    </row>
    <row r="737" spans="1:39" x14ac:dyDescent="0.35">
      <c r="A737" s="3">
        <v>44896</v>
      </c>
      <c r="B737" s="4">
        <v>33.594310760497997</v>
      </c>
      <c r="C737" s="4">
        <v>159.322174072265</v>
      </c>
      <c r="D737" s="4">
        <v>41.990463256835902</v>
      </c>
      <c r="E737" s="4">
        <v>28.0654697418212</v>
      </c>
      <c r="F737" s="4">
        <v>248.17637634277301</v>
      </c>
      <c r="I737" s="5">
        <f>B737/B736-1</f>
        <v>-2.8700524817663831E-2</v>
      </c>
      <c r="J737" s="5">
        <f>C737/C736-1</f>
        <v>-4.473289408007286E-3</v>
      </c>
      <c r="K737" s="5">
        <f>D737/D736-1</f>
        <v>2.4557896840089466E-3</v>
      </c>
      <c r="L737" s="5">
        <f>E737/E736-1</f>
        <v>-9.6155082276674353E-3</v>
      </c>
      <c r="M737" s="5">
        <f>F737/F736-1</f>
        <v>-1.7636780641865357E-3</v>
      </c>
      <c r="N737" s="5">
        <f>SUMPRODUCT(I737:M737,$AJ$13:$AN$13)</f>
        <v>4.6437314360581149E-3</v>
      </c>
      <c r="P737" s="2" t="s">
        <v>728</v>
      </c>
      <c r="Q737" s="10" cm="1">
        <f t="array" aca="1" ref="Q737:U737" ca="1">_xlfn.LET(_xlpm.array,_xlfn.RANDARRAY(1,COLUMNS(_xlfn.ANCHORARRAY(Q736)),0,1,FALSE),_xlpm.array/SUM(_xlpm.array))</f>
        <v>0.1394606941470069</v>
      </c>
      <c r="R737" s="2">
        <f ca="1"/>
        <v>0.18831841105762537</v>
      </c>
      <c r="S737" s="2">
        <f ca="1"/>
        <v>0.1969454872285345</v>
      </c>
      <c r="T737" s="2">
        <f ca="1"/>
        <v>0.24016328593264924</v>
      </c>
      <c r="U737" s="2">
        <f ca="1"/>
        <v>0.23511212163418396</v>
      </c>
      <c r="V737" s="12"/>
      <c r="X737" s="2" cm="1">
        <f t="array" aca="1" ref="X737" ca="1">MMULT(MMULT(_xlfn.ANCHORARRAY(Q737),$Q$9:$U$13),TRANSPOSE(_xlfn.ANCHORARRAY(Q737)))</f>
        <v>2.7522559473705212E-4</v>
      </c>
      <c r="Y737" s="2">
        <f t="shared" ca="1" si="28"/>
        <v>1.6589924494615764E-2</v>
      </c>
      <c r="Z737" s="2" cm="1">
        <f t="array" aca="1" ref="Z737" ca="1">MMULT(_xlfn.ANCHORARRAY(Q737),TRANSPOSE($Q$3:$U$3))</f>
        <v>9.5341878544741103E-4</v>
      </c>
      <c r="AA737" s="11">
        <f ca="1">AVEDEV(Q737*$Q$3,R737*$R$3,S737*$S$3,T737*$T$3,U737*$U$3)</f>
        <v>7.3530814207156052E-5</v>
      </c>
      <c r="AB737" s="11" cm="1">
        <f t="array" aca="1" ref="AB737" ca="1">MMULT(_xlfn.ANCHORARRAY(Q737),TRANSPOSE($Q$6:$U$6))</f>
        <v>-2.3015791385084965E-2</v>
      </c>
      <c r="AD737" s="2" t="s">
        <v>728</v>
      </c>
      <c r="AE737" s="10" cm="1">
        <f t="array" aca="1" ref="AE737:AI737" ca="1">_xlfn.LET(_xlpm.array,_xlfn.RANDARRAY(1,COLUMNS(_xlfn.ANCHORARRAY(Q736)),-1,1,FALSE),_xlpm.array/SUM(_xlpm.array))</f>
        <v>-4.9464492277472523E-2</v>
      </c>
      <c r="AF737" s="10">
        <f ca="1"/>
        <v>0.63836207113604837</v>
      </c>
      <c r="AG737" s="10">
        <f ca="1"/>
        <v>0.43599135836728359</v>
      </c>
      <c r="AH737" s="10">
        <f ca="1"/>
        <v>-0.21838212721812272</v>
      </c>
      <c r="AI737" s="10">
        <f ca="1"/>
        <v>0.19349318999226336</v>
      </c>
      <c r="AJ737" s="1"/>
      <c r="AK737" s="2" cm="1">
        <f t="array" aca="1" ref="AK737" ca="1">MMULT(MMULT(_xlfn.ANCHORARRAY(AE737),$Q$9:$U$13),TRANSPOSE(_xlfn.ANCHORARRAY(AE737)))</f>
        <v>4.0180061169977309E-4</v>
      </c>
      <c r="AL737" s="2">
        <f t="shared" ca="1" si="29"/>
        <v>2.0044964746782995E-2</v>
      </c>
      <c r="AM737" s="2" cm="1">
        <f t="array" aca="1" ref="AM737" ca="1">MMULT(_xlfn.ANCHORARRAY(AE738),TRANSPOSE($Q$3:$U$3))</f>
        <v>1.1204096487493552E-3</v>
      </c>
    </row>
    <row r="738" spans="1:39" x14ac:dyDescent="0.35">
      <c r="A738" s="3">
        <v>44897</v>
      </c>
      <c r="B738" s="4">
        <v>33.162326812744098</v>
      </c>
      <c r="C738" s="4">
        <v>158.04754638671801</v>
      </c>
      <c r="D738" s="4">
        <v>41.653793334960902</v>
      </c>
      <c r="E738" s="4">
        <v>27.1522922515869</v>
      </c>
      <c r="F738" s="4">
        <v>248.49794006347599</v>
      </c>
      <c r="I738" s="5">
        <f>B738/B737-1</f>
        <v>-1.285884240440649E-2</v>
      </c>
      <c r="J738" s="5">
        <f>C738/C737-1</f>
        <v>-8.0003156683566834E-3</v>
      </c>
      <c r="K738" s="5">
        <f>D738/D737-1</f>
        <v>-8.0177710785362954E-3</v>
      </c>
      <c r="L738" s="5">
        <f>E738/E737-1</f>
        <v>-3.2537402674345683E-2</v>
      </c>
      <c r="M738" s="5">
        <f>F738/F737-1</f>
        <v>1.2957064062328882E-3</v>
      </c>
      <c r="N738" s="5">
        <f>SUMPRODUCT(I738:M738,$AJ$13:$AN$13)</f>
        <v>-1.4964067833811075E-2</v>
      </c>
      <c r="P738" s="2" t="s">
        <v>729</v>
      </c>
      <c r="Q738" s="10" cm="1">
        <f t="array" aca="1" ref="Q738:U738" ca="1">_xlfn.LET(_xlpm.array,_xlfn.RANDARRAY(1,COLUMNS(_xlfn.ANCHORARRAY(Q737)),0,1,FALSE),_xlpm.array/SUM(_xlpm.array))</f>
        <v>0.22603819394260605</v>
      </c>
      <c r="R738" s="2">
        <f ca="1"/>
        <v>8.733686990679361E-2</v>
      </c>
      <c r="S738" s="2">
        <f ca="1"/>
        <v>0.3172207291433613</v>
      </c>
      <c r="T738" s="2">
        <f ca="1"/>
        <v>0.1447694055320424</v>
      </c>
      <c r="U738" s="2">
        <f ca="1"/>
        <v>0.22463480147519652</v>
      </c>
      <c r="V738" s="12"/>
      <c r="X738" s="2" cm="1">
        <f t="array" aca="1" ref="X738" ca="1">MMULT(MMULT(_xlfn.ANCHORARRAY(Q738),$Q$9:$U$13),TRANSPOSE(_xlfn.ANCHORARRAY(Q738)))</f>
        <v>3.0284481888264336E-4</v>
      </c>
      <c r="Y738" s="2">
        <f t="shared" ca="1" si="28"/>
        <v>1.7402437153532357E-2</v>
      </c>
      <c r="Z738" s="2" cm="1">
        <f t="array" aca="1" ref="Z738" ca="1">MMULT(_xlfn.ANCHORARRAY(Q738),TRANSPOSE($Q$3:$U$3))</f>
        <v>1.0135382557304952E-3</v>
      </c>
      <c r="AA738" s="11">
        <f ca="1">AVEDEV(Q738*$Q$3,R738*$R$3,S738*$S$3,T738*$T$3,U738*$U$3)</f>
        <v>1.2498362329958806E-4</v>
      </c>
      <c r="AB738" s="11" cm="1">
        <f t="array" aca="1" ref="AB738" ca="1">MMULT(_xlfn.ANCHORARRAY(Q738),TRANSPOSE($Q$6:$U$6))</f>
        <v>-2.3460764289752224E-2</v>
      </c>
      <c r="AD738" s="2" t="s">
        <v>729</v>
      </c>
      <c r="AE738" s="10" cm="1">
        <f t="array" aca="1" ref="AE738:AI738" ca="1">_xlfn.LET(_xlpm.array,_xlfn.RANDARRAY(1,COLUMNS(_xlfn.ANCHORARRAY(Q737)),-1,1,FALSE),_xlpm.array/SUM(_xlpm.array))</f>
        <v>-1.4590212493352681</v>
      </c>
      <c r="AF738" s="10">
        <f ca="1"/>
        <v>0.32394284455840389</v>
      </c>
      <c r="AG738" s="10">
        <f ca="1"/>
        <v>-0.53998689651564524</v>
      </c>
      <c r="AH738" s="10">
        <f ca="1"/>
        <v>1.7771278882964969</v>
      </c>
      <c r="AI738" s="10">
        <f ca="1"/>
        <v>0.89793741299601271</v>
      </c>
      <c r="AJ738" s="1"/>
      <c r="AK738" s="2" cm="1">
        <f t="array" aca="1" ref="AK738" ca="1">MMULT(MMULT(_xlfn.ANCHORARRAY(AE738),$Q$9:$U$13),TRANSPOSE(_xlfn.ANCHORARRAY(AE738)))</f>
        <v>2.0031351148539307E-3</v>
      </c>
      <c r="AL738" s="2">
        <f t="shared" ca="1" si="29"/>
        <v>4.475639747403639E-2</v>
      </c>
      <c r="AM738" s="2" cm="1">
        <f t="array" aca="1" ref="AM738" ca="1">MMULT(_xlfn.ANCHORARRAY(AE739),TRANSPOSE($Q$3:$U$3))</f>
        <v>1.2231929921788932E-3</v>
      </c>
    </row>
    <row r="739" spans="1:39" x14ac:dyDescent="0.35">
      <c r="A739" s="3">
        <v>44900</v>
      </c>
      <c r="B739" s="4">
        <v>31.682521820068299</v>
      </c>
      <c r="C739" s="4">
        <v>154.14500427246</v>
      </c>
      <c r="D739" s="4">
        <v>40.279045104980398</v>
      </c>
      <c r="E739" s="4">
        <v>26.828262329101499</v>
      </c>
      <c r="F739" s="4">
        <v>243.80122375488199</v>
      </c>
      <c r="I739" s="5">
        <f>B739/B738-1</f>
        <v>-4.4623074883488489E-2</v>
      </c>
      <c r="J739" s="5">
        <f>C739/C738-1</f>
        <v>-2.4692203096333354E-2</v>
      </c>
      <c r="K739" s="5">
        <f>D739/D738-1</f>
        <v>-3.3004154481811598E-2</v>
      </c>
      <c r="L739" s="5">
        <f>E739/E738-1</f>
        <v>-1.1933796214441683E-2</v>
      </c>
      <c r="M739" s="5">
        <f>F739/F738-1</f>
        <v>-1.8900423510127662E-2</v>
      </c>
      <c r="N739" s="5">
        <f>SUMPRODUCT(I739:M739,$AJ$13:$AN$13)</f>
        <v>-1.5359565860758213E-2</v>
      </c>
      <c r="P739" s="2" t="s">
        <v>730</v>
      </c>
      <c r="Q739" s="10" cm="1">
        <f t="array" aca="1" ref="Q739:U739" ca="1">_xlfn.LET(_xlpm.array,_xlfn.RANDARRAY(1,COLUMNS(_xlfn.ANCHORARRAY(Q738)),0,1,FALSE),_xlpm.array/SUM(_xlpm.array))</f>
        <v>0.227765235858196</v>
      </c>
      <c r="R739" s="2">
        <f ca="1"/>
        <v>0.34279571400864378</v>
      </c>
      <c r="S739" s="2">
        <f ca="1"/>
        <v>0.20999893832788036</v>
      </c>
      <c r="T739" s="2">
        <f ca="1"/>
        <v>0.1819168483438364</v>
      </c>
      <c r="U739" s="2">
        <f ca="1"/>
        <v>3.7523263461443378E-2</v>
      </c>
      <c r="V739" s="12"/>
      <c r="X739" s="2" cm="1">
        <f t="array" aca="1" ref="X739" ca="1">MMULT(MMULT(_xlfn.ANCHORARRAY(Q739),$Q$9:$U$13),TRANSPOSE(_xlfn.ANCHORARRAY(Q739)))</f>
        <v>3.2001209430824844E-4</v>
      </c>
      <c r="Y739" s="2">
        <f t="shared" ca="1" si="28"/>
        <v>1.7888881862996593E-2</v>
      </c>
      <c r="Z739" s="2" cm="1">
        <f t="array" aca="1" ref="Z739" ca="1">MMULT(_xlfn.ANCHORARRAY(Q739),TRANSPOSE($Q$3:$U$3))</f>
        <v>9.2167126012590486E-4</v>
      </c>
      <c r="AA739" s="11">
        <f ca="1">AVEDEV(Q739*$Q$3,R739*$R$3,S739*$S$3,T739*$T$3,U739*$U$3)</f>
        <v>8.968314654278385E-5</v>
      </c>
      <c r="AB739" s="11" cm="1">
        <f t="array" aca="1" ref="AB739" ca="1">MMULT(_xlfn.ANCHORARRAY(Q739),TRANSPOSE($Q$6:$U$6))</f>
        <v>-2.3017392409908313E-2</v>
      </c>
      <c r="AD739" s="2" t="s">
        <v>730</v>
      </c>
      <c r="AE739" s="10" cm="1">
        <f t="array" aca="1" ref="AE739:AI739" ca="1">_xlfn.LET(_xlpm.array,_xlfn.RANDARRAY(1,COLUMNS(_xlfn.ANCHORARRAY(Q738)),-1,1,FALSE),_xlpm.array/SUM(_xlpm.array))</f>
        <v>-0.42943616483720765</v>
      </c>
      <c r="AF739" s="10">
        <f ca="1"/>
        <v>0.37834405506357266</v>
      </c>
      <c r="AG739" s="10">
        <f ca="1"/>
        <v>0.19897214386635004</v>
      </c>
      <c r="AH739" s="10">
        <f ca="1"/>
        <v>0.74112062328885575</v>
      </c>
      <c r="AI739" s="10">
        <f ca="1"/>
        <v>0.11099934261842924</v>
      </c>
      <c r="AJ739" s="1"/>
      <c r="AK739" s="2" cm="1">
        <f t="array" aca="1" ref="AK739" ca="1">MMULT(MMULT(_xlfn.ANCHORARRAY(AE739),$Q$9:$U$13),TRANSPOSE(_xlfn.ANCHORARRAY(AE739)))</f>
        <v>5.3879458936295502E-4</v>
      </c>
      <c r="AL739" s="2">
        <f t="shared" ca="1" si="29"/>
        <v>2.3211949279691162E-2</v>
      </c>
      <c r="AM739" s="2" cm="1">
        <f t="array" aca="1" ref="AM739" ca="1">MMULT(_xlfn.ANCHORARRAY(AE740),TRANSPOSE($Q$3:$U$3))</f>
        <v>1.4980905376791543E-3</v>
      </c>
    </row>
    <row r="740" spans="1:39" x14ac:dyDescent="0.35">
      <c r="A740" s="3">
        <v>44901</v>
      </c>
      <c r="B740" s="4">
        <v>30.331394195556602</v>
      </c>
      <c r="C740" s="4">
        <v>150.17265319824199</v>
      </c>
      <c r="D740" s="4">
        <v>39.717933654785099</v>
      </c>
      <c r="E740" s="4">
        <v>26.482141494750898</v>
      </c>
      <c r="F740" s="4">
        <v>238.85110473632801</v>
      </c>
      <c r="I740" s="5">
        <f>B740/B739-1</f>
        <v>-4.2645835839237645E-2</v>
      </c>
      <c r="J740" s="5">
        <f>C740/C739-1</f>
        <v>-2.5770222609333815E-2</v>
      </c>
      <c r="K740" s="5">
        <f>D740/D739-1</f>
        <v>-1.3930604579449613E-2</v>
      </c>
      <c r="L740" s="5">
        <f>E740/E739-1</f>
        <v>-1.2901351198402078E-2</v>
      </c>
      <c r="M740" s="5">
        <f>F740/F739-1</f>
        <v>-2.0303913747089397E-2</v>
      </c>
      <c r="N740" s="5">
        <f>SUMPRODUCT(I740:M740,$AJ$13:$AN$13)</f>
        <v>-6.8859434966906047E-3</v>
      </c>
      <c r="P740" s="2" t="s">
        <v>731</v>
      </c>
      <c r="Q740" s="10" cm="1">
        <f t="array" aca="1" ref="Q740:U740" ca="1">_xlfn.LET(_xlpm.array,_xlfn.RANDARRAY(1,COLUMNS(_xlfn.ANCHORARRAY(Q739)),0,1,FALSE),_xlpm.array/SUM(_xlpm.array))</f>
        <v>9.6441081236382203E-2</v>
      </c>
      <c r="R740" s="2">
        <f ca="1"/>
        <v>0.35361648944933372</v>
      </c>
      <c r="S740" s="2">
        <f ca="1"/>
        <v>9.7392836941752242E-2</v>
      </c>
      <c r="T740" s="2">
        <f ca="1"/>
        <v>0.103555789395486</v>
      </c>
      <c r="U740" s="2">
        <f ca="1"/>
        <v>0.34899380297704591</v>
      </c>
      <c r="V740" s="12"/>
      <c r="X740" s="2" cm="1">
        <f t="array" aca="1" ref="X740" ca="1">MMULT(MMULT(_xlfn.ANCHORARRAY(Q740),$Q$9:$U$13),TRANSPOSE(_xlfn.ANCHORARRAY(Q740)))</f>
        <v>2.5458691934442817E-4</v>
      </c>
      <c r="Y740" s="2">
        <f t="shared" ca="1" si="28"/>
        <v>1.5955780123341767E-2</v>
      </c>
      <c r="Z740" s="2" cm="1">
        <f t="array" aca="1" ref="Z740" ca="1">MMULT(_xlfn.ANCHORARRAY(Q740),TRANSPOSE($Q$3:$U$3))</f>
        <v>8.3813003983492396E-4</v>
      </c>
      <c r="AA740" s="11">
        <f ca="1">AVEDEV(Q740*$Q$3,R740*$R$3,S740*$S$3,T740*$T$3,U740*$U$3)</f>
        <v>7.596071830053068E-5</v>
      </c>
      <c r="AB740" s="11" cm="1">
        <f t="array" aca="1" ref="AB740" ca="1">MMULT(_xlfn.ANCHORARRAY(Q740),TRANSPOSE($Q$6:$U$6))</f>
        <v>-2.1643066666607539E-2</v>
      </c>
      <c r="AD740" s="2" t="s">
        <v>731</v>
      </c>
      <c r="AE740" s="10" cm="1">
        <f t="array" aca="1" ref="AE740:AI740" ca="1">_xlfn.LET(_xlpm.array,_xlfn.RANDARRAY(1,COLUMNS(_xlfn.ANCHORARRAY(Q739)),-1,1,FALSE),_xlpm.array/SUM(_xlpm.array))</f>
        <v>-0.34454097152201196</v>
      </c>
      <c r="AF740" s="10">
        <f ca="1"/>
        <v>0.49690272559198206</v>
      </c>
      <c r="AG740" s="10">
        <f ca="1"/>
        <v>0.5934338821594195</v>
      </c>
      <c r="AH740" s="10">
        <f ca="1"/>
        <v>0.5926787536378697</v>
      </c>
      <c r="AI740" s="10">
        <f ca="1"/>
        <v>-0.33847438986725925</v>
      </c>
      <c r="AJ740" s="1"/>
      <c r="AK740" s="2" cm="1">
        <f t="array" aca="1" ref="AK740" ca="1">MMULT(MMULT(_xlfn.ANCHORARRAY(AE740),$Q$9:$U$13),TRANSPOSE(_xlfn.ANCHORARRAY(AE740)))</f>
        <v>7.5744236671716455E-4</v>
      </c>
      <c r="AL740" s="2">
        <f t="shared" ca="1" si="29"/>
        <v>2.7521670856202836E-2</v>
      </c>
      <c r="AM740" s="2" cm="1">
        <f t="array" aca="1" ref="AM740" ca="1">MMULT(_xlfn.ANCHORARRAY(AE741),TRANSPOSE($Q$3:$U$3))</f>
        <v>9.307282867349121E-4</v>
      </c>
    </row>
    <row r="741" spans="1:39" x14ac:dyDescent="0.35">
      <c r="A741" s="3">
        <v>44902</v>
      </c>
      <c r="B741" s="4">
        <v>30.092420578002901</v>
      </c>
      <c r="C741" s="4">
        <v>150.617904663085</v>
      </c>
      <c r="D741" s="4">
        <v>39.203567504882798</v>
      </c>
      <c r="E741" s="4">
        <v>26.504234313964801</v>
      </c>
      <c r="F741" s="4">
        <v>238.12031555175699</v>
      </c>
      <c r="I741" s="5">
        <f>B741/B740-1</f>
        <v>-7.8787547981790107E-3</v>
      </c>
      <c r="J741" s="5">
        <f>C741/C740-1</f>
        <v>2.9649304008450006E-3</v>
      </c>
      <c r="K741" s="5">
        <f>D741/D740-1</f>
        <v>-1.2950476084002682E-2</v>
      </c>
      <c r="L741" s="5">
        <f>E741/E740-1</f>
        <v>8.3425349941146365E-4</v>
      </c>
      <c r="M741" s="5">
        <f>F741/F740-1</f>
        <v>-3.0596014424038032E-3</v>
      </c>
      <c r="N741" s="5">
        <f>SUMPRODUCT(I741:M741,$AJ$13:$AN$13)</f>
        <v>-5.1936906345254764E-3</v>
      </c>
      <c r="P741" s="2" t="s">
        <v>732</v>
      </c>
      <c r="Q741" s="10" cm="1">
        <f t="array" aca="1" ref="Q741:U741" ca="1">_xlfn.LET(_xlpm.array,_xlfn.RANDARRAY(1,COLUMNS(_xlfn.ANCHORARRAY(Q740)),0,1,FALSE),_xlpm.array/SUM(_xlpm.array))</f>
        <v>8.2880646681028292E-2</v>
      </c>
      <c r="R741" s="2">
        <f ca="1"/>
        <v>5.0879611743477486E-2</v>
      </c>
      <c r="S741" s="2">
        <f ca="1"/>
        <v>5.4089477122335361E-2</v>
      </c>
      <c r="T741" s="2">
        <f ca="1"/>
        <v>0.46922425616030211</v>
      </c>
      <c r="U741" s="2">
        <f ca="1"/>
        <v>0.34292600829285674</v>
      </c>
      <c r="V741" s="12"/>
      <c r="X741" s="2" cm="1">
        <f t="array" aca="1" ref="X741" ca="1">MMULT(MMULT(_xlfn.ANCHORARRAY(Q741),$Q$9:$U$13),TRANSPOSE(_xlfn.ANCHORARRAY(Q741)))</f>
        <v>2.820961047063558E-4</v>
      </c>
      <c r="Y741" s="2">
        <f t="shared" ca="1" si="28"/>
        <v>1.679571685598313E-2</v>
      </c>
      <c r="Z741" s="2" cm="1">
        <f t="array" aca="1" ref="Z741" ca="1">MMULT(_xlfn.ANCHORARRAY(Q741),TRANSPOSE($Q$3:$U$3))</f>
        <v>9.0877521277782066E-4</v>
      </c>
      <c r="AA741" s="11">
        <f ca="1">AVEDEV(Q741*$Q$3,R741*$R$3,S741*$S$3,T741*$T$3,U741*$U$3)</f>
        <v>1.512582872203262E-4</v>
      </c>
      <c r="AB741" s="11" cm="1">
        <f t="array" aca="1" ref="AB741" ca="1">MMULT(_xlfn.ANCHORARRAY(Q741),TRANSPOSE($Q$6:$U$6))</f>
        <v>-2.3017572687033593E-2</v>
      </c>
      <c r="AD741" s="2" t="s">
        <v>732</v>
      </c>
      <c r="AE741" s="10" cm="1">
        <f t="array" aca="1" ref="AE741:AI741" ca="1">_xlfn.LET(_xlpm.array,_xlfn.RANDARRAY(1,COLUMNS(_xlfn.ANCHORARRAY(Q740)),-1,1,FALSE),_xlpm.array/SUM(_xlpm.array))</f>
        <v>7.6887168308393275E-2</v>
      </c>
      <c r="AF741" s="10">
        <f ca="1"/>
        <v>0.36238973534364011</v>
      </c>
      <c r="AG741" s="10">
        <f ca="1"/>
        <v>0.27093330463857113</v>
      </c>
      <c r="AH741" s="10">
        <f ca="1"/>
        <v>-0.13484476709619769</v>
      </c>
      <c r="AI741" s="10">
        <f ca="1"/>
        <v>0.42463455880559331</v>
      </c>
      <c r="AJ741" s="1"/>
      <c r="AK741" s="2" cm="1">
        <f t="array" aca="1" ref="AK741" ca="1">MMULT(MMULT(_xlfn.ANCHORARRAY(AE741),$Q$9:$U$13),TRANSPOSE(_xlfn.ANCHORARRAY(AE741)))</f>
        <v>3.0008193428150492E-4</v>
      </c>
      <c r="AL741" s="2">
        <f t="shared" ca="1" si="29"/>
        <v>1.7322873153189828E-2</v>
      </c>
      <c r="AM741" s="2" cm="1">
        <f t="array" aca="1" ref="AM741" ca="1">MMULT(_xlfn.ANCHORARRAY(AE742),TRANSPOSE($Q$3:$U$3))</f>
        <v>6.980051917929934E-5</v>
      </c>
    </row>
    <row r="742" spans="1:39" x14ac:dyDescent="0.35">
      <c r="A742" s="3">
        <v>44903</v>
      </c>
      <c r="B742" s="4">
        <v>29.8166790008544</v>
      </c>
      <c r="C742" s="4">
        <v>151.50843811035099</v>
      </c>
      <c r="D742" s="4">
        <v>39.493484497070298</v>
      </c>
      <c r="E742" s="4">
        <v>26.5189609527587</v>
      </c>
      <c r="F742" s="4">
        <v>241.07278442382801</v>
      </c>
      <c r="I742" s="5">
        <f>B742/B741-1</f>
        <v>-9.1631570957793063E-3</v>
      </c>
      <c r="J742" s="5">
        <f>C742/C741-1</f>
        <v>5.9125337672039091E-3</v>
      </c>
      <c r="K742" s="5">
        <f>D742/D741-1</f>
        <v>7.3951686195750099E-3</v>
      </c>
      <c r="L742" s="5">
        <f>E742/E741-1</f>
        <v>5.5563343650866237E-4</v>
      </c>
      <c r="M742" s="5">
        <f>F742/F741-1</f>
        <v>1.2399063327418025E-2</v>
      </c>
      <c r="N742" s="5">
        <f>SUMPRODUCT(I742:M742,$AJ$13:$AN$13)</f>
        <v>1.0708344495954116E-2</v>
      </c>
      <c r="P742" s="2" t="s">
        <v>733</v>
      </c>
      <c r="Q742" s="10" cm="1">
        <f t="array" aca="1" ref="Q742:U742" ca="1">_xlfn.LET(_xlpm.array,_xlfn.RANDARRAY(1,COLUMNS(_xlfn.ANCHORARRAY(Q741)),0,1,FALSE),_xlpm.array/SUM(_xlpm.array))</f>
        <v>0.22658252447859212</v>
      </c>
      <c r="R742" s="2">
        <f ca="1"/>
        <v>0.24048138855062207</v>
      </c>
      <c r="S742" s="2">
        <f ca="1"/>
        <v>0.32605808653713264</v>
      </c>
      <c r="T742" s="2">
        <f ca="1"/>
        <v>7.3307733460592286E-2</v>
      </c>
      <c r="U742" s="2">
        <f ca="1"/>
        <v>0.13357026697306099</v>
      </c>
      <c r="V742" s="12"/>
      <c r="X742" s="2" cm="1">
        <f t="array" aca="1" ref="X742" ca="1">MMULT(MMULT(_xlfn.ANCHORARRAY(Q742),$Q$9:$U$13),TRANSPOSE(_xlfn.ANCHORARRAY(Q742)))</f>
        <v>3.1748209256252249E-4</v>
      </c>
      <c r="Y742" s="2">
        <f t="shared" ca="1" si="28"/>
        <v>1.7818027179306986E-2</v>
      </c>
      <c r="Z742" s="2" cm="1">
        <f t="array" aca="1" ref="Z742" ca="1">MMULT(_xlfn.ANCHORARRAY(Q742),TRANSPOSE($Q$3:$U$3))</f>
        <v>9.9734136761664123E-4</v>
      </c>
      <c r="AA742" s="11">
        <f ca="1">AVEDEV(Q742*$Q$3,R742*$R$3,S742*$S$3,T742*$T$3,U742*$U$3)</f>
        <v>1.3202012444480993E-4</v>
      </c>
      <c r="AB742" s="11" cm="1">
        <f t="array" aca="1" ref="AB742" ca="1">MMULT(_xlfn.ANCHORARRAY(Q742),TRANSPOSE($Q$6:$U$6))</f>
        <v>-2.3235790272886588E-2</v>
      </c>
      <c r="AD742" s="2" t="s">
        <v>733</v>
      </c>
      <c r="AE742" s="10" cm="1">
        <f t="array" aca="1" ref="AE742:AI742" ca="1">_xlfn.LET(_xlpm.array,_xlfn.RANDARRAY(1,COLUMNS(_xlfn.ANCHORARRAY(Q741)),-1,1,FALSE),_xlpm.array/SUM(_xlpm.array))</f>
        <v>0.4805918793770701</v>
      </c>
      <c r="AF742" s="10">
        <f ca="1"/>
        <v>0.65853131105961071</v>
      </c>
      <c r="AG742" s="10">
        <f ca="1"/>
        <v>-0.60739808610102841</v>
      </c>
      <c r="AH742" s="10">
        <f ca="1"/>
        <v>-0.10550829431324678</v>
      </c>
      <c r="AI742" s="10">
        <f ca="1"/>
        <v>0.57378318997759448</v>
      </c>
      <c r="AJ742" s="1"/>
      <c r="AK742" s="2" cm="1">
        <f t="array" aca="1" ref="AK742" ca="1">MMULT(MMULT(_xlfn.ANCHORARRAY(AE742),$Q$9:$U$13),TRANSPOSE(_xlfn.ANCHORARRAY(AE742)))</f>
        <v>5.6948256382141811E-4</v>
      </c>
      <c r="AL742" s="2">
        <f t="shared" ca="1" si="29"/>
        <v>2.3863833803926354E-2</v>
      </c>
      <c r="AM742" s="2" cm="1">
        <f t="array" aca="1" ref="AM742" ca="1">MMULT(_xlfn.ANCHORARRAY(AE743),TRANSPOSE($Q$3:$U$3))</f>
        <v>3.5359970076658703E-4</v>
      </c>
    </row>
    <row r="743" spans="1:39" x14ac:dyDescent="0.35">
      <c r="A743" s="3">
        <v>44904</v>
      </c>
      <c r="B743" s="4">
        <v>29.761531829833899</v>
      </c>
      <c r="C743" s="4">
        <v>146.67176818847599</v>
      </c>
      <c r="D743" s="4">
        <v>39.119400024413999</v>
      </c>
      <c r="E743" s="4">
        <v>26.239118576049801</v>
      </c>
      <c r="F743" s="4">
        <v>239.14347839355401</v>
      </c>
      <c r="I743" s="5">
        <f>B743/B742-1</f>
        <v>-1.8495410243012378E-3</v>
      </c>
      <c r="J743" s="5">
        <f>C743/C742-1</f>
        <v>-3.1923435963033375E-2</v>
      </c>
      <c r="K743" s="5">
        <f>D743/D742-1</f>
        <v>-9.4720553888845149E-3</v>
      </c>
      <c r="L743" s="5">
        <f>E743/E742-1</f>
        <v>-1.0552539264544136E-2</v>
      </c>
      <c r="M743" s="5">
        <f>F743/F742-1</f>
        <v>-8.0030022255939137E-3</v>
      </c>
      <c r="N743" s="5">
        <f>SUMPRODUCT(I743:M743,$AJ$13:$AN$13)</f>
        <v>-1.0955174226816739E-2</v>
      </c>
      <c r="P743" s="2" t="s">
        <v>734</v>
      </c>
      <c r="Q743" s="10" cm="1">
        <f t="array" aca="1" ref="Q743:U743" ca="1">_xlfn.LET(_xlpm.array,_xlfn.RANDARRAY(1,COLUMNS(_xlfn.ANCHORARRAY(Q742)),0,1,FALSE),_xlpm.array/SUM(_xlpm.array))</f>
        <v>0.28026298149976792</v>
      </c>
      <c r="R743" s="2">
        <f ca="1"/>
        <v>0.24073146839123954</v>
      </c>
      <c r="S743" s="2">
        <f ca="1"/>
        <v>0.24477346750248524</v>
      </c>
      <c r="T743" s="2">
        <f ca="1"/>
        <v>7.9426647066797917E-2</v>
      </c>
      <c r="U743" s="2">
        <f ca="1"/>
        <v>0.15480543553970944</v>
      </c>
      <c r="V743" s="12"/>
      <c r="X743" s="2" cm="1">
        <f t="array" aca="1" ref="X743" ca="1">MMULT(MMULT(_xlfn.ANCHORARRAY(Q743),$Q$9:$U$13),TRANSPOSE(_xlfn.ANCHORARRAY(Q743)))</f>
        <v>2.9507729021436316E-4</v>
      </c>
      <c r="Y743" s="2">
        <f t="shared" ca="1" si="28"/>
        <v>1.7177813895090467E-2</v>
      </c>
      <c r="Z743" s="2" cm="1">
        <f t="array" aca="1" ref="Z743" ca="1">MMULT(_xlfn.ANCHORARRAY(Q743),TRANSPOSE($Q$3:$U$3))</f>
        <v>9.1529357904345844E-4</v>
      </c>
      <c r="AA743" s="11">
        <f ca="1">AVEDEV(Q743*$Q$3,R743*$R$3,S743*$S$3,T743*$T$3,U743*$U$3)</f>
        <v>8.5781433866954324E-5</v>
      </c>
      <c r="AB743" s="11" cm="1">
        <f t="array" aca="1" ref="AB743" ca="1">MMULT(_xlfn.ANCHORARRAY(Q743),TRANSPOSE($Q$6:$U$6))</f>
        <v>-2.2775368925786566E-2</v>
      </c>
      <c r="AD743" s="2" t="s">
        <v>734</v>
      </c>
      <c r="AE743" s="10" cm="1">
        <f t="array" aca="1" ref="AE743:AI743" ca="1">_xlfn.LET(_xlpm.array,_xlfn.RANDARRAY(1,COLUMNS(_xlfn.ANCHORARRAY(Q742)),-1,1,FALSE),_xlpm.array/SUM(_xlpm.array))</f>
        <v>0.56745319657939686</v>
      </c>
      <c r="AF743" s="10">
        <f ca="1"/>
        <v>0.34391694583324195</v>
      </c>
      <c r="AG743" s="10">
        <f ca="1"/>
        <v>-0.31279195020089196</v>
      </c>
      <c r="AH743" s="10">
        <f ca="1"/>
        <v>5.8409927534824713E-2</v>
      </c>
      <c r="AI743" s="10">
        <f ca="1"/>
        <v>0.34301188025342849</v>
      </c>
      <c r="AJ743" s="1"/>
      <c r="AK743" s="2" cm="1">
        <f t="array" aca="1" ref="AK743" ca="1">MMULT(MMULT(_xlfn.ANCHORARRAY(AE743),$Q$9:$U$13),TRANSPOSE(_xlfn.ANCHORARRAY(AE743)))</f>
        <v>3.7855038091078649E-4</v>
      </c>
      <c r="AL743" s="2">
        <f t="shared" ca="1" si="29"/>
        <v>1.9456371216411E-2</v>
      </c>
      <c r="AM743" s="2" cm="1">
        <f t="array" aca="1" ref="AM743" ca="1">MMULT(_xlfn.ANCHORARRAY(AE744),TRANSPOSE($Q$3:$U$3))</f>
        <v>-2.5747505708674382E-4</v>
      </c>
    </row>
    <row r="744" spans="1:39" x14ac:dyDescent="0.35">
      <c r="A744" s="3">
        <v>44907</v>
      </c>
      <c r="B744" s="4">
        <v>30.083229064941399</v>
      </c>
      <c r="C744" s="4">
        <v>148.19956970214801</v>
      </c>
      <c r="D744" s="4">
        <v>40.092014312744098</v>
      </c>
      <c r="E744" s="4">
        <v>26.651521682739201</v>
      </c>
      <c r="F744" s="4">
        <v>246.05210876464801</v>
      </c>
      <c r="I744" s="5">
        <f>B744/B743-1</f>
        <v>1.0809162544013207E-2</v>
      </c>
      <c r="J744" s="5">
        <f>C744/C743-1</f>
        <v>1.0416466185290352E-2</v>
      </c>
      <c r="K744" s="5">
        <f>D744/D743-1</f>
        <v>2.486270974818372E-2</v>
      </c>
      <c r="L744" s="5">
        <f>E744/E743-1</f>
        <v>1.571710976091345E-2</v>
      </c>
      <c r="M744" s="5">
        <f>F744/F743-1</f>
        <v>2.8889060314346571E-2</v>
      </c>
      <c r="N744" s="5">
        <f>SUMPRODUCT(I744:M744,$AJ$13:$AN$13)</f>
        <v>2.6472111967844568E-2</v>
      </c>
      <c r="P744" s="2" t="s">
        <v>735</v>
      </c>
      <c r="Q744" s="10" cm="1">
        <f t="array" aca="1" ref="Q744:U744" ca="1">_xlfn.LET(_xlpm.array,_xlfn.RANDARRAY(1,COLUMNS(_xlfn.ANCHORARRAY(Q743)),0,1,FALSE),_xlpm.array/SUM(_xlpm.array))</f>
        <v>0.15774042459889634</v>
      </c>
      <c r="R744" s="2">
        <f ca="1"/>
        <v>0.21669204338511333</v>
      </c>
      <c r="S744" s="2">
        <f ca="1"/>
        <v>0.24859157378924299</v>
      </c>
      <c r="T744" s="2">
        <f ca="1"/>
        <v>8.2550065728172445E-2</v>
      </c>
      <c r="U744" s="2">
        <f ca="1"/>
        <v>0.29442589249857476</v>
      </c>
      <c r="V744" s="12"/>
      <c r="X744" s="2" cm="1">
        <f t="array" aca="1" ref="X744" ca="1">MMULT(MMULT(_xlfn.ANCHORARRAY(Q744),$Q$9:$U$13),TRANSPOSE(_xlfn.ANCHORARRAY(Q744)))</f>
        <v>2.764625226423021E-4</v>
      </c>
      <c r="Y744" s="2">
        <f t="shared" ca="1" si="28"/>
        <v>1.6627162194502769E-2</v>
      </c>
      <c r="Z744" s="2" cm="1">
        <f t="array" aca="1" ref="Z744" ca="1">MMULT(_xlfn.ANCHORARRAY(Q744),TRANSPOSE($Q$3:$U$3))</f>
        <v>9.5164820756149277E-4</v>
      </c>
      <c r="AA744" s="11">
        <f ca="1">AVEDEV(Q744*$Q$3,R744*$R$3,S744*$S$3,T744*$T$3,U744*$U$3)</f>
        <v>9.9298557193368617E-5</v>
      </c>
      <c r="AB744" s="11" cm="1">
        <f t="array" aca="1" ref="AB744" ca="1">MMULT(_xlfn.ANCHORARRAY(Q744),TRANSPOSE($Q$6:$U$6))</f>
        <v>-2.2625371389835912E-2</v>
      </c>
      <c r="AD744" s="2" t="s">
        <v>735</v>
      </c>
      <c r="AE744" s="10" cm="1">
        <f t="array" aca="1" ref="AE744:AI744" ca="1">_xlfn.LET(_xlpm.array,_xlfn.RANDARRAY(1,COLUMNS(_xlfn.ANCHORARRAY(Q743)),-1,1,FALSE),_xlpm.array/SUM(_xlpm.array))</f>
        <v>1.7380483071187969</v>
      </c>
      <c r="AF744" s="10">
        <f ca="1"/>
        <v>0.95710862499999105</v>
      </c>
      <c r="AG744" s="10">
        <f ca="1"/>
        <v>-0.89667104723564173</v>
      </c>
      <c r="AH744" s="10">
        <f ca="1"/>
        <v>0.88474390464134622</v>
      </c>
      <c r="AI744" s="10">
        <f ca="1"/>
        <v>-1.6832297895244923</v>
      </c>
      <c r="AJ744" s="1"/>
      <c r="AK744" s="2" cm="1">
        <f t="array" aca="1" ref="AK744" ca="1">MMULT(MMULT(_xlfn.ANCHORARRAY(AE744),$Q$9:$U$13),TRANSPOSE(_xlfn.ANCHORARRAY(AE744)))</f>
        <v>3.8328502010992983E-3</v>
      </c>
      <c r="AL744" s="2">
        <f t="shared" ca="1" si="29"/>
        <v>6.1910016968979249E-2</v>
      </c>
      <c r="AM744" s="2" cm="1">
        <f t="array" aca="1" ref="AM744" ca="1">MMULT(_xlfn.ANCHORARRAY(AE745),TRANSPOSE($Q$3:$U$3))</f>
        <v>1.4050688142075573E-3</v>
      </c>
    </row>
    <row r="745" spans="1:39" x14ac:dyDescent="0.35">
      <c r="A745" s="3">
        <v>44908</v>
      </c>
      <c r="B745" s="4">
        <v>30.1016120910644</v>
      </c>
      <c r="C745" s="4">
        <v>151.49967956542901</v>
      </c>
      <c r="D745" s="4">
        <v>40.073307037353501</v>
      </c>
      <c r="E745" s="4">
        <v>27.888731002807599</v>
      </c>
      <c r="F745" s="4">
        <v>250.34933471679599</v>
      </c>
      <c r="I745" s="5">
        <f>B745/B744-1</f>
        <v>6.1107223839962366E-4</v>
      </c>
      <c r="J745" s="5">
        <f>C745/C744-1</f>
        <v>2.2268012450465058E-2</v>
      </c>
      <c r="K745" s="5">
        <f>D745/D744-1</f>
        <v>-4.6660851821178628E-4</v>
      </c>
      <c r="L745" s="5">
        <f>E745/E744-1</f>
        <v>4.6421714106841261E-2</v>
      </c>
      <c r="M745" s="5">
        <f>F745/F744-1</f>
        <v>1.7464698732813311E-2</v>
      </c>
      <c r="N745" s="5">
        <f>SUMPRODUCT(I745:M745,$AJ$13:$AN$13)</f>
        <v>2.6375639883380205E-2</v>
      </c>
      <c r="P745" s="2" t="s">
        <v>736</v>
      </c>
      <c r="Q745" s="10" cm="1">
        <f t="array" aca="1" ref="Q745:U745" ca="1">_xlfn.LET(_xlpm.array,_xlfn.RANDARRAY(1,COLUMNS(_xlfn.ANCHORARRAY(Q744)),0,1,FALSE),_xlpm.array/SUM(_xlpm.array))</f>
        <v>5.9500932753981739E-3</v>
      </c>
      <c r="R745" s="2">
        <f ca="1"/>
        <v>0.3059443357231561</v>
      </c>
      <c r="S745" s="2">
        <f ca="1"/>
        <v>8.0223084130777458E-2</v>
      </c>
      <c r="T745" s="2">
        <f ca="1"/>
        <v>0.27637667055464893</v>
      </c>
      <c r="U745" s="2">
        <f ca="1"/>
        <v>0.33150581631601939</v>
      </c>
      <c r="V745" s="12"/>
      <c r="X745" s="2" cm="1">
        <f t="array" aca="1" ref="X745" ca="1">MMULT(MMULT(_xlfn.ANCHORARRAY(Q745),$Q$9:$U$13),TRANSPOSE(_xlfn.ANCHORARRAY(Q745)))</f>
        <v>2.688858924752427E-4</v>
      </c>
      <c r="Y745" s="2">
        <f t="shared" ca="1" si="28"/>
        <v>1.6397740468590258E-2</v>
      </c>
      <c r="Z745" s="2" cm="1">
        <f t="array" aca="1" ref="Z745" ca="1">MMULT(_xlfn.ANCHORARRAY(Q745),TRANSPOSE($Q$3:$U$3))</f>
        <v>8.9262359345874996E-4</v>
      </c>
      <c r="AA745" s="11">
        <f ca="1">AVEDEV(Q745*$Q$3,R745*$R$3,S745*$S$3,T745*$T$3,U745*$U$3)</f>
        <v>8.9497189660388103E-5</v>
      </c>
      <c r="AB745" s="11" cm="1">
        <f t="array" aca="1" ref="AB745" ca="1">MMULT(_xlfn.ANCHORARRAY(Q745),TRANSPOSE($Q$6:$U$6))</f>
        <v>-2.223624049555261E-2</v>
      </c>
      <c r="AD745" s="2" t="s">
        <v>736</v>
      </c>
      <c r="AE745" s="10" cm="1">
        <f t="array" aca="1" ref="AE745:AI745" ca="1">_xlfn.LET(_xlpm.array,_xlfn.RANDARRAY(1,COLUMNS(_xlfn.ANCHORARRAY(Q744)),-1,1,FALSE),_xlpm.array/SUM(_xlpm.array))</f>
        <v>-0.14236782336037332</v>
      </c>
      <c r="AF745" s="10">
        <f ca="1"/>
        <v>-0.23541866242015838</v>
      </c>
      <c r="AG745" s="10">
        <f ca="1"/>
        <v>0.58026933425995664</v>
      </c>
      <c r="AH745" s="10">
        <f ca="1"/>
        <v>0.37776713921467442</v>
      </c>
      <c r="AI745" s="10">
        <f ca="1"/>
        <v>0.4197500123059007</v>
      </c>
      <c r="AJ745" s="1"/>
      <c r="AK745" s="2" cm="1">
        <f t="array" aca="1" ref="AK745" ca="1">MMULT(MMULT(_xlfn.ANCHORARRAY(AE745),$Q$9:$U$13),TRANSPOSE(_xlfn.ANCHORARRAY(AE745)))</f>
        <v>4.8766198929706779E-4</v>
      </c>
      <c r="AL745" s="2">
        <f t="shared" ca="1" si="29"/>
        <v>2.2083070196353308E-2</v>
      </c>
      <c r="AM745" s="2" cm="1">
        <f t="array" aca="1" ref="AM745" ca="1">MMULT(_xlfn.ANCHORARRAY(AE746),TRANSPOSE($Q$3:$U$3))</f>
        <v>1.0318935281937709E-3</v>
      </c>
    </row>
    <row r="746" spans="1:39" x14ac:dyDescent="0.35">
      <c r="A746" s="3">
        <v>44909</v>
      </c>
      <c r="B746" s="4">
        <v>29.669620513916001</v>
      </c>
      <c r="C746" s="4">
        <v>150.45207214355401</v>
      </c>
      <c r="D746" s="4">
        <v>38.979122161865199</v>
      </c>
      <c r="E746" s="4">
        <v>27.314311981201101</v>
      </c>
      <c r="F746" s="4">
        <v>250.64163208007801</v>
      </c>
      <c r="I746" s="5">
        <f>B746/B745-1</f>
        <v>-1.4351111024935248E-2</v>
      </c>
      <c r="J746" s="5">
        <f>C746/C745-1</f>
        <v>-6.914915100018848E-3</v>
      </c>
      <c r="K746" s="5">
        <f>D746/D745-1</f>
        <v>-2.7304581437922804E-2</v>
      </c>
      <c r="L746" s="5">
        <f>E746/E745-1</f>
        <v>-2.059681458968754E-2</v>
      </c>
      <c r="M746" s="5">
        <f>F746/F745-1</f>
        <v>1.1675579789842683E-3</v>
      </c>
      <c r="N746" s="5">
        <f>SUMPRODUCT(I746:M746,$AJ$13:$AN$13)</f>
        <v>-1.9073647687658287E-2</v>
      </c>
      <c r="P746" s="2" t="s">
        <v>737</v>
      </c>
      <c r="Q746" s="10" cm="1">
        <f t="array" aca="1" ref="Q746:U746" ca="1">_xlfn.LET(_xlpm.array,_xlfn.RANDARRAY(1,COLUMNS(_xlfn.ANCHORARRAY(Q745)),0,1,FALSE),_xlpm.array/SUM(_xlpm.array))</f>
        <v>2.7397208804288489E-3</v>
      </c>
      <c r="R746" s="2">
        <f ca="1"/>
        <v>0.37021471618097684</v>
      </c>
      <c r="S746" s="2">
        <f ca="1"/>
        <v>0.27278870616405715</v>
      </c>
      <c r="T746" s="2">
        <f ca="1"/>
        <v>0.32064323271970474</v>
      </c>
      <c r="U746" s="2">
        <f ca="1"/>
        <v>3.3613624054832265E-2</v>
      </c>
      <c r="V746" s="12"/>
      <c r="X746" s="2" cm="1">
        <f t="array" aca="1" ref="X746" ca="1">MMULT(MMULT(_xlfn.ANCHORARRAY(Q746),$Q$9:$U$13),TRANSPOSE(_xlfn.ANCHORARRAY(Q746)))</f>
        <v>3.5756808696125049E-4</v>
      </c>
      <c r="Y746" s="2">
        <f t="shared" ca="1" si="28"/>
        <v>1.8909470827108053E-2</v>
      </c>
      <c r="Z746" s="2" cm="1">
        <f t="array" aca="1" ref="Z746" ca="1">MMULT(_xlfn.ANCHORARRAY(Q746),TRANSPOSE($Q$3:$U$3))</f>
        <v>1.0680308918046609E-3</v>
      </c>
      <c r="AA746" s="11">
        <f ca="1">AVEDEV(Q746*$Q$3,R746*$R$3,S746*$S$3,T746*$T$3,U746*$U$3)</f>
        <v>1.600441580694696E-4</v>
      </c>
      <c r="AB746" s="11" cm="1">
        <f t="array" aca="1" ref="AB746" ca="1">MMULT(_xlfn.ANCHORARRAY(Q746),TRANSPOSE($Q$6:$U$6))</f>
        <v>-2.3836624828872655E-2</v>
      </c>
      <c r="AD746" s="2" t="s">
        <v>737</v>
      </c>
      <c r="AE746" s="10" cm="1">
        <f t="array" aca="1" ref="AE746:AI746" ca="1">_xlfn.LET(_xlpm.array,_xlfn.RANDARRAY(1,COLUMNS(_xlfn.ANCHORARRAY(Q745)),-1,1,FALSE),_xlpm.array/SUM(_xlpm.array))</f>
        <v>0.11600015863494752</v>
      </c>
      <c r="AF746" s="10">
        <f ca="1"/>
        <v>0.44580643401192593</v>
      </c>
      <c r="AG746" s="10">
        <f ca="1"/>
        <v>0.38844933308291429</v>
      </c>
      <c r="AH746" s="10">
        <f ca="1"/>
        <v>-8.3724368952303702E-2</v>
      </c>
      <c r="AI746" s="10">
        <f ca="1"/>
        <v>0.13346844322251591</v>
      </c>
      <c r="AJ746" s="1"/>
      <c r="AK746" s="2" cm="1">
        <f t="array" aca="1" ref="AK746" ca="1">MMULT(MMULT(_xlfn.ANCHORARRAY(AE746),$Q$9:$U$13),TRANSPOSE(_xlfn.ANCHORARRAY(AE746)))</f>
        <v>3.5446918128206808E-4</v>
      </c>
      <c r="AL746" s="2">
        <f t="shared" ca="1" si="29"/>
        <v>1.8827351945562287E-2</v>
      </c>
      <c r="AM746" s="2" cm="1">
        <f t="array" aca="1" ref="AM746" ca="1">MMULT(_xlfn.ANCHORARRAY(AE747),TRANSPOSE($Q$3:$U$3))</f>
        <v>2.5556883826775129E-3</v>
      </c>
    </row>
    <row r="747" spans="1:39" x14ac:dyDescent="0.35">
      <c r="A747" s="3">
        <v>44910</v>
      </c>
      <c r="B747" s="4">
        <v>29.200862884521399</v>
      </c>
      <c r="C747" s="4">
        <v>149.32580566406199</v>
      </c>
      <c r="D747" s="4">
        <v>36.828166961669901</v>
      </c>
      <c r="E747" s="4">
        <v>27.225938796996999</v>
      </c>
      <c r="F747" s="4">
        <v>242.64161682128901</v>
      </c>
      <c r="I747" s="5">
        <f>B747/B746-1</f>
        <v>-1.5799245870864453E-2</v>
      </c>
      <c r="J747" s="5">
        <f>C747/C746-1</f>
        <v>-7.4858821380497931E-3</v>
      </c>
      <c r="K747" s="5">
        <f>D747/D746-1</f>
        <v>-5.5182238103341996E-2</v>
      </c>
      <c r="L747" s="5">
        <f>E747/E746-1</f>
        <v>-3.2354168124359983E-3</v>
      </c>
      <c r="M747" s="5">
        <f>F747/F746-1</f>
        <v>-3.1918142219218626E-2</v>
      </c>
      <c r="N747" s="5">
        <f>SUMPRODUCT(I747:M747,$AJ$13:$AN$13)</f>
        <v>-3.6091173000264903E-2</v>
      </c>
      <c r="P747" s="2" t="s">
        <v>738</v>
      </c>
      <c r="Q747" s="10" cm="1">
        <f t="array" aca="1" ref="Q747:U747" ca="1">_xlfn.LET(_xlpm.array,_xlfn.RANDARRAY(1,COLUMNS(_xlfn.ANCHORARRAY(Q746)),0,1,FALSE),_xlpm.array/SUM(_xlpm.array))</f>
        <v>0.11772406029505904</v>
      </c>
      <c r="R747" s="2">
        <f ca="1"/>
        <v>0.26967069331193466</v>
      </c>
      <c r="S747" s="2">
        <f ca="1"/>
        <v>0.19647775273056134</v>
      </c>
      <c r="T747" s="2">
        <f ca="1"/>
        <v>0.10500547409660375</v>
      </c>
      <c r="U747" s="2">
        <f ca="1"/>
        <v>0.31112201956584107</v>
      </c>
      <c r="V747" s="12"/>
      <c r="X747" s="2" cm="1">
        <f t="array" aca="1" ref="X747" ca="1">MMULT(MMULT(_xlfn.ANCHORARRAY(Q747),$Q$9:$U$13),TRANSPOSE(_xlfn.ANCHORARRAY(Q747)))</f>
        <v>2.6484116343963426E-4</v>
      </c>
      <c r="Y747" s="2">
        <f t="shared" ca="1" si="28"/>
        <v>1.6273941238668471E-2</v>
      </c>
      <c r="Z747" s="2" cm="1">
        <f t="array" aca="1" ref="Z747" ca="1">MMULT(_xlfn.ANCHORARRAY(Q747),TRANSPOSE($Q$3:$U$3))</f>
        <v>9.2107516014928938E-4</v>
      </c>
      <c r="AA747" s="11">
        <f ca="1">AVEDEV(Q747*$Q$3,R747*$R$3,S747*$S$3,T747*$T$3,U747*$U$3)</f>
        <v>8.0528744579678904E-5</v>
      </c>
      <c r="AB747" s="11" cm="1">
        <f t="array" aca="1" ref="AB747" ca="1">MMULT(_xlfn.ANCHORARRAY(Q747),TRANSPOSE($Q$6:$U$6))</f>
        <v>-2.2338168487661028E-2</v>
      </c>
      <c r="AD747" s="2" t="s">
        <v>738</v>
      </c>
      <c r="AE747" s="10" cm="1">
        <f t="array" aca="1" ref="AE747:AI747" ca="1">_xlfn.LET(_xlpm.array,_xlfn.RANDARRAY(1,COLUMNS(_xlfn.ANCHORARRAY(Q746)),-1,1,FALSE),_xlpm.array/SUM(_xlpm.array))</f>
        <v>-1.0013591798649588</v>
      </c>
      <c r="AF747" s="10">
        <f ca="1"/>
        <v>0.48437108489673314</v>
      </c>
      <c r="AG747" s="10">
        <f ca="1"/>
        <v>1.4891369083808919</v>
      </c>
      <c r="AH747" s="10">
        <f ca="1"/>
        <v>1.0564483358261112</v>
      </c>
      <c r="AI747" s="10">
        <f ca="1"/>
        <v>-1.0285971492387775</v>
      </c>
      <c r="AJ747" s="1"/>
      <c r="AK747" s="2" cm="1">
        <f t="array" aca="1" ref="AK747" ca="1">MMULT(MMULT(_xlfn.ANCHORARRAY(AE747),$Q$9:$U$13),TRANSPOSE(_xlfn.ANCHORARRAY(AE747)))</f>
        <v>2.5742293970358182E-3</v>
      </c>
      <c r="AL747" s="2">
        <f t="shared" ca="1" si="29"/>
        <v>5.0736864280676808E-2</v>
      </c>
      <c r="AM747" s="2" cm="1">
        <f t="array" aca="1" ref="AM747" ca="1">MMULT(_xlfn.ANCHORARRAY(AE748),TRANSPOSE($Q$3:$U$3))</f>
        <v>1.3727224650884086E-3</v>
      </c>
    </row>
    <row r="748" spans="1:39" x14ac:dyDescent="0.35">
      <c r="A748" s="3">
        <v>44911</v>
      </c>
      <c r="B748" s="4">
        <v>29.136522293090799</v>
      </c>
      <c r="C748" s="4">
        <v>147.30035400390599</v>
      </c>
      <c r="D748" s="4">
        <v>36.706581115722599</v>
      </c>
      <c r="E748" s="4">
        <v>26.577875137329102</v>
      </c>
      <c r="F748" s="4">
        <v>238.43211364746</v>
      </c>
      <c r="I748" s="5">
        <f>B748/B747-1</f>
        <v>-2.2033798002834004E-3</v>
      </c>
      <c r="J748" s="5">
        <f>C748/C747-1</f>
        <v>-1.3563976106799935E-2</v>
      </c>
      <c r="K748" s="5">
        <f>D748/D747-1</f>
        <v>-3.3014362640922945E-3</v>
      </c>
      <c r="L748" s="5">
        <f>E748/E747-1</f>
        <v>-2.3803170369992133E-2</v>
      </c>
      <c r="M748" s="5">
        <f>F748/F747-1</f>
        <v>-1.7348644593517482E-2</v>
      </c>
      <c r="N748" s="5">
        <f>SUMPRODUCT(I748:M748,$AJ$13:$AN$13)</f>
        <v>-1.7554771658324548E-2</v>
      </c>
      <c r="P748" s="2" t="s">
        <v>739</v>
      </c>
      <c r="Q748" s="10" cm="1">
        <f t="array" aca="1" ref="Q748:U748" ca="1">_xlfn.LET(_xlpm.array,_xlfn.RANDARRAY(1,COLUMNS(_xlfn.ANCHORARRAY(Q747)),0,1,FALSE),_xlpm.array/SUM(_xlpm.array))</f>
        <v>0.16077546726314673</v>
      </c>
      <c r="R748" s="2">
        <f ca="1"/>
        <v>7.0107561430592061E-2</v>
      </c>
      <c r="S748" s="2">
        <f ca="1"/>
        <v>0.33043101487021082</v>
      </c>
      <c r="T748" s="2">
        <f ca="1"/>
        <v>3.6614679848817458E-2</v>
      </c>
      <c r="U748" s="2">
        <f ca="1"/>
        <v>0.40207127658723291</v>
      </c>
      <c r="V748" s="12"/>
      <c r="X748" s="2" cm="1">
        <f t="array" aca="1" ref="X748" ca="1">MMULT(MMULT(_xlfn.ANCHORARRAY(Q748),$Q$9:$U$13),TRANSPOSE(_xlfn.ANCHORARRAY(Q748)))</f>
        <v>3.0821349984211236E-4</v>
      </c>
      <c r="Y748" s="2">
        <f t="shared" ca="1" si="28"/>
        <v>1.7556010362326412E-2</v>
      </c>
      <c r="Z748" s="2" cm="1">
        <f t="array" aca="1" ref="Z748" ca="1">MMULT(_xlfn.ANCHORARRAY(Q748),TRANSPOSE($Q$3:$U$3))</f>
        <v>1.0144609655170687E-3</v>
      </c>
      <c r="AA748" s="11">
        <f ca="1">AVEDEV(Q748*$Q$3,R748*$R$3,S748*$S$3,T748*$T$3,U748*$U$3)</f>
        <v>1.7534463535746566E-4</v>
      </c>
      <c r="AB748" s="11" cm="1">
        <f t="array" aca="1" ref="AB748" ca="1">MMULT(_xlfn.ANCHORARRAY(Q748),TRANSPOSE($Q$6:$U$6))</f>
        <v>-2.2904443293634863E-2</v>
      </c>
      <c r="AD748" s="2" t="s">
        <v>739</v>
      </c>
      <c r="AE748" s="10" cm="1">
        <f t="array" aca="1" ref="AE748:AI748" ca="1">_xlfn.LET(_xlpm.array,_xlfn.RANDARRAY(1,COLUMNS(_xlfn.ANCHORARRAY(Q747)),-1,1,FALSE),_xlpm.array/SUM(_xlpm.array))</f>
        <v>-0.17941838291281367</v>
      </c>
      <c r="AF748" s="10">
        <f ca="1"/>
        <v>-7.4480966951771352E-2</v>
      </c>
      <c r="AG748" s="10">
        <f ca="1"/>
        <v>0.77334618771722408</v>
      </c>
      <c r="AH748" s="10">
        <f ca="1"/>
        <v>-0.40958979921860628</v>
      </c>
      <c r="AI748" s="10">
        <f ca="1"/>
        <v>0.89014296136596716</v>
      </c>
      <c r="AJ748" s="1"/>
      <c r="AK748" s="2" cm="1">
        <f t="array" aca="1" ref="AK748" ca="1">MMULT(MMULT(_xlfn.ANCHORARRAY(AE748),$Q$9:$U$13),TRANSPOSE(_xlfn.ANCHORARRAY(AE748)))</f>
        <v>9.3210660141500995E-4</v>
      </c>
      <c r="AL748" s="2">
        <f t="shared" ca="1" si="29"/>
        <v>3.0530420917750378E-2</v>
      </c>
      <c r="AM748" s="2" cm="1">
        <f t="array" aca="1" ref="AM748" ca="1">MMULT(_xlfn.ANCHORARRAY(AE749),TRANSPOSE($Q$3:$U$3))</f>
        <v>1.298217532164653E-3</v>
      </c>
    </row>
    <row r="749" spans="1:39" x14ac:dyDescent="0.35">
      <c r="A749" s="3">
        <v>44914</v>
      </c>
      <c r="B749" s="4">
        <v>29.467412948608398</v>
      </c>
      <c r="C749" s="4">
        <v>148.313064575195</v>
      </c>
      <c r="D749" s="4">
        <v>36.472789764404297</v>
      </c>
      <c r="E749" s="4">
        <v>26.7104396820068</v>
      </c>
      <c r="F749" s="4">
        <v>234.30055236816401</v>
      </c>
      <c r="I749" s="5">
        <f>B749/B748-1</f>
        <v>1.1356559722162318E-2</v>
      </c>
      <c r="J749" s="5">
        <f>C749/C748-1</f>
        <v>6.8751401049731431E-3</v>
      </c>
      <c r="K749" s="5">
        <f>D749/D748-1</f>
        <v>-6.3691944117933996E-3</v>
      </c>
      <c r="L749" s="5">
        <f>E749/E748-1</f>
        <v>4.9877781422604794E-3</v>
      </c>
      <c r="M749" s="5">
        <f>F749/F748-1</f>
        <v>-1.7328040321803351E-2</v>
      </c>
      <c r="N749" s="5">
        <f>SUMPRODUCT(I749:M749,$AJ$13:$AN$13)</f>
        <v>-1.0283765104764409E-2</v>
      </c>
      <c r="P749" s="2" t="s">
        <v>740</v>
      </c>
      <c r="Q749" s="10" cm="1">
        <f t="array" aca="1" ref="Q749:U749" ca="1">_xlfn.LET(_xlpm.array,_xlfn.RANDARRAY(1,COLUMNS(_xlfn.ANCHORARRAY(Q748)),0,1,FALSE),_xlpm.array/SUM(_xlpm.array))</f>
        <v>9.2034464530688753E-2</v>
      </c>
      <c r="R749" s="2">
        <f ca="1"/>
        <v>0.26651952657554107</v>
      </c>
      <c r="S749" s="2">
        <f ca="1"/>
        <v>0.3079217658700949</v>
      </c>
      <c r="T749" s="2">
        <f ca="1"/>
        <v>0.2622821337023562</v>
      </c>
      <c r="U749" s="2">
        <f ca="1"/>
        <v>7.1242109321319108E-2</v>
      </c>
      <c r="V749" s="12"/>
      <c r="X749" s="2" cm="1">
        <f t="array" aca="1" ref="X749" ca="1">MMULT(MMULT(_xlfn.ANCHORARRAY(Q749),$Q$9:$U$13),TRANSPOSE(_xlfn.ANCHORARRAY(Q749)))</f>
        <v>3.3349171697136281E-4</v>
      </c>
      <c r="Y749" s="2">
        <f t="shared" ca="1" si="28"/>
        <v>1.8261755582948833E-2</v>
      </c>
      <c r="Z749" s="2" cm="1">
        <f t="array" aca="1" ref="Z749" ca="1">MMULT(_xlfn.ANCHORARRAY(Q749),TRANSPOSE($Q$3:$U$3))</f>
        <v>1.0639060419375065E-3</v>
      </c>
      <c r="AA749" s="11">
        <f ca="1">AVEDEV(Q749*$Q$3,R749*$R$3,S749*$S$3,T749*$T$3,U749*$U$3)</f>
        <v>1.3698187557946982E-4</v>
      </c>
      <c r="AB749" s="11" cm="1">
        <f t="array" aca="1" ref="AB749" ca="1">MMULT(_xlfn.ANCHORARRAY(Q749),TRANSPOSE($Q$6:$U$6))</f>
        <v>-2.3872930262458517E-2</v>
      </c>
      <c r="AD749" s="2" t="s">
        <v>740</v>
      </c>
      <c r="AE749" s="10" cm="1">
        <f t="array" aca="1" ref="AE749:AI749" ca="1">_xlfn.LET(_xlpm.array,_xlfn.RANDARRAY(1,COLUMNS(_xlfn.ANCHORARRAY(Q748)),-1,1,FALSE),_xlpm.array/SUM(_xlpm.array))</f>
        <v>0.52589333591556453</v>
      </c>
      <c r="AF749" s="10">
        <f ca="1"/>
        <v>0.79316861833053642</v>
      </c>
      <c r="AG749" s="10">
        <f ca="1"/>
        <v>1.0000286181282527</v>
      </c>
      <c r="AH749" s="10">
        <f ca="1"/>
        <v>-0.63640038449349623</v>
      </c>
      <c r="AI749" s="10">
        <f ca="1"/>
        <v>-0.68269018788085745</v>
      </c>
      <c r="AJ749" s="1"/>
      <c r="AK749" s="2" cm="1">
        <f t="array" aca="1" ref="AK749" ca="1">MMULT(MMULT(_xlfn.ANCHORARRAY(AE749),$Q$9:$U$13),TRANSPOSE(_xlfn.ANCHORARRAY(AE749)))</f>
        <v>1.230091116196761E-3</v>
      </c>
      <c r="AL749" s="2">
        <f t="shared" ca="1" si="29"/>
        <v>3.5072654821053408E-2</v>
      </c>
      <c r="AM749" s="2" cm="1">
        <f t="array" aca="1" ref="AM749" ca="1">MMULT(_xlfn.ANCHORARRAY(AE750),TRANSPOSE($Q$3:$U$3))</f>
        <v>4.3093820345789567E-4</v>
      </c>
    </row>
    <row r="750" spans="1:39" x14ac:dyDescent="0.35">
      <c r="A750" s="3">
        <v>44915</v>
      </c>
      <c r="B750" s="4">
        <v>29.586896896362301</v>
      </c>
      <c r="C750" s="4">
        <v>150.74888610839801</v>
      </c>
      <c r="D750" s="4">
        <v>36.426029205322202</v>
      </c>
      <c r="E750" s="4">
        <v>26.850357055663999</v>
      </c>
      <c r="F750" s="4">
        <v>235.61602783203099</v>
      </c>
      <c r="I750" s="5">
        <f>B750/B749-1</f>
        <v>4.0547824120931164E-3</v>
      </c>
      <c r="J750" s="5">
        <f>C750/C749-1</f>
        <v>1.642351292638855E-2</v>
      </c>
      <c r="K750" s="5">
        <f>D750/D749-1</f>
        <v>-1.2820669705867482E-3</v>
      </c>
      <c r="L750" s="5">
        <f>E750/E749-1</f>
        <v>5.2383029003992831E-3</v>
      </c>
      <c r="M750" s="5">
        <f>F750/F749-1</f>
        <v>5.6144787136478413E-3</v>
      </c>
      <c r="N750" s="5">
        <f>SUMPRODUCT(I750:M750,$AJ$13:$AN$13)</f>
        <v>1.9448281177924262E-3</v>
      </c>
      <c r="P750" s="2" t="s">
        <v>741</v>
      </c>
      <c r="Q750" s="10" cm="1">
        <f t="array" aca="1" ref="Q750:U750" ca="1">_xlfn.LET(_xlpm.array,_xlfn.RANDARRAY(1,COLUMNS(_xlfn.ANCHORARRAY(Q749)),0,1,FALSE),_xlpm.array/SUM(_xlpm.array))</f>
        <v>0.341109233932329</v>
      </c>
      <c r="R750" s="2">
        <f ca="1"/>
        <v>3.7672953328776994E-2</v>
      </c>
      <c r="S750" s="2">
        <f ca="1"/>
        <v>0.29068296759683465</v>
      </c>
      <c r="T750" s="2">
        <f ca="1"/>
        <v>2.6017660200079863E-3</v>
      </c>
      <c r="U750" s="2">
        <f ca="1"/>
        <v>0.32793307912205133</v>
      </c>
      <c r="V750" s="12"/>
      <c r="X750" s="2" cm="1">
        <f t="array" aca="1" ref="X750" ca="1">MMULT(MMULT(_xlfn.ANCHORARRAY(Q750),$Q$9:$U$13),TRANSPOSE(_xlfn.ANCHORARRAY(Q750)))</f>
        <v>3.0790215899196611E-4</v>
      </c>
      <c r="Y750" s="2">
        <f t="shared" ca="1" si="28"/>
        <v>1.7547141048956268E-2</v>
      </c>
      <c r="Z750" s="2" cm="1">
        <f t="array" aca="1" ref="Z750" ca="1">MMULT(_xlfn.ANCHORARRAY(Q750),TRANSPOSE($Q$3:$U$3))</f>
        <v>9.2642599010051756E-4</v>
      </c>
      <c r="AA750" s="11">
        <f ca="1">AVEDEV(Q750*$Q$3,R750*$R$3,S750*$S$3,T750*$T$3,U750*$U$3)</f>
        <v>1.4092793426870006E-4</v>
      </c>
      <c r="AB750" s="11" cm="1">
        <f t="array" aca="1" ref="AB750" ca="1">MMULT(_xlfn.ANCHORARRAY(Q750),TRANSPOSE($Q$6:$U$6))</f>
        <v>-2.2705660090554171E-2</v>
      </c>
      <c r="AD750" s="2" t="s">
        <v>741</v>
      </c>
      <c r="AE750" s="10" cm="1">
        <f t="array" aca="1" ref="AE750:AI750" ca="1">_xlfn.LET(_xlpm.array,_xlfn.RANDARRAY(1,COLUMNS(_xlfn.ANCHORARRAY(Q749)),-1,1,FALSE),_xlpm.array/SUM(_xlpm.array))</f>
        <v>-0.53383456060977152</v>
      </c>
      <c r="AF750" s="10">
        <f ca="1"/>
        <v>0.30148095247267043</v>
      </c>
      <c r="AG750" s="10">
        <f ca="1"/>
        <v>-0.85995524568561788</v>
      </c>
      <c r="AH750" s="10">
        <f ca="1"/>
        <v>1.0841191496614715</v>
      </c>
      <c r="AI750" s="10">
        <f ca="1"/>
        <v>1.0081897041612475</v>
      </c>
      <c r="AJ750" s="1"/>
      <c r="AK750" s="2" cm="1">
        <f t="array" aca="1" ref="AK750" ca="1">MMULT(MMULT(_xlfn.ANCHORARRAY(AE750),$Q$9:$U$13),TRANSPOSE(_xlfn.ANCHORARRAY(AE750)))</f>
        <v>1.1877843488660523E-3</v>
      </c>
      <c r="AL750" s="2">
        <f t="shared" ca="1" si="29"/>
        <v>3.4464247400255998E-2</v>
      </c>
      <c r="AM750" s="2" cm="1">
        <f t="array" aca="1" ref="AM750" ca="1">MMULT(_xlfn.ANCHORARRAY(AE751),TRANSPOSE($Q$3:$U$3))</f>
        <v>3.7214942794893532E-3</v>
      </c>
    </row>
    <row r="751" spans="1:39" x14ac:dyDescent="0.35">
      <c r="A751" s="3">
        <v>44916</v>
      </c>
      <c r="B751" s="4">
        <v>30.037267684936499</v>
      </c>
      <c r="C751" s="4">
        <v>152.52113342285099</v>
      </c>
      <c r="D751" s="4">
        <v>36.585006713867102</v>
      </c>
      <c r="E751" s="4">
        <v>27.351131439208899</v>
      </c>
      <c r="F751" s="4">
        <v>238.17877197265599</v>
      </c>
      <c r="I751" s="5">
        <f>B751/B750-1</f>
        <v>1.5221967688999971E-2</v>
      </c>
      <c r="J751" s="5">
        <f>C751/C750-1</f>
        <v>1.1756287958098799E-2</v>
      </c>
      <c r="K751" s="5">
        <f>D751/D750-1</f>
        <v>4.3643930456651603E-3</v>
      </c>
      <c r="L751" s="5">
        <f>E751/E750-1</f>
        <v>1.8650567011333719E-2</v>
      </c>
      <c r="M751" s="5">
        <f>F751/F750-1</f>
        <v>1.0876781873480956E-2</v>
      </c>
      <c r="N751" s="5">
        <f>SUMPRODUCT(I751:M751,$AJ$13:$AN$13)</f>
        <v>9.8328110486933656E-3</v>
      </c>
      <c r="P751" s="2" t="s">
        <v>742</v>
      </c>
      <c r="Q751" s="10" cm="1">
        <f t="array" aca="1" ref="Q751:U751" ca="1">_xlfn.LET(_xlpm.array,_xlfn.RANDARRAY(1,COLUMNS(_xlfn.ANCHORARRAY(Q750)),0,1,FALSE),_xlpm.array/SUM(_xlpm.array))</f>
        <v>2.8853700734698194E-2</v>
      </c>
      <c r="R751" s="2">
        <f ca="1"/>
        <v>2.6962484975347752E-2</v>
      </c>
      <c r="S751" s="2">
        <f ca="1"/>
        <v>0.28717707025236372</v>
      </c>
      <c r="T751" s="2">
        <f ca="1"/>
        <v>0.35939023610978876</v>
      </c>
      <c r="U751" s="2">
        <f ca="1"/>
        <v>0.29761650792780164</v>
      </c>
      <c r="V751" s="12"/>
      <c r="X751" s="2" cm="1">
        <f t="array" aca="1" ref="X751" ca="1">MMULT(MMULT(_xlfn.ANCHORARRAY(Q751),$Q$9:$U$13),TRANSPOSE(_xlfn.ANCHORARRAY(Q751)))</f>
        <v>3.0319709240208821E-4</v>
      </c>
      <c r="Y751" s="2">
        <f t="shared" ca="1" si="28"/>
        <v>1.7412555596525405E-2</v>
      </c>
      <c r="Z751" s="2" cm="1">
        <f t="array" aca="1" ref="Z751" ca="1">MMULT(_xlfn.ANCHORARRAY(Q751),TRANSPOSE($Q$3:$U$3))</f>
        <v>1.0955219714561949E-3</v>
      </c>
      <c r="AA751" s="11">
        <f ca="1">AVEDEV(Q751*$Q$3,R751*$R$3,S751*$S$3,T751*$T$3,U751*$U$3)</f>
        <v>1.6154197762876268E-4</v>
      </c>
      <c r="AB751" s="11" cm="1">
        <f t="array" aca="1" ref="AB751" ca="1">MMULT(_xlfn.ANCHORARRAY(Q751),TRANSPOSE($Q$6:$U$6))</f>
        <v>-2.4010170900333146E-2</v>
      </c>
      <c r="AD751" s="2" t="s">
        <v>742</v>
      </c>
      <c r="AE751" s="10" cm="1">
        <f t="array" aca="1" ref="AE751:AI751" ca="1">_xlfn.LET(_xlpm.array,_xlfn.RANDARRAY(1,COLUMNS(_xlfn.ANCHORARRAY(Q750)),-1,1,FALSE),_xlpm.array/SUM(_xlpm.array))</f>
        <v>-2.6011523366810532</v>
      </c>
      <c r="AF751" s="10">
        <f ca="1"/>
        <v>0.67779354425454807</v>
      </c>
      <c r="AG751" s="10">
        <f ca="1"/>
        <v>2.5438609231245026</v>
      </c>
      <c r="AH751" s="10">
        <f ca="1"/>
        <v>0.49491642718268741</v>
      </c>
      <c r="AI751" s="10">
        <f ca="1"/>
        <v>-0.11541855788068477</v>
      </c>
      <c r="AJ751" s="1"/>
      <c r="AK751" s="2" cm="1">
        <f t="array" aca="1" ref="AK751" ca="1">MMULT(MMULT(_xlfn.ANCHORARRAY(AE751),$Q$9:$U$13),TRANSPOSE(_xlfn.ANCHORARRAY(AE751)))</f>
        <v>5.7140027385349252E-3</v>
      </c>
      <c r="AL751" s="2">
        <f t="shared" ca="1" si="29"/>
        <v>7.5591022870013638E-2</v>
      </c>
      <c r="AM751" s="2" cm="1">
        <f t="array" aca="1" ref="AM751" ca="1">MMULT(_xlfn.ANCHORARRAY(AE752),TRANSPOSE($Q$3:$U$3))</f>
        <v>2.0433079116088109E-3</v>
      </c>
    </row>
    <row r="752" spans="1:39" x14ac:dyDescent="0.35">
      <c r="A752" s="3">
        <v>44917</v>
      </c>
      <c r="B752" s="4">
        <v>29.7707214355468</v>
      </c>
      <c r="C752" s="4">
        <v>150.23377990722599</v>
      </c>
      <c r="D752" s="4">
        <v>36.603713989257798</v>
      </c>
      <c r="E752" s="4">
        <v>27.034465789794901</v>
      </c>
      <c r="F752" s="4">
        <v>232.09832763671801</v>
      </c>
      <c r="I752" s="5">
        <f>B752/B751-1</f>
        <v>-8.8738513830727284E-3</v>
      </c>
      <c r="J752" s="5">
        <f>C752/C751-1</f>
        <v>-1.4996961170512191E-2</v>
      </c>
      <c r="K752" s="5">
        <f>D752/D751-1</f>
        <v>5.1133721354790218E-4</v>
      </c>
      <c r="L752" s="5">
        <f>E752/E751-1</f>
        <v>-1.1577789756808565E-2</v>
      </c>
      <c r="M752" s="5">
        <f>F752/F751-1</f>
        <v>-2.5528909589961457E-2</v>
      </c>
      <c r="N752" s="5">
        <f>SUMPRODUCT(I752:M752,$AJ$13:$AN$13)</f>
        <v>-1.0613624698062814E-2</v>
      </c>
      <c r="P752" s="2" t="s">
        <v>743</v>
      </c>
      <c r="Q752" s="10" cm="1">
        <f t="array" aca="1" ref="Q752:U752" ca="1">_xlfn.LET(_xlpm.array,_xlfn.RANDARRAY(1,COLUMNS(_xlfn.ANCHORARRAY(Q751)),0,1,FALSE),_xlpm.array/SUM(_xlpm.array))</f>
        <v>0.21214105276431444</v>
      </c>
      <c r="R752" s="2">
        <f ca="1"/>
        <v>0.26466879807352306</v>
      </c>
      <c r="S752" s="2">
        <f ca="1"/>
        <v>8.7727054365770718E-2</v>
      </c>
      <c r="T752" s="2">
        <f ca="1"/>
        <v>9.9020640032221399E-2</v>
      </c>
      <c r="U752" s="2">
        <f ca="1"/>
        <v>0.33644245476417028</v>
      </c>
      <c r="V752" s="12"/>
      <c r="X752" s="2" cm="1">
        <f t="array" aca="1" ref="X752" ca="1">MMULT(MMULT(_xlfn.ANCHORARRAY(Q752),$Q$9:$U$13),TRANSPOSE(_xlfn.ANCHORARRAY(Q752)))</f>
        <v>2.5158249886555513E-4</v>
      </c>
      <c r="Y752" s="2">
        <f t="shared" ca="1" si="28"/>
        <v>1.5861352365594654E-2</v>
      </c>
      <c r="Z752" s="2" cm="1">
        <f t="array" aca="1" ref="Z752" ca="1">MMULT(_xlfn.ANCHORARRAY(Q752),TRANSPOSE($Q$3:$U$3))</f>
        <v>8.020506673465553E-4</v>
      </c>
      <c r="AA752" s="11">
        <f ca="1">AVEDEV(Q752*$Q$3,R752*$R$3,S752*$S$3,T752*$T$3,U752*$U$3)</f>
        <v>5.1912208225591033E-5</v>
      </c>
      <c r="AB752" s="11" cm="1">
        <f t="array" aca="1" ref="AB752" ca="1">MMULT(_xlfn.ANCHORARRAY(Q752),TRANSPOSE($Q$6:$U$6))</f>
        <v>-2.1681755240425451E-2</v>
      </c>
      <c r="AD752" s="2" t="s">
        <v>743</v>
      </c>
      <c r="AE752" s="10" cm="1">
        <f t="array" aca="1" ref="AE752:AI752" ca="1">_xlfn.LET(_xlpm.array,_xlfn.RANDARRAY(1,COLUMNS(_xlfn.ANCHORARRAY(Q751)),-1,1,FALSE),_xlpm.array/SUM(_xlpm.array))</f>
        <v>-5.7439470481862522E-2</v>
      </c>
      <c r="AF752" s="10">
        <f ca="1"/>
        <v>-0.92887353910122372</v>
      </c>
      <c r="AG752" s="10">
        <f ca="1"/>
        <v>1.2730931083468013</v>
      </c>
      <c r="AH752" s="10">
        <f ca="1"/>
        <v>0.53663383902840356</v>
      </c>
      <c r="AI752" s="10">
        <f ca="1"/>
        <v>0.17658606220788145</v>
      </c>
      <c r="AJ752" s="1"/>
      <c r="AK752" s="2" cm="1">
        <f t="array" aca="1" ref="AK752" ca="1">MMULT(MMULT(_xlfn.ANCHORARRAY(AE752),$Q$9:$U$13),TRANSPOSE(_xlfn.ANCHORARRAY(AE752)))</f>
        <v>1.4299783738966475E-3</v>
      </c>
      <c r="AL752" s="2">
        <f t="shared" ca="1" si="29"/>
        <v>3.7815054857776517E-2</v>
      </c>
      <c r="AM752" s="2" cm="1">
        <f t="array" aca="1" ref="AM752" ca="1">MMULT(_xlfn.ANCHORARRAY(AE753),TRANSPOSE($Q$3:$U$3))</f>
        <v>-0.87359043470097253</v>
      </c>
    </row>
    <row r="753" spans="1:39" x14ac:dyDescent="0.35">
      <c r="A753" s="3">
        <v>44918</v>
      </c>
      <c r="B753" s="4">
        <v>29.844253540038999</v>
      </c>
      <c r="C753" s="4">
        <v>154.87838745117099</v>
      </c>
      <c r="D753" s="4">
        <v>36.585006713867102</v>
      </c>
      <c r="E753" s="4">
        <v>27.262760162353501</v>
      </c>
      <c r="F753" s="4">
        <v>232.62454223632801</v>
      </c>
      <c r="I753" s="5">
        <f>B753/B752-1</f>
        <v>2.4699470132558687E-3</v>
      </c>
      <c r="J753" s="5">
        <f>C753/C752-1</f>
        <v>3.0915866902990752E-2</v>
      </c>
      <c r="K753" s="5">
        <f>D753/D752-1</f>
        <v>-5.1107588143062266E-4</v>
      </c>
      <c r="L753" s="5">
        <f>E753/E752-1</f>
        <v>8.4445675506847895E-3</v>
      </c>
      <c r="M753" s="5">
        <f>F753/F752-1</f>
        <v>2.2672054769548033E-3</v>
      </c>
      <c r="N753" s="5">
        <f>SUMPRODUCT(I753:M753,$AJ$13:$AN$13)</f>
        <v>2.7098280424809737E-3</v>
      </c>
      <c r="P753" s="2" t="s">
        <v>744</v>
      </c>
      <c r="Q753" s="10" cm="1">
        <f t="array" aca="1" ref="Q753:U753" ca="1">_xlfn.LET(_xlpm.array,_xlfn.RANDARRAY(1,COLUMNS(_xlfn.ANCHORARRAY(Q752)),0,1,FALSE),_xlpm.array/SUM(_xlpm.array))</f>
        <v>0.13783211412672533</v>
      </c>
      <c r="R753" s="2">
        <f ca="1"/>
        <v>0.30848949296807066</v>
      </c>
      <c r="S753" s="2">
        <f ca="1"/>
        <v>3.9274947737478895E-2</v>
      </c>
      <c r="T753" s="2">
        <f ca="1"/>
        <v>0.40027648249206743</v>
      </c>
      <c r="U753" s="2">
        <f ca="1"/>
        <v>0.11412696267565769</v>
      </c>
      <c r="V753" s="12"/>
      <c r="X753" s="2" cm="1">
        <f t="array" aca="1" ref="X753" ca="1">MMULT(MMULT(_xlfn.ANCHORARRAY(Q753),$Q$9:$U$13),TRANSPOSE(_xlfn.ANCHORARRAY(Q753)))</f>
        <v>3.2759036714419325E-4</v>
      </c>
      <c r="Y753" s="2">
        <f t="shared" ca="1" si="28"/>
        <v>1.8099457647791362E-2</v>
      </c>
      <c r="Z753" s="2" cm="1">
        <f t="array" aca="1" ref="Z753" ca="1">MMULT(_xlfn.ANCHORARRAY(Q753),TRANSPOSE($Q$3:$U$3))</f>
        <v>8.5532602743377715E-4</v>
      </c>
      <c r="AA753" s="11">
        <f ca="1">AVEDEV(Q753*$Q$3,R753*$R$3,S753*$S$3,T753*$T$3,U753*$U$3)</f>
        <v>1.1682798923450902E-4</v>
      </c>
      <c r="AB753" s="11" cm="1">
        <f t="array" aca="1" ref="AB753" ca="1">MMULT(_xlfn.ANCHORARRAY(Q753),TRANSPOSE($Q$6:$U$6))</f>
        <v>-2.2768710440662719E-2</v>
      </c>
      <c r="AD753" s="2" t="s">
        <v>744</v>
      </c>
      <c r="AE753" s="10" cm="1">
        <f t="array" aca="1" ref="AE753:AI753" ca="1">_xlfn.LET(_xlpm.array,_xlfn.RANDARRAY(1,COLUMNS(_xlfn.ANCHORARRAY(Q752)),-1,1,FALSE),_xlpm.array/SUM(_xlpm.array))</f>
        <v>480.47995561002767</v>
      </c>
      <c r="AF753" s="10">
        <f ca="1"/>
        <v>316.87767571588228</v>
      </c>
      <c r="AG753" s="10">
        <f ca="1"/>
        <v>-787.68722113557112</v>
      </c>
      <c r="AH753" s="10">
        <f ca="1"/>
        <v>-246.73606760883428</v>
      </c>
      <c r="AI753" s="10">
        <f ca="1"/>
        <v>238.06565741849542</v>
      </c>
      <c r="AJ753" s="1"/>
      <c r="AK753" s="2" cm="1">
        <f t="array" aca="1" ref="AK753" ca="1">MMULT(MMULT(_xlfn.ANCHORARRAY(AE753),$Q$9:$U$13),TRANSPOSE(_xlfn.ANCHORARRAY(AE753)))</f>
        <v>460.16848438542974</v>
      </c>
      <c r="AL753" s="2">
        <f t="shared" ca="1" si="29"/>
        <v>21.451538042420868</v>
      </c>
      <c r="AM753" s="2" cm="1">
        <f t="array" aca="1" ref="AM753" ca="1">MMULT(_xlfn.ANCHORARRAY(AE754),TRANSPOSE($Q$3:$U$3))</f>
        <v>1.1679303635192336E-3</v>
      </c>
    </row>
    <row r="754" spans="1:39" x14ac:dyDescent="0.35">
      <c r="A754" s="3">
        <v>44922</v>
      </c>
      <c r="B754" s="4">
        <v>29.899398803710898</v>
      </c>
      <c r="C754" s="4">
        <v>156.82530212402301</v>
      </c>
      <c r="D754" s="4">
        <v>36.8562202453613</v>
      </c>
      <c r="E754" s="4">
        <v>27.343767166137599</v>
      </c>
      <c r="F754" s="4">
        <v>230.89979553222599</v>
      </c>
      <c r="I754" s="5">
        <f>B754/B753-1</f>
        <v>1.8477682344413271E-3</v>
      </c>
      <c r="J754" s="5">
        <f>C754/C753-1</f>
        <v>1.2570602683126708E-2</v>
      </c>
      <c r="K754" s="5">
        <f>D754/D753-1</f>
        <v>7.4132426328459289E-3</v>
      </c>
      <c r="L754" s="5">
        <f>E754/E753-1</f>
        <v>2.9713427144459903E-3</v>
      </c>
      <c r="M754" s="5">
        <f>F754/F753-1</f>
        <v>-7.4142938123433755E-3</v>
      </c>
      <c r="N754" s="5">
        <f>SUMPRODUCT(I754:M754,$AJ$13:$AN$13)</f>
        <v>1.8253029528134406E-3</v>
      </c>
      <c r="P754" s="2" t="s">
        <v>745</v>
      </c>
      <c r="Q754" s="10" cm="1">
        <f t="array" aca="1" ref="Q754:U754" ca="1">_xlfn.LET(_xlpm.array,_xlfn.RANDARRAY(1,COLUMNS(_xlfn.ANCHORARRAY(Q753)),0,1,FALSE),_xlpm.array/SUM(_xlpm.array))</f>
        <v>0.32274773465737816</v>
      </c>
      <c r="R754" s="2">
        <f ca="1"/>
        <v>0.24697617768899122</v>
      </c>
      <c r="S754" s="2">
        <f ca="1"/>
        <v>8.1592343571825123E-3</v>
      </c>
      <c r="T754" s="2">
        <f ca="1"/>
        <v>0.35365437493601626</v>
      </c>
      <c r="U754" s="2">
        <f ca="1"/>
        <v>6.8462478360431858E-2</v>
      </c>
      <c r="V754" s="12"/>
      <c r="X754" s="2" cm="1">
        <f t="array" aca="1" ref="X754" ca="1">MMULT(MMULT(_xlfn.ANCHORARRAY(Q754),$Q$9:$U$13),TRANSPOSE(_xlfn.ANCHORARRAY(Q754)))</f>
        <v>3.3012257449573697E-4</v>
      </c>
      <c r="Y754" s="2">
        <f t="shared" ca="1" si="28"/>
        <v>1.8169275563316687E-2</v>
      </c>
      <c r="Z754" s="2" cm="1">
        <f t="array" aca="1" ref="Z754" ca="1">MMULT(_xlfn.ANCHORARRAY(Q754),TRANSPOSE($Q$3:$U$3))</f>
        <v>7.7130073142673097E-4</v>
      </c>
      <c r="AA754" s="11">
        <f ca="1">AVEDEV(Q754*$Q$3,R754*$R$3,S754*$S$3,T754*$T$3,U754*$U$3)</f>
        <v>9.7162360683328896E-5</v>
      </c>
      <c r="AB754" s="11" cm="1">
        <f t="array" aca="1" ref="AB754" ca="1">MMULT(_xlfn.ANCHORARRAY(Q754),TRANSPOSE($Q$6:$U$6))</f>
        <v>-2.2560190414346135E-2</v>
      </c>
      <c r="AD754" s="2" t="s">
        <v>745</v>
      </c>
      <c r="AE754" s="10" cm="1">
        <f t="array" aca="1" ref="AE754:AI754" ca="1">_xlfn.LET(_xlpm.array,_xlfn.RANDARRAY(1,COLUMNS(_xlfn.ANCHORARRAY(Q753)),-1,1,FALSE),_xlpm.array/SUM(_xlpm.array))</f>
        <v>1.0837580668571654</v>
      </c>
      <c r="AF754" s="10">
        <f ca="1"/>
        <v>-0.94884437953490075</v>
      </c>
      <c r="AG754" s="10">
        <f ca="1"/>
        <v>0.53327426498381336</v>
      </c>
      <c r="AH754" s="10">
        <f ca="1"/>
        <v>0.74065130763619003</v>
      </c>
      <c r="AI754" s="10">
        <f ca="1"/>
        <v>-0.40883925994226805</v>
      </c>
      <c r="AJ754" s="1"/>
      <c r="AK754" s="2" cm="1">
        <f t="array" aca="1" ref="AK754" ca="1">MMULT(MMULT(_xlfn.ANCHORARRAY(AE754),$Q$9:$U$13),TRANSPOSE(_xlfn.ANCHORARRAY(AE754)))</f>
        <v>8.7041307168429641E-4</v>
      </c>
      <c r="AL754" s="2">
        <f t="shared" ca="1" si="29"/>
        <v>2.9502763797385093E-2</v>
      </c>
      <c r="AM754" s="2" cm="1">
        <f t="array" aca="1" ref="AM754" ca="1">MMULT(_xlfn.ANCHORARRAY(AE755),TRANSPOSE($Q$3:$U$3))</f>
        <v>1.0895551566196815E-3</v>
      </c>
    </row>
    <row r="755" spans="1:39" x14ac:dyDescent="0.35">
      <c r="A755" s="3">
        <v>44923</v>
      </c>
      <c r="B755" s="4">
        <v>30.1199932098388</v>
      </c>
      <c r="C755" s="4">
        <v>154.51168823242099</v>
      </c>
      <c r="D755" s="4">
        <v>36.248336791992102</v>
      </c>
      <c r="E755" s="4">
        <v>26.7178039550781</v>
      </c>
      <c r="F755" s="4">
        <v>228.53192138671801</v>
      </c>
      <c r="I755" s="5">
        <f>B755/B754-1</f>
        <v>7.377887681826012E-3</v>
      </c>
      <c r="J755" s="5">
        <f>C755/C754-1</f>
        <v>-1.4752810039366793E-2</v>
      </c>
      <c r="K755" s="5">
        <f>D755/D754-1</f>
        <v>-1.649337477696744E-2</v>
      </c>
      <c r="L755" s="5">
        <f>E755/E754-1</f>
        <v>-2.2892354490009259E-2</v>
      </c>
      <c r="M755" s="5">
        <f>F755/F754-1</f>
        <v>-1.0254985891390733E-2</v>
      </c>
      <c r="N755" s="5">
        <f>SUMPRODUCT(I755:M755,$AJ$13:$AN$13)</f>
        <v>-2.4360342179560564E-2</v>
      </c>
      <c r="P755" s="2" t="s">
        <v>746</v>
      </c>
      <c r="Q755" s="10" cm="1">
        <f t="array" aca="1" ref="Q755:U755" ca="1">_xlfn.LET(_xlpm.array,_xlfn.RANDARRAY(1,COLUMNS(_xlfn.ANCHORARRAY(Q754)),0,1,FALSE),_xlpm.array/SUM(_xlpm.array))</f>
        <v>2.877242911675218E-2</v>
      </c>
      <c r="R755" s="2">
        <f ca="1"/>
        <v>0.34838624280236341</v>
      </c>
      <c r="S755" s="2">
        <f ca="1"/>
        <v>0.33564046119374369</v>
      </c>
      <c r="T755" s="2">
        <f ca="1"/>
        <v>0.23085784399001102</v>
      </c>
      <c r="U755" s="2">
        <f ca="1"/>
        <v>5.6343022897129696E-2</v>
      </c>
      <c r="V755" s="12"/>
      <c r="X755" s="2" cm="1">
        <f t="array" aca="1" ref="X755" ca="1">MMULT(MMULT(_xlfn.ANCHORARRAY(Q755),$Q$9:$U$13),TRANSPOSE(_xlfn.ANCHORARRAY(Q755)))</f>
        <v>3.5003467650075086E-4</v>
      </c>
      <c r="Y755" s="2">
        <f t="shared" ca="1" si="28"/>
        <v>1.8709213679381366E-2</v>
      </c>
      <c r="Z755" s="2" cm="1">
        <f t="array" aca="1" ref="Z755" ca="1">MMULT(_xlfn.ANCHORARRAY(Q755),TRANSPOSE($Q$3:$U$3))</f>
        <v>1.0930515897985976E-3</v>
      </c>
      <c r="AA755" s="11">
        <f ca="1">AVEDEV(Q755*$Q$3,R755*$R$3,S755*$S$3,T755*$T$3,U755*$U$3)</f>
        <v>1.5180119224859776E-4</v>
      </c>
      <c r="AB755" s="11" cm="1">
        <f t="array" aca="1" ref="AB755" ca="1">MMULT(_xlfn.ANCHORARRAY(Q755),TRANSPOSE($Q$6:$U$6))</f>
        <v>-2.3854228002081881E-2</v>
      </c>
      <c r="AD755" s="2" t="s">
        <v>746</v>
      </c>
      <c r="AE755" s="10" cm="1">
        <f t="array" aca="1" ref="AE755:AI755" ca="1">_xlfn.LET(_xlpm.array,_xlfn.RANDARRAY(1,COLUMNS(_xlfn.ANCHORARRAY(Q754)),-1,1,FALSE),_xlpm.array/SUM(_xlpm.array))</f>
        <v>0.48167678517837909</v>
      </c>
      <c r="AF755" s="10">
        <f ca="1"/>
        <v>7.3769894776856554E-2</v>
      </c>
      <c r="AG755" s="10">
        <f ca="1"/>
        <v>0.47627942250996602</v>
      </c>
      <c r="AH755" s="10">
        <f ca="1"/>
        <v>0.16226134765439901</v>
      </c>
      <c r="AI755" s="10">
        <f ca="1"/>
        <v>-0.19398745011960064</v>
      </c>
      <c r="AJ755" s="1"/>
      <c r="AK755" s="2" cm="1">
        <f t="array" aca="1" ref="AK755" ca="1">MMULT(MMULT(_xlfn.ANCHORARRAY(AE755),$Q$9:$U$13),TRANSPOSE(_xlfn.ANCHORARRAY(AE755)))</f>
        <v>4.6614456228777319E-4</v>
      </c>
      <c r="AL755" s="2">
        <f t="shared" ca="1" si="29"/>
        <v>2.1590381244613842E-2</v>
      </c>
      <c r="AM755" s="2" cm="1">
        <f t="array" aca="1" ref="AM755" ca="1">MMULT(_xlfn.ANCHORARRAY(AE756),TRANSPOSE($Q$3:$U$3))</f>
        <v>1.2797019216553524E-3</v>
      </c>
    </row>
    <row r="756" spans="1:39" x14ac:dyDescent="0.35">
      <c r="A756" s="3">
        <v>44924</v>
      </c>
      <c r="B756" s="4">
        <v>30.460069656371999</v>
      </c>
      <c r="C756" s="4">
        <v>155.68161010742099</v>
      </c>
      <c r="D756" s="4">
        <v>37.239646911621001</v>
      </c>
      <c r="E756" s="4">
        <v>26.6441535949707</v>
      </c>
      <c r="F756" s="4">
        <v>234.84622192382801</v>
      </c>
      <c r="I756" s="5">
        <f>B756/B755-1</f>
        <v>1.1290721221747013E-2</v>
      </c>
      <c r="J756" s="5">
        <f>C756/C755-1</f>
        <v>7.5717370535759443E-3</v>
      </c>
      <c r="K756" s="5">
        <f>D756/D755-1</f>
        <v>2.7347740816839217E-2</v>
      </c>
      <c r="L756" s="5">
        <f>E756/E755-1</f>
        <v>-2.7566023102509885E-3</v>
      </c>
      <c r="M756" s="5">
        <f>F756/F755-1</f>
        <v>2.7629840500159375E-2</v>
      </c>
      <c r="N756" s="5">
        <f>SUMPRODUCT(I756:M756,$AJ$13:$AN$13)</f>
        <v>1.8667325647595392E-2</v>
      </c>
      <c r="P756" s="2" t="s">
        <v>747</v>
      </c>
      <c r="Q756" s="10" cm="1">
        <f t="array" aca="1" ref="Q756:U756" ca="1">_xlfn.LET(_xlpm.array,_xlfn.RANDARRAY(1,COLUMNS(_xlfn.ANCHORARRAY(Q755)),0,1,FALSE),_xlpm.array/SUM(_xlpm.array))</f>
        <v>9.4115300464042415E-2</v>
      </c>
      <c r="R756" s="2">
        <f ca="1"/>
        <v>0.26567375446699293</v>
      </c>
      <c r="S756" s="2">
        <f ca="1"/>
        <v>0.20503242163496269</v>
      </c>
      <c r="T756" s="2">
        <f ca="1"/>
        <v>0.37846132168573565</v>
      </c>
      <c r="U756" s="2">
        <f ca="1"/>
        <v>5.6717201748266326E-2</v>
      </c>
      <c r="V756" s="12"/>
      <c r="X756" s="2" cm="1">
        <f t="array" aca="1" ref="X756" ca="1">MMULT(MMULT(_xlfn.ANCHORARRAY(Q756),$Q$9:$U$13),TRANSPOSE(_xlfn.ANCHORARRAY(Q756)))</f>
        <v>3.3588081890471839E-4</v>
      </c>
      <c r="Y756" s="2">
        <f t="shared" ca="1" si="28"/>
        <v>1.8327051560595293E-2</v>
      </c>
      <c r="Z756" s="2" cm="1">
        <f t="array" aca="1" ref="Z756" ca="1">MMULT(_xlfn.ANCHORARRAY(Q756),TRANSPOSE($Q$3:$U$3))</f>
        <v>1.0048348458050658E-3</v>
      </c>
      <c r="AA756" s="11">
        <f ca="1">AVEDEV(Q756*$Q$3,R756*$R$3,S756*$S$3,T756*$T$3,U756*$U$3)</f>
        <v>1.270725764189973E-4</v>
      </c>
      <c r="AB756" s="11" cm="1">
        <f t="array" aca="1" ref="AB756" ca="1">MMULT(_xlfn.ANCHORARRAY(Q756),TRANSPOSE($Q$6:$U$6))</f>
        <v>-2.3738005847275225E-2</v>
      </c>
      <c r="AD756" s="2" t="s">
        <v>747</v>
      </c>
      <c r="AE756" s="10" cm="1">
        <f t="array" aca="1" ref="AE756:AI756" ca="1">_xlfn.LET(_xlpm.array,_xlfn.RANDARRAY(1,COLUMNS(_xlfn.ANCHORARRAY(Q755)),-1,1,FALSE),_xlpm.array/SUM(_xlpm.array))</f>
        <v>-0.137336463569629</v>
      </c>
      <c r="AF756" s="10">
        <f ca="1"/>
        <v>0.52859841429579735</v>
      </c>
      <c r="AG756" s="10">
        <f ca="1"/>
        <v>0.52276301558366745</v>
      </c>
      <c r="AH756" s="10">
        <f ca="1"/>
        <v>0.1899554353059115</v>
      </c>
      <c r="AI756" s="10">
        <f ca="1"/>
        <v>-0.10398040161574724</v>
      </c>
      <c r="AJ756" s="1"/>
      <c r="AK756" s="2" cm="1">
        <f t="array" aca="1" ref="AK756" ca="1">MMULT(MMULT(_xlfn.ANCHORARRAY(AE756),$Q$9:$U$13),TRANSPOSE(_xlfn.ANCHORARRAY(AE756)))</f>
        <v>4.9487708991483568E-4</v>
      </c>
      <c r="AL756" s="2">
        <f t="shared" ca="1" si="29"/>
        <v>2.224583309104956E-2</v>
      </c>
      <c r="AM756" s="2" cm="1">
        <f t="array" aca="1" ref="AM756" ca="1">MMULT(_xlfn.ANCHORARRAY(AE757),TRANSPOSE($Q$3:$U$3))</f>
        <v>1.527756089577131E-3</v>
      </c>
    </row>
    <row r="757" spans="1:39" x14ac:dyDescent="0.35">
      <c r="A757" s="3">
        <v>44925</v>
      </c>
      <c r="B757" s="4">
        <v>30.441686630248999</v>
      </c>
      <c r="C757" s="4">
        <v>156.70304870605401</v>
      </c>
      <c r="D757" s="4">
        <v>37.61372756958</v>
      </c>
      <c r="E757" s="4">
        <v>26.371679306030199</v>
      </c>
      <c r="F757" s="4">
        <v>233.68667602539</v>
      </c>
      <c r="I757" s="5">
        <f>B757/B756-1</f>
        <v>-6.0351228117283551E-4</v>
      </c>
      <c r="J757" s="5">
        <f>C757/C756-1</f>
        <v>6.5610742201871464E-3</v>
      </c>
      <c r="K757" s="5">
        <f>D757/D756-1</f>
        <v>1.0045225693110948E-2</v>
      </c>
      <c r="L757" s="5">
        <f>E757/E756-1</f>
        <v>-1.0226419389502861E-2</v>
      </c>
      <c r="M757" s="5">
        <f>F757/F756-1</f>
        <v>-4.9374688208273509E-3</v>
      </c>
      <c r="N757" s="5">
        <f>SUMPRODUCT(I757:M757,$AJ$13:$AN$13)</f>
        <v>-1.2378365671662148E-3</v>
      </c>
      <c r="P757" s="2" t="s">
        <v>748</v>
      </c>
      <c r="Q757" s="10" cm="1">
        <f t="array" aca="1" ref="Q757:U757" ca="1">_xlfn.LET(_xlpm.array,_xlfn.RANDARRAY(1,COLUMNS(_xlfn.ANCHORARRAY(Q756)),0,1,FALSE),_xlpm.array/SUM(_xlpm.array))</f>
        <v>0.23525930209033688</v>
      </c>
      <c r="R757" s="2">
        <f ca="1"/>
        <v>0.17617964256634588</v>
      </c>
      <c r="S757" s="2">
        <f ca="1"/>
        <v>0.33719559553444295</v>
      </c>
      <c r="T757" s="2">
        <f ca="1"/>
        <v>0.13349131436817546</v>
      </c>
      <c r="U757" s="2">
        <f ca="1"/>
        <v>0.11787414544069881</v>
      </c>
      <c r="V757" s="12"/>
      <c r="X757" s="2" cm="1">
        <f t="array" aca="1" ref="X757" ca="1">MMULT(MMULT(_xlfn.ANCHORARRAY(Q757),$Q$9:$U$13),TRANSPOSE(_xlfn.ANCHORARRAY(Q757)))</f>
        <v>3.2209627236788136E-4</v>
      </c>
      <c r="Y757" s="2">
        <f t="shared" ca="1" si="28"/>
        <v>1.7947040769104007E-2</v>
      </c>
      <c r="Z757" s="2" cm="1">
        <f t="array" aca="1" ref="Z757" ca="1">MMULT(_xlfn.ANCHORARRAY(Q757),TRANSPOSE($Q$3:$U$3))</f>
        <v>1.02236232318064E-3</v>
      </c>
      <c r="AA757" s="11">
        <f ca="1">AVEDEV(Q757*$Q$3,R757*$R$3,S757*$S$3,T757*$T$3,U757*$U$3)</f>
        <v>1.372533772888277E-4</v>
      </c>
      <c r="AB757" s="11" cm="1">
        <f t="array" aca="1" ref="AB757" ca="1">MMULT(_xlfn.ANCHORARRAY(Q757),TRANSPOSE($Q$6:$U$6))</f>
        <v>-2.3599600342267261E-2</v>
      </c>
      <c r="AD757" s="2" t="s">
        <v>748</v>
      </c>
      <c r="AE757" s="10" cm="1">
        <f t="array" aca="1" ref="AE757:AI757" ca="1">_xlfn.LET(_xlpm.array,_xlfn.RANDARRAY(1,COLUMNS(_xlfn.ANCHORARRAY(Q756)),-1,1,FALSE),_xlpm.array/SUM(_xlpm.array))</f>
        <v>-0.26107539720935924</v>
      </c>
      <c r="AF757" s="10">
        <f ca="1"/>
        <v>-0.4523687000014191</v>
      </c>
      <c r="AG757" s="10">
        <f ca="1"/>
        <v>0.65618786891283898</v>
      </c>
      <c r="AH757" s="10">
        <f ca="1"/>
        <v>0.45367814082262931</v>
      </c>
      <c r="AI757" s="10">
        <f ca="1"/>
        <v>0.60357808747531005</v>
      </c>
      <c r="AJ757" s="1"/>
      <c r="AK757" s="2" cm="1">
        <f t="array" aca="1" ref="AK757" ca="1">MMULT(MMULT(_xlfn.ANCHORARRAY(AE757),$Q$9:$U$13),TRANSPOSE(_xlfn.ANCHORARRAY(AE757)))</f>
        <v>6.3442249615035631E-4</v>
      </c>
      <c r="AL757" s="2">
        <f t="shared" ca="1" si="29"/>
        <v>2.5187744959609949E-2</v>
      </c>
      <c r="AM757" s="2" cm="1">
        <f t="array" aca="1" ref="AM757" ca="1">MMULT(_xlfn.ANCHORARRAY(AE758),TRANSPOSE($Q$3:$U$3))</f>
        <v>9.2044030365081046E-4</v>
      </c>
    </row>
    <row r="758" spans="1:39" x14ac:dyDescent="0.35">
      <c r="A758" s="3">
        <v>44929</v>
      </c>
      <c r="B758" s="4">
        <v>30.800155639648398</v>
      </c>
      <c r="C758" s="4">
        <v>151.90129089355401</v>
      </c>
      <c r="D758" s="4">
        <v>38.249671936035099</v>
      </c>
      <c r="E758" s="4">
        <v>24.007722854614201</v>
      </c>
      <c r="F758" s="4">
        <v>233.45281982421801</v>
      </c>
      <c r="I758" s="5">
        <f>B758/B757-1</f>
        <v>1.1775596199824268E-2</v>
      </c>
      <c r="J758" s="5">
        <f>C758/C757-1</f>
        <v>-3.0642401996321178E-2</v>
      </c>
      <c r="K758" s="5">
        <f>D758/D757-1</f>
        <v>1.6907241253308225E-2</v>
      </c>
      <c r="L758" s="5">
        <f>E758/E757-1</f>
        <v>-8.9639966571087859E-2</v>
      </c>
      <c r="M758" s="5">
        <f>F758/F757-1</f>
        <v>-1.0007254377933927E-3</v>
      </c>
      <c r="N758" s="5">
        <f>SUMPRODUCT(I758:M758,$AJ$13:$AN$13)</f>
        <v>-3.5817767771377594E-2</v>
      </c>
      <c r="P758" s="2" t="s">
        <v>749</v>
      </c>
      <c r="Q758" s="10" cm="1">
        <f t="array" aca="1" ref="Q758:U758" ca="1">_xlfn.LET(_xlpm.array,_xlfn.RANDARRAY(1,COLUMNS(_xlfn.ANCHORARRAY(Q757)),0,1,FALSE),_xlpm.array/SUM(_xlpm.array))</f>
        <v>0.23452167982831407</v>
      </c>
      <c r="R758" s="2">
        <f ca="1"/>
        <v>0.20968625367747062</v>
      </c>
      <c r="S758" s="2">
        <f ca="1"/>
        <v>0.20808681708984586</v>
      </c>
      <c r="T758" s="2">
        <f ca="1"/>
        <v>0.31323284349193298</v>
      </c>
      <c r="U758" s="2">
        <f ca="1"/>
        <v>3.4472405912436527E-2</v>
      </c>
      <c r="V758" s="12"/>
      <c r="X758" s="2" cm="1">
        <f t="array" aca="1" ref="X758" ca="1">MMULT(MMULT(_xlfn.ANCHORARRAY(Q758),$Q$9:$U$13),TRANSPOSE(_xlfn.ANCHORARRAY(Q758)))</f>
        <v>3.2476587379379998E-4</v>
      </c>
      <c r="Y758" s="2">
        <f t="shared" ca="1" si="28"/>
        <v>1.802126171481342E-2</v>
      </c>
      <c r="Z758" s="2" cm="1">
        <f t="array" aca="1" ref="Z758" ca="1">MMULT(_xlfn.ANCHORARRAY(Q758),TRANSPOSE($Q$3:$U$3))</f>
        <v>9.5661939492955046E-4</v>
      </c>
      <c r="AA758" s="11">
        <f ca="1">AVEDEV(Q758*$Q$3,R758*$R$3,S758*$S$3,T758*$T$3,U758*$U$3)</f>
        <v>1.1011577259704959E-4</v>
      </c>
      <c r="AB758" s="11" cm="1">
        <f t="array" aca="1" ref="AB758" ca="1">MMULT(_xlfn.ANCHORARRAY(Q758),TRANSPOSE($Q$6:$U$6))</f>
        <v>-2.3612504556245785E-2</v>
      </c>
      <c r="AD758" s="2" t="s">
        <v>749</v>
      </c>
      <c r="AE758" s="10" cm="1">
        <f t="array" aca="1" ref="AE758:AI758" ca="1">_xlfn.LET(_xlpm.array,_xlfn.RANDARRAY(1,COLUMNS(_xlfn.ANCHORARRAY(Q757)),-1,1,FALSE),_xlpm.array/SUM(_xlpm.array))</f>
        <v>0.46395289109787252</v>
      </c>
      <c r="AF758" s="10">
        <f ca="1"/>
        <v>0.27010895964469661</v>
      </c>
      <c r="AG758" s="10">
        <f ca="1"/>
        <v>0.18478503941606256</v>
      </c>
      <c r="AH758" s="10">
        <f ca="1"/>
        <v>0.48773543885470516</v>
      </c>
      <c r="AI758" s="10">
        <f ca="1"/>
        <v>-0.40658232901333696</v>
      </c>
      <c r="AJ758" s="1"/>
      <c r="AK758" s="2" cm="1">
        <f t="array" aca="1" ref="AK758" ca="1">MMULT(MMULT(_xlfn.ANCHORARRAY(AE758),$Q$9:$U$13),TRANSPOSE(_xlfn.ANCHORARRAY(AE758)))</f>
        <v>5.5834371658373743E-4</v>
      </c>
      <c r="AL758" s="2">
        <f t="shared" ca="1" si="29"/>
        <v>2.3629297843646084E-2</v>
      </c>
      <c r="AM758" s="2" cm="1">
        <f t="array" aca="1" ref="AM758" ca="1">MMULT(_xlfn.ANCHORARRAY(AE759),TRANSPOSE($Q$3:$U$3))</f>
        <v>2.3719708186299613E-3</v>
      </c>
    </row>
    <row r="759" spans="1:39" x14ac:dyDescent="0.35">
      <c r="A759" s="3">
        <v>44930</v>
      </c>
      <c r="B759" s="4">
        <v>31.379205703735298</v>
      </c>
      <c r="C759" s="4">
        <v>150.28616333007801</v>
      </c>
      <c r="D759" s="4">
        <v>38.287071228027301</v>
      </c>
      <c r="E759" s="4">
        <v>23.462762832641602</v>
      </c>
      <c r="F759" s="4">
        <v>223.24082946777301</v>
      </c>
      <c r="I759" s="5">
        <f>B759/B758-1</f>
        <v>1.8800231754072749E-2</v>
      </c>
      <c r="J759" s="5">
        <f>C759/C758-1</f>
        <v>-1.0632744158888041E-2</v>
      </c>
      <c r="K759" s="5">
        <f>D759/D758-1</f>
        <v>9.7776765392243448E-4</v>
      </c>
      <c r="L759" s="5">
        <f>E759/E758-1</f>
        <v>-2.269936325376487E-2</v>
      </c>
      <c r="M759" s="5">
        <f>F759/F758-1</f>
        <v>-4.3743272684109269E-2</v>
      </c>
      <c r="N759" s="5">
        <f>SUMPRODUCT(I759:M759,$AJ$13:$AN$13)</f>
        <v>-2.979852179818181E-2</v>
      </c>
      <c r="P759" s="2" t="s">
        <v>750</v>
      </c>
      <c r="Q759" s="10" cm="1">
        <f t="array" aca="1" ref="Q759:U759" ca="1">_xlfn.LET(_xlpm.array,_xlfn.RANDARRAY(1,COLUMNS(_xlfn.ANCHORARRAY(Q758)),0,1,FALSE),_xlpm.array/SUM(_xlpm.array))</f>
        <v>0.10333446954631353</v>
      </c>
      <c r="R759" s="2">
        <f ca="1"/>
        <v>0.23555497164944308</v>
      </c>
      <c r="S759" s="2">
        <f ca="1"/>
        <v>0.35627262696081458</v>
      </c>
      <c r="T759" s="2">
        <f ca="1"/>
        <v>9.7727649737537767E-2</v>
      </c>
      <c r="U759" s="2">
        <f ca="1"/>
        <v>0.20711028210589119</v>
      </c>
      <c r="V759" s="12"/>
      <c r="X759" s="2" cm="1">
        <f t="array" aca="1" ref="X759" ca="1">MMULT(MMULT(_xlfn.ANCHORARRAY(Q759),$Q$9:$U$13),TRANSPOSE(_xlfn.ANCHORARRAY(Q759)))</f>
        <v>3.1712390631098041E-4</v>
      </c>
      <c r="Y759" s="2">
        <f t="shared" ca="1" si="28"/>
        <v>1.7807973110687818E-2</v>
      </c>
      <c r="Z759" s="2" cm="1">
        <f t="array" aca="1" ref="Z759" ca="1">MMULT(_xlfn.ANCHORARRAY(Q759),TRANSPOSE($Q$3:$U$3))</f>
        <v>1.0613671472841123E-3</v>
      </c>
      <c r="AA759" s="11">
        <f ca="1">AVEDEV(Q759*$Q$3,R759*$R$3,S759*$S$3,T759*$T$3,U759*$U$3)</f>
        <v>1.4652543687505314E-4</v>
      </c>
      <c r="AB759" s="11" cm="1">
        <f t="array" aca="1" ref="AB759" ca="1">MMULT(_xlfn.ANCHORARRAY(Q759),TRANSPOSE($Q$6:$U$6))</f>
        <v>-2.3386244946343494E-2</v>
      </c>
      <c r="AD759" s="2" t="s">
        <v>750</v>
      </c>
      <c r="AE759" s="10" cm="1">
        <f t="array" aca="1" ref="AE759:AI759" ca="1">_xlfn.LET(_xlpm.array,_xlfn.RANDARRAY(1,COLUMNS(_xlfn.ANCHORARRAY(Q758)),-1,1,FALSE),_xlpm.array/SUM(_xlpm.array))</f>
        <v>-0.55432290237245574</v>
      </c>
      <c r="AF759" s="10">
        <f ca="1"/>
        <v>-0.34050064825408066</v>
      </c>
      <c r="AG759" s="10">
        <f ca="1"/>
        <v>1.6625585500404161</v>
      </c>
      <c r="AH759" s="10">
        <f ca="1"/>
        <v>9.6217329806089547E-2</v>
      </c>
      <c r="AI759" s="10">
        <f ca="1"/>
        <v>0.13604767078003083</v>
      </c>
      <c r="AJ759" s="1"/>
      <c r="AK759" s="2" cm="1">
        <f t="array" aca="1" ref="AK759" ca="1">MMULT(MMULT(_xlfn.ANCHORARRAY(AE759),$Q$9:$U$13),TRANSPOSE(_xlfn.ANCHORARRAY(AE759)))</f>
        <v>2.0941602006476082E-3</v>
      </c>
      <c r="AL759" s="2">
        <f t="shared" ca="1" si="29"/>
        <v>4.5761995155888996E-2</v>
      </c>
      <c r="AM759" s="2" cm="1">
        <f t="array" aca="1" ref="AM759" ca="1">MMULT(_xlfn.ANCHORARRAY(AE760),TRANSPOSE($Q$3:$U$3))</f>
        <v>-5.989491027128135E-4</v>
      </c>
    </row>
    <row r="760" spans="1:39" x14ac:dyDescent="0.35">
      <c r="A760" s="3">
        <v>44931</v>
      </c>
      <c r="B760" s="4">
        <v>31.314865112304599</v>
      </c>
      <c r="C760" s="4">
        <v>152.99256896972599</v>
      </c>
      <c r="D760" s="4">
        <v>38.221607208251903</v>
      </c>
      <c r="E760" s="4">
        <v>23.779426574706999</v>
      </c>
      <c r="F760" s="4">
        <v>216.62449645996</v>
      </c>
      <c r="I760" s="5">
        <f>B760/B759-1</f>
        <v>-2.0504212897600738E-3</v>
      </c>
      <c r="J760" s="5">
        <f>C760/C759-1</f>
        <v>1.8008348737360569E-2</v>
      </c>
      <c r="K760" s="5">
        <f>D760/D759-1</f>
        <v>-1.7098205131834687E-3</v>
      </c>
      <c r="L760" s="5">
        <f>E760/E759-1</f>
        <v>1.3496438775098207E-2</v>
      </c>
      <c r="M760" s="5">
        <f>F760/F759-1</f>
        <v>-2.9637647484051066E-2</v>
      </c>
      <c r="N760" s="5">
        <f>SUMPRODUCT(I760:M760,$AJ$13:$AN$13)</f>
        <v>-4.4812697736497714E-3</v>
      </c>
      <c r="P760" s="2" t="s">
        <v>751</v>
      </c>
      <c r="Q760" s="10" cm="1">
        <f t="array" aca="1" ref="Q760:U760" ca="1">_xlfn.LET(_xlpm.array,_xlfn.RANDARRAY(1,COLUMNS(_xlfn.ANCHORARRAY(Q759)),0,1,FALSE),_xlpm.array/SUM(_xlpm.array))</f>
        <v>6.8215357963500978E-2</v>
      </c>
      <c r="R760" s="2">
        <f ca="1"/>
        <v>0.37089083193849881</v>
      </c>
      <c r="S760" s="2">
        <f ca="1"/>
        <v>0.19223727788747813</v>
      </c>
      <c r="T760" s="2">
        <f ca="1"/>
        <v>0.13166461905518348</v>
      </c>
      <c r="U760" s="2">
        <f ca="1"/>
        <v>0.23699191315533868</v>
      </c>
      <c r="V760" s="12"/>
      <c r="X760" s="2" cm="1">
        <f t="array" aca="1" ref="X760" ca="1">MMULT(MMULT(_xlfn.ANCHORARRAY(Q760),$Q$9:$U$13),TRANSPOSE(_xlfn.ANCHORARRAY(Q760)))</f>
        <v>2.7883979426454516E-4</v>
      </c>
      <c r="Y760" s="2">
        <f t="shared" ca="1" si="28"/>
        <v>1.6698496766611812E-2</v>
      </c>
      <c r="Z760" s="2" cm="1">
        <f t="array" aca="1" ref="Z760" ca="1">MMULT(_xlfn.ANCHORARRAY(Q760),TRANSPOSE($Q$3:$U$3))</f>
        <v>9.3347765552275808E-4</v>
      </c>
      <c r="AA760" s="11">
        <f ca="1">AVEDEV(Q760*$Q$3,R760*$R$3,S760*$S$3,T760*$T$3,U760*$U$3)</f>
        <v>8.3856557679294662E-5</v>
      </c>
      <c r="AB760" s="11" cm="1">
        <f t="array" aca="1" ref="AB760" ca="1">MMULT(_xlfn.ANCHORARRAY(Q760),TRANSPOSE($Q$6:$U$6))</f>
        <v>-2.2416883692254298E-2</v>
      </c>
      <c r="AD760" s="2" t="s">
        <v>751</v>
      </c>
      <c r="AE760" s="10" cm="1">
        <f t="array" aca="1" ref="AE760:AI760" ca="1">_xlfn.LET(_xlpm.array,_xlfn.RANDARRAY(1,COLUMNS(_xlfn.ANCHORARRAY(Q759)),-1,1,FALSE),_xlpm.array/SUM(_xlpm.array))</f>
        <v>1.8487563034121661</v>
      </c>
      <c r="AF760" s="10">
        <f ca="1"/>
        <v>1.0201860067786499</v>
      </c>
      <c r="AG760" s="10">
        <f ca="1"/>
        <v>-0.25457900462696481</v>
      </c>
      <c r="AH760" s="10">
        <f ca="1"/>
        <v>-2.4745115646134015</v>
      </c>
      <c r="AI760" s="10">
        <f ca="1"/>
        <v>0.86014825904955017</v>
      </c>
      <c r="AJ760" s="1"/>
      <c r="AK760" s="2" cm="1">
        <f t="array" aca="1" ref="AK760" ca="1">MMULT(MMULT(_xlfn.ANCHORARRAY(AE760),$Q$9:$U$13),TRANSPOSE(_xlfn.ANCHORARRAY(AE760)))</f>
        <v>3.0849479484677863E-3</v>
      </c>
      <c r="AL760" s="2">
        <f t="shared" ca="1" si="29"/>
        <v>5.5542307734444976E-2</v>
      </c>
      <c r="AM760" s="2" cm="1">
        <f t="array" aca="1" ref="AM760" ca="1">MMULT(_xlfn.ANCHORARRAY(AE761),TRANSPOSE($Q$3:$U$3))</f>
        <v>9.1684985866699316E-4</v>
      </c>
    </row>
    <row r="761" spans="1:39" x14ac:dyDescent="0.35">
      <c r="A761" s="3">
        <v>44932</v>
      </c>
      <c r="B761" s="4">
        <v>31.627376556396399</v>
      </c>
      <c r="C761" s="4">
        <v>154.14500427246</v>
      </c>
      <c r="D761" s="4">
        <v>39.671169281005803</v>
      </c>
      <c r="E761" s="4">
        <v>23.462762832641602</v>
      </c>
      <c r="F761" s="4">
        <v>219.17744445800699</v>
      </c>
      <c r="I761" s="5">
        <f>B761/B760-1</f>
        <v>9.9796516118155765E-3</v>
      </c>
      <c r="J761" s="5">
        <f>C761/C760-1</f>
        <v>7.5326227312519922E-3</v>
      </c>
      <c r="K761" s="5">
        <f>D761/D760-1</f>
        <v>3.7925199347476513E-2</v>
      </c>
      <c r="L761" s="5">
        <f>E761/E760-1</f>
        <v>-1.3316710605722371E-2</v>
      </c>
      <c r="M761" s="5">
        <f>F761/F760-1</f>
        <v>1.1785130674355049E-2</v>
      </c>
      <c r="N761" s="5">
        <f>SUMPRODUCT(I761:M761,$AJ$13:$AN$13)</f>
        <v>1.4328038607393612E-2</v>
      </c>
      <c r="P761" s="2" t="s">
        <v>752</v>
      </c>
      <c r="Q761" s="10" cm="1">
        <f t="array" aca="1" ref="Q761:U761" ca="1">_xlfn.LET(_xlpm.array,_xlfn.RANDARRAY(1,COLUMNS(_xlfn.ANCHORARRAY(Q760)),0,1,FALSE),_xlpm.array/SUM(_xlpm.array))</f>
        <v>0.35800157948619987</v>
      </c>
      <c r="R761" s="2">
        <f ca="1"/>
        <v>0.16324220195624362</v>
      </c>
      <c r="S761" s="2">
        <f ca="1"/>
        <v>0.1994735308779487</v>
      </c>
      <c r="T761" s="2">
        <f ca="1"/>
        <v>0.14772172060636149</v>
      </c>
      <c r="U761" s="2">
        <f ca="1"/>
        <v>0.13156096707324652</v>
      </c>
      <c r="V761" s="12"/>
      <c r="X761" s="2" cm="1">
        <f t="array" aca="1" ref="X761" ca="1">MMULT(MMULT(_xlfn.ANCHORARRAY(Q761),$Q$9:$U$13),TRANSPOSE(_xlfn.ANCHORARRAY(Q761)))</f>
        <v>2.9401281529497304E-4</v>
      </c>
      <c r="Y761" s="2">
        <f t="shared" ca="1" si="28"/>
        <v>1.71468018970003E-2</v>
      </c>
      <c r="Z761" s="2" cm="1">
        <f t="array" aca="1" ref="Z761" ca="1">MMULT(_xlfn.ANCHORARRAY(Q761),TRANSPOSE($Q$3:$U$3))</f>
        <v>8.7664390574446692E-4</v>
      </c>
      <c r="AA761" s="11">
        <f ca="1">AVEDEV(Q761*$Q$3,R761*$R$3,S761*$S$3,T761*$T$3,U761*$U$3)</f>
        <v>6.2096226140635077E-5</v>
      </c>
      <c r="AB761" s="11" cm="1">
        <f t="array" aca="1" ref="AB761" ca="1">MMULT(_xlfn.ANCHORARRAY(Q761),TRANSPOSE($Q$6:$U$6))</f>
        <v>-2.2879699167216671E-2</v>
      </c>
      <c r="AD761" s="2" t="s">
        <v>752</v>
      </c>
      <c r="AE761" s="10" cm="1">
        <f t="array" aca="1" ref="AE761:AI761" ca="1">_xlfn.LET(_xlpm.array,_xlfn.RANDARRAY(1,COLUMNS(_xlfn.ANCHORARRAY(Q760)),-1,1,FALSE),_xlpm.array/SUM(_xlpm.array))</f>
        <v>0.22266338462736537</v>
      </c>
      <c r="AF761" s="10">
        <f ca="1"/>
        <v>0.28239159600097968</v>
      </c>
      <c r="AG761" s="10">
        <f ca="1"/>
        <v>0.18874529089965353</v>
      </c>
      <c r="AH761" s="10">
        <f ca="1"/>
        <v>0.221013387619479</v>
      </c>
      <c r="AI761" s="10">
        <f ca="1"/>
        <v>8.5186340852522455E-2</v>
      </c>
      <c r="AJ761" s="1"/>
      <c r="AK761" s="2" cm="1">
        <f t="array" aca="1" ref="AK761" ca="1">MMULT(MMULT(_xlfn.ANCHORARRAY(AE761),$Q$9:$U$13),TRANSPOSE(_xlfn.ANCHORARRAY(AE761)))</f>
        <v>3.0448150212878121E-4</v>
      </c>
      <c r="AL761" s="2">
        <f t="shared" ca="1" si="29"/>
        <v>1.7449398331426249E-2</v>
      </c>
      <c r="AM761" s="2" cm="1">
        <f t="array" aca="1" ref="AM761" ca="1">MMULT(_xlfn.ANCHORARRAY(AE762),TRANSPOSE($Q$3:$U$3))</f>
        <v>8.5600007258836131E-4</v>
      </c>
    </row>
    <row r="762" spans="1:39" x14ac:dyDescent="0.35">
      <c r="A762" s="3">
        <v>44935</v>
      </c>
      <c r="B762" s="4">
        <v>31.149417877197202</v>
      </c>
      <c r="C762" s="4">
        <v>152.94021606445301</v>
      </c>
      <c r="D762" s="4">
        <v>39.540241241455</v>
      </c>
      <c r="E762" s="4">
        <v>23.7204284667968</v>
      </c>
      <c r="F762" s="4">
        <v>221.31146240234301</v>
      </c>
      <c r="I762" s="5">
        <f>B762/B761-1</f>
        <v>-1.511218226864075E-2</v>
      </c>
      <c r="J762" s="5">
        <f>C762/C761-1</f>
        <v>-7.8159406702370537E-3</v>
      </c>
      <c r="K762" s="5">
        <f>D762/D761-1</f>
        <v>-3.3003322544740143E-3</v>
      </c>
      <c r="L762" s="5">
        <f>E762/E761-1</f>
        <v>1.0981896547866521E-2</v>
      </c>
      <c r="M762" s="5">
        <f>F762/F761-1</f>
        <v>9.7364852008978708E-3</v>
      </c>
      <c r="N762" s="5">
        <f>SUMPRODUCT(I762:M762,$AJ$13:$AN$13)</f>
        <v>1.1292111435680038E-2</v>
      </c>
      <c r="P762" s="2" t="s">
        <v>753</v>
      </c>
      <c r="Q762" s="10" cm="1">
        <f t="array" aca="1" ref="Q762:U762" ca="1">_xlfn.LET(_xlpm.array,_xlfn.RANDARRAY(1,COLUMNS(_xlfn.ANCHORARRAY(Q761)),0,1,FALSE),_xlpm.array/SUM(_xlpm.array))</f>
        <v>4.3370932721744644E-2</v>
      </c>
      <c r="R762" s="2">
        <f ca="1"/>
        <v>0.55645475518321719</v>
      </c>
      <c r="S762" s="2">
        <f ca="1"/>
        <v>3.6544936766279221E-2</v>
      </c>
      <c r="T762" s="2">
        <f ca="1"/>
        <v>7.2275049655100981E-2</v>
      </c>
      <c r="U762" s="2">
        <f ca="1"/>
        <v>0.29135432567365793</v>
      </c>
      <c r="V762" s="12"/>
      <c r="X762" s="2" cm="1">
        <f t="array" aca="1" ref="X762" ca="1">MMULT(MMULT(_xlfn.ANCHORARRAY(Q762),$Q$9:$U$13),TRANSPOSE(_xlfn.ANCHORARRAY(Q762)))</f>
        <v>2.8115471286851729E-4</v>
      </c>
      <c r="Y762" s="2">
        <f t="shared" ca="1" si="28"/>
        <v>1.6767668677204868E-2</v>
      </c>
      <c r="Z762" s="2" cm="1">
        <f t="array" aca="1" ref="Z762" ca="1">MMULT(_xlfn.ANCHORARRAY(Q762),TRANSPOSE($Q$3:$U$3))</f>
        <v>7.8441800766059725E-4</v>
      </c>
      <c r="AA762" s="11">
        <f ca="1">AVEDEV(Q762*$Q$3,R762*$R$3,S762*$S$3,T762*$T$3,U762*$U$3)</f>
        <v>1.2616850266457534E-4</v>
      </c>
      <c r="AB762" s="11" cm="1">
        <f t="array" aca="1" ref="AB762" ca="1">MMULT(_xlfn.ANCHORARRAY(Q762),TRANSPOSE($Q$6:$U$6))</f>
        <v>-2.107508236286601E-2</v>
      </c>
      <c r="AD762" s="2" t="s">
        <v>753</v>
      </c>
      <c r="AE762" s="10" cm="1">
        <f t="array" aca="1" ref="AE762:AI762" ca="1">_xlfn.LET(_xlpm.array,_xlfn.RANDARRAY(1,COLUMNS(_xlfn.ANCHORARRAY(Q761)),-1,1,FALSE),_xlpm.array/SUM(_xlpm.array))</f>
        <v>0.19054117361996517</v>
      </c>
      <c r="AF762" s="10">
        <f ca="1"/>
        <v>0.33123954063809469</v>
      </c>
      <c r="AG762" s="10">
        <f ca="1"/>
        <v>0.16454469627636295</v>
      </c>
      <c r="AH762" s="10">
        <f ca="1"/>
        <v>3.9484876783629642E-2</v>
      </c>
      <c r="AI762" s="10">
        <f ca="1"/>
        <v>0.27418971268194747</v>
      </c>
      <c r="AJ762" s="1"/>
      <c r="AK762" s="2" cm="1">
        <f t="array" aca="1" ref="AK762" ca="1">MMULT(MMULT(_xlfn.ANCHORARRAY(AE762),$Q$9:$U$13),TRANSPOSE(_xlfn.ANCHORARRAY(AE762)))</f>
        <v>2.6686986273587046E-4</v>
      </c>
      <c r="AL762" s="2">
        <f t="shared" ca="1" si="29"/>
        <v>1.6336152017408213E-2</v>
      </c>
      <c r="AM762" s="2" cm="1">
        <f t="array" aca="1" ref="AM762" ca="1">MMULT(_xlfn.ANCHORARRAY(AE763),TRANSPOSE($Q$3:$U$3))</f>
        <v>1.0395062255446356E-3</v>
      </c>
    </row>
    <row r="763" spans="1:39" x14ac:dyDescent="0.35">
      <c r="A763" s="3">
        <v>44936</v>
      </c>
      <c r="B763" s="4">
        <v>31.360824584960898</v>
      </c>
      <c r="C763" s="4">
        <v>153.69100952148401</v>
      </c>
      <c r="D763" s="4">
        <v>39.736644744872997</v>
      </c>
      <c r="E763" s="4">
        <v>23.614332199096602</v>
      </c>
      <c r="F763" s="4">
        <v>222.99722290039</v>
      </c>
      <c r="I763" s="5">
        <f>B763/B762-1</f>
        <v>6.7868590224426928E-3</v>
      </c>
      <c r="J763" s="5">
        <f>C763/C762-1</f>
        <v>4.9090649689849108E-3</v>
      </c>
      <c r="K763" s="5">
        <f>D763/D762-1</f>
        <v>4.9671802005113452E-3</v>
      </c>
      <c r="L763" s="5">
        <f>E763/E762-1</f>
        <v>-4.4727804073484423E-3</v>
      </c>
      <c r="M763" s="5">
        <f>F763/F762-1</f>
        <v>7.6171404759066696E-3</v>
      </c>
      <c r="N763" s="5">
        <f>SUMPRODUCT(I763:M763,$AJ$13:$AN$13)</f>
        <v>9.1713453002684967E-4</v>
      </c>
      <c r="P763" s="2" t="s">
        <v>754</v>
      </c>
      <c r="Q763" s="10" cm="1">
        <f t="array" aca="1" ref="Q763:U763" ca="1">_xlfn.LET(_xlpm.array,_xlfn.RANDARRAY(1,COLUMNS(_xlfn.ANCHORARRAY(Q762)),0,1,FALSE),_xlpm.array/SUM(_xlpm.array))</f>
        <v>0.26397149226952854</v>
      </c>
      <c r="R763" s="2">
        <f ca="1"/>
        <v>0.21871012988127275</v>
      </c>
      <c r="S763" s="2">
        <f ca="1"/>
        <v>0.27382954681188398</v>
      </c>
      <c r="T763" s="2">
        <f ca="1"/>
        <v>0.22833456687553474</v>
      </c>
      <c r="U763" s="2">
        <f ca="1"/>
        <v>1.5154264161779972E-2</v>
      </c>
      <c r="V763" s="12"/>
      <c r="X763" s="2" cm="1">
        <f t="array" aca="1" ref="X763" ca="1">MMULT(MMULT(_xlfn.ANCHORARRAY(Q763),$Q$9:$U$13),TRANSPOSE(_xlfn.ANCHORARRAY(Q763)))</f>
        <v>3.3223675713395072E-4</v>
      </c>
      <c r="Y763" s="2">
        <f t="shared" ca="1" si="28"/>
        <v>1.8227362868334814E-2</v>
      </c>
      <c r="Z763" s="2" cm="1">
        <f t="array" aca="1" ref="Z763" ca="1">MMULT(_xlfn.ANCHORARRAY(Q763),TRANSPOSE($Q$3:$U$3))</f>
        <v>9.8343389435310473E-4</v>
      </c>
      <c r="AA763" s="11">
        <f ca="1">AVEDEV(Q763*$Q$3,R763*$R$3,S763*$S$3,T763*$T$3,U763*$U$3)</f>
        <v>1.1383853687415126E-4</v>
      </c>
      <c r="AB763" s="11" cm="1">
        <f t="array" aca="1" ref="AB763" ca="1">MMULT(_xlfn.ANCHORARRAY(Q763),TRANSPOSE($Q$6:$U$6))</f>
        <v>-2.3694549251266687E-2</v>
      </c>
      <c r="AD763" s="2" t="s">
        <v>754</v>
      </c>
      <c r="AE763" s="10" cm="1">
        <f t="array" aca="1" ref="AE763:AI763" ca="1">_xlfn.LET(_xlpm.array,_xlfn.RANDARRAY(1,COLUMNS(_xlfn.ANCHORARRAY(Q762)),-1,1,FALSE),_xlpm.array/SUM(_xlpm.array))</f>
        <v>3.4087987676260326E-2</v>
      </c>
      <c r="AF763" s="10">
        <f ca="1"/>
        <v>0.2640156852231747</v>
      </c>
      <c r="AG763" s="10">
        <f ca="1"/>
        <v>0.28628177232284713</v>
      </c>
      <c r="AH763" s="10">
        <f ca="1"/>
        <v>0.18141366207281112</v>
      </c>
      <c r="AI763" s="10">
        <f ca="1"/>
        <v>0.23420089270490671</v>
      </c>
      <c r="AJ763" s="1"/>
      <c r="AK763" s="2" cm="1">
        <f t="array" aca="1" ref="AK763" ca="1">MMULT(MMULT(_xlfn.ANCHORARRAY(AE763),$Q$9:$U$13),TRANSPOSE(_xlfn.ANCHORARRAY(AE763)))</f>
        <v>2.9659059839745383E-4</v>
      </c>
      <c r="AL763" s="2">
        <f t="shared" ca="1" si="29"/>
        <v>1.7221805898263221E-2</v>
      </c>
      <c r="AM763" s="2" cm="1">
        <f t="array" aca="1" ref="AM763" ca="1">MMULT(_xlfn.ANCHORARRAY(AE764),TRANSPOSE($Q$3:$U$3))</f>
        <v>5.9396801089941348E-4</v>
      </c>
    </row>
    <row r="764" spans="1:39" x14ac:dyDescent="0.35">
      <c r="A764" s="3">
        <v>44937</v>
      </c>
      <c r="B764" s="4">
        <v>31.599794387817301</v>
      </c>
      <c r="C764" s="4">
        <v>152.95764160156199</v>
      </c>
      <c r="D764" s="4">
        <v>38.128093719482401</v>
      </c>
      <c r="E764" s="4">
        <v>23.371822357177699</v>
      </c>
      <c r="F764" s="4">
        <v>229.74024963378901</v>
      </c>
      <c r="I764" s="5">
        <f>B764/B763-1</f>
        <v>7.6200101884758009E-3</v>
      </c>
      <c r="J764" s="5">
        <f>C764/C763-1</f>
        <v>-4.7717034471004283E-3</v>
      </c>
      <c r="K764" s="5">
        <f>D764/D763-1</f>
        <v>-4.0480293082574392E-2</v>
      </c>
      <c r="L764" s="5">
        <f>E764/E763-1</f>
        <v>-1.0269604063932847E-2</v>
      </c>
      <c r="M764" s="5">
        <f>F764/F763-1</f>
        <v>3.0238164608942464E-2</v>
      </c>
      <c r="N764" s="5">
        <f>SUMPRODUCT(I764:M764,$AJ$13:$AN$13)</f>
        <v>-1.7822061740625936E-2</v>
      </c>
      <c r="P764" s="2" t="s">
        <v>755</v>
      </c>
      <c r="Q764" s="10" cm="1">
        <f t="array" aca="1" ref="Q764:U764" ca="1">_xlfn.LET(_xlpm.array,_xlfn.RANDARRAY(1,COLUMNS(_xlfn.ANCHORARRAY(Q763)),0,1,FALSE),_xlpm.array/SUM(_xlpm.array))</f>
        <v>0.23069455744178191</v>
      </c>
      <c r="R764" s="2">
        <f ca="1"/>
        <v>0.22369630181286645</v>
      </c>
      <c r="S764" s="2">
        <f ca="1"/>
        <v>0.23666748683686128</v>
      </c>
      <c r="T764" s="2">
        <f ca="1"/>
        <v>0.24525590971807118</v>
      </c>
      <c r="U764" s="2">
        <f ca="1"/>
        <v>6.3685744190419086E-2</v>
      </c>
      <c r="V764" s="12"/>
      <c r="X764" s="2" cm="1">
        <f t="array" aca="1" ref="X764" ca="1">MMULT(MMULT(_xlfn.ANCHORARRAY(Q764),$Q$9:$U$13),TRANSPOSE(_xlfn.ANCHORARRAY(Q764)))</f>
        <v>3.1462371194158363E-4</v>
      </c>
      <c r="Y764" s="2">
        <f t="shared" ca="1" si="28"/>
        <v>1.7737635466475898E-2</v>
      </c>
      <c r="Z764" s="2" cm="1">
        <f t="array" aca="1" ref="Z764" ca="1">MMULT(_xlfn.ANCHORARRAY(Q764),TRANSPOSE($Q$3:$U$3))</f>
        <v>9.6421752187338529E-4</v>
      </c>
      <c r="AA764" s="11">
        <f ca="1">AVEDEV(Q764*$Q$3,R764*$R$3,S764*$S$3,T764*$T$3,U764*$U$3)</f>
        <v>9.968752428139603E-5</v>
      </c>
      <c r="AB764" s="11" cm="1">
        <f t="array" aca="1" ref="AB764" ca="1">MMULT(_xlfn.ANCHORARRAY(Q764),TRANSPOSE($Q$6:$U$6))</f>
        <v>-2.347190928494056E-2</v>
      </c>
      <c r="AD764" s="2" t="s">
        <v>755</v>
      </c>
      <c r="AE764" s="10" cm="1">
        <f t="array" aca="1" ref="AE764:AI764" ca="1">_xlfn.LET(_xlpm.array,_xlfn.RANDARRAY(1,COLUMNS(_xlfn.ANCHORARRAY(Q763)),-1,1,FALSE),_xlpm.array/SUM(_xlpm.array))</f>
        <v>0.40787137653158795</v>
      </c>
      <c r="AF764" s="10">
        <f ca="1"/>
        <v>0.44522308034601688</v>
      </c>
      <c r="AG764" s="10">
        <f ca="1"/>
        <v>-0.19039622023039593</v>
      </c>
      <c r="AH764" s="10">
        <f ca="1"/>
        <v>0.43918542468929739</v>
      </c>
      <c r="AI764" s="10">
        <f ca="1"/>
        <v>-0.1018836613365063</v>
      </c>
      <c r="AJ764" s="1"/>
      <c r="AK764" s="2" cm="1">
        <f t="array" aca="1" ref="AK764" ca="1">MMULT(MMULT(_xlfn.ANCHORARRAY(AE764),$Q$9:$U$13),TRANSPOSE(_xlfn.ANCHORARRAY(AE764)))</f>
        <v>5.0853810114788738E-4</v>
      </c>
      <c r="AL764" s="2">
        <f t="shared" ca="1" si="29"/>
        <v>2.25507893686205E-2</v>
      </c>
      <c r="AM764" s="2" cm="1">
        <f t="array" aca="1" ref="AM764" ca="1">MMULT(_xlfn.ANCHORARRAY(AE765),TRANSPOSE($Q$3:$U$3))</f>
        <v>6.1783922131539084E-4</v>
      </c>
    </row>
    <row r="765" spans="1:39" x14ac:dyDescent="0.35">
      <c r="A765" s="3">
        <v>44938</v>
      </c>
      <c r="B765" s="4">
        <v>31.682521820068299</v>
      </c>
      <c r="C765" s="4">
        <v>154.59901428222599</v>
      </c>
      <c r="D765" s="4">
        <v>37.342525482177699</v>
      </c>
      <c r="E765" s="4">
        <v>23.834102630615199</v>
      </c>
      <c r="F765" s="4">
        <v>232.41014099121</v>
      </c>
      <c r="I765" s="5">
        <f>B765/B764-1</f>
        <v>2.6179737512119772E-3</v>
      </c>
      <c r="J765" s="5">
        <f>C765/C764-1</f>
        <v>1.0730896890654318E-2</v>
      </c>
      <c r="K765" s="5">
        <f>D765/D764-1</f>
        <v>-2.060339662098809E-2</v>
      </c>
      <c r="L765" s="5">
        <f>E765/E764-1</f>
        <v>1.9779385037792308E-2</v>
      </c>
      <c r="M765" s="5">
        <f>F765/F764-1</f>
        <v>1.1621347855575337E-2</v>
      </c>
      <c r="N765" s="5">
        <f>SUMPRODUCT(I765:M765,$AJ$13:$AN$13)</f>
        <v>1.2877702195147377E-3</v>
      </c>
      <c r="P765" s="2" t="s">
        <v>756</v>
      </c>
      <c r="Q765" s="10" cm="1">
        <f t="array" aca="1" ref="Q765:U765" ca="1">_xlfn.LET(_xlpm.array,_xlfn.RANDARRAY(1,COLUMNS(_xlfn.ANCHORARRAY(Q764)),0,1,FALSE),_xlpm.array/SUM(_xlpm.array))</f>
        <v>0.14356253219491111</v>
      </c>
      <c r="R765" s="2">
        <f ca="1"/>
        <v>0.2033573747766162</v>
      </c>
      <c r="S765" s="2">
        <f ca="1"/>
        <v>0.32759362402247649</v>
      </c>
      <c r="T765" s="2">
        <f ca="1"/>
        <v>0.31698035769034311</v>
      </c>
      <c r="U765" s="2">
        <f ca="1"/>
        <v>8.5061113156531861E-3</v>
      </c>
      <c r="V765" s="12"/>
      <c r="X765" s="2" cm="1">
        <f t="array" aca="1" ref="X765" ca="1">MMULT(MMULT(_xlfn.ANCHORARRAY(Q765),$Q$9:$U$13),TRANSPOSE(_xlfn.ANCHORARRAY(Q765)))</f>
        <v>3.5480457194168435E-4</v>
      </c>
      <c r="Y765" s="2">
        <f t="shared" ca="1" si="28"/>
        <v>1.8836256845288672E-2</v>
      </c>
      <c r="Z765" s="2" cm="1">
        <f t="array" aca="1" ref="Z765" ca="1">MMULT(_xlfn.ANCHORARRAY(Q765),TRANSPOSE($Q$3:$U$3))</f>
        <v>1.0838154069693197E-3</v>
      </c>
      <c r="AA765" s="11">
        <f ca="1">AVEDEV(Q765*$Q$3,R765*$R$3,S765*$S$3,T765*$T$3,U765*$U$3)</f>
        <v>1.6892747928924081E-4</v>
      </c>
      <c r="AB765" s="11" cm="1">
        <f t="array" aca="1" ref="AB765" ca="1">MMULT(_xlfn.ANCHORARRAY(Q765),TRANSPOSE($Q$6:$U$6))</f>
        <v>-2.4332975380630204E-2</v>
      </c>
      <c r="AD765" s="2" t="s">
        <v>756</v>
      </c>
      <c r="AE765" s="10" cm="1">
        <f t="array" aca="1" ref="AE765:AI765" ca="1">_xlfn.LET(_xlpm.array,_xlfn.RANDARRAY(1,COLUMNS(_xlfn.ANCHORARRAY(Q764)),-1,1,FALSE),_xlpm.array/SUM(_xlpm.array))</f>
        <v>0.35167635517473589</v>
      </c>
      <c r="AF765" s="10">
        <f ca="1"/>
        <v>0.12843889920682228</v>
      </c>
      <c r="AG765" s="10">
        <f ca="1"/>
        <v>-0.161506468332584</v>
      </c>
      <c r="AH765" s="10">
        <f ca="1"/>
        <v>0.33662088331034684</v>
      </c>
      <c r="AI765" s="10">
        <f ca="1"/>
        <v>0.34477033064067891</v>
      </c>
      <c r="AJ765" s="1"/>
      <c r="AK765" s="2" cm="1">
        <f t="array" aca="1" ref="AK765" ca="1">MMULT(MMULT(_xlfn.ANCHORARRAY(AE765),$Q$9:$U$13),TRANSPOSE(_xlfn.ANCHORARRAY(AE765)))</f>
        <v>2.9852340188428104E-4</v>
      </c>
      <c r="AL765" s="2">
        <f t="shared" ca="1" si="29"/>
        <v>1.7277829779352528E-2</v>
      </c>
      <c r="AM765" s="2" cm="1">
        <f t="array" aca="1" ref="AM765" ca="1">MMULT(_xlfn.ANCHORARRAY(AE766),TRANSPOSE($Q$3:$U$3))</f>
        <v>1.6639814567405106E-3</v>
      </c>
    </row>
    <row r="766" spans="1:39" x14ac:dyDescent="0.35">
      <c r="A766" s="3">
        <v>44939</v>
      </c>
      <c r="B766" s="4">
        <v>32.381061553955</v>
      </c>
      <c r="C766" s="4">
        <v>155.01806640625</v>
      </c>
      <c r="D766" s="4">
        <v>37.576332092285099</v>
      </c>
      <c r="E766" s="4">
        <v>23.8113708496093</v>
      </c>
      <c r="F766" s="4">
        <v>233.11174011230401</v>
      </c>
      <c r="I766" s="5">
        <f>B766/B765-1</f>
        <v>2.204811024368114E-2</v>
      </c>
      <c r="J766" s="5">
        <f>C766/C765-1</f>
        <v>2.7105743588959896E-3</v>
      </c>
      <c r="K766" s="5">
        <f>D766/D765-1</f>
        <v>6.261135450492894E-3</v>
      </c>
      <c r="L766" s="5">
        <f>E766/E765-1</f>
        <v>-9.5375023587840335E-4</v>
      </c>
      <c r="M766" s="5">
        <f>F766/F765-1</f>
        <v>3.0187973644426602E-3</v>
      </c>
      <c r="N766" s="5">
        <f>SUMPRODUCT(I766:M766,$AJ$13:$AN$13)</f>
        <v>-2.642637672711735E-3</v>
      </c>
      <c r="P766" s="2" t="s">
        <v>757</v>
      </c>
      <c r="Q766" s="10" cm="1">
        <f t="array" aca="1" ref="Q766:U766" ca="1">_xlfn.LET(_xlpm.array,_xlfn.RANDARRAY(1,COLUMNS(_xlfn.ANCHORARRAY(Q765)),0,1,FALSE),_xlpm.array/SUM(_xlpm.array))</f>
        <v>6.6725401677001611E-2</v>
      </c>
      <c r="R766" s="2">
        <f ca="1"/>
        <v>0.1544820857172555</v>
      </c>
      <c r="S766" s="2">
        <f ca="1"/>
        <v>0.32030780156272509</v>
      </c>
      <c r="T766" s="2">
        <f ca="1"/>
        <v>0.32706914961163691</v>
      </c>
      <c r="U766" s="2">
        <f ca="1"/>
        <v>0.13141556143138072</v>
      </c>
      <c r="V766" s="12"/>
      <c r="X766" s="2" cm="1">
        <f t="array" aca="1" ref="X766" ca="1">MMULT(MMULT(_xlfn.ANCHORARRAY(Q766),$Q$9:$U$13),TRANSPOSE(_xlfn.ANCHORARRAY(Q766)))</f>
        <v>3.2845224196731057E-4</v>
      </c>
      <c r="Y766" s="2">
        <f t="shared" ca="1" si="28"/>
        <v>1.8123251418200613E-2</v>
      </c>
      <c r="Z766" s="2" cm="1">
        <f t="array" aca="1" ref="Z766" ca="1">MMULT(_xlfn.ANCHORARRAY(Q766),TRANSPOSE($Q$3:$U$3))</f>
        <v>1.101555042609321E-3</v>
      </c>
      <c r="AA766" s="11">
        <f ca="1">AVEDEV(Q766*$Q$3,R766*$R$3,S766*$S$3,T766*$T$3,U766*$U$3)</f>
        <v>1.6547901811037746E-4</v>
      </c>
      <c r="AB766" s="11" cm="1">
        <f t="array" aca="1" ref="AB766" ca="1">MMULT(_xlfn.ANCHORARRAY(Q766),TRANSPOSE($Q$6:$U$6))</f>
        <v>-2.419599368225598E-2</v>
      </c>
      <c r="AD766" s="2" t="s">
        <v>757</v>
      </c>
      <c r="AE766" s="10" cm="1">
        <f t="array" aca="1" ref="AE766:AI766" ca="1">_xlfn.LET(_xlpm.array,_xlfn.RANDARRAY(1,COLUMNS(_xlfn.ANCHORARRAY(Q765)),-1,1,FALSE),_xlpm.array/SUM(_xlpm.array))</f>
        <v>-0.48973202240066477</v>
      </c>
      <c r="AF766" s="10">
        <f ca="1"/>
        <v>0.6910155652342902</v>
      </c>
      <c r="AG766" s="10">
        <f ca="1"/>
        <v>0.78666425723393896</v>
      </c>
      <c r="AH766" s="10">
        <f ca="1"/>
        <v>0.47326791851386762</v>
      </c>
      <c r="AI766" s="10">
        <f ca="1"/>
        <v>-0.46121571858143195</v>
      </c>
      <c r="AJ766" s="1"/>
      <c r="AK766" s="2" cm="1">
        <f t="array" aca="1" ref="AK766" ca="1">MMULT(MMULT(_xlfn.ANCHORARRAY(AE766),$Q$9:$U$13),TRANSPOSE(_xlfn.ANCHORARRAY(AE766)))</f>
        <v>9.7145703615462108E-4</v>
      </c>
      <c r="AL766" s="2">
        <f t="shared" ca="1" si="29"/>
        <v>3.1168205533116933E-2</v>
      </c>
      <c r="AM766" s="2" cm="1">
        <f t="array" aca="1" ref="AM766" ca="1">MMULT(_xlfn.ANCHORARRAY(AE767),TRANSPOSE($Q$3:$U$3))</f>
        <v>-1.1294535798578235E-3</v>
      </c>
    </row>
    <row r="767" spans="1:39" x14ac:dyDescent="0.35">
      <c r="A767" s="3">
        <v>44943</v>
      </c>
      <c r="B767" s="4">
        <v>31.728477478027301</v>
      </c>
      <c r="C767" s="4">
        <v>157.576080322265</v>
      </c>
      <c r="D767" s="4">
        <v>37.436042785644503</v>
      </c>
      <c r="E767" s="4">
        <v>23.6067504882812</v>
      </c>
      <c r="F767" s="4">
        <v>234.20309448242099</v>
      </c>
      <c r="I767" s="5">
        <f>B767/B766-1</f>
        <v>-2.0153263809474908E-2</v>
      </c>
      <c r="J767" s="5">
        <f>C767/C766-1</f>
        <v>1.6501392226834444E-2</v>
      </c>
      <c r="K767" s="5">
        <f>D767/D766-1</f>
        <v>-3.7334486584814641E-3</v>
      </c>
      <c r="L767" s="5">
        <f>E767/E766-1</f>
        <v>-8.5933885377900143E-3</v>
      </c>
      <c r="M767" s="5">
        <f>F767/F766-1</f>
        <v>4.6816791363284427E-3</v>
      </c>
      <c r="N767" s="5">
        <f>SUMPRODUCT(I767:M767,$AJ$13:$AN$13)</f>
        <v>8.9265368468953291E-4</v>
      </c>
      <c r="P767" s="2" t="s">
        <v>758</v>
      </c>
      <c r="Q767" s="10" cm="1">
        <f t="array" aca="1" ref="Q767:U767" ca="1">_xlfn.LET(_xlpm.array,_xlfn.RANDARRAY(1,COLUMNS(_xlfn.ANCHORARRAY(Q766)),0,1,FALSE),_xlpm.array/SUM(_xlpm.array))</f>
        <v>0.16053879677427485</v>
      </c>
      <c r="R767" s="2">
        <f ca="1"/>
        <v>0.16344405901037601</v>
      </c>
      <c r="S767" s="2">
        <f ca="1"/>
        <v>0.28822360109262041</v>
      </c>
      <c r="T767" s="2">
        <f ca="1"/>
        <v>0.22577365347159464</v>
      </c>
      <c r="U767" s="2">
        <f ca="1"/>
        <v>0.16201988965113404</v>
      </c>
      <c r="V767" s="12"/>
      <c r="X767" s="2" cm="1">
        <f t="array" aca="1" ref="X767" ca="1">MMULT(MMULT(_xlfn.ANCHORARRAY(Q767),$Q$9:$U$13),TRANSPOSE(_xlfn.ANCHORARRAY(Q767)))</f>
        <v>3.0274144029037982E-4</v>
      </c>
      <c r="Y767" s="2">
        <f t="shared" ca="1" si="28"/>
        <v>1.739946666683723E-2</v>
      </c>
      <c r="Z767" s="2" cm="1">
        <f t="array" aca="1" ref="Z767" ca="1">MMULT(_xlfn.ANCHORARRAY(Q767),TRANSPOSE($Q$3:$U$3))</f>
        <v>1.0235975886417514E-3</v>
      </c>
      <c r="AA767" s="11">
        <f ca="1">AVEDEV(Q767*$Q$3,R767*$R$3,S767*$S$3,T767*$T$3,U767*$U$3)</f>
        <v>1.1571621870276286E-4</v>
      </c>
      <c r="AB767" s="11" cm="1">
        <f t="array" aca="1" ref="AB767" ca="1">MMULT(_xlfn.ANCHORARRAY(Q767),TRANSPOSE($Q$6:$U$6))</f>
        <v>-2.3603774412860976E-2</v>
      </c>
      <c r="AD767" s="2" t="s">
        <v>758</v>
      </c>
      <c r="AE767" s="10" cm="1">
        <f t="array" aca="1" ref="AE767:AI767" ca="1">_xlfn.LET(_xlpm.array,_xlfn.RANDARRAY(1,COLUMNS(_xlfn.ANCHORARRAY(Q766)),-1,1,FALSE),_xlpm.array/SUM(_xlpm.array))</f>
        <v>1.4522845004698661</v>
      </c>
      <c r="AF767" s="10">
        <f ca="1"/>
        <v>0.90180803970972501</v>
      </c>
      <c r="AG767" s="10">
        <f ca="1"/>
        <v>-1.2546361542663336</v>
      </c>
      <c r="AH767" s="10">
        <f ca="1"/>
        <v>-1.6065671266993109</v>
      </c>
      <c r="AI767" s="10">
        <f ca="1"/>
        <v>1.5071107407860536</v>
      </c>
      <c r="AJ767" s="1"/>
      <c r="AK767" s="2" cm="1">
        <f t="array" aca="1" ref="AK767" ca="1">MMULT(MMULT(_xlfn.ANCHORARRAY(AE767),$Q$9:$U$13),TRANSPOSE(_xlfn.ANCHORARRAY(AE767)))</f>
        <v>2.6781076679867153E-3</v>
      </c>
      <c r="AL767" s="2">
        <f t="shared" ca="1" si="29"/>
        <v>5.1750436403828669E-2</v>
      </c>
      <c r="AM767" s="2" cm="1">
        <f t="array" aca="1" ref="AM767" ca="1">MMULT(_xlfn.ANCHORARRAY(AE768),TRANSPOSE($Q$3:$U$3))</f>
        <v>1.0911717106284972E-3</v>
      </c>
    </row>
    <row r="768" spans="1:39" x14ac:dyDescent="0.35">
      <c r="A768" s="3">
        <v>44944</v>
      </c>
      <c r="B768" s="4">
        <v>30.993171691894499</v>
      </c>
      <c r="C768" s="4">
        <v>154.72993469238199</v>
      </c>
      <c r="D768" s="4">
        <v>37.4266967773437</v>
      </c>
      <c r="E768" s="4">
        <v>23.349082946777301</v>
      </c>
      <c r="F768" s="4">
        <v>229.779205322265</v>
      </c>
      <c r="I768" s="5">
        <f>B768/B767-1</f>
        <v>-2.3174947068986151E-2</v>
      </c>
      <c r="J768" s="5">
        <f>C768/C767-1</f>
        <v>-1.8062041041141841E-2</v>
      </c>
      <c r="K768" s="5">
        <f>D768/D767-1</f>
        <v>-2.4965267708232375E-4</v>
      </c>
      <c r="L768" s="5">
        <f>E768/E767-1</f>
        <v>-1.091499406628671E-2</v>
      </c>
      <c r="M768" s="5">
        <f>F768/F767-1</f>
        <v>-1.8889114893774539E-2</v>
      </c>
      <c r="N768" s="5">
        <f>SUMPRODUCT(I768:M768,$AJ$13:$AN$13)</f>
        <v>-4.2456743292158114E-3</v>
      </c>
      <c r="P768" s="2" t="s">
        <v>759</v>
      </c>
      <c r="Q768" s="10" cm="1">
        <f t="array" aca="1" ref="Q768:U768" ca="1">_xlfn.LET(_xlpm.array,_xlfn.RANDARRAY(1,COLUMNS(_xlfn.ANCHORARRAY(Q767)),0,1,FALSE),_xlpm.array/SUM(_xlpm.array))</f>
        <v>0.31474952212637519</v>
      </c>
      <c r="R768" s="2">
        <f ca="1"/>
        <v>4.0970024192265801E-2</v>
      </c>
      <c r="S768" s="2">
        <f ca="1"/>
        <v>0.18552123010167548</v>
      </c>
      <c r="T768" s="2">
        <f ca="1"/>
        <v>0.23252669298570572</v>
      </c>
      <c r="U768" s="2">
        <f ca="1"/>
        <v>0.2262325305939778</v>
      </c>
      <c r="V768" s="12"/>
      <c r="X768" s="2" cm="1">
        <f t="array" aca="1" ref="X768" ca="1">MMULT(MMULT(_xlfn.ANCHORARRAY(Q768),$Q$9:$U$13),TRANSPOSE(_xlfn.ANCHORARRAY(Q768)))</f>
        <v>2.7709920817671387E-4</v>
      </c>
      <c r="Y768" s="2">
        <f t="shared" ca="1" si="28"/>
        <v>1.6646297131095368E-2</v>
      </c>
      <c r="Z768" s="2" cm="1">
        <f t="array" aca="1" ref="Z768" ca="1">MMULT(_xlfn.ANCHORARRAY(Q768),TRANSPOSE($Q$3:$U$3))</f>
        <v>9.0176286285661425E-4</v>
      </c>
      <c r="AA768" s="11">
        <f ca="1">AVEDEV(Q768*$Q$3,R768*$R$3,S768*$S$3,T768*$T$3,U768*$U$3)</f>
        <v>7.125389120055891E-5</v>
      </c>
      <c r="AB768" s="11" cm="1">
        <f t="array" aca="1" ref="AB768" ca="1">MMULT(_xlfn.ANCHORARRAY(Q768),TRANSPOSE($Q$6:$U$6))</f>
        <v>-2.3087247209650545E-2</v>
      </c>
      <c r="AD768" s="2" t="s">
        <v>759</v>
      </c>
      <c r="AE768" s="10" cm="1">
        <f t="array" aca="1" ref="AE768:AI768" ca="1">_xlfn.LET(_xlpm.array,_xlfn.RANDARRAY(1,COLUMNS(_xlfn.ANCHORARRAY(Q767)),-1,1,FALSE),_xlpm.array/SUM(_xlpm.array))</f>
        <v>0.46090483572708824</v>
      </c>
      <c r="AF768" s="10">
        <f ca="1"/>
        <v>0.37870136780134944</v>
      </c>
      <c r="AG768" s="10">
        <f ca="1"/>
        <v>0.42184014605984643</v>
      </c>
      <c r="AH768" s="10">
        <f ca="1"/>
        <v>0.37106371018766471</v>
      </c>
      <c r="AI768" s="10">
        <f ca="1"/>
        <v>-0.63251005977594887</v>
      </c>
      <c r="AJ768" s="1"/>
      <c r="AK768" s="2" cm="1">
        <f t="array" aca="1" ref="AK768" ca="1">MMULT(MMULT(_xlfn.ANCHORARRAY(AE768),$Q$9:$U$13),TRANSPOSE(_xlfn.ANCHORARRAY(AE768)))</f>
        <v>7.0398644444220253E-4</v>
      </c>
      <c r="AL768" s="2">
        <f t="shared" ca="1" si="29"/>
        <v>2.6532742874459898E-2</v>
      </c>
      <c r="AM768" s="2" cm="1">
        <f t="array" aca="1" ref="AM768" ca="1">MMULT(_xlfn.ANCHORARRAY(AE769),TRANSPOSE($Q$3:$U$3))</f>
        <v>-6.1874624669324297E-4</v>
      </c>
    </row>
    <row r="769" spans="1:39" x14ac:dyDescent="0.35">
      <c r="A769" s="3">
        <v>44945</v>
      </c>
      <c r="B769" s="4">
        <v>30.542797088623001</v>
      </c>
      <c r="C769" s="4">
        <v>156.27526855468699</v>
      </c>
      <c r="D769" s="4">
        <v>36.902980804443303</v>
      </c>
      <c r="E769" s="4">
        <v>23.523387908935501</v>
      </c>
      <c r="F769" s="4">
        <v>225.99841308593699</v>
      </c>
      <c r="I769" s="5">
        <f>B769/B768-1</f>
        <v>-1.4531413814265481E-2</v>
      </c>
      <c r="J769" s="5">
        <f>C769/C768-1</f>
        <v>9.9872973214736316E-3</v>
      </c>
      <c r="K769" s="5">
        <f>D769/D768-1</f>
        <v>-1.3993112350150771E-2</v>
      </c>
      <c r="L769" s="5">
        <f>E769/E768-1</f>
        <v>7.465173795284219E-3</v>
      </c>
      <c r="M769" s="5">
        <f>F769/F768-1</f>
        <v>-1.6454022595410511E-2</v>
      </c>
      <c r="N769" s="5">
        <f>SUMPRODUCT(I769:M769,$AJ$13:$AN$13)</f>
        <v>-5.4186016404269566E-3</v>
      </c>
      <c r="P769" s="2" t="s">
        <v>760</v>
      </c>
      <c r="Q769" s="10" cm="1">
        <f t="array" aca="1" ref="Q769:U769" ca="1">_xlfn.LET(_xlpm.array,_xlfn.RANDARRAY(1,COLUMNS(_xlfn.ANCHORARRAY(Q768)),0,1,FALSE),_xlpm.array/SUM(_xlpm.array))</f>
        <v>0.23922605433693764</v>
      </c>
      <c r="R769" s="2">
        <f ca="1"/>
        <v>0.23653660285109041</v>
      </c>
      <c r="S769" s="2">
        <f ca="1"/>
        <v>0.13886196684276697</v>
      </c>
      <c r="T769" s="2">
        <f ca="1"/>
        <v>8.3321517941788395E-2</v>
      </c>
      <c r="U769" s="2">
        <f ca="1"/>
        <v>0.30205385802741658</v>
      </c>
      <c r="V769" s="12"/>
      <c r="X769" s="2" cm="1">
        <f t="array" aca="1" ref="X769" ca="1">MMULT(MMULT(_xlfn.ANCHORARRAY(Q769),$Q$9:$U$13),TRANSPOSE(_xlfn.ANCHORARRAY(Q769)))</f>
        <v>2.5860456810993741E-4</v>
      </c>
      <c r="Y769" s="2">
        <f t="shared" ca="1" si="28"/>
        <v>1.6081186775544192E-2</v>
      </c>
      <c r="Z769" s="2" cm="1">
        <f t="array" aca="1" ref="Z769" ca="1">MMULT(_xlfn.ANCHORARRAY(Q769),TRANSPOSE($Q$3:$U$3))</f>
        <v>8.359756861466899E-4</v>
      </c>
      <c r="AA769" s="11">
        <f ca="1">AVEDEV(Q769*$Q$3,R769*$R$3,S769*$S$3,T769*$T$3,U769*$U$3)</f>
        <v>5.1072736132986715E-5</v>
      </c>
      <c r="AB769" s="11" cm="1">
        <f t="array" aca="1" ref="AB769" ca="1">MMULT(_xlfn.ANCHORARRAY(Q769),TRANSPOSE($Q$6:$U$6))</f>
        <v>-2.198863267724159E-2</v>
      </c>
      <c r="AD769" s="2" t="s">
        <v>760</v>
      </c>
      <c r="AE769" s="10" cm="1">
        <f t="array" aca="1" ref="AE769:AI769" ca="1">_xlfn.LET(_xlpm.array,_xlfn.RANDARRAY(1,COLUMNS(_xlfn.ANCHORARRAY(Q768)),-1,1,FALSE),_xlpm.array/SUM(_xlpm.array))</f>
        <v>-0.65755185089055435</v>
      </c>
      <c r="AF769" s="10">
        <f ca="1"/>
        <v>2.2909863899156888</v>
      </c>
      <c r="AG769" s="10">
        <f ca="1"/>
        <v>-1.7482311521392004</v>
      </c>
      <c r="AH769" s="10">
        <f ca="1"/>
        <v>0.1127754110444693</v>
      </c>
      <c r="AI769" s="10">
        <f ca="1"/>
        <v>1.0020212020695967</v>
      </c>
      <c r="AJ769" s="1"/>
      <c r="AK769" s="2" cm="1">
        <f t="array" aca="1" ref="AK769" ca="1">MMULT(MMULT(_xlfn.ANCHORARRAY(AE769),$Q$9:$U$13),TRANSPOSE(_xlfn.ANCHORARRAY(AE769)))</f>
        <v>3.2108736633320815E-3</v>
      </c>
      <c r="AL769" s="2">
        <f t="shared" ca="1" si="29"/>
        <v>5.6664571500471807E-2</v>
      </c>
      <c r="AM769" s="2" cm="1">
        <f t="array" aca="1" ref="AM769" ca="1">MMULT(_xlfn.ANCHORARRAY(AE770),TRANSPOSE($Q$3:$U$3))</f>
        <v>3.4575941525479895E-3</v>
      </c>
    </row>
    <row r="770" spans="1:39" x14ac:dyDescent="0.35">
      <c r="A770" s="3">
        <v>44946</v>
      </c>
      <c r="B770" s="4">
        <v>31.112655639648398</v>
      </c>
      <c r="C770" s="4">
        <v>157.93402099609301</v>
      </c>
      <c r="D770" s="4">
        <v>37.651138305663999</v>
      </c>
      <c r="E770" s="4">
        <v>23.728008270263601</v>
      </c>
      <c r="F770" s="4">
        <v>234.07643127441401</v>
      </c>
      <c r="I770" s="5">
        <f>B770/B769-1</f>
        <v>1.8657706737595037E-2</v>
      </c>
      <c r="J770" s="5">
        <f>C770/C769-1</f>
        <v>1.0614299093816948E-2</v>
      </c>
      <c r="K770" s="5">
        <f>D770/D769-1</f>
        <v>2.027363331936094E-2</v>
      </c>
      <c r="L770" s="5">
        <f>E770/E769-1</f>
        <v>8.6985923167288703E-3</v>
      </c>
      <c r="M770" s="5">
        <f>F770/F769-1</f>
        <v>3.5743694294903428E-2</v>
      </c>
      <c r="N770" s="5">
        <f>SUMPRODUCT(I770:M770,$AJ$13:$AN$13)</f>
        <v>2.0816635596391408E-2</v>
      </c>
      <c r="P770" s="2" t="s">
        <v>761</v>
      </c>
      <c r="Q770" s="10" cm="1">
        <f t="array" aca="1" ref="Q770:U770" ca="1">_xlfn.LET(_xlpm.array,_xlfn.RANDARRAY(1,COLUMNS(_xlfn.ANCHORARRAY(Q769)),0,1,FALSE),_xlpm.array/SUM(_xlpm.array))</f>
        <v>4.7129899694826054E-2</v>
      </c>
      <c r="R770" s="2">
        <f ca="1"/>
        <v>0.1865915900921235</v>
      </c>
      <c r="S770" s="2">
        <f ca="1"/>
        <v>0.19046318668543177</v>
      </c>
      <c r="T770" s="2">
        <f ca="1"/>
        <v>0.26612138171115579</v>
      </c>
      <c r="U770" s="2">
        <f ca="1"/>
        <v>0.30969394181646293</v>
      </c>
      <c r="V770" s="12"/>
      <c r="X770" s="2" cm="1">
        <f t="array" aca="1" ref="X770" ca="1">MMULT(MMULT(_xlfn.ANCHORARRAY(Q770),$Q$9:$U$13),TRANSPOSE(_xlfn.ANCHORARRAY(Q770)))</f>
        <v>2.7094090151417576E-4</v>
      </c>
      <c r="Y770" s="2">
        <f t="shared" ca="1" si="28"/>
        <v>1.6460282546608238E-2</v>
      </c>
      <c r="Z770" s="2" cm="1">
        <f t="array" aca="1" ref="Z770" ca="1">MMULT(_xlfn.ANCHORARRAY(Q770),TRANSPOSE($Q$3:$U$3))</f>
        <v>9.7826717761215079E-4</v>
      </c>
      <c r="AA770" s="11">
        <f ca="1">AVEDEV(Q770*$Q$3,R770*$R$3,S770*$S$3,T770*$T$3,U770*$U$3)</f>
        <v>9.243872441924933E-5</v>
      </c>
      <c r="AB770" s="11" cm="1">
        <f t="array" aca="1" ref="AB770" ca="1">MMULT(_xlfn.ANCHORARRAY(Q770),TRANSPOSE($Q$6:$U$6))</f>
        <v>-2.2963555412290646E-2</v>
      </c>
      <c r="AD770" s="2" t="s">
        <v>761</v>
      </c>
      <c r="AE770" s="10" cm="1">
        <f t="array" aca="1" ref="AE770:AI770" ca="1">_xlfn.LET(_xlpm.array,_xlfn.RANDARRAY(1,COLUMNS(_xlfn.ANCHORARRAY(Q769)),-1,1,FALSE),_xlpm.array/SUM(_xlpm.array))</f>
        <v>0.56449940438068646</v>
      </c>
      <c r="AF770" s="10">
        <f ca="1"/>
        <v>-2.0661140659783968</v>
      </c>
      <c r="AG770" s="10">
        <f ca="1"/>
        <v>2.6511998721189327</v>
      </c>
      <c r="AH770" s="10">
        <f ca="1"/>
        <v>1.9017779408543993</v>
      </c>
      <c r="AI770" s="10">
        <f ca="1"/>
        <v>-2.0513631513756221</v>
      </c>
      <c r="AJ770" s="1"/>
      <c r="AK770" s="2" cm="1">
        <f t="array" aca="1" ref="AK770" ca="1">MMULT(MMULT(_xlfn.ANCHORARRAY(AE770),$Q$9:$U$13),TRANSPOSE(_xlfn.ANCHORARRAY(AE770)))</f>
        <v>6.3687035206304796E-3</v>
      </c>
      <c r="AL770" s="2">
        <f t="shared" ca="1" si="29"/>
        <v>7.9804157289144279E-2</v>
      </c>
      <c r="AM770" s="2" cm="1">
        <f t="array" aca="1" ref="AM770" ca="1">MMULT(_xlfn.ANCHORARRAY(AE771),TRANSPOSE($Q$3:$U$3))</f>
        <v>7.6638784489422229E-4</v>
      </c>
    </row>
    <row r="771" spans="1:39" x14ac:dyDescent="0.35">
      <c r="A771" s="3">
        <v>44949</v>
      </c>
      <c r="B771" s="4">
        <v>31.5446472167968</v>
      </c>
      <c r="C771" s="4">
        <v>157.724517822265</v>
      </c>
      <c r="D771" s="4">
        <v>38.380596160888601</v>
      </c>
      <c r="E771" s="4">
        <v>23.553703308105401</v>
      </c>
      <c r="F771" s="4">
        <v>236.37608337402301</v>
      </c>
      <c r="I771" s="5">
        <f>B771/B770-1</f>
        <v>1.3884754234797514E-2</v>
      </c>
      <c r="J771" s="5">
        <f>C771/C770-1</f>
        <v>-1.3265233956981648E-3</v>
      </c>
      <c r="K771" s="5">
        <f>D771/D770-1</f>
        <v>1.9374124875126686E-2</v>
      </c>
      <c r="L771" s="5">
        <f>E771/E770-1</f>
        <v>-7.3459584206501116E-3</v>
      </c>
      <c r="M771" s="5">
        <f>F771/F770-1</f>
        <v>9.8243641493023226E-3</v>
      </c>
      <c r="N771" s="5">
        <f>SUMPRODUCT(I771:M771,$AJ$13:$AN$13)</f>
        <v>5.9647218047295253E-3</v>
      </c>
      <c r="P771" s="2" t="s">
        <v>762</v>
      </c>
      <c r="Q771" s="10" cm="1">
        <f t="array" aca="1" ref="Q771:U771" ca="1">_xlfn.LET(_xlpm.array,_xlfn.RANDARRAY(1,COLUMNS(_xlfn.ANCHORARRAY(Q770)),0,1,FALSE),_xlpm.array/SUM(_xlpm.array))</f>
        <v>0.11896449905432581</v>
      </c>
      <c r="R771" s="2">
        <f ca="1"/>
        <v>7.2248912453080863E-2</v>
      </c>
      <c r="S771" s="2">
        <f ca="1"/>
        <v>0.28102005786648981</v>
      </c>
      <c r="T771" s="2">
        <f ca="1"/>
        <v>0.47624048354265647</v>
      </c>
      <c r="U771" s="2">
        <f ca="1"/>
        <v>5.1526047083447039E-2</v>
      </c>
      <c r="V771" s="12"/>
      <c r="X771" s="2" cm="1">
        <f t="array" aca="1" ref="X771" ca="1">MMULT(MMULT(_xlfn.ANCHORARRAY(Q771),$Q$9:$U$13),TRANSPOSE(_xlfn.ANCHORARRAY(Q771)))</f>
        <v>3.5550812021249598E-4</v>
      </c>
      <c r="Y771" s="2">
        <f t="shared" ca="1" si="28"/>
        <v>1.8854922970208497E-2</v>
      </c>
      <c r="Z771" s="2" cm="1">
        <f t="array" aca="1" ref="Z771" ca="1">MMULT(_xlfn.ANCHORARRAY(Q771),TRANSPOSE($Q$3:$U$3))</f>
        <v>1.0955443569393227E-3</v>
      </c>
      <c r="AA771" s="11">
        <f ca="1">AVEDEV(Q771*$Q$3,R771*$R$3,S771*$S$3,T771*$T$3,U771*$U$3)</f>
        <v>2.0187779319749054E-4</v>
      </c>
      <c r="AB771" s="11" cm="1">
        <f t="array" aca="1" ref="AB771" ca="1">MMULT(_xlfn.ANCHORARRAY(Q771),TRANSPOSE($Q$6:$U$6))</f>
        <v>-2.4709720482538174E-2</v>
      </c>
      <c r="AD771" s="2" t="s">
        <v>762</v>
      </c>
      <c r="AE771" s="10" cm="1">
        <f t="array" aca="1" ref="AE771:AI771" ca="1">_xlfn.LET(_xlpm.array,_xlfn.RANDARRAY(1,COLUMNS(_xlfn.ANCHORARRAY(Q770)),-1,1,FALSE),_xlpm.array/SUM(_xlpm.array))</f>
        <v>0.41478833679350124</v>
      </c>
      <c r="AF771" s="10">
        <f ca="1"/>
        <v>0.60677325159232687</v>
      </c>
      <c r="AG771" s="10">
        <f ca="1"/>
        <v>9.6700220503068854E-2</v>
      </c>
      <c r="AH771" s="10">
        <f ca="1"/>
        <v>0.17874621703782428</v>
      </c>
      <c r="AI771" s="10">
        <f ca="1"/>
        <v>-0.29700802592672126</v>
      </c>
      <c r="AJ771" s="1"/>
      <c r="AK771" s="2" cm="1">
        <f t="array" aca="1" ref="AK771" ca="1">MMULT(MMULT(_xlfn.ANCHORARRAY(AE771),$Q$9:$U$13),TRANSPOSE(_xlfn.ANCHORARRAY(AE771)))</f>
        <v>4.9552921015272951E-4</v>
      </c>
      <c r="AL771" s="2">
        <f t="shared" ca="1" si="29"/>
        <v>2.2260485397958631E-2</v>
      </c>
      <c r="AM771" s="2" cm="1">
        <f t="array" aca="1" ref="AM771" ca="1">MMULT(_xlfn.ANCHORARRAY(AE772),TRANSPOSE($Q$3:$U$3))</f>
        <v>8.2536080186405695E-4</v>
      </c>
    </row>
    <row r="772" spans="1:39" x14ac:dyDescent="0.35">
      <c r="A772" s="3">
        <v>44950</v>
      </c>
      <c r="B772" s="4">
        <v>31.774429321288999</v>
      </c>
      <c r="C772" s="4">
        <v>157.87292480468699</v>
      </c>
      <c r="D772" s="4">
        <v>38.267463684082003</v>
      </c>
      <c r="E772" s="4">
        <v>23.174783706665</v>
      </c>
      <c r="F772" s="4">
        <v>235.84988403320301</v>
      </c>
      <c r="I772" s="5">
        <f>B772/B771-1</f>
        <v>7.2843453570101691E-3</v>
      </c>
      <c r="J772" s="5">
        <f>C772/C771-1</f>
        <v>9.4092525671385374E-4</v>
      </c>
      <c r="K772" s="5">
        <f>D772/D771-1</f>
        <v>-2.9476477210608198E-3</v>
      </c>
      <c r="L772" s="5">
        <f>E772/E771-1</f>
        <v>-1.6087474503850396E-2</v>
      </c>
      <c r="M772" s="5">
        <f>F772/F771-1</f>
        <v>-2.2261107524460533E-3</v>
      </c>
      <c r="N772" s="5">
        <f>SUMPRODUCT(I772:M772,$AJ$13:$AN$13)</f>
        <v>-1.1932915560957609E-2</v>
      </c>
      <c r="P772" s="2" t="s">
        <v>763</v>
      </c>
      <c r="Q772" s="10" cm="1">
        <f t="array" aca="1" ref="Q772:U772" ca="1">_xlfn.LET(_xlpm.array,_xlfn.RANDARRAY(1,COLUMNS(_xlfn.ANCHORARRAY(Q771)),0,1,FALSE),_xlpm.array/SUM(_xlpm.array))</f>
        <v>0.13304476890402292</v>
      </c>
      <c r="R772" s="2">
        <f ca="1"/>
        <v>0.12673053189278083</v>
      </c>
      <c r="S772" s="2">
        <f ca="1"/>
        <v>0.30644793094294975</v>
      </c>
      <c r="T772" s="2">
        <f ca="1"/>
        <v>0.10812557186746116</v>
      </c>
      <c r="U772" s="2">
        <f ca="1"/>
        <v>0.32565119639278522</v>
      </c>
      <c r="V772" s="12"/>
      <c r="X772" s="2" cm="1">
        <f t="array" aca="1" ref="X772" ca="1">MMULT(MMULT(_xlfn.ANCHORARRAY(Q772),$Q$9:$U$13),TRANSPOSE(_xlfn.ANCHORARRAY(Q772)))</f>
        <v>2.9189530367557007E-4</v>
      </c>
      <c r="Y772" s="2">
        <f t="shared" ca="1" si="28"/>
        <v>1.7084943771507415E-2</v>
      </c>
      <c r="Z772" s="2" cm="1">
        <f t="array" aca="1" ref="Z772" ca="1">MMULT(_xlfn.ANCHORARRAY(Q772),TRANSPOSE($Q$3:$U$3))</f>
        <v>1.0173732613625573E-3</v>
      </c>
      <c r="AA772" s="11">
        <f ca="1">AVEDEV(Q772*$Q$3,R772*$R$3,S772*$S$3,T772*$T$3,U772*$U$3)</f>
        <v>1.3591917324501843E-4</v>
      </c>
      <c r="AB772" s="11" cm="1">
        <f t="array" aca="1" ref="AB772" ca="1">MMULT(_xlfn.ANCHORARRAY(Q772),TRANSPOSE($Q$6:$U$6))</f>
        <v>-2.3081592291711108E-2</v>
      </c>
      <c r="AD772" s="2" t="s">
        <v>763</v>
      </c>
      <c r="AE772" s="10" cm="1">
        <f t="array" aca="1" ref="AE772:AI772" ca="1">_xlfn.LET(_xlpm.array,_xlfn.RANDARRAY(1,COLUMNS(_xlfn.ANCHORARRAY(Q771)),-1,1,FALSE),_xlpm.array/SUM(_xlpm.array))</f>
        <v>0.32102437236129155</v>
      </c>
      <c r="AF772" s="10">
        <f ca="1"/>
        <v>0.55520400857863605</v>
      </c>
      <c r="AG772" s="10">
        <f ca="1"/>
        <v>0.31889970325945716</v>
      </c>
      <c r="AH772" s="10">
        <f ca="1"/>
        <v>-0.4357288544297977</v>
      </c>
      <c r="AI772" s="10">
        <f ca="1"/>
        <v>0.24060077023041299</v>
      </c>
      <c r="AJ772" s="1"/>
      <c r="AK772" s="2" cm="1">
        <f t="array" aca="1" ref="AK772" ca="1">MMULT(MMULT(_xlfn.ANCHORARRAY(AE772),$Q$9:$U$13),TRANSPOSE(_xlfn.ANCHORARRAY(AE772)))</f>
        <v>4.0208088645272684E-4</v>
      </c>
      <c r="AL772" s="2">
        <f t="shared" ca="1" si="29"/>
        <v>2.0051954679101158E-2</v>
      </c>
      <c r="AM772" s="2" cm="1">
        <f t="array" aca="1" ref="AM772" ca="1">MMULT(_xlfn.ANCHORARRAY(AE773),TRANSPOSE($Q$3:$U$3))</f>
        <v>-1.2789199620553437E-3</v>
      </c>
    </row>
    <row r="773" spans="1:39" x14ac:dyDescent="0.35">
      <c r="A773" s="3">
        <v>44951</v>
      </c>
      <c r="B773" s="4">
        <v>32.050182342529297</v>
      </c>
      <c r="C773" s="4">
        <v>156.34506225585901</v>
      </c>
      <c r="D773" s="4">
        <v>38.201469421386697</v>
      </c>
      <c r="E773" s="4">
        <v>22.795860290527301</v>
      </c>
      <c r="F773" s="4">
        <v>234.45649719238199</v>
      </c>
      <c r="I773" s="5">
        <f>B773/B772-1</f>
        <v>8.678457084217106E-3</v>
      </c>
      <c r="J773" s="5">
        <f>C773/C772-1</f>
        <v>-9.67779972859939E-3</v>
      </c>
      <c r="K773" s="5">
        <f>D773/D772-1</f>
        <v>-1.7245528274391075E-3</v>
      </c>
      <c r="L773" s="5">
        <f>E773/E772-1</f>
        <v>-1.6350677569807126E-2</v>
      </c>
      <c r="M773" s="5">
        <f>F773/F772-1</f>
        <v>-5.9079394782524108E-3</v>
      </c>
      <c r="N773" s="5">
        <f>SUMPRODUCT(I773:M773,$AJ$13:$AN$13)</f>
        <v>-1.2704274922948011E-2</v>
      </c>
      <c r="P773" s="2" t="s">
        <v>764</v>
      </c>
      <c r="Q773" s="10" cm="1">
        <f t="array" aca="1" ref="Q773:U773" ca="1">_xlfn.LET(_xlpm.array,_xlfn.RANDARRAY(1,COLUMNS(_xlfn.ANCHORARRAY(Q772)),0,1,FALSE),_xlpm.array/SUM(_xlpm.array))</f>
        <v>0.17702041913668781</v>
      </c>
      <c r="R773" s="2">
        <f ca="1"/>
        <v>0.33545128751001652</v>
      </c>
      <c r="S773" s="2">
        <f ca="1"/>
        <v>0.26306792022281</v>
      </c>
      <c r="T773" s="2">
        <f ca="1"/>
        <v>5.4352480276729821E-2</v>
      </c>
      <c r="U773" s="2">
        <f ca="1"/>
        <v>0.17010789285375585</v>
      </c>
      <c r="V773" s="12"/>
      <c r="X773" s="2" cm="1">
        <f t="array" aca="1" ref="X773" ca="1">MMULT(MMULT(_xlfn.ANCHORARRAY(Q773),$Q$9:$U$13),TRANSPOSE(_xlfn.ANCHORARRAY(Q773)))</f>
        <v>2.9739974787094541E-4</v>
      </c>
      <c r="Y773" s="2">
        <f t="shared" ca="1" si="28"/>
        <v>1.7245281901753458E-2</v>
      </c>
      <c r="Z773" s="2" cm="1">
        <f t="array" aca="1" ref="Z773" ca="1">MMULT(_xlfn.ANCHORARRAY(Q773),TRANSPOSE($Q$3:$U$3))</f>
        <v>9.4778719485207681E-4</v>
      </c>
      <c r="AA773" s="11">
        <f ca="1">AVEDEV(Q773*$Q$3,R773*$R$3,S773*$S$3,T773*$T$3,U773*$U$3)</f>
        <v>1.1722690286180731E-4</v>
      </c>
      <c r="AB773" s="11" cm="1">
        <f t="array" aca="1" ref="AB773" ca="1">MMULT(_xlfn.ANCHORARRAY(Q773),TRANSPOSE($Q$6:$U$6))</f>
        <v>-2.2669352826121245E-2</v>
      </c>
      <c r="AD773" s="2" t="s">
        <v>764</v>
      </c>
      <c r="AE773" s="10" cm="1">
        <f t="array" aca="1" ref="AE773:AI773" ca="1">_xlfn.LET(_xlpm.array,_xlfn.RANDARRAY(1,COLUMNS(_xlfn.ANCHORARRAY(Q772)),-1,1,FALSE),_xlpm.array/SUM(_xlpm.array))</f>
        <v>0.55016595795827483</v>
      </c>
      <c r="AF773" s="10">
        <f ca="1"/>
        <v>1.6088417692287804</v>
      </c>
      <c r="AG773" s="10">
        <f ca="1"/>
        <v>-1.9916599104126231</v>
      </c>
      <c r="AH773" s="10">
        <f ca="1"/>
        <v>-0.52880918590831272</v>
      </c>
      <c r="AI773" s="10">
        <f ca="1"/>
        <v>1.3614613691338808</v>
      </c>
      <c r="AJ773" s="1"/>
      <c r="AK773" s="2" cm="1">
        <f t="array" aca="1" ref="AK773" ca="1">MMULT(MMULT(_xlfn.ANCHORARRAY(AE773),$Q$9:$U$13),TRANSPOSE(_xlfn.ANCHORARRAY(AE773)))</f>
        <v>3.1795398383030731E-3</v>
      </c>
      <c r="AL773" s="2">
        <f t="shared" ca="1" si="29"/>
        <v>5.6387408508487717E-2</v>
      </c>
      <c r="AM773" s="2" cm="1">
        <f t="array" aca="1" ref="AM773" ca="1">MMULT(_xlfn.ANCHORARRAY(AE774),TRANSPOSE($Q$3:$U$3))</f>
        <v>1.013823261196662E-3</v>
      </c>
    </row>
    <row r="774" spans="1:39" x14ac:dyDescent="0.35">
      <c r="A774" s="3">
        <v>44952</v>
      </c>
      <c r="B774" s="4">
        <v>32.482166290283203</v>
      </c>
      <c r="C774" s="4">
        <v>163.94931030273401</v>
      </c>
      <c r="D774" s="4">
        <v>38.644580841064403</v>
      </c>
      <c r="E774" s="4">
        <v>23.0535278320312</v>
      </c>
      <c r="F774" s="4">
        <v>241.657455444335</v>
      </c>
      <c r="I774" s="5">
        <f>B774/B773-1</f>
        <v>1.3478361624816193E-2</v>
      </c>
      <c r="J774" s="5">
        <f>C774/C773-1</f>
        <v>4.8637596462308696E-2</v>
      </c>
      <c r="K774" s="5">
        <f>D774/D773-1</f>
        <v>1.1599329198306529E-2</v>
      </c>
      <c r="L774" s="5">
        <f>E774/E773-1</f>
        <v>1.1303260250764557E-2</v>
      </c>
      <c r="M774" s="5">
        <f>F774/F773-1</f>
        <v>3.0713408833555667E-2</v>
      </c>
      <c r="N774" s="5">
        <f>SUMPRODUCT(I774:M774,$AJ$13:$AN$13)</f>
        <v>1.608909163098167E-2</v>
      </c>
      <c r="P774" s="2" t="s">
        <v>765</v>
      </c>
      <c r="Q774" s="10" cm="1">
        <f t="array" aca="1" ref="Q774:U774" ca="1">_xlfn.LET(_xlpm.array,_xlfn.RANDARRAY(1,COLUMNS(_xlfn.ANCHORARRAY(Q773)),0,1,FALSE),_xlpm.array/SUM(_xlpm.array))</f>
        <v>0.51866990658326828</v>
      </c>
      <c r="R774" s="2">
        <f ca="1"/>
        <v>6.1372024750775057E-2</v>
      </c>
      <c r="S774" s="2">
        <f ca="1"/>
        <v>0.17536453270280628</v>
      </c>
      <c r="T774" s="2">
        <f ca="1"/>
        <v>0.16767459998046499</v>
      </c>
      <c r="U774" s="2">
        <f ca="1"/>
        <v>7.6918935982685385E-2</v>
      </c>
      <c r="V774" s="12"/>
      <c r="X774" s="2" cm="1">
        <f t="array" aca="1" ref="X774" ca="1">MMULT(MMULT(_xlfn.ANCHORARRAY(Q774),$Q$9:$U$13),TRANSPOSE(_xlfn.ANCHORARRAY(Q774)))</f>
        <v>3.1851830063333789E-4</v>
      </c>
      <c r="Y774" s="2">
        <f t="shared" ca="1" si="28"/>
        <v>1.7847081011564268E-2</v>
      </c>
      <c r="Z774" s="2" cm="1">
        <f t="array" aca="1" ref="Z774" ca="1">MMULT(_xlfn.ANCHORARRAY(Q774),TRANSPOSE($Q$3:$U$3))</f>
        <v>8.2335140421692962E-4</v>
      </c>
      <c r="AA774" s="11">
        <f ca="1">AVEDEV(Q774*$Q$3,R774*$R$3,S774*$S$3,T774*$T$3,U774*$U$3)</f>
        <v>9.0277028330714595E-5</v>
      </c>
      <c r="AB774" s="11" cm="1">
        <f t="array" aca="1" ref="AB774" ca="1">MMULT(_xlfn.ANCHORARRAY(Q774),TRANSPOSE($Q$6:$U$6))</f>
        <v>-2.3000697884533034E-2</v>
      </c>
      <c r="AD774" s="2" t="s">
        <v>765</v>
      </c>
      <c r="AE774" s="10" cm="1">
        <f t="array" aca="1" ref="AE774:AI774" ca="1">_xlfn.LET(_xlpm.array,_xlfn.RANDARRAY(1,COLUMNS(_xlfn.ANCHORARRAY(Q773)),-1,1,FALSE),_xlpm.array/SUM(_xlpm.array))</f>
        <v>0.32130459583232557</v>
      </c>
      <c r="AF774" s="10">
        <f ca="1"/>
        <v>5.7336829400200059E-2</v>
      </c>
      <c r="AG774" s="10">
        <f ca="1"/>
        <v>0.47890642432177866</v>
      </c>
      <c r="AH774" s="10">
        <f ca="1"/>
        <v>-0.30396734041956991</v>
      </c>
      <c r="AI774" s="10">
        <f ca="1"/>
        <v>0.44641949086526561</v>
      </c>
      <c r="AJ774" s="1"/>
      <c r="AK774" s="2" cm="1">
        <f t="array" aca="1" ref="AK774" ca="1">MMULT(MMULT(_xlfn.ANCHORARRAY(AE774),$Q$9:$U$13),TRANSPOSE(_xlfn.ANCHORARRAY(AE774)))</f>
        <v>4.7292557447953471E-4</v>
      </c>
      <c r="AL774" s="2">
        <f t="shared" ca="1" si="29"/>
        <v>2.1746852059080522E-2</v>
      </c>
      <c r="AM774" s="2" cm="1">
        <f t="array" aca="1" ref="AM774" ca="1">MMULT(_xlfn.ANCHORARRAY(AE775),TRANSPOSE($Q$3:$U$3))</f>
        <v>3.6804730760662987E-4</v>
      </c>
    </row>
    <row r="775" spans="1:39" x14ac:dyDescent="0.35">
      <c r="A775" s="3">
        <v>44953</v>
      </c>
      <c r="B775" s="4">
        <v>32.583267211913999</v>
      </c>
      <c r="C775" s="4">
        <v>156.66812133789</v>
      </c>
      <c r="D775" s="4">
        <v>38.003490447997997</v>
      </c>
      <c r="E775" s="4">
        <v>23.023218154907202</v>
      </c>
      <c r="F775" s="4">
        <v>241.813385009765</v>
      </c>
      <c r="I775" s="5">
        <f>B775/B774-1</f>
        <v>3.1125055123260026E-3</v>
      </c>
      <c r="J775" s="5">
        <f>C775/C774-1</f>
        <v>-4.4411220464418033E-2</v>
      </c>
      <c r="K775" s="5">
        <f>D775/D774-1</f>
        <v>-1.6589399577215058E-2</v>
      </c>
      <c r="L775" s="5">
        <f>E775/E774-1</f>
        <v>-1.3147522298901926E-3</v>
      </c>
      <c r="M775" s="5">
        <f>F775/F774-1</f>
        <v>6.4525038196450168E-4</v>
      </c>
      <c r="N775" s="5">
        <f>SUMPRODUCT(I775:M775,$AJ$13:$AN$13)</f>
        <v>-8.4816195165282274E-3</v>
      </c>
      <c r="P775" s="2" t="s">
        <v>766</v>
      </c>
      <c r="Q775" s="10" cm="1">
        <f t="array" aca="1" ref="Q775:U775" ca="1">_xlfn.LET(_xlpm.array,_xlfn.RANDARRAY(1,COLUMNS(_xlfn.ANCHORARRAY(Q774)),0,1,FALSE),_xlpm.array/SUM(_xlpm.array))</f>
        <v>0.30268900371238822</v>
      </c>
      <c r="R775" s="2">
        <f ca="1"/>
        <v>0.3308755626678862</v>
      </c>
      <c r="S775" s="2">
        <f ca="1"/>
        <v>0.19117236051913375</v>
      </c>
      <c r="T775" s="2">
        <f ca="1"/>
        <v>0.10374972745568938</v>
      </c>
      <c r="U775" s="2">
        <f ca="1"/>
        <v>7.1513345644902554E-2</v>
      </c>
      <c r="V775" s="12"/>
      <c r="X775" s="2" cm="1">
        <f t="array" aca="1" ref="X775" ca="1">MMULT(MMULT(_xlfn.ANCHORARRAY(Q775),$Q$9:$U$13),TRANSPOSE(_xlfn.ANCHORARRAY(Q775)))</f>
        <v>3.0770486784589406E-4</v>
      </c>
      <c r="Y775" s="2">
        <f t="shared" ca="1" si="28"/>
        <v>1.754151840194839E-2</v>
      </c>
      <c r="Z775" s="2" cm="1">
        <f t="array" aca="1" ref="Z775" ca="1">MMULT(_xlfn.ANCHORARRAY(Q775),TRANSPOSE($Q$3:$U$3))</f>
        <v>8.6661262173495161E-4</v>
      </c>
      <c r="AA775" s="11">
        <f ca="1">AVEDEV(Q775*$Q$3,R775*$R$3,S775*$S$3,T775*$T$3,U775*$U$3)</f>
        <v>8.2174907558664616E-5</v>
      </c>
      <c r="AB775" s="11" cm="1">
        <f t="array" aca="1" ref="AB775" ca="1">MMULT(_xlfn.ANCHORARRAY(Q775),TRANSPOSE($Q$6:$U$6))</f>
        <v>-2.2596943323682981E-2</v>
      </c>
      <c r="AD775" s="2" t="s">
        <v>766</v>
      </c>
      <c r="AE775" s="10" cm="1">
        <f t="array" aca="1" ref="AE775:AI775" ca="1">_xlfn.LET(_xlpm.array,_xlfn.RANDARRAY(1,COLUMNS(_xlfn.ANCHORARRAY(Q774)),-1,1,FALSE),_xlpm.array/SUM(_xlpm.array))</f>
        <v>-1.0977319033863566</v>
      </c>
      <c r="AF775" s="10">
        <f ca="1"/>
        <v>1.3969945530902319</v>
      </c>
      <c r="AG775" s="10">
        <f ca="1"/>
        <v>-0.8577158571123884</v>
      </c>
      <c r="AH775" s="10">
        <f ca="1"/>
        <v>0.41582180698117399</v>
      </c>
      <c r="AI775" s="10">
        <f ca="1"/>
        <v>1.142631400427339</v>
      </c>
      <c r="AJ775" s="1"/>
      <c r="AK775" s="2" cm="1">
        <f t="array" aca="1" ref="AK775" ca="1">MMULT(MMULT(_xlfn.ANCHORARRAY(AE775),$Q$9:$U$13),TRANSPOSE(_xlfn.ANCHORARRAY(AE775)))</f>
        <v>1.4087856302918882E-3</v>
      </c>
      <c r="AL775" s="2">
        <f t="shared" ca="1" si="29"/>
        <v>3.7533793177507227E-2</v>
      </c>
      <c r="AM775" s="2" cm="1">
        <f t="array" aca="1" ref="AM775" ca="1">MMULT(_xlfn.ANCHORARRAY(AE776),TRANSPOSE($Q$3:$U$3))</f>
        <v>7.5689197769120543E-4</v>
      </c>
    </row>
    <row r="776" spans="1:39" x14ac:dyDescent="0.35">
      <c r="A776" s="3">
        <v>44956</v>
      </c>
      <c r="B776" s="4">
        <v>32.445400238037102</v>
      </c>
      <c r="C776" s="4">
        <v>152.08462524414</v>
      </c>
      <c r="D776" s="4">
        <v>37.720649719238203</v>
      </c>
      <c r="E776" s="4">
        <v>22.7807102203369</v>
      </c>
      <c r="F776" s="4">
        <v>236.50276184082</v>
      </c>
      <c r="I776" s="5">
        <f>B776/B775-1</f>
        <v>-4.2312200609055939E-3</v>
      </c>
      <c r="J776" s="5">
        <f>C776/C775-1</f>
        <v>-2.9256086398487313E-2</v>
      </c>
      <c r="K776" s="5">
        <f>D776/D775-1</f>
        <v>-7.4424934506165386E-3</v>
      </c>
      <c r="L776" s="5">
        <f>E776/E775-1</f>
        <v>-1.0533190144776272E-2</v>
      </c>
      <c r="M776" s="5">
        <f>F776/F775-1</f>
        <v>-2.1961659271799827E-2</v>
      </c>
      <c r="N776" s="5">
        <f>SUMPRODUCT(I776:M776,$AJ$13:$AN$13)</f>
        <v>-1.3950802466970724E-2</v>
      </c>
      <c r="P776" s="2" t="s">
        <v>767</v>
      </c>
      <c r="Q776" s="10" cm="1">
        <f t="array" aca="1" ref="Q776:U776" ca="1">_xlfn.LET(_xlpm.array,_xlfn.RANDARRAY(1,COLUMNS(_xlfn.ANCHORARRAY(Q775)),0,1,FALSE),_xlpm.array/SUM(_xlpm.array))</f>
        <v>0.16815163305440919</v>
      </c>
      <c r="R776" s="2">
        <f ca="1"/>
        <v>0.27198597507667044</v>
      </c>
      <c r="S776" s="2">
        <f ca="1"/>
        <v>0.27307786681724183</v>
      </c>
      <c r="T776" s="2">
        <f ca="1"/>
        <v>0.190105356010908</v>
      </c>
      <c r="U776" s="2">
        <f ca="1"/>
        <v>9.6679169040770535E-2</v>
      </c>
      <c r="V776" s="12"/>
      <c r="X776" s="2" cm="1">
        <f t="array" aca="1" ref="X776" ca="1">MMULT(MMULT(_xlfn.ANCHORARRAY(Q776),$Q$9:$U$13),TRANSPOSE(_xlfn.ANCHORARRAY(Q776)))</f>
        <v>3.123690109961756E-4</v>
      </c>
      <c r="Y776" s="2">
        <f t="shared" ca="1" si="28"/>
        <v>1.7673964212823776E-2</v>
      </c>
      <c r="Z776" s="2" cm="1">
        <f t="array" aca="1" ref="Z776" ca="1">MMULT(_xlfn.ANCHORARRAY(Q776),TRANSPOSE($Q$3:$U$3))</f>
        <v>9.9571620233126004E-4</v>
      </c>
      <c r="AA776" s="11">
        <f ca="1">AVEDEV(Q776*$Q$3,R776*$R$3,S776*$S$3,T776*$T$3,U776*$U$3)</f>
        <v>9.773417055246604E-5</v>
      </c>
      <c r="AB776" s="11" cm="1">
        <f t="array" aca="1" ref="AB776" ca="1">MMULT(_xlfn.ANCHORARRAY(Q776),TRANSPOSE($Q$6:$U$6))</f>
        <v>-2.3380097806650492E-2</v>
      </c>
      <c r="AD776" s="2" t="s">
        <v>767</v>
      </c>
      <c r="AE776" s="10" cm="1">
        <f t="array" aca="1" ref="AE776:AI776" ca="1">_xlfn.LET(_xlpm.array,_xlfn.RANDARRAY(1,COLUMNS(_xlfn.ANCHORARRAY(Q775)),-1,1,FALSE),_xlpm.array/SUM(_xlpm.array))</f>
        <v>0.83498336422396624</v>
      </c>
      <c r="AF776" s="10">
        <f ca="1"/>
        <v>-2.2339724458531201E-2</v>
      </c>
      <c r="AG776" s="10">
        <f ca="1"/>
        <v>0.26954193320548958</v>
      </c>
      <c r="AH776" s="10">
        <f ca="1"/>
        <v>-0.10144830774790115</v>
      </c>
      <c r="AI776" s="10">
        <f ca="1"/>
        <v>1.926273477697649E-2</v>
      </c>
      <c r="AJ776" s="1"/>
      <c r="AK776" s="2" cm="1">
        <f t="array" aca="1" ref="AK776" ca="1">MMULT(MMULT(_xlfn.ANCHORARRAY(AE776),$Q$9:$U$13),TRANSPOSE(_xlfn.ANCHORARRAY(AE776)))</f>
        <v>4.4266729426247918E-4</v>
      </c>
      <c r="AL776" s="2">
        <f t="shared" ca="1" si="29"/>
        <v>2.1039660032008103E-2</v>
      </c>
      <c r="AM776" s="2" cm="1">
        <f t="array" aca="1" ref="AM776" ca="1">MMULT(_xlfn.ANCHORARRAY(AE777),TRANSPOSE($Q$3:$U$3))</f>
        <v>2.7752845309744322E-5</v>
      </c>
    </row>
    <row r="777" spans="1:39" x14ac:dyDescent="0.35">
      <c r="A777" s="3">
        <v>44957</v>
      </c>
      <c r="B777" s="4">
        <v>32.610843658447202</v>
      </c>
      <c r="C777" s="4">
        <v>151.927474975585</v>
      </c>
      <c r="D777" s="4">
        <v>38.295745849609297</v>
      </c>
      <c r="E777" s="4">
        <v>23.061107635498001</v>
      </c>
      <c r="F777" s="4">
        <v>241.47233581542901</v>
      </c>
      <c r="I777" s="5">
        <f>B777/B776-1</f>
        <v>5.0991332884267049E-3</v>
      </c>
      <c r="J777" s="5">
        <f>C777/C776-1</f>
        <v>-1.0333080566344854E-3</v>
      </c>
      <c r="K777" s="5">
        <f>D777/D776-1</f>
        <v>1.524618835178182E-2</v>
      </c>
      <c r="L777" s="5">
        <f>E777/E776-1</f>
        <v>1.2308545802526494E-2</v>
      </c>
      <c r="M777" s="5">
        <f>F777/F776-1</f>
        <v>2.1012752392100209E-2</v>
      </c>
      <c r="N777" s="5">
        <f>SUMPRODUCT(I777:M777,$AJ$13:$AN$13)</f>
        <v>1.9267861085567096E-2</v>
      </c>
      <c r="P777" s="2" t="s">
        <v>768</v>
      </c>
      <c r="Q777" s="10" cm="1">
        <f t="array" aca="1" ref="Q777:U777" ca="1">_xlfn.LET(_xlpm.array,_xlfn.RANDARRAY(1,COLUMNS(_xlfn.ANCHORARRAY(Q776)),0,1,FALSE),_xlpm.array/SUM(_xlpm.array))</f>
        <v>0.11665564561057351</v>
      </c>
      <c r="R777" s="2">
        <f ca="1"/>
        <v>0.27655444887243658</v>
      </c>
      <c r="S777" s="2">
        <f ca="1"/>
        <v>0.43602215316345289</v>
      </c>
      <c r="T777" s="2">
        <f ca="1"/>
        <v>3.2476322513604029E-2</v>
      </c>
      <c r="U777" s="2">
        <f ca="1"/>
        <v>0.13829142983993303</v>
      </c>
      <c r="V777" s="12"/>
      <c r="X777" s="2" cm="1">
        <f t="array" aca="1" ref="X777" ca="1">MMULT(MMULT(_xlfn.ANCHORARRAY(Q777),$Q$9:$U$13),TRANSPOSE(_xlfn.ANCHORARRAY(Q777)))</f>
        <v>3.6016808499514619E-4</v>
      </c>
      <c r="Y777" s="2">
        <f t="shared" ca="1" si="28"/>
        <v>1.8978094872645835E-2</v>
      </c>
      <c r="Z777" s="2" cm="1">
        <f t="array" aca="1" ref="Z777" ca="1">MMULT(_xlfn.ANCHORARRAY(Q777),TRANSPOSE($Q$3:$U$3))</f>
        <v>1.1082920611612476E-3</v>
      </c>
      <c r="AA777" s="11">
        <f ca="1">AVEDEV(Q777*$Q$3,R777*$R$3,S777*$S$3,T777*$T$3,U777*$U$3)</f>
        <v>1.9457676065016293E-4</v>
      </c>
      <c r="AB777" s="11" cm="1">
        <f t="array" aca="1" ref="AB777" ca="1">MMULT(_xlfn.ANCHORARRAY(Q777),TRANSPOSE($Q$6:$U$6))</f>
        <v>-2.3656696877298662E-2</v>
      </c>
      <c r="AD777" s="2" t="s">
        <v>768</v>
      </c>
      <c r="AE777" s="10" cm="1">
        <f t="array" aca="1" ref="AE777:AI777" ca="1">_xlfn.LET(_xlpm.array,_xlfn.RANDARRAY(1,COLUMNS(_xlfn.ANCHORARRAY(Q776)),-1,1,FALSE),_xlpm.array/SUM(_xlpm.array))</f>
        <v>0.76964072271252559</v>
      </c>
      <c r="AF777" s="10">
        <f ca="1"/>
        <v>-0.55959882978981257</v>
      </c>
      <c r="AG777" s="10">
        <f ca="1"/>
        <v>-0.49325351211335849</v>
      </c>
      <c r="AH777" s="10">
        <f ca="1"/>
        <v>-0.52654901480029426</v>
      </c>
      <c r="AI777" s="10">
        <f ca="1"/>
        <v>1.8097606339909398</v>
      </c>
      <c r="AJ777" s="1"/>
      <c r="AK777" s="2" cm="1">
        <f t="array" aca="1" ref="AK777" ca="1">MMULT(MMULT(_xlfn.ANCHORARRAY(AE777),$Q$9:$U$13),TRANSPOSE(_xlfn.ANCHORARRAY(AE777)))</f>
        <v>1.3490550949866497E-3</v>
      </c>
      <c r="AL777" s="2">
        <f t="shared" ca="1" si="29"/>
        <v>3.6729485362398555E-2</v>
      </c>
      <c r="AM777" s="2" cm="1">
        <f t="array" aca="1" ref="AM777" ca="1">MMULT(_xlfn.ANCHORARRAY(AE778),TRANSPOSE($Q$3:$U$3))</f>
        <v>1.0777977374472969E-3</v>
      </c>
    </row>
    <row r="778" spans="1:39" x14ac:dyDescent="0.35">
      <c r="A778" s="3">
        <v>44958</v>
      </c>
      <c r="B778" s="4">
        <v>33.0152587890625</v>
      </c>
      <c r="C778" s="4">
        <v>149.60519409179599</v>
      </c>
      <c r="D778" s="4">
        <v>38.870838165283203</v>
      </c>
      <c r="E778" s="4">
        <v>23.015638351440401</v>
      </c>
      <c r="F778" s="4">
        <v>246.28598022460901</v>
      </c>
      <c r="I778" s="5">
        <f>B778/B777-1</f>
        <v>1.2401247108200453E-2</v>
      </c>
      <c r="J778" s="5">
        <f>C778/C777-1</f>
        <v>-1.5285456986382506E-2</v>
      </c>
      <c r="K778" s="5">
        <f>D778/D777-1</f>
        <v>1.5017133180597719E-2</v>
      </c>
      <c r="L778" s="5">
        <f>E778/E777-1</f>
        <v>-1.9716869101121803E-3</v>
      </c>
      <c r="M778" s="5">
        <f>F778/F777-1</f>
        <v>1.9934558519611789E-2</v>
      </c>
      <c r="N778" s="5">
        <f>SUMPRODUCT(I778:M778,$AJ$13:$AN$13)</f>
        <v>1.0470956952118428E-2</v>
      </c>
      <c r="P778" s="2" t="s">
        <v>769</v>
      </c>
      <c r="Q778" s="10" cm="1">
        <f t="array" aca="1" ref="Q778:U778" ca="1">_xlfn.LET(_xlpm.array,_xlfn.RANDARRAY(1,COLUMNS(_xlfn.ANCHORARRAY(Q777)),0,1,FALSE),_xlpm.array/SUM(_xlpm.array))</f>
        <v>3.8836138380519962E-2</v>
      </c>
      <c r="R778" s="2">
        <f ca="1"/>
        <v>0.18111736475255469</v>
      </c>
      <c r="S778" s="2">
        <f ca="1"/>
        <v>0.48278672642767312</v>
      </c>
      <c r="T778" s="2">
        <f ca="1"/>
        <v>0.16382156240933948</v>
      </c>
      <c r="U778" s="2">
        <f ca="1"/>
        <v>0.13343820802991274</v>
      </c>
      <c r="V778" s="12"/>
      <c r="X778" s="2" cm="1">
        <f t="array" aca="1" ref="X778" ca="1">MMULT(MMULT(_xlfn.ANCHORARRAY(Q778),$Q$9:$U$13),TRANSPOSE(_xlfn.ANCHORARRAY(Q778)))</f>
        <v>3.8303518641488179E-4</v>
      </c>
      <c r="Y778" s="2">
        <f t="shared" ca="1" si="28"/>
        <v>1.9571284741040425E-2</v>
      </c>
      <c r="Z778" s="2" cm="1">
        <f t="array" aca="1" ref="Z778" ca="1">MMULT(_xlfn.ANCHORARRAY(Q778),TRANSPOSE($Q$3:$U$3))</f>
        <v>1.2054669476044371E-3</v>
      </c>
      <c r="AA778" s="11">
        <f ca="1">AVEDEV(Q778*$Q$3,R778*$R$3,S778*$S$3,T778*$T$3,U778*$U$3)</f>
        <v>2.171810509899726E-4</v>
      </c>
      <c r="AB778" s="11" cm="1">
        <f t="array" aca="1" ref="AB778" ca="1">MMULT(_xlfn.ANCHORARRAY(Q778),TRANSPOSE($Q$6:$U$6))</f>
        <v>-2.448632287355761E-2</v>
      </c>
      <c r="AD778" s="2" t="s">
        <v>769</v>
      </c>
      <c r="AE778" s="10" cm="1">
        <f t="array" aca="1" ref="AE778:AI778" ca="1">_xlfn.LET(_xlpm.array,_xlfn.RANDARRAY(1,COLUMNS(_xlfn.ANCHORARRAY(Q777)),-1,1,FALSE),_xlpm.array/SUM(_xlpm.array))</f>
        <v>0.25546245895280417</v>
      </c>
      <c r="AF778" s="10">
        <f ca="1"/>
        <v>1.8733998750343834</v>
      </c>
      <c r="AG778" s="10">
        <f ca="1"/>
        <v>0.77322821481575188</v>
      </c>
      <c r="AH778" s="10">
        <f ca="1"/>
        <v>-0.86060521458134009</v>
      </c>
      <c r="AI778" s="10">
        <f ca="1"/>
        <v>-1.0414853342215995</v>
      </c>
      <c r="AJ778" s="1"/>
      <c r="AK778" s="2" cm="1">
        <f t="array" aca="1" ref="AK778" ca="1">MMULT(MMULT(_xlfn.ANCHORARRAY(AE778),$Q$9:$U$13),TRANSPOSE(_xlfn.ANCHORARRAY(AE778)))</f>
        <v>1.6189403247378299E-3</v>
      </c>
      <c r="AL778" s="2">
        <f t="shared" ca="1" si="29"/>
        <v>4.0236057519814614E-2</v>
      </c>
      <c r="AM778" s="2" cm="1">
        <f t="array" aca="1" ref="AM778" ca="1">MMULT(_xlfn.ANCHORARRAY(AE779),TRANSPOSE($Q$3:$U$3))</f>
        <v>9.2516819265976767E-4</v>
      </c>
    </row>
    <row r="779" spans="1:39" x14ac:dyDescent="0.35">
      <c r="A779" s="3">
        <v>44959</v>
      </c>
      <c r="B779" s="4">
        <v>33.208278656005803</v>
      </c>
      <c r="C779" s="4">
        <v>147.55352783203099</v>
      </c>
      <c r="D779" s="4">
        <v>39.992748260497997</v>
      </c>
      <c r="E779" s="4">
        <v>22.144117355346602</v>
      </c>
      <c r="F779" s="4">
        <v>257.83294677734301</v>
      </c>
      <c r="I779" s="5">
        <f>B779/B778-1</f>
        <v>5.8463835821043197E-3</v>
      </c>
      <c r="J779" s="5">
        <f>C779/C778-1</f>
        <v>-1.3713870512451098E-2</v>
      </c>
      <c r="K779" s="5">
        <f>D779/D778-1</f>
        <v>2.8862513600666606E-2</v>
      </c>
      <c r="L779" s="5">
        <f>E779/E778-1</f>
        <v>-3.7866470735505642E-2</v>
      </c>
      <c r="M779" s="5">
        <f>F779/F778-1</f>
        <v>4.688438433321851E-2</v>
      </c>
      <c r="N779" s="5">
        <f>SUMPRODUCT(I779:M779,$AJ$13:$AN$13)</f>
        <v>1.1754543396586022E-2</v>
      </c>
      <c r="P779" s="2" t="s">
        <v>770</v>
      </c>
      <c r="Q779" s="10" cm="1">
        <f t="array" aca="1" ref="Q779:U779" ca="1">_xlfn.LET(_xlpm.array,_xlfn.RANDARRAY(1,COLUMNS(_xlfn.ANCHORARRAY(Q778)),0,1,FALSE),_xlpm.array/SUM(_xlpm.array))</f>
        <v>0.21614184332303968</v>
      </c>
      <c r="R779" s="2">
        <f ca="1"/>
        <v>0.21074757091790192</v>
      </c>
      <c r="S779" s="2">
        <f ca="1"/>
        <v>0.13151434127823258</v>
      </c>
      <c r="T779" s="2">
        <f ca="1"/>
        <v>0.14239417436164306</v>
      </c>
      <c r="U779" s="2">
        <f ca="1"/>
        <v>0.29920207011918276</v>
      </c>
      <c r="V779" s="12"/>
      <c r="X779" s="2" cm="1">
        <f t="array" aca="1" ref="X779" ca="1">MMULT(MMULT(_xlfn.ANCHORARRAY(Q779),$Q$9:$U$13),TRANSPOSE(_xlfn.ANCHORARRAY(Q779)))</f>
        <v>2.5665570285812327E-4</v>
      </c>
      <c r="Y779" s="2">
        <f t="shared" ca="1" si="28"/>
        <v>1.6020477610175148E-2</v>
      </c>
      <c r="Z779" s="2" cm="1">
        <f t="array" aca="1" ref="Z779" ca="1">MMULT(_xlfn.ANCHORARRAY(Q779),TRANSPOSE($Q$3:$U$3))</f>
        <v>8.5164695143257927E-4</v>
      </c>
      <c r="AA779" s="11">
        <f ca="1">AVEDEV(Q779*$Q$3,R779*$R$3,S779*$S$3,T779*$T$3,U779*$U$3)</f>
        <v>4.0706582801760071E-5</v>
      </c>
      <c r="AB779" s="11" cm="1">
        <f t="array" aca="1" ref="AB779" ca="1">MMULT(_xlfn.ANCHORARRAY(Q779),TRANSPOSE($Q$6:$U$6))</f>
        <v>-2.2188154737934916E-2</v>
      </c>
      <c r="AD779" s="2" t="s">
        <v>770</v>
      </c>
      <c r="AE779" s="10" cm="1">
        <f t="array" aca="1" ref="AE779:AI779" ca="1">_xlfn.LET(_xlpm.array,_xlfn.RANDARRAY(1,COLUMNS(_xlfn.ANCHORARRAY(Q778)),-1,1,FALSE),_xlpm.array/SUM(_xlpm.array))</f>
        <v>-1.1021191455816131</v>
      </c>
      <c r="AF779" s="10">
        <f ca="1"/>
        <v>-0.2604312753283422</v>
      </c>
      <c r="AG779" s="10">
        <f ca="1"/>
        <v>-0.30256860771251376</v>
      </c>
      <c r="AH779" s="10">
        <f ca="1"/>
        <v>0.50022095608251727</v>
      </c>
      <c r="AI779" s="10">
        <f ca="1"/>
        <v>2.1648980725399518</v>
      </c>
      <c r="AJ779" s="1"/>
      <c r="AK779" s="2" cm="1">
        <f t="array" aca="1" ref="AK779" ca="1">MMULT(MMULT(_xlfn.ANCHORARRAY(AE779),$Q$9:$U$13),TRANSPOSE(_xlfn.ANCHORARRAY(AE779)))</f>
        <v>1.392423550457292E-3</v>
      </c>
      <c r="AL779" s="2">
        <f t="shared" ca="1" si="29"/>
        <v>3.731519195257197E-2</v>
      </c>
      <c r="AM779" s="2" cm="1">
        <f t="array" aca="1" ref="AM779" ca="1">MMULT(_xlfn.ANCHORARRAY(AE780),TRANSPOSE($Q$3:$U$3))</f>
        <v>1.8140986810574675E-3</v>
      </c>
    </row>
    <row r="780" spans="1:39" x14ac:dyDescent="0.35">
      <c r="A780" s="3">
        <v>44960</v>
      </c>
      <c r="B780" s="4">
        <v>33.484016418457003</v>
      </c>
      <c r="C780" s="4">
        <v>147.93766784667901</v>
      </c>
      <c r="D780" s="4">
        <v>39.823047637939403</v>
      </c>
      <c r="E780" s="4">
        <v>22.0607604980468</v>
      </c>
      <c r="F780" s="4">
        <v>251.74276733398401</v>
      </c>
      <c r="I780" s="5">
        <f>B780/B779-1</f>
        <v>8.3032838078564986E-3</v>
      </c>
      <c r="J780" s="5">
        <f>C780/C779-1</f>
        <v>2.6033943091168243E-3</v>
      </c>
      <c r="K780" s="5">
        <f>D780/D779-1</f>
        <v>-4.2432848438728188E-3</v>
      </c>
      <c r="L780" s="5">
        <f>E780/E779-1</f>
        <v>-3.7642889965842086E-3</v>
      </c>
      <c r="M780" s="5">
        <f>F780/F779-1</f>
        <v>-2.3620640881936272E-2</v>
      </c>
      <c r="N780" s="5">
        <f>SUMPRODUCT(I780:M780,$AJ$13:$AN$13)</f>
        <v>-1.4345342243056947E-2</v>
      </c>
      <c r="P780" s="2" t="s">
        <v>771</v>
      </c>
      <c r="Q780" s="10" cm="1">
        <f t="array" aca="1" ref="Q780:U780" ca="1">_xlfn.LET(_xlpm.array,_xlfn.RANDARRAY(1,COLUMNS(_xlfn.ANCHORARRAY(Q779)),0,1,FALSE),_xlpm.array/SUM(_xlpm.array))</f>
        <v>0.32971970936239248</v>
      </c>
      <c r="R780" s="2">
        <f ca="1"/>
        <v>0.13980771526310021</v>
      </c>
      <c r="S780" s="2">
        <f ca="1"/>
        <v>9.7981744156269684E-3</v>
      </c>
      <c r="T780" s="2">
        <f ca="1"/>
        <v>4.4215255243459185E-2</v>
      </c>
      <c r="U780" s="2">
        <f ca="1"/>
        <v>0.47645914571542125</v>
      </c>
      <c r="V780" s="12"/>
      <c r="X780" s="2" cm="1">
        <f t="array" aca="1" ref="X780" ca="1">MMULT(MMULT(_xlfn.ANCHORARRAY(Q780),$Q$9:$U$13),TRANSPOSE(_xlfn.ANCHORARRAY(Q780)))</f>
        <v>2.5323175682103729E-4</v>
      </c>
      <c r="Y780" s="2">
        <f t="shared" ca="1" si="28"/>
        <v>1.5913257266224199E-2</v>
      </c>
      <c r="Z780" s="2" cm="1">
        <f t="array" aca="1" ref="Z780" ca="1">MMULT(_xlfn.ANCHORARRAY(Q780),TRANSPOSE($Q$3:$U$3))</f>
        <v>6.9517675952551717E-4</v>
      </c>
      <c r="AA780" s="11">
        <f ca="1">AVEDEV(Q780*$Q$3,R780*$R$3,S780*$S$3,T780*$T$3,U780*$U$3)</f>
        <v>1.0157187911651157E-4</v>
      </c>
      <c r="AB780" s="11" cm="1">
        <f t="array" aca="1" ref="AB780" ca="1">MMULT(_xlfn.ANCHORARRAY(Q780),TRANSPOSE($Q$6:$U$6))</f>
        <v>-2.097398497132278E-2</v>
      </c>
      <c r="AD780" s="2" t="s">
        <v>771</v>
      </c>
      <c r="AE780" s="10" cm="1">
        <f t="array" aca="1" ref="AE780:AI780" ca="1">_xlfn.LET(_xlpm.array,_xlfn.RANDARRAY(1,COLUMNS(_xlfn.ANCHORARRAY(Q779)),-1,1,FALSE),_xlpm.array/SUM(_xlpm.array))</f>
        <v>0.36604716723929431</v>
      </c>
      <c r="AF780" s="10">
        <f ca="1"/>
        <v>0.61217523000060869</v>
      </c>
      <c r="AG780" s="10">
        <f ca="1"/>
        <v>1.3989220548529129</v>
      </c>
      <c r="AH780" s="10">
        <f ca="1"/>
        <v>-0.14610336171476362</v>
      </c>
      <c r="AI780" s="10">
        <f ca="1"/>
        <v>-1.2310410903780524</v>
      </c>
      <c r="AJ780" s="1"/>
      <c r="AK780" s="2" cm="1">
        <f t="array" aca="1" ref="AK780" ca="1">MMULT(MMULT(_xlfn.ANCHORARRAY(AE780),$Q$9:$U$13),TRANSPOSE(_xlfn.ANCHORARRAY(AE780)))</f>
        <v>1.9080586260712719E-3</v>
      </c>
      <c r="AL780" s="2">
        <f t="shared" ca="1" si="29"/>
        <v>4.3681330406379247E-2</v>
      </c>
      <c r="AM780" s="2" cm="1">
        <f t="array" aca="1" ref="AM780" ca="1">MMULT(_xlfn.ANCHORARRAY(AE781),TRANSPOSE($Q$3:$U$3))</f>
        <v>6.1262143072911474E-4</v>
      </c>
    </row>
    <row r="781" spans="1:39" x14ac:dyDescent="0.35">
      <c r="A781" s="3">
        <v>44963</v>
      </c>
      <c r="B781" s="4">
        <v>33.428874969482401</v>
      </c>
      <c r="C781" s="4">
        <v>148.10354614257801</v>
      </c>
      <c r="D781" s="4">
        <v>38.6162910461425</v>
      </c>
      <c r="E781" s="4">
        <v>21.8940315246582</v>
      </c>
      <c r="F781" s="4">
        <v>250.20317077636699</v>
      </c>
      <c r="I781" s="5">
        <f>B781/B780-1</f>
        <v>-1.6467991260512571E-3</v>
      </c>
      <c r="J781" s="5">
        <f>C781/C780-1</f>
        <v>1.121271534920476E-3</v>
      </c>
      <c r="K781" s="5">
        <f>D781/D780-1</f>
        <v>-3.0302969344998765E-2</v>
      </c>
      <c r="L781" s="5">
        <f>E781/E780-1</f>
        <v>-7.5577164895725968E-3</v>
      </c>
      <c r="M781" s="5">
        <f>F781/F780-1</f>
        <v>-6.115752893009474E-3</v>
      </c>
      <c r="N781" s="5">
        <f>SUMPRODUCT(I781:M781,$AJ$13:$AN$13)</f>
        <v>-2.0912719263472386E-2</v>
      </c>
      <c r="P781" s="2" t="s">
        <v>772</v>
      </c>
      <c r="Q781" s="10" cm="1">
        <f t="array" aca="1" ref="Q781:U781" ca="1">_xlfn.LET(_xlpm.array,_xlfn.RANDARRAY(1,COLUMNS(_xlfn.ANCHORARRAY(Q780)),0,1,FALSE),_xlpm.array/SUM(_xlpm.array))</f>
        <v>0.14649525371339331</v>
      </c>
      <c r="R781" s="2">
        <f ca="1"/>
        <v>0.10294818000461409</v>
      </c>
      <c r="S781" s="2">
        <f ca="1"/>
        <v>0.26887078745244353</v>
      </c>
      <c r="T781" s="2">
        <f ca="1"/>
        <v>0.31209579691379274</v>
      </c>
      <c r="U781" s="2">
        <f ca="1"/>
        <v>0.16958998191575636</v>
      </c>
      <c r="V781" s="12"/>
      <c r="X781" s="2" cm="1">
        <f t="array" aca="1" ref="X781" ca="1">MMULT(MMULT(_xlfn.ANCHORARRAY(Q781),$Q$9:$U$13),TRANSPOSE(_xlfn.ANCHORARRAY(Q781)))</f>
        <v>3.0312838134134885E-4</v>
      </c>
      <c r="Y781" s="2">
        <f t="shared" ca="1" si="28"/>
        <v>1.7410582452673684E-2</v>
      </c>
      <c r="Z781" s="2" cm="1">
        <f t="array" aca="1" ref="Z781" ca="1">MMULT(_xlfn.ANCHORARRAY(Q781),TRANSPOSE($Q$3:$U$3))</f>
        <v>1.0348327672437126E-3</v>
      </c>
      <c r="AA781" s="11">
        <f ca="1">AVEDEV(Q781*$Q$3,R781*$R$3,S781*$S$3,T781*$T$3,U781*$U$3)</f>
        <v>1.3662226846958644E-4</v>
      </c>
      <c r="AB781" s="11" cm="1">
        <f t="array" aca="1" ref="AB781" ca="1">MMULT(_xlfn.ANCHORARRAY(Q781),TRANSPOSE($Q$6:$U$6))</f>
        <v>-2.3853251914633521E-2</v>
      </c>
      <c r="AD781" s="2" t="s">
        <v>772</v>
      </c>
      <c r="AE781" s="10" cm="1">
        <f t="array" aca="1" ref="AE781:AI781" ca="1">_xlfn.LET(_xlpm.array,_xlfn.RANDARRAY(1,COLUMNS(_xlfn.ANCHORARRAY(Q780)),-1,1,FALSE),_xlpm.array/SUM(_xlpm.array))</f>
        <v>0.3955227016368083</v>
      </c>
      <c r="AF781" s="10">
        <f ca="1"/>
        <v>5.544385758892021E-2</v>
      </c>
      <c r="AG781" s="10">
        <f ca="1"/>
        <v>-7.4248764534658451E-2</v>
      </c>
      <c r="AH781" s="10">
        <f ca="1"/>
        <v>5.8308598598578822E-2</v>
      </c>
      <c r="AI781" s="10">
        <f ca="1"/>
        <v>0.56497360671035113</v>
      </c>
      <c r="AJ781" s="1"/>
      <c r="AK781" s="2" cm="1">
        <f t="array" aca="1" ref="AK781" ca="1">MMULT(MMULT(_xlfn.ANCHORARRAY(AE781),$Q$9:$U$13),TRANSPOSE(_xlfn.ANCHORARRAY(AE781)))</f>
        <v>2.6875327177106122E-4</v>
      </c>
      <c r="AL781" s="2">
        <f t="shared" ca="1" si="29"/>
        <v>1.6393696098533157E-2</v>
      </c>
      <c r="AM781" s="2" cm="1">
        <f t="array" aca="1" ref="AM781" ca="1">MMULT(_xlfn.ANCHORARRAY(AE782),TRANSPOSE($Q$3:$U$3))</f>
        <v>9.3874677967039461E-4</v>
      </c>
    </row>
    <row r="782" spans="1:39" x14ac:dyDescent="0.35">
      <c r="A782" s="3">
        <v>44964</v>
      </c>
      <c r="B782" s="4">
        <v>33.7965278625488</v>
      </c>
      <c r="C782" s="4">
        <v>151.98860168457</v>
      </c>
      <c r="D782" s="4">
        <v>39.587352752685497</v>
      </c>
      <c r="E782" s="4">
        <v>22.189590454101499</v>
      </c>
      <c r="F782" s="4">
        <v>260.71722412109301</v>
      </c>
      <c r="I782" s="5">
        <f>B782/B781-1</f>
        <v>1.0998063602261077E-2</v>
      </c>
      <c r="J782" s="5">
        <f>C782/C781-1</f>
        <v>2.6232022413912315E-2</v>
      </c>
      <c r="K782" s="5">
        <f>D782/D781-1</f>
        <v>2.5146426035133063E-2</v>
      </c>
      <c r="L782" s="5">
        <f>E782/E781-1</f>
        <v>1.3499520593565739E-2</v>
      </c>
      <c r="M782" s="5">
        <f>F782/F781-1</f>
        <v>4.2022062758443335E-2</v>
      </c>
      <c r="N782" s="5">
        <f>SUMPRODUCT(I782:M782,$AJ$13:$AN$13)</f>
        <v>2.9397901244646897E-2</v>
      </c>
      <c r="P782" s="2" t="s">
        <v>773</v>
      </c>
      <c r="Q782" s="10" cm="1">
        <f t="array" aca="1" ref="Q782:U782" ca="1">_xlfn.LET(_xlpm.array,_xlfn.RANDARRAY(1,COLUMNS(_xlfn.ANCHORARRAY(Q781)),0,1,FALSE),_xlpm.array/SUM(_xlpm.array))</f>
        <v>0.28739678420552495</v>
      </c>
      <c r="R782" s="2">
        <f ca="1"/>
        <v>0.10784017869332779</v>
      </c>
      <c r="S782" s="2">
        <f ca="1"/>
        <v>4.1841675993014679E-2</v>
      </c>
      <c r="T782" s="2">
        <f ca="1"/>
        <v>0.4031422440102897</v>
      </c>
      <c r="U782" s="2">
        <f ca="1"/>
        <v>0.15977911709784279</v>
      </c>
      <c r="V782" s="12"/>
      <c r="X782" s="2" cm="1">
        <f t="array" aca="1" ref="X782" ca="1">MMULT(MMULT(_xlfn.ANCHORARRAY(Q782),$Q$9:$U$13),TRANSPOSE(_xlfn.ANCHORARRAY(Q782)))</f>
        <v>3.0069224631801435E-4</v>
      </c>
      <c r="Y782" s="2">
        <f t="shared" ca="1" si="28"/>
        <v>1.7340479990992589E-2</v>
      </c>
      <c r="Z782" s="2" cm="1">
        <f t="array" aca="1" ref="Z782" ca="1">MMULT(_xlfn.ANCHORARRAY(Q782),TRANSPOSE($Q$3:$U$3))</f>
        <v>8.2683304955938569E-4</v>
      </c>
      <c r="AA782" s="11">
        <f ca="1">AVEDEV(Q782*$Q$3,R782*$R$3,S782*$S$3,T782*$T$3,U782*$U$3)</f>
        <v>9.8596164460765023E-5</v>
      </c>
      <c r="AB782" s="11" cm="1">
        <f t="array" aca="1" ref="AB782" ca="1">MMULT(_xlfn.ANCHORARRAY(Q782),TRANSPOSE($Q$6:$U$6))</f>
        <v>-2.2928195372495283E-2</v>
      </c>
      <c r="AD782" s="2" t="s">
        <v>773</v>
      </c>
      <c r="AE782" s="10" cm="1">
        <f t="array" aca="1" ref="AE782:AI782" ca="1">_xlfn.LET(_xlpm.array,_xlfn.RANDARRAY(1,COLUMNS(_xlfn.ANCHORARRAY(Q781)),-1,1,FALSE),_xlpm.array/SUM(_xlpm.array))</f>
        <v>7.5069941133083518E-3</v>
      </c>
      <c r="AF782" s="10">
        <f ca="1"/>
        <v>0.12549833968269419</v>
      </c>
      <c r="AG782" s="10">
        <f ca="1"/>
        <v>0.1241153783200195</v>
      </c>
      <c r="AH782" s="10">
        <f ca="1"/>
        <v>0.28637292523719871</v>
      </c>
      <c r="AI782" s="10">
        <f ca="1"/>
        <v>0.45650636264677924</v>
      </c>
      <c r="AJ782" s="1"/>
      <c r="AK782" s="2" cm="1">
        <f t="array" aca="1" ref="AK782" ca="1">MMULT(MMULT(_xlfn.ANCHORARRAY(AE782),$Q$9:$U$13),TRANSPOSE(_xlfn.ANCHORARRAY(AE782)))</f>
        <v>2.5750397954809657E-4</v>
      </c>
      <c r="AL782" s="2">
        <f t="shared" ca="1" si="29"/>
        <v>1.604693053353496E-2</v>
      </c>
      <c r="AM782" s="2" cm="1">
        <f t="array" aca="1" ref="AM782" ca="1">MMULT(_xlfn.ANCHORARRAY(AE783),TRANSPOSE($Q$3:$U$3))</f>
        <v>1.2697292783741387E-3</v>
      </c>
    </row>
    <row r="783" spans="1:39" x14ac:dyDescent="0.35">
      <c r="A783" s="3">
        <v>44965</v>
      </c>
      <c r="B783" s="4">
        <v>33.548355102538999</v>
      </c>
      <c r="C783" s="4">
        <v>148.41783142089801</v>
      </c>
      <c r="D783" s="4">
        <v>39.445934295654297</v>
      </c>
      <c r="E783" s="4">
        <v>23.765901565551701</v>
      </c>
      <c r="F783" s="4">
        <v>259.908447265625</v>
      </c>
      <c r="I783" s="5">
        <f>B783/B782-1</f>
        <v>-7.3431436808871764E-3</v>
      </c>
      <c r="J783" s="5">
        <f>C783/C782-1</f>
        <v>-2.3493671394402282E-2</v>
      </c>
      <c r="K783" s="5">
        <f>D783/D782-1</f>
        <v>-3.5723140649157603E-3</v>
      </c>
      <c r="L783" s="5">
        <f>E783/E782-1</f>
        <v>7.1038314776955991E-2</v>
      </c>
      <c r="M783" s="5">
        <f>F783/F782-1</f>
        <v>-3.102122839004906E-3</v>
      </c>
      <c r="N783" s="5">
        <f>SUMPRODUCT(I783:M783,$AJ$13:$AN$13)</f>
        <v>3.3190283263029786E-2</v>
      </c>
      <c r="P783" s="2" t="s">
        <v>774</v>
      </c>
      <c r="Q783" s="10" cm="1">
        <f t="array" aca="1" ref="Q783:U783" ca="1">_xlfn.LET(_xlpm.array,_xlfn.RANDARRAY(1,COLUMNS(_xlfn.ANCHORARRAY(Q782)),0,1,FALSE),_xlpm.array/SUM(_xlpm.array))</f>
        <v>0.24806398483033087</v>
      </c>
      <c r="R783" s="2">
        <f ca="1"/>
        <v>6.2296219331250458E-2</v>
      </c>
      <c r="S783" s="2">
        <f ca="1"/>
        <v>0.21079412917521206</v>
      </c>
      <c r="T783" s="2">
        <f ca="1"/>
        <v>0.20705510192406981</v>
      </c>
      <c r="U783" s="2">
        <f ca="1"/>
        <v>0.27179056473913688</v>
      </c>
      <c r="V783" s="12"/>
      <c r="X783" s="2" cm="1">
        <f t="array" aca="1" ref="X783" ca="1">MMULT(MMULT(_xlfn.ANCHORARRAY(Q783),$Q$9:$U$13),TRANSPOSE(_xlfn.ANCHORARRAY(Q783)))</f>
        <v>2.7249652242586239E-4</v>
      </c>
      <c r="Y783" s="2">
        <f t="shared" ca="1" si="28"/>
        <v>1.650746868619966E-2</v>
      </c>
      <c r="Z783" s="2" cm="1">
        <f t="array" aca="1" ref="Z783" ca="1">MMULT(_xlfn.ANCHORARRAY(Q783),TRANSPOSE($Q$3:$U$3))</f>
        <v>9.3330963955349437E-4</v>
      </c>
      <c r="AA783" s="11">
        <f ca="1">AVEDEV(Q783*$Q$3,R783*$R$3,S783*$S$3,T783*$T$3,U783*$U$3)</f>
        <v>8.0702053793197233E-5</v>
      </c>
      <c r="AB783" s="11" cm="1">
        <f t="array" aca="1" ref="AB783" ca="1">MMULT(_xlfn.ANCHORARRAY(Q783),TRANSPOSE($Q$6:$U$6))</f>
        <v>-2.3047847942309473E-2</v>
      </c>
      <c r="AD783" s="2" t="s">
        <v>774</v>
      </c>
      <c r="AE783" s="10" cm="1">
        <f t="array" aca="1" ref="AE783:AI783" ca="1">_xlfn.LET(_xlpm.array,_xlfn.RANDARRAY(1,COLUMNS(_xlfn.ANCHORARRAY(Q782)),-1,1,FALSE),_xlpm.array/SUM(_xlpm.array))</f>
        <v>1.0170569861711336</v>
      </c>
      <c r="AF783" s="10">
        <f ca="1"/>
        <v>-0.98100588800545008</v>
      </c>
      <c r="AG783" s="10">
        <f ca="1"/>
        <v>0.95017911560614809</v>
      </c>
      <c r="AH783" s="10">
        <f ca="1"/>
        <v>-0.32886631429717111</v>
      </c>
      <c r="AI783" s="10">
        <f ca="1"/>
        <v>0.34263610052533955</v>
      </c>
      <c r="AJ783" s="1"/>
      <c r="AK783" s="2" cm="1">
        <f t="array" aca="1" ref="AK783" ca="1">MMULT(MMULT(_xlfn.ANCHORARRAY(AE783),$Q$9:$U$13),TRANSPOSE(_xlfn.ANCHORARRAY(AE783)))</f>
        <v>1.4209673714535625E-3</v>
      </c>
      <c r="AL783" s="2">
        <f t="shared" ca="1" si="29"/>
        <v>3.7695720863959649E-2</v>
      </c>
      <c r="AM783" s="2" cm="1">
        <f t="array" aca="1" ref="AM783" ca="1">MMULT(_xlfn.ANCHORARRAY(AE784),TRANSPOSE($Q$3:$U$3))</f>
        <v>6.2150095404504304E-4</v>
      </c>
    </row>
    <row r="784" spans="1:39" x14ac:dyDescent="0.35">
      <c r="A784" s="3">
        <v>44966</v>
      </c>
      <c r="B784" s="4">
        <v>32.831436157226499</v>
      </c>
      <c r="C784" s="4">
        <v>147.05587768554599</v>
      </c>
      <c r="D784" s="4">
        <v>39.634498596191399</v>
      </c>
      <c r="E784" s="4">
        <v>24.0159893035888</v>
      </c>
      <c r="F784" s="4">
        <v>256.8779296875</v>
      </c>
      <c r="I784" s="5">
        <f>B784/B783-1</f>
        <v>-2.1369719711183177E-2</v>
      </c>
      <c r="J784" s="5">
        <f>C784/C783-1</f>
        <v>-9.1764831914951106E-3</v>
      </c>
      <c r="K784" s="5">
        <f>D784/D783-1</f>
        <v>4.780322836918538E-3</v>
      </c>
      <c r="L784" s="5">
        <f>E784/E783-1</f>
        <v>1.0522964481162189E-2</v>
      </c>
      <c r="M784" s="5">
        <f>F784/F783-1</f>
        <v>-1.1659942606743523E-2</v>
      </c>
      <c r="N784" s="5">
        <f>SUMPRODUCT(I784:M784,$AJ$13:$AN$13)</f>
        <v>9.9919950313813524E-3</v>
      </c>
      <c r="P784" s="2" t="s">
        <v>775</v>
      </c>
      <c r="Q784" s="10" cm="1">
        <f t="array" aca="1" ref="Q784:U784" ca="1">_xlfn.LET(_xlpm.array,_xlfn.RANDARRAY(1,COLUMNS(_xlfn.ANCHORARRAY(Q783)),0,1,FALSE),_xlpm.array/SUM(_xlpm.array))</f>
        <v>0.11597375079209815</v>
      </c>
      <c r="R784" s="2">
        <f ca="1"/>
        <v>0.12333997251289891</v>
      </c>
      <c r="S784" s="2">
        <f ca="1"/>
        <v>8.8938210037763893E-2</v>
      </c>
      <c r="T784" s="2">
        <f ca="1"/>
        <v>0.27835439375138488</v>
      </c>
      <c r="U784" s="2">
        <f ca="1"/>
        <v>0.3933936729058542</v>
      </c>
      <c r="V784" s="12"/>
      <c r="X784" s="2" cm="1">
        <f t="array" aca="1" ref="X784" ca="1">MMULT(MMULT(_xlfn.ANCHORARRAY(Q784),$Q$9:$U$13),TRANSPOSE(_xlfn.ANCHORARRAY(Q784)))</f>
        <v>2.5157573938381543E-4</v>
      </c>
      <c r="Y784" s="2">
        <f t="shared" ca="1" si="28"/>
        <v>1.5861139283917011E-2</v>
      </c>
      <c r="Z784" s="2" cm="1">
        <f t="array" aca="1" ref="Z784" ca="1">MMULT(_xlfn.ANCHORARRAY(Q784),TRANSPOSE($Q$3:$U$3))</f>
        <v>8.787068784174431E-4</v>
      </c>
      <c r="AA784" s="11">
        <f ca="1">AVEDEV(Q784*$Q$3,R784*$R$3,S784*$S$3,T784*$T$3,U784*$U$3)</f>
        <v>9.3511006922632138E-5</v>
      </c>
      <c r="AB784" s="11" cm="1">
        <f t="array" aca="1" ref="AB784" ca="1">MMULT(_xlfn.ANCHORARRAY(Q784),TRANSPOSE($Q$6:$U$6))</f>
        <v>-2.2384407669941722E-2</v>
      </c>
      <c r="AD784" s="2" t="s">
        <v>775</v>
      </c>
      <c r="AE784" s="10" cm="1">
        <f t="array" aca="1" ref="AE784:AI784" ca="1">_xlfn.LET(_xlpm.array,_xlfn.RANDARRAY(1,COLUMNS(_xlfn.ANCHORARRAY(Q783)),-1,1,FALSE),_xlpm.array/SUM(_xlpm.array))</f>
        <v>0.34015133916189932</v>
      </c>
      <c r="AF784" s="10">
        <f ca="1"/>
        <v>0.65940914024088593</v>
      </c>
      <c r="AG784" s="10">
        <f ca="1"/>
        <v>-7.2130258343226172E-2</v>
      </c>
      <c r="AH784" s="10">
        <f ca="1"/>
        <v>0.1118864363469016</v>
      </c>
      <c r="AI784" s="10">
        <f ca="1"/>
        <v>-3.9316657406460689E-2</v>
      </c>
      <c r="AJ784" s="1"/>
      <c r="AK784" s="2" cm="1">
        <f t="array" aca="1" ref="AK784" ca="1">MMULT(MMULT(_xlfn.ANCHORARRAY(AE784),$Q$9:$U$13),TRANSPOSE(_xlfn.ANCHORARRAY(AE784)))</f>
        <v>4.1141980375290635E-4</v>
      </c>
      <c r="AL784" s="2">
        <f t="shared" ca="1" si="29"/>
        <v>2.0283485986213177E-2</v>
      </c>
      <c r="AM784" s="2" cm="1">
        <f t="array" aca="1" ref="AM784" ca="1">MMULT(_xlfn.ANCHORARRAY(AE785),TRANSPOSE($Q$3:$U$3))</f>
        <v>-8.6508822692812556E-4</v>
      </c>
    </row>
    <row r="785" spans="1:39" x14ac:dyDescent="0.35">
      <c r="A785" s="3">
        <v>44967</v>
      </c>
      <c r="B785" s="4">
        <v>32.7027587890625</v>
      </c>
      <c r="C785" s="4">
        <v>150.13771057128901</v>
      </c>
      <c r="D785" s="4">
        <v>40.275588989257798</v>
      </c>
      <c r="E785" s="4">
        <v>25.031496047973601</v>
      </c>
      <c r="F785" s="4">
        <v>256.371337890625</v>
      </c>
      <c r="I785" s="5">
        <f>B785/B784-1</f>
        <v>-3.9193341268343174E-3</v>
      </c>
      <c r="J785" s="5">
        <f>C785/C784-1</f>
        <v>2.0956883425856665E-2</v>
      </c>
      <c r="K785" s="5">
        <f>D785/D784-1</f>
        <v>1.6175060005124031E-2</v>
      </c>
      <c r="L785" s="5">
        <f>E785/E784-1</f>
        <v>4.2284610121518185E-2</v>
      </c>
      <c r="M785" s="5">
        <f>F785/F784-1</f>
        <v>-1.9721110236728956E-3</v>
      </c>
      <c r="N785" s="5">
        <f>SUMPRODUCT(I785:M785,$AJ$13:$AN$13)</f>
        <v>2.7967833327551404E-2</v>
      </c>
      <c r="P785" s="2" t="s">
        <v>776</v>
      </c>
      <c r="Q785" s="10" cm="1">
        <f t="array" aca="1" ref="Q785:U785" ca="1">_xlfn.LET(_xlpm.array,_xlfn.RANDARRAY(1,COLUMNS(_xlfn.ANCHORARRAY(Q784)),0,1,FALSE),_xlpm.array/SUM(_xlpm.array))</f>
        <v>0.16141844220349466</v>
      </c>
      <c r="R785" s="2">
        <f ca="1"/>
        <v>4.9741984705650256E-2</v>
      </c>
      <c r="S785" s="2">
        <f ca="1"/>
        <v>0.30374735095205829</v>
      </c>
      <c r="T785" s="2">
        <f ca="1"/>
        <v>0.28427004264185396</v>
      </c>
      <c r="U785" s="2">
        <f ca="1"/>
        <v>0.20082217949694284</v>
      </c>
      <c r="V785" s="12"/>
      <c r="X785" s="2" cm="1">
        <f t="array" aca="1" ref="X785" ca="1">MMULT(MMULT(_xlfn.ANCHORARRAY(Q785),$Q$9:$U$13),TRANSPOSE(_xlfn.ANCHORARRAY(Q785)))</f>
        <v>3.053257254592677E-4</v>
      </c>
      <c r="Y785" s="2">
        <f t="shared" ca="1" si="28"/>
        <v>1.7473572200877179E-2</v>
      </c>
      <c r="Z785" s="2" cm="1">
        <f t="array" aca="1" ref="Z785" ca="1">MMULT(_xlfn.ANCHORARRAY(Q785),TRANSPOSE($Q$3:$U$3))</f>
        <v>1.0556645448391005E-3</v>
      </c>
      <c r="AA785" s="11">
        <f ca="1">AVEDEV(Q785*$Q$3,R785*$R$3,S785*$S$3,T785*$T$3,U785*$U$3)</f>
        <v>1.4457410363649545E-4</v>
      </c>
      <c r="AB785" s="11" cm="1">
        <f t="array" aca="1" ref="AB785" ca="1">MMULT(_xlfn.ANCHORARRAY(Q785),TRANSPOSE($Q$6:$U$6))</f>
        <v>-2.3955161150699032E-2</v>
      </c>
      <c r="AD785" s="2" t="s">
        <v>776</v>
      </c>
      <c r="AE785" s="10" cm="1">
        <f t="array" aca="1" ref="AE785:AI785" ca="1">_xlfn.LET(_xlpm.array,_xlfn.RANDARRAY(1,COLUMNS(_xlfn.ANCHORARRAY(Q784)),-1,1,FALSE),_xlpm.array/SUM(_xlpm.array))</f>
        <v>-16.546466109321869</v>
      </c>
      <c r="AF785" s="10">
        <f ca="1"/>
        <v>11.10823264185216</v>
      </c>
      <c r="AG785" s="10">
        <f ca="1"/>
        <v>-7.0752793812578556</v>
      </c>
      <c r="AH785" s="10">
        <f ca="1"/>
        <v>2.2874106391581708</v>
      </c>
      <c r="AI785" s="10">
        <f ca="1"/>
        <v>11.226102209569396</v>
      </c>
      <c r="AJ785" s="1"/>
      <c r="AK785" s="2" cm="1">
        <f t="array" aca="1" ref="AK785" ca="1">MMULT(MMULT(_xlfn.ANCHORARRAY(AE785),$Q$9:$U$13),TRANSPOSE(_xlfn.ANCHORARRAY(AE785)))</f>
        <v>0.12529580773594667</v>
      </c>
      <c r="AL785" s="2">
        <f t="shared" ca="1" si="29"/>
        <v>0.35397147870407114</v>
      </c>
      <c r="AM785" s="2" cm="1">
        <f t="array" aca="1" ref="AM785" ca="1">MMULT(_xlfn.ANCHORARRAY(AE786),TRANSPOSE($Q$3:$U$3))</f>
        <v>7.1338024196873824E-4</v>
      </c>
    </row>
    <row r="786" spans="1:39" x14ac:dyDescent="0.35">
      <c r="A786" s="3">
        <v>44970</v>
      </c>
      <c r="B786" s="4">
        <v>32.7671089172363</v>
      </c>
      <c r="C786" s="4">
        <v>149.29960632324199</v>
      </c>
      <c r="D786" s="4">
        <v>40.916679382324197</v>
      </c>
      <c r="E786" s="4">
        <v>24.819299697875898</v>
      </c>
      <c r="F786" s="4">
        <v>264.38104248046801</v>
      </c>
      <c r="I786" s="5">
        <f>B786/B785-1</f>
        <v>1.9677278173644286E-3</v>
      </c>
      <c r="J786" s="5">
        <f>C786/C785-1</f>
        <v>-5.5822367668851847E-3</v>
      </c>
      <c r="K786" s="5">
        <f>D786/D785-1</f>
        <v>1.5917591999396574E-2</v>
      </c>
      <c r="L786" s="5">
        <f>E786/E785-1</f>
        <v>-8.4771741046169025E-3</v>
      </c>
      <c r="M786" s="5">
        <f>F786/F785-1</f>
        <v>3.1242589970257084E-2</v>
      </c>
      <c r="N786" s="5">
        <f>SUMPRODUCT(I786:M786,$AJ$13:$AN$13)</f>
        <v>1.4377091059968684E-2</v>
      </c>
      <c r="P786" s="2" t="s">
        <v>777</v>
      </c>
      <c r="Q786" s="10" cm="1">
        <f t="array" aca="1" ref="Q786:U786" ca="1">_xlfn.LET(_xlpm.array,_xlfn.RANDARRAY(1,COLUMNS(_xlfn.ANCHORARRAY(Q785)),0,1,FALSE),_xlpm.array/SUM(_xlpm.array))</f>
        <v>9.9816331933546595E-2</v>
      </c>
      <c r="R786" s="2">
        <f ca="1"/>
        <v>0.27837578655073947</v>
      </c>
      <c r="S786" s="2">
        <f ca="1"/>
        <v>0.20417713247726813</v>
      </c>
      <c r="T786" s="2">
        <f ca="1"/>
        <v>0.16767442244855527</v>
      </c>
      <c r="U786" s="2">
        <f ca="1"/>
        <v>0.24995632658989059</v>
      </c>
      <c r="V786" s="12"/>
      <c r="X786" s="2" cm="1">
        <f t="array" aca="1" ref="X786" ca="1">MMULT(MMULT(_xlfn.ANCHORARRAY(Q786),$Q$9:$U$13),TRANSPOSE(_xlfn.ANCHORARRAY(Q786)))</f>
        <v>2.7426554365632573E-4</v>
      </c>
      <c r="Y786" s="2">
        <f t="shared" ca="1" si="28"/>
        <v>1.6560964454292077E-2</v>
      </c>
      <c r="Z786" s="2" cm="1">
        <f t="array" aca="1" ref="Z786" ca="1">MMULT(_xlfn.ANCHORARRAY(Q786),TRANSPOSE($Q$3:$U$3))</f>
        <v>9.4807507924906417E-4</v>
      </c>
      <c r="AA786" s="11">
        <f ca="1">AVEDEV(Q786*$Q$3,R786*$R$3,S786*$S$3,T786*$T$3,U786*$U$3)</f>
        <v>6.2879877545264637E-5</v>
      </c>
      <c r="AB786" s="11" cm="1">
        <f t="array" aca="1" ref="AB786" ca="1">MMULT(_xlfn.ANCHORARRAY(Q786),TRANSPOSE($Q$6:$U$6))</f>
        <v>-2.268530146176332E-2</v>
      </c>
      <c r="AD786" s="2" t="s">
        <v>777</v>
      </c>
      <c r="AE786" s="10" cm="1">
        <f t="array" aca="1" ref="AE786:AI786" ca="1">_xlfn.LET(_xlpm.array,_xlfn.RANDARRAY(1,COLUMNS(_xlfn.ANCHORARRAY(Q785)),-1,1,FALSE),_xlpm.array/SUM(_xlpm.array))</f>
        <v>1.0558538311147496</v>
      </c>
      <c r="AF786" s="10">
        <f ca="1"/>
        <v>-1.8530329413590572</v>
      </c>
      <c r="AG786" s="10">
        <f ca="1"/>
        <v>7.5375640617326035E-4</v>
      </c>
      <c r="AH786" s="10">
        <f ca="1"/>
        <v>0.60240934392029066</v>
      </c>
      <c r="AI786" s="10">
        <f ca="1"/>
        <v>1.1940160099178434</v>
      </c>
      <c r="AJ786" s="1"/>
      <c r="AK786" s="2" cm="1">
        <f t="array" aca="1" ref="AK786" ca="1">MMULT(MMULT(_xlfn.ANCHORARRAY(AE786),$Q$9:$U$13),TRANSPOSE(_xlfn.ANCHORARRAY(AE786)))</f>
        <v>1.2127770443664061E-3</v>
      </c>
      <c r="AL786" s="2">
        <f t="shared" ca="1" si="29"/>
        <v>3.4824948591008806E-2</v>
      </c>
      <c r="AM786" s="2" cm="1">
        <f t="array" aca="1" ref="AM786" ca="1">MMULT(_xlfn.ANCHORARRAY(AE787),TRANSPOSE($Q$3:$U$3))</f>
        <v>9.0092820457232041E-4</v>
      </c>
    </row>
    <row r="787" spans="1:39" x14ac:dyDescent="0.35">
      <c r="A787" s="3">
        <v>44971</v>
      </c>
      <c r="B787" s="4">
        <v>32.739528656005803</v>
      </c>
      <c r="C787" s="4">
        <v>150.44331359863199</v>
      </c>
      <c r="D787" s="4">
        <v>40.567844390869098</v>
      </c>
      <c r="E787" s="4">
        <v>24.62984085083</v>
      </c>
      <c r="F787" s="4">
        <v>265.20932006835898</v>
      </c>
      <c r="I787" s="5">
        <f>B787/B786-1</f>
        <v>-8.4170566589070184E-4</v>
      </c>
      <c r="J787" s="5">
        <f>C787/C786-1</f>
        <v>7.6604842005665308E-3</v>
      </c>
      <c r="K787" s="5">
        <f>D787/D786-1</f>
        <v>-8.5254961233680593E-3</v>
      </c>
      <c r="L787" s="5">
        <f>E787/E786-1</f>
        <v>-7.6335291225848589E-3</v>
      </c>
      <c r="M787" s="5">
        <f>F787/F786-1</f>
        <v>3.1328932669298926E-3</v>
      </c>
      <c r="N787" s="5">
        <f>SUMPRODUCT(I787:M787,$AJ$13:$AN$13)</f>
        <v>-6.9668160719347991E-3</v>
      </c>
      <c r="P787" s="2" t="s">
        <v>778</v>
      </c>
      <c r="Q787" s="10" cm="1">
        <f t="array" aca="1" ref="Q787:U787" ca="1">_xlfn.LET(_xlpm.array,_xlfn.RANDARRAY(1,COLUMNS(_xlfn.ANCHORARRAY(Q786)),0,1,FALSE),_xlpm.array/SUM(_xlpm.array))</f>
        <v>0.19299495423875815</v>
      </c>
      <c r="R787" s="2">
        <f ca="1"/>
        <v>0.30618586752651855</v>
      </c>
      <c r="S787" s="2">
        <f ca="1"/>
        <v>0.15156535190647227</v>
      </c>
      <c r="T787" s="2">
        <f ca="1"/>
        <v>0.32099207583767175</v>
      </c>
      <c r="U787" s="2">
        <f ca="1"/>
        <v>2.8261750490579291E-2</v>
      </c>
      <c r="V787" s="12"/>
      <c r="X787" s="2" cm="1">
        <f t="array" aca="1" ref="X787" ca="1">MMULT(MMULT(_xlfn.ANCHORARRAY(Q787),$Q$9:$U$13),TRANSPOSE(_xlfn.ANCHORARRAY(Q787)))</f>
        <v>3.3116020309880491E-4</v>
      </c>
      <c r="Y787" s="2">
        <f t="shared" ca="1" si="28"/>
        <v>1.8197807645395227E-2</v>
      </c>
      <c r="Z787" s="2" cm="1">
        <f t="array" aca="1" ref="Z787" ca="1">MMULT(_xlfn.ANCHORARRAY(Q787),TRANSPOSE($Q$3:$U$3))</f>
        <v>9.1736719674414071E-4</v>
      </c>
      <c r="AA787" s="11">
        <f ca="1">AVEDEV(Q787*$Q$3,R787*$R$3,S787*$S$3,T787*$T$3,U787*$U$3)</f>
        <v>9.8896723883151538E-5</v>
      </c>
      <c r="AB787" s="11" cm="1">
        <f t="array" aca="1" ref="AB787" ca="1">MMULT(_xlfn.ANCHORARRAY(Q787),TRANSPOSE($Q$6:$U$6))</f>
        <v>-2.3238572520149017E-2</v>
      </c>
      <c r="AD787" s="2" t="s">
        <v>778</v>
      </c>
      <c r="AE787" s="10" cm="1">
        <f t="array" aca="1" ref="AE787:AI787" ca="1">_xlfn.LET(_xlpm.array,_xlfn.RANDARRAY(1,COLUMNS(_xlfn.ANCHORARRAY(Q786)),-1,1,FALSE),_xlpm.array/SUM(_xlpm.array))</f>
        <v>1.1000877695974882</v>
      </c>
      <c r="AF787" s="10">
        <f ca="1"/>
        <v>0.17803677560686351</v>
      </c>
      <c r="AG787" s="10">
        <f ca="1"/>
        <v>0.81801263112999267</v>
      </c>
      <c r="AH787" s="10">
        <f ca="1"/>
        <v>-1.0837417695043039</v>
      </c>
      <c r="AI787" s="10">
        <f ca="1"/>
        <v>-1.2395406830040477E-2</v>
      </c>
      <c r="AJ787" s="1"/>
      <c r="AK787" s="2" cm="1">
        <f t="array" aca="1" ref="AK787" ca="1">MMULT(MMULT(_xlfn.ANCHORARRAY(AE787),$Q$9:$U$13),TRANSPOSE(_xlfn.ANCHORARRAY(AE787)))</f>
        <v>1.3713208425965827E-3</v>
      </c>
      <c r="AL787" s="2">
        <f t="shared" ca="1" si="29"/>
        <v>3.7031349456866716E-2</v>
      </c>
      <c r="AM787" s="2" cm="1">
        <f t="array" aca="1" ref="AM787" ca="1">MMULT(_xlfn.ANCHORARRAY(AE788),TRANSPOSE($Q$3:$U$3))</f>
        <v>9.9382309108388069E-4</v>
      </c>
    </row>
    <row r="788" spans="1:39" x14ac:dyDescent="0.35">
      <c r="A788" s="3">
        <v>44972</v>
      </c>
      <c r="B788" s="4">
        <v>32.684379577636697</v>
      </c>
      <c r="C788" s="4">
        <v>148.85792541503901</v>
      </c>
      <c r="D788" s="4">
        <v>40.351005554199197</v>
      </c>
      <c r="E788" s="4">
        <v>24.235759735107401</v>
      </c>
      <c r="F788" s="4">
        <v>263.08953857421801</v>
      </c>
      <c r="I788" s="5">
        <f>B788/B787-1</f>
        <v>-1.6844799126021215E-3</v>
      </c>
      <c r="J788" s="5">
        <f>C788/C787-1</f>
        <v>-1.0538109974250087E-2</v>
      </c>
      <c r="K788" s="5">
        <f>D788/D787-1</f>
        <v>-5.3450914123183146E-3</v>
      </c>
      <c r="L788" s="5">
        <f>E788/E787-1</f>
        <v>-1.6000148685870186E-2</v>
      </c>
      <c r="M788" s="5">
        <f>F788/F787-1</f>
        <v>-7.9928619914058086E-3</v>
      </c>
      <c r="N788" s="5">
        <f>SUMPRODUCT(I788:M788,$AJ$13:$AN$13)</f>
        <v>-1.2096778468977717E-2</v>
      </c>
      <c r="P788" s="2" t="s">
        <v>779</v>
      </c>
      <c r="Q788" s="10" cm="1">
        <f t="array" aca="1" ref="Q788:U788" ca="1">_xlfn.LET(_xlpm.array,_xlfn.RANDARRAY(1,COLUMNS(_xlfn.ANCHORARRAY(Q787)),0,1,FALSE),_xlpm.array/SUM(_xlpm.array))</f>
        <v>0.24975405704080214</v>
      </c>
      <c r="R788" s="2">
        <f ca="1"/>
        <v>2.9933847307394523E-2</v>
      </c>
      <c r="S788" s="2">
        <f ca="1"/>
        <v>0.25598641292602525</v>
      </c>
      <c r="T788" s="2">
        <f ca="1"/>
        <v>0.10764075386290363</v>
      </c>
      <c r="U788" s="2">
        <f ca="1"/>
        <v>0.35668492886287434</v>
      </c>
      <c r="V788" s="12"/>
      <c r="X788" s="2" cm="1">
        <f t="array" aca="1" ref="X788" ca="1">MMULT(MMULT(_xlfn.ANCHORARRAY(Q788),$Q$9:$U$13),TRANSPOSE(_xlfn.ANCHORARRAY(Q788)))</f>
        <v>2.8199779373928115E-4</v>
      </c>
      <c r="Y788" s="2">
        <f t="shared" ca="1" si="28"/>
        <v>1.6792789933161231E-2</v>
      </c>
      <c r="Z788" s="2" cm="1">
        <f t="array" aca="1" ref="Z788" ca="1">MMULT(_xlfn.ANCHORARRAY(Q788),TRANSPOSE($Q$3:$U$3))</f>
        <v>9.4729702626603106E-4</v>
      </c>
      <c r="AA788" s="11">
        <f ca="1">AVEDEV(Q788*$Q$3,R788*$R$3,S788*$S$3,T788*$T$3,U788*$U$3)</f>
        <v>1.2384606065603563E-4</v>
      </c>
      <c r="AB788" s="11" cm="1">
        <f t="array" aca="1" ref="AB788" ca="1">MMULT(_xlfn.ANCHORARRAY(Q788),TRANSPOSE($Q$6:$U$6))</f>
        <v>-2.285202626691012E-2</v>
      </c>
      <c r="AD788" s="2" t="s">
        <v>779</v>
      </c>
      <c r="AE788" s="10" cm="1">
        <f t="array" aca="1" ref="AE788:AI788" ca="1">_xlfn.LET(_xlpm.array,_xlfn.RANDARRAY(1,COLUMNS(_xlfn.ANCHORARRAY(Q787)),-1,1,FALSE),_xlpm.array/SUM(_xlpm.array))</f>
        <v>-1.2970646453843665E-3</v>
      </c>
      <c r="AF788" s="10">
        <f ca="1"/>
        <v>-6.7195301192381082E-2</v>
      </c>
      <c r="AG788" s="10">
        <f ca="1"/>
        <v>3.995184276369966E-2</v>
      </c>
      <c r="AH788" s="10">
        <f ca="1"/>
        <v>0.74771579878389838</v>
      </c>
      <c r="AI788" s="10">
        <f ca="1"/>
        <v>0.28082472429016742</v>
      </c>
      <c r="AJ788" s="1"/>
      <c r="AK788" s="2" cm="1">
        <f t="array" aca="1" ref="AK788" ca="1">MMULT(MMULT(_xlfn.ANCHORARRAY(AE788),$Q$9:$U$13),TRANSPOSE(_xlfn.ANCHORARRAY(AE788)))</f>
        <v>3.7270970690481164E-4</v>
      </c>
      <c r="AL788" s="2">
        <f t="shared" ca="1" si="29"/>
        <v>1.9305691049657136E-2</v>
      </c>
      <c r="AM788" s="2" cm="1">
        <f t="array" aca="1" ref="AM788" ca="1">MMULT(_xlfn.ANCHORARRAY(AE789),TRANSPOSE($Q$3:$U$3))</f>
        <v>8.0568525815043527E-4</v>
      </c>
    </row>
    <row r="789" spans="1:39" x14ac:dyDescent="0.35">
      <c r="A789" s="3">
        <v>44973</v>
      </c>
      <c r="B789" s="4">
        <v>32.427017211913999</v>
      </c>
      <c r="C789" s="4">
        <v>146.70886230468699</v>
      </c>
      <c r="D789" s="4">
        <v>40.275588989257798</v>
      </c>
      <c r="E789" s="4">
        <v>23.985673904418899</v>
      </c>
      <c r="F789" s="4">
        <v>256.085357666015</v>
      </c>
      <c r="I789" s="5">
        <f>B789/B788-1</f>
        <v>-7.8741701402461617E-3</v>
      </c>
      <c r="J789" s="5">
        <f>C789/C788-1</f>
        <v>-1.4437008337715995E-2</v>
      </c>
      <c r="K789" s="5">
        <f>D789/D788-1</f>
        <v>-1.8690132725466269E-3</v>
      </c>
      <c r="L789" s="5">
        <f>E789/E788-1</f>
        <v>-1.0318877288019723E-2</v>
      </c>
      <c r="M789" s="5">
        <f>F789/F788-1</f>
        <v>-2.6622802815198687E-2</v>
      </c>
      <c r="N789" s="5">
        <f>SUMPRODUCT(I789:M789,$AJ$13:$AN$13)</f>
        <v>-1.1937649763751437E-2</v>
      </c>
      <c r="P789" s="2" t="s">
        <v>780</v>
      </c>
      <c r="Q789" s="10" cm="1">
        <f t="array" aca="1" ref="Q789:U789" ca="1">_xlfn.LET(_xlpm.array,_xlfn.RANDARRAY(1,COLUMNS(_xlfn.ANCHORARRAY(Q788)),0,1,FALSE),_xlpm.array/SUM(_xlpm.array))</f>
        <v>0.38606275713337407</v>
      </c>
      <c r="R789" s="2">
        <f ca="1"/>
        <v>0.10407511254896952</v>
      </c>
      <c r="S789" s="2">
        <f ca="1"/>
        <v>0.38205604594150905</v>
      </c>
      <c r="T789" s="2">
        <f ca="1"/>
        <v>3.9196495425386751E-2</v>
      </c>
      <c r="U789" s="2">
        <f ca="1"/>
        <v>8.8609588950760598E-2</v>
      </c>
      <c r="V789" s="12"/>
      <c r="X789" s="2" cm="1">
        <f t="array" aca="1" ref="X789" ca="1">MMULT(MMULT(_xlfn.ANCHORARRAY(Q789),$Q$9:$U$13),TRANSPOSE(_xlfn.ANCHORARRAY(Q789)))</f>
        <v>3.5643132305622255E-4</v>
      </c>
      <c r="Y789" s="2">
        <f t="shared" ca="1" si="28"/>
        <v>1.8879388842232753E-2</v>
      </c>
      <c r="Z789" s="2" cm="1">
        <f t="array" aca="1" ref="Z789" ca="1">MMULT(_xlfn.ANCHORARRAY(Q789),TRANSPOSE($Q$3:$U$3))</f>
        <v>1.0004911662037281E-3</v>
      </c>
      <c r="AA789" s="11">
        <f ca="1">AVEDEV(Q789*$Q$3,R789*$R$3,S789*$S$3,T789*$T$3,U789*$U$3)</f>
        <v>1.6814443230535217E-4</v>
      </c>
      <c r="AB789" s="11" cm="1">
        <f t="array" aca="1" ref="AB789" ca="1">MMULT(_xlfn.ANCHORARRAY(Q789),TRANSPOSE($Q$6:$U$6))</f>
        <v>-2.3629138223435816E-2</v>
      </c>
      <c r="AD789" s="2" t="s">
        <v>780</v>
      </c>
      <c r="AE789" s="10" cm="1">
        <f t="array" aca="1" ref="AE789:AI789" ca="1">_xlfn.LET(_xlpm.array,_xlfn.RANDARRAY(1,COLUMNS(_xlfn.ANCHORARRAY(Q788)),-1,1,FALSE),_xlpm.array/SUM(_xlpm.array))</f>
        <v>0.14848990098627807</v>
      </c>
      <c r="AF789" s="10">
        <f ca="1"/>
        <v>0.32789021985529193</v>
      </c>
      <c r="AG789" s="10">
        <f ca="1"/>
        <v>0.12489406818034963</v>
      </c>
      <c r="AH789" s="10">
        <f ca="1"/>
        <v>-6.6276764237491001E-2</v>
      </c>
      <c r="AI789" s="10">
        <f ca="1"/>
        <v>0.46500257521557137</v>
      </c>
      <c r="AJ789" s="1"/>
      <c r="AK789" s="2" cm="1">
        <f t="array" aca="1" ref="AK789" ca="1">MMULT(MMULT(_xlfn.ANCHORARRAY(AE789),$Q$9:$U$13),TRANSPOSE(_xlfn.ANCHORARRAY(AE789)))</f>
        <v>2.5981028553677019E-4</v>
      </c>
      <c r="AL789" s="2">
        <f t="shared" ca="1" si="29"/>
        <v>1.6118631627305407E-2</v>
      </c>
      <c r="AM789" s="2" cm="1">
        <f t="array" aca="1" ref="AM789" ca="1">MMULT(_xlfn.ANCHORARRAY(AE790),TRANSPOSE($Q$3:$U$3))</f>
        <v>1.8458914721194803E-3</v>
      </c>
    </row>
    <row r="790" spans="1:39" x14ac:dyDescent="0.35">
      <c r="A790" s="3">
        <v>44974</v>
      </c>
      <c r="B790" s="4">
        <v>32.491355895996001</v>
      </c>
      <c r="C790" s="4">
        <v>143.43243408203099</v>
      </c>
      <c r="D790" s="4">
        <v>40.049320220947202</v>
      </c>
      <c r="E790" s="4">
        <v>23.2278327941894</v>
      </c>
      <c r="F790" s="4">
        <v>252.09001159667901</v>
      </c>
      <c r="I790" s="5">
        <f>B790/B789-1</f>
        <v>1.9841073775470619E-3</v>
      </c>
      <c r="J790" s="5">
        <f>C790/C789-1</f>
        <v>-2.2332858228097052E-2</v>
      </c>
      <c r="K790" s="5">
        <f>D790/D789-1</f>
        <v>-5.6180126470887215E-3</v>
      </c>
      <c r="L790" s="5">
        <f>E790/E789-1</f>
        <v>-3.1595572976162334E-2</v>
      </c>
      <c r="M790" s="5">
        <f>F790/F789-1</f>
        <v>-1.5601618560896813E-2</v>
      </c>
      <c r="N790" s="5">
        <f>SUMPRODUCT(I790:M790,$AJ$13:$AN$13)</f>
        <v>-2.2742206656321044E-2</v>
      </c>
      <c r="P790" s="2" t="s">
        <v>781</v>
      </c>
      <c r="Q790" s="10" cm="1">
        <f t="array" aca="1" ref="Q790:U790" ca="1">_xlfn.LET(_xlpm.array,_xlfn.RANDARRAY(1,COLUMNS(_xlfn.ANCHORARRAY(Q789)),0,1,FALSE),_xlpm.array/SUM(_xlpm.array))</f>
        <v>0.3029935020213344</v>
      </c>
      <c r="R790" s="2">
        <f ca="1"/>
        <v>0.14111720742030751</v>
      </c>
      <c r="S790" s="2">
        <f ca="1"/>
        <v>0.16064365321141849</v>
      </c>
      <c r="T790" s="2">
        <f ca="1"/>
        <v>0.19834700925140245</v>
      </c>
      <c r="U790" s="2">
        <f ca="1"/>
        <v>0.1968986280955371</v>
      </c>
      <c r="V790" s="12"/>
      <c r="X790" s="2" cm="1">
        <f t="array" aca="1" ref="X790" ca="1">MMULT(MMULT(_xlfn.ANCHORARRAY(Q790),$Q$9:$U$13),TRANSPOSE(_xlfn.ANCHORARRAY(Q790)))</f>
        <v>2.7574318029582211E-4</v>
      </c>
      <c r="Y790" s="2">
        <f t="shared" ca="1" si="28"/>
        <v>1.6605516562149522E-2</v>
      </c>
      <c r="Z790" s="2" cm="1">
        <f t="array" aca="1" ref="Z790" ca="1">MMULT(_xlfn.ANCHORARRAY(Q790),TRANSPOSE($Q$3:$U$3))</f>
        <v>8.7116339189992971E-4</v>
      </c>
      <c r="AA790" s="11">
        <f ca="1">AVEDEV(Q790*$Q$3,R790*$R$3,S790*$S$3,T790*$T$3,U790*$U$3)</f>
        <v>4.602190479365854E-5</v>
      </c>
      <c r="AB790" s="11" cm="1">
        <f t="array" aca="1" ref="AB790" ca="1">MMULT(_xlfn.ANCHORARRAY(Q790),TRANSPOSE($Q$6:$U$6))</f>
        <v>-2.2770137948878492E-2</v>
      </c>
      <c r="AD790" s="2" t="s">
        <v>781</v>
      </c>
      <c r="AE790" s="10" cm="1">
        <f t="array" aca="1" ref="AE790:AI790" ca="1">_xlfn.LET(_xlpm.array,_xlfn.RANDARRAY(1,COLUMNS(_xlfn.ANCHORARRAY(Q789)),-1,1,FALSE),_xlpm.array/SUM(_xlpm.array))</f>
        <v>0.94117080881469062</v>
      </c>
      <c r="AF790" s="10">
        <f ca="1"/>
        <v>0.59344653551386106</v>
      </c>
      <c r="AG790" s="10">
        <f ca="1"/>
        <v>1.8291864306326608</v>
      </c>
      <c r="AH790" s="10">
        <f ca="1"/>
        <v>-0.88972497575243104</v>
      </c>
      <c r="AI790" s="10">
        <f ca="1"/>
        <v>-1.4740787992087816</v>
      </c>
      <c r="AJ790" s="1"/>
      <c r="AK790" s="2" cm="1">
        <f t="array" aca="1" ref="AK790" ca="1">MMULT(MMULT(_xlfn.ANCHORARRAY(AE790),$Q$9:$U$13),TRANSPOSE(_xlfn.ANCHORARRAY(AE790)))</f>
        <v>3.1729833842515549E-3</v>
      </c>
      <c r="AL790" s="2">
        <f t="shared" ca="1" si="29"/>
        <v>5.6329240934452109E-2</v>
      </c>
      <c r="AM790" s="2" cm="1">
        <f t="array" aca="1" ref="AM790" ca="1">MMULT(_xlfn.ANCHORARRAY(AE791),TRANSPOSE($Q$3:$U$3))</f>
        <v>-3.9007683092041304E-4</v>
      </c>
    </row>
    <row r="791" spans="1:39" x14ac:dyDescent="0.35">
      <c r="A791" s="3">
        <v>44978</v>
      </c>
      <c r="B791" s="4">
        <v>31.728477478027301</v>
      </c>
      <c r="C791" s="4">
        <v>141.80300903320301</v>
      </c>
      <c r="D791" s="4">
        <v>39.493072509765597</v>
      </c>
      <c r="E791" s="4">
        <v>23.235410690307599</v>
      </c>
      <c r="F791" s="4">
        <v>246.82469177246</v>
      </c>
      <c r="I791" s="5">
        <f>B791/B790-1</f>
        <v>-2.3479426971612205E-2</v>
      </c>
      <c r="J791" s="5">
        <f>C791/C790-1</f>
        <v>-1.1360227268374268E-2</v>
      </c>
      <c r="K791" s="5">
        <f>D791/D790-1</f>
        <v>-1.3889067482615314E-2</v>
      </c>
      <c r="L791" s="5">
        <f>E791/E790-1</f>
        <v>3.2624206422293689E-4</v>
      </c>
      <c r="M791" s="5">
        <f>F791/F790-1</f>
        <v>-2.0886665801908233E-2</v>
      </c>
      <c r="N791" s="5">
        <f>SUMPRODUCT(I791:M791,$AJ$13:$AN$13)</f>
        <v>-6.8935807264885237E-3</v>
      </c>
      <c r="P791" s="2" t="s">
        <v>782</v>
      </c>
      <c r="Q791" s="10" cm="1">
        <f t="array" aca="1" ref="Q791:U791" ca="1">_xlfn.LET(_xlpm.array,_xlfn.RANDARRAY(1,COLUMNS(_xlfn.ANCHORARRAY(Q790)),0,1,FALSE),_xlpm.array/SUM(_xlpm.array))</f>
        <v>0.58225790405099009</v>
      </c>
      <c r="R791" s="2">
        <f ca="1"/>
        <v>1.1452992106778241E-2</v>
      </c>
      <c r="S791" s="2">
        <f ca="1"/>
        <v>0.16392775486954417</v>
      </c>
      <c r="T791" s="2">
        <f ca="1"/>
        <v>4.6864822389950246E-2</v>
      </c>
      <c r="U791" s="2">
        <f ca="1"/>
        <v>0.19549652658273731</v>
      </c>
      <c r="V791" s="12"/>
      <c r="X791" s="2" cm="1">
        <f t="array" aca="1" ref="X791" ca="1">MMULT(MMULT(_xlfn.ANCHORARRAY(Q791),$Q$9:$U$13),TRANSPOSE(_xlfn.ANCHORARRAY(Q791)))</f>
        <v>3.149053527376494E-4</v>
      </c>
      <c r="Y791" s="2">
        <f t="shared" ca="1" si="28"/>
        <v>1.7745572764429143E-2</v>
      </c>
      <c r="Z791" s="2" cm="1">
        <f t="array" aca="1" ref="Z791" ca="1">MMULT(_xlfn.ANCHORARRAY(Q791),TRANSPOSE($Q$3:$U$3))</f>
        <v>7.6791678732236778E-4</v>
      </c>
      <c r="AA791" s="11">
        <f ca="1">AVEDEV(Q791*$Q$3,R791*$R$3,S791*$S$3,T791*$T$3,U791*$U$3)</f>
        <v>1.0199299215094852E-4</v>
      </c>
      <c r="AB791" s="11" cm="1">
        <f t="array" aca="1" ref="AB791" ca="1">MMULT(_xlfn.ANCHORARRAY(Q791),TRANSPOSE($Q$6:$U$6))</f>
        <v>-2.238286512453003E-2</v>
      </c>
      <c r="AD791" s="2" t="s">
        <v>782</v>
      </c>
      <c r="AE791" s="10" cm="1">
        <f t="array" aca="1" ref="AE791:AI791" ca="1">_xlfn.LET(_xlpm.array,_xlfn.RANDARRAY(1,COLUMNS(_xlfn.ANCHORARRAY(Q790)),-1,1,FALSE),_xlpm.array/SUM(_xlpm.array))</f>
        <v>1.671258240963436</v>
      </c>
      <c r="AF791" s="10">
        <f ca="1"/>
        <v>1.8852907213988468</v>
      </c>
      <c r="AG791" s="10">
        <f ca="1"/>
        <v>-0.35126489998154881</v>
      </c>
      <c r="AH791" s="10">
        <f ca="1"/>
        <v>-1.3982763406272298</v>
      </c>
      <c r="AI791" s="10">
        <f ca="1"/>
        <v>-0.8070077217535041</v>
      </c>
      <c r="AJ791" s="1"/>
      <c r="AK791" s="2" cm="1">
        <f t="array" aca="1" ref="AK791" ca="1">MMULT(MMULT(_xlfn.ANCHORARRAY(AE791),$Q$9:$U$13),TRANSPOSE(_xlfn.ANCHORARRAY(AE791)))</f>
        <v>2.2878534358023667E-3</v>
      </c>
      <c r="AL791" s="2">
        <f t="shared" ca="1" si="29"/>
        <v>4.7831510908629749E-2</v>
      </c>
      <c r="AM791" s="2" cm="1">
        <f t="array" aca="1" ref="AM791" ca="1">MMULT(_xlfn.ANCHORARRAY(AE792),TRANSPOSE($Q$3:$U$3))</f>
        <v>1.4444720991028713E-3</v>
      </c>
    </row>
    <row r="792" spans="1:39" x14ac:dyDescent="0.35">
      <c r="A792" s="3">
        <v>44979</v>
      </c>
      <c r="B792" s="4">
        <v>31.5170783996582</v>
      </c>
      <c r="C792" s="4">
        <v>141.23052978515599</v>
      </c>
      <c r="D792" s="4">
        <v>39.417655944824197</v>
      </c>
      <c r="E792" s="4">
        <v>23.197521209716701</v>
      </c>
      <c r="F792" s="4">
        <v>245.69154357910099</v>
      </c>
      <c r="I792" s="5">
        <f>B792/B791-1</f>
        <v>-6.6627552020263048E-3</v>
      </c>
      <c r="J792" s="5">
        <f>C792/C791-1</f>
        <v>-4.0371445708389242E-3</v>
      </c>
      <c r="K792" s="5">
        <f>D792/D791-1</f>
        <v>-1.9096150324275918E-3</v>
      </c>
      <c r="L792" s="5">
        <f>E792/E791-1</f>
        <v>-1.6306783252471035E-3</v>
      </c>
      <c r="M792" s="5">
        <f>F792/F791-1</f>
        <v>-4.5909029004425062E-3</v>
      </c>
      <c r="N792" s="5">
        <f>SUMPRODUCT(I792:M792,$AJ$13:$AN$13)</f>
        <v>-1.2305803917798488E-3</v>
      </c>
      <c r="P792" s="2" t="s">
        <v>783</v>
      </c>
      <c r="Q792" s="10" cm="1">
        <f t="array" aca="1" ref="Q792:U792" ca="1">_xlfn.LET(_xlpm.array,_xlfn.RANDARRAY(1,COLUMNS(_xlfn.ANCHORARRAY(Q791)),0,1,FALSE),_xlpm.array/SUM(_xlpm.array))</f>
        <v>0.31591775010463347</v>
      </c>
      <c r="R792" s="2">
        <f ca="1"/>
        <v>0.29968608379099698</v>
      </c>
      <c r="S792" s="2">
        <f ca="1"/>
        <v>6.2410642972296648E-2</v>
      </c>
      <c r="T792" s="2">
        <f ca="1"/>
        <v>0.20066759576740661</v>
      </c>
      <c r="U792" s="2">
        <f ca="1"/>
        <v>0.1213179273646663</v>
      </c>
      <c r="V792" s="12"/>
      <c r="X792" s="2" cm="1">
        <f t="array" aca="1" ref="X792" ca="1">MMULT(MMULT(_xlfn.ANCHORARRAY(Q792),$Q$9:$U$13),TRANSPOSE(_xlfn.ANCHORARRAY(Q792)))</f>
        <v>2.9565920878265445E-4</v>
      </c>
      <c r="Y792" s="2">
        <f t="shared" ca="1" si="28"/>
        <v>1.7194743638177756E-2</v>
      </c>
      <c r="Z792" s="2" cm="1">
        <f t="array" aca="1" ref="Z792" ca="1">MMULT(_xlfn.ANCHORARRAY(Q792),TRANSPOSE($Q$3:$U$3))</f>
        <v>7.7855735684134188E-4</v>
      </c>
      <c r="AA792" s="11">
        <f ca="1">AVEDEV(Q792*$Q$3,R792*$R$3,S792*$S$3,T792*$T$3,U792*$U$3)</f>
        <v>4.691101214764272E-5</v>
      </c>
      <c r="AB792" s="11" cm="1">
        <f t="array" aca="1" ref="AB792" ca="1">MMULT(_xlfn.ANCHORARRAY(Q792),TRANSPOSE($Q$6:$U$6))</f>
        <v>-2.2185635910505049E-2</v>
      </c>
      <c r="AD792" s="2" t="s">
        <v>783</v>
      </c>
      <c r="AE792" s="10" cm="1">
        <f t="array" aca="1" ref="AE792:AI792" ca="1">_xlfn.LET(_xlpm.array,_xlfn.RANDARRAY(1,COLUMNS(_xlfn.ANCHORARRAY(Q791)),-1,1,FALSE),_xlpm.array/SUM(_xlpm.array))</f>
        <v>1.2305610971754217</v>
      </c>
      <c r="AF792" s="10">
        <f ca="1"/>
        <v>-0.7210892866698777</v>
      </c>
      <c r="AG792" s="10">
        <f ca="1"/>
        <v>0.88825155904716357</v>
      </c>
      <c r="AH792" s="10">
        <f ca="1"/>
        <v>0.80732178755505279</v>
      </c>
      <c r="AI792" s="10">
        <f ca="1"/>
        <v>-1.2050451571077605</v>
      </c>
      <c r="AJ792" s="1"/>
      <c r="AK792" s="2" cm="1">
        <f t="array" aca="1" ref="AK792" ca="1">MMULT(MMULT(_xlfn.ANCHORARRAY(AE792),$Q$9:$U$13),TRANSPOSE(_xlfn.ANCHORARRAY(AE792)))</f>
        <v>1.602453288935123E-3</v>
      </c>
      <c r="AL792" s="2">
        <f t="shared" ca="1" si="29"/>
        <v>4.003065436556244E-2</v>
      </c>
      <c r="AM792" s="2" cm="1">
        <f t="array" aca="1" ref="AM792" ca="1">MMULT(_xlfn.ANCHORARRAY(AE793),TRANSPOSE($Q$3:$U$3))</f>
        <v>1.0578541701620489E-3</v>
      </c>
    </row>
    <row r="793" spans="1:39" x14ac:dyDescent="0.35">
      <c r="A793" s="3">
        <v>44980</v>
      </c>
      <c r="B793" s="4">
        <v>31.489501953125</v>
      </c>
      <c r="C793" s="4">
        <v>142.62213134765599</v>
      </c>
      <c r="D793" s="4">
        <v>39.625064849853501</v>
      </c>
      <c r="E793" s="4">
        <v>23.637069702148398</v>
      </c>
      <c r="F793" s="4">
        <v>248.87612915039</v>
      </c>
      <c r="I793" s="5">
        <f>B793/B792-1</f>
        <v>-8.7496836424716395E-4</v>
      </c>
      <c r="J793" s="5">
        <f>C793/C792-1</f>
        <v>9.8534046754406024E-3</v>
      </c>
      <c r="K793" s="5">
        <f>D793/D792-1</f>
        <v>5.2618274744604676E-3</v>
      </c>
      <c r="L793" s="5">
        <f>E793/E792-1</f>
        <v>1.8948080204689521E-2</v>
      </c>
      <c r="M793" s="5">
        <f>F793/F792-1</f>
        <v>1.2961722348672211E-2</v>
      </c>
      <c r="N793" s="5">
        <f>SUMPRODUCT(I793:M793,$AJ$13:$AN$13)</f>
        <v>1.585335171551621E-2</v>
      </c>
      <c r="P793" s="2" t="s">
        <v>784</v>
      </c>
      <c r="Q793" s="10" cm="1">
        <f t="array" aca="1" ref="Q793:U793" ca="1">_xlfn.LET(_xlpm.array,_xlfn.RANDARRAY(1,COLUMNS(_xlfn.ANCHORARRAY(Q792)),0,1,FALSE),_xlpm.array/SUM(_xlpm.array))</f>
        <v>0.29065887834604809</v>
      </c>
      <c r="R793" s="2">
        <f ca="1"/>
        <v>6.721178252797505E-2</v>
      </c>
      <c r="S793" s="2">
        <f ca="1"/>
        <v>0.16305167916720253</v>
      </c>
      <c r="T793" s="2">
        <f ca="1"/>
        <v>0.16961569985555336</v>
      </c>
      <c r="U793" s="2">
        <f ca="1"/>
        <v>0.30946196010322097</v>
      </c>
      <c r="V793" s="12"/>
      <c r="X793" s="2" cm="1">
        <f t="array" aca="1" ref="X793" ca="1">MMULT(MMULT(_xlfn.ANCHORARRAY(Q793),$Q$9:$U$13),TRANSPOSE(_xlfn.ANCHORARRAY(Q793)))</f>
        <v>2.62817718829884E-4</v>
      </c>
      <c r="Y793" s="2">
        <f t="shared" ca="1" si="28"/>
        <v>1.6211653796879701E-2</v>
      </c>
      <c r="Z793" s="2" cm="1">
        <f t="array" aca="1" ref="Z793" ca="1">MMULT(_xlfn.ANCHORARRAY(Q793),TRANSPOSE($Q$3:$U$3))</f>
        <v>8.7157847099881875E-4</v>
      </c>
      <c r="AA793" s="11">
        <f ca="1">AVEDEV(Q793*$Q$3,R793*$R$3,S793*$S$3,T793*$T$3,U793*$U$3)</f>
        <v>6.1143130527620431E-5</v>
      </c>
      <c r="AB793" s="11" cm="1">
        <f t="array" aca="1" ref="AB793" ca="1">MMULT(_xlfn.ANCHORARRAY(Q793),TRANSPOSE($Q$6:$U$6))</f>
        <v>-2.2589467139032531E-2</v>
      </c>
      <c r="AD793" s="2" t="s">
        <v>784</v>
      </c>
      <c r="AE793" s="10" cm="1">
        <f t="array" aca="1" ref="AE793:AI793" ca="1">_xlfn.LET(_xlpm.array,_xlfn.RANDARRAY(1,COLUMNS(_xlfn.ANCHORARRAY(Q792)),-1,1,FALSE),_xlpm.array/SUM(_xlpm.array))</f>
        <v>-0.40121699613345824</v>
      </c>
      <c r="AF793" s="10">
        <f ca="1"/>
        <v>0.79054486742334718</v>
      </c>
      <c r="AG793" s="10">
        <f ca="1"/>
        <v>2.6021651753724704E-2</v>
      </c>
      <c r="AH793" s="10">
        <f ca="1"/>
        <v>0.75966125826744091</v>
      </c>
      <c r="AI793" s="10">
        <f ca="1"/>
        <v>-0.17501078131105458</v>
      </c>
      <c r="AJ793" s="1"/>
      <c r="AK793" s="2" cm="1">
        <f t="array" aca="1" ref="AK793" ca="1">MMULT(MMULT(_xlfn.ANCHORARRAY(AE793),$Q$9:$U$13),TRANSPOSE(_xlfn.ANCHORARRAY(AE793)))</f>
        <v>7.8649827035946903E-4</v>
      </c>
      <c r="AL793" s="2">
        <f t="shared" ca="1" si="29"/>
        <v>2.8044576487432808E-2</v>
      </c>
      <c r="AM793" s="2" cm="1">
        <f t="array" aca="1" ref="AM793" ca="1">MMULT(_xlfn.ANCHORARRAY(AE794),TRANSPOSE($Q$3:$U$3))</f>
        <v>4.2657262648179992E-3</v>
      </c>
    </row>
    <row r="794" spans="1:39" x14ac:dyDescent="0.35">
      <c r="A794" s="3">
        <v>44981</v>
      </c>
      <c r="B794" s="4">
        <v>31.443544387817301</v>
      </c>
      <c r="C794" s="4">
        <v>143.04490661621</v>
      </c>
      <c r="D794" s="4">
        <v>39.229103088378899</v>
      </c>
      <c r="E794" s="4">
        <v>23.8113708496093</v>
      </c>
      <c r="F794" s="4">
        <v>243.454498291015</v>
      </c>
      <c r="I794" s="5">
        <f>B794/B793-1</f>
        <v>-1.4594567223105148E-3</v>
      </c>
      <c r="J794" s="5">
        <f>C794/C793-1</f>
        <v>2.9643033977906352E-3</v>
      </c>
      <c r="K794" s="5">
        <f>D794/D793-1</f>
        <v>-9.9927094876682832E-3</v>
      </c>
      <c r="L794" s="5">
        <f>E794/E793-1</f>
        <v>7.3740590376589754E-3</v>
      </c>
      <c r="M794" s="5">
        <f>F794/F793-1</f>
        <v>-2.1784455093717847E-2</v>
      </c>
      <c r="N794" s="5">
        <f>SUMPRODUCT(I794:M794,$AJ$13:$AN$13)</f>
        <v>-8.7093837442642746E-3</v>
      </c>
      <c r="P794" s="2" t="s">
        <v>785</v>
      </c>
      <c r="Q794" s="10" cm="1">
        <f t="array" aca="1" ref="Q794:U794" ca="1">_xlfn.LET(_xlpm.array,_xlfn.RANDARRAY(1,COLUMNS(_xlfn.ANCHORARRAY(Q793)),0,1,FALSE),_xlpm.array/SUM(_xlpm.array))</f>
        <v>1.2314886394719296E-2</v>
      </c>
      <c r="R794" s="2">
        <f ca="1"/>
        <v>0.11542541175629199</v>
      </c>
      <c r="S794" s="2">
        <f ca="1"/>
        <v>0.11062280724537819</v>
      </c>
      <c r="T794" s="2">
        <f ca="1"/>
        <v>0.50844416725290975</v>
      </c>
      <c r="U794" s="2">
        <f ca="1"/>
        <v>0.25319272735070081</v>
      </c>
      <c r="V794" s="12"/>
      <c r="X794" s="2" cm="1">
        <f t="array" aca="1" ref="X794" ca="1">MMULT(MMULT(_xlfn.ANCHORARRAY(Q794),$Q$9:$U$13),TRANSPOSE(_xlfn.ANCHORARRAY(Q794)))</f>
        <v>3.1031490695632716E-4</v>
      </c>
      <c r="Y794" s="2">
        <f t="shared" ref="Y794:Y857" ca="1" si="30">SQRT(X794)</f>
        <v>1.7615757348360791E-2</v>
      </c>
      <c r="Z794" s="2" cm="1">
        <f t="array" aca="1" ref="Z794" ca="1">MMULT(_xlfn.ANCHORARRAY(Q794),TRANSPOSE($Q$3:$U$3))</f>
        <v>9.8328935575857086E-4</v>
      </c>
      <c r="AA794" s="11">
        <f ca="1">AVEDEV(Q794*$Q$3,R794*$R$3,S794*$S$3,T794*$T$3,U794*$U$3)</f>
        <v>1.291109592775228E-4</v>
      </c>
      <c r="AB794" s="11" cm="1">
        <f t="array" aca="1" ref="AB794" ca="1">MMULT(_xlfn.ANCHORARRAY(Q794),TRANSPOSE($Q$6:$U$6))</f>
        <v>-2.3537879990982773E-2</v>
      </c>
      <c r="AD794" s="2" t="s">
        <v>785</v>
      </c>
      <c r="AE794" s="10" cm="1">
        <f t="array" aca="1" ref="AE794:AI794" ca="1">_xlfn.LET(_xlpm.array,_xlfn.RANDARRAY(1,COLUMNS(_xlfn.ANCHORARRAY(Q793)),-1,1,FALSE),_xlpm.array/SUM(_xlpm.array))</f>
        <v>-5.2667642425373682</v>
      </c>
      <c r="AF794" s="10">
        <f ca="1"/>
        <v>-6.7457080095878856</v>
      </c>
      <c r="AG794" s="10">
        <f ca="1"/>
        <v>-0.35398888794075534</v>
      </c>
      <c r="AH794" s="10">
        <f ca="1"/>
        <v>8.6461271700246769</v>
      </c>
      <c r="AI794" s="10">
        <f ca="1"/>
        <v>4.7203339700413327</v>
      </c>
      <c r="AJ794" s="1"/>
      <c r="AK794" s="2" cm="1">
        <f t="array" aca="1" ref="AK794" ca="1">MMULT(MMULT(_xlfn.ANCHORARRAY(AE794),$Q$9:$U$13),TRANSPOSE(_xlfn.ANCHORARRAY(AE794)))</f>
        <v>3.3161674978063223E-2</v>
      </c>
      <c r="AL794" s="2">
        <f t="shared" ref="AL794:AL857" ca="1" si="31">SQRT(AK794)</f>
        <v>0.18210347327292586</v>
      </c>
      <c r="AM794" s="2" cm="1">
        <f t="array" aca="1" ref="AM794" ca="1">MMULT(_xlfn.ANCHORARRAY(AE795),TRANSPOSE($Q$3:$U$3))</f>
        <v>-1.2685015544375077E-5</v>
      </c>
    </row>
    <row r="795" spans="1:39" x14ac:dyDescent="0.35">
      <c r="A795" s="3">
        <v>44984</v>
      </c>
      <c r="B795" s="4">
        <v>31.443544387817301</v>
      </c>
      <c r="C795" s="4">
        <v>143.406005859375</v>
      </c>
      <c r="D795" s="4">
        <v>38.654006958007798</v>
      </c>
      <c r="E795" s="4">
        <v>23.576438903808501</v>
      </c>
      <c r="F795" s="4">
        <v>244.372787475585</v>
      </c>
      <c r="I795" s="5">
        <f>B795/B794-1</f>
        <v>0</v>
      </c>
      <c r="J795" s="5">
        <f>C795/C794-1</f>
        <v>2.5243767968183839E-3</v>
      </c>
      <c r="K795" s="5">
        <f>D795/D794-1</f>
        <v>-1.4659935738919994E-2</v>
      </c>
      <c r="L795" s="5">
        <f>E795/E794-1</f>
        <v>-9.8663763327450082E-3</v>
      </c>
      <c r="M795" s="5">
        <f>F795/F794-1</f>
        <v>3.7719129899678183E-3</v>
      </c>
      <c r="N795" s="5">
        <f>SUMPRODUCT(I795:M795,$AJ$13:$AN$13)</f>
        <v>-1.1065865952847028E-2</v>
      </c>
      <c r="P795" s="2" t="s">
        <v>786</v>
      </c>
      <c r="Q795" s="10" cm="1">
        <f t="array" aca="1" ref="Q795:U795" ca="1">_xlfn.LET(_xlpm.array,_xlfn.RANDARRAY(1,COLUMNS(_xlfn.ANCHORARRAY(Q794)),0,1,FALSE),_xlpm.array/SUM(_xlpm.array))</f>
        <v>0.17161004242339628</v>
      </c>
      <c r="R795" s="2">
        <f ca="1"/>
        <v>0.11073091585950132</v>
      </c>
      <c r="S795" s="2">
        <f ca="1"/>
        <v>0.27822790534751152</v>
      </c>
      <c r="T795" s="2">
        <f ca="1"/>
        <v>0.22091343115606141</v>
      </c>
      <c r="U795" s="2">
        <f ca="1"/>
        <v>0.21851770521352951</v>
      </c>
      <c r="V795" s="12"/>
      <c r="X795" s="2" cm="1">
        <f t="array" aca="1" ref="X795" ca="1">MMULT(MMULT(_xlfn.ANCHORARRAY(Q795),$Q$9:$U$13),TRANSPOSE(_xlfn.ANCHORARRAY(Q795)))</f>
        <v>2.9192068737856974E-4</v>
      </c>
      <c r="Y795" s="2">
        <f t="shared" ca="1" si="30"/>
        <v>1.7085686622976839E-2</v>
      </c>
      <c r="Z795" s="2" cm="1">
        <f t="array" aca="1" ref="Z795" ca="1">MMULT(_xlfn.ANCHORARRAY(Q795),TRANSPOSE($Q$3:$U$3))</f>
        <v>1.012745578118349E-3</v>
      </c>
      <c r="AA795" s="11">
        <f ca="1">AVEDEV(Q795*$Q$3,R795*$R$3,S795*$S$3,T795*$T$3,U795*$U$3)</f>
        <v>1.0897321879586187E-4</v>
      </c>
      <c r="AB795" s="11" cm="1">
        <f t="array" aca="1" ref="AB795" ca="1">MMULT(_xlfn.ANCHORARRAY(Q795),TRANSPOSE($Q$6:$U$6))</f>
        <v>-2.3500749647621527E-2</v>
      </c>
      <c r="AD795" s="2" t="s">
        <v>786</v>
      </c>
      <c r="AE795" s="10" cm="1">
        <f t="array" aca="1" ref="AE795:AI795" ca="1">_xlfn.LET(_xlpm.array,_xlfn.RANDARRAY(1,COLUMNS(_xlfn.ANCHORARRAY(Q794)),-1,1,FALSE),_xlpm.array/SUM(_xlpm.array))</f>
        <v>1.6761932338167373</v>
      </c>
      <c r="AF795" s="10">
        <f ca="1"/>
        <v>0.75913563012559915</v>
      </c>
      <c r="AG795" s="10">
        <f ca="1"/>
        <v>0.14923304318574881</v>
      </c>
      <c r="AH795" s="10">
        <f ca="1"/>
        <v>-1.7500583394322289</v>
      </c>
      <c r="AI795" s="10">
        <f ca="1"/>
        <v>0.16549643230414357</v>
      </c>
      <c r="AJ795" s="1"/>
      <c r="AK795" s="2" cm="1">
        <f t="array" aca="1" ref="AK795" ca="1">MMULT(MMULT(_xlfn.ANCHORARRAY(AE795),$Q$9:$U$13),TRANSPOSE(_xlfn.ANCHORARRAY(AE795)))</f>
        <v>1.8638456249313495E-3</v>
      </c>
      <c r="AL795" s="2">
        <f t="shared" ca="1" si="31"/>
        <v>4.3172278431087577E-2</v>
      </c>
      <c r="AM795" s="2" cm="1">
        <f t="array" aca="1" ref="AM795" ca="1">MMULT(_xlfn.ANCHORARRAY(AE796),TRANSPOSE($Q$3:$U$3))</f>
        <v>1.3526634039310796E-3</v>
      </c>
    </row>
    <row r="796" spans="1:39" x14ac:dyDescent="0.35">
      <c r="A796" s="3">
        <v>44985</v>
      </c>
      <c r="B796" s="4">
        <v>31.5262641906738</v>
      </c>
      <c r="C796" s="4">
        <v>141.60043334960901</v>
      </c>
      <c r="D796" s="4">
        <v>38.314598083496001</v>
      </c>
      <c r="E796" s="4">
        <v>23.121736526489201</v>
      </c>
      <c r="F796" s="4">
        <v>243.64990234375</v>
      </c>
      <c r="I796" s="5">
        <f>B796/B795-1</f>
        <v>2.6307404100585075E-3</v>
      </c>
      <c r="J796" s="5">
        <f>C796/C795-1</f>
        <v>-1.2590633836748411E-2</v>
      </c>
      <c r="K796" s="5">
        <f>D796/D795-1</f>
        <v>-8.7806905731795393E-3</v>
      </c>
      <c r="L796" s="5">
        <f>E796/E795-1</f>
        <v>-1.9286304397983067E-2</v>
      </c>
      <c r="M796" s="5">
        <f>F796/F795-1</f>
        <v>-2.958124508471438E-3</v>
      </c>
      <c r="N796" s="5">
        <f>SUMPRODUCT(I796:M796,$AJ$13:$AN$13)</f>
        <v>-1.4920019757962718E-2</v>
      </c>
      <c r="P796" s="2" t="s">
        <v>787</v>
      </c>
      <c r="Q796" s="10" cm="1">
        <f t="array" aca="1" ref="Q796:U796" ca="1">_xlfn.LET(_xlpm.array,_xlfn.RANDARRAY(1,COLUMNS(_xlfn.ANCHORARRAY(Q795)),0,1,FALSE),_xlpm.array/SUM(_xlpm.array))</f>
        <v>9.8508682386353727E-2</v>
      </c>
      <c r="R796" s="2">
        <f ca="1"/>
        <v>0.29137250969088252</v>
      </c>
      <c r="S796" s="2">
        <f ca="1"/>
        <v>0.22428293368249491</v>
      </c>
      <c r="T796" s="2">
        <f ca="1"/>
        <v>3.1363250289420275E-2</v>
      </c>
      <c r="U796" s="2">
        <f ca="1"/>
        <v>0.35447262395084855</v>
      </c>
      <c r="V796" s="12"/>
      <c r="X796" s="2" cm="1">
        <f t="array" aca="1" ref="X796" ca="1">MMULT(MMULT(_xlfn.ANCHORARRAY(Q796),$Q$9:$U$13),TRANSPOSE(_xlfn.ANCHORARRAY(Q796)))</f>
        <v>2.7049084147610431E-4</v>
      </c>
      <c r="Y796" s="2">
        <f t="shared" ca="1" si="30"/>
        <v>1.6446605773718304E-2</v>
      </c>
      <c r="Z796" s="2" cm="1">
        <f t="array" aca="1" ref="Z796" ca="1">MMULT(_xlfn.ANCHORARRAY(Q796),TRANSPOSE($Q$3:$U$3))</f>
        <v>9.3023488372873065E-4</v>
      </c>
      <c r="AA796" s="11">
        <f ca="1">AVEDEV(Q796*$Q$3,R796*$R$3,S796*$S$3,T796*$T$3,U796*$U$3)</f>
        <v>1.1599442067907564E-4</v>
      </c>
      <c r="AB796" s="11" cm="1">
        <f t="array" aca="1" ref="AB796" ca="1">MMULT(_xlfn.ANCHORARRAY(Q796),TRANSPOSE($Q$6:$U$6))</f>
        <v>-2.2144457294608851E-2</v>
      </c>
      <c r="AD796" s="2" t="s">
        <v>787</v>
      </c>
      <c r="AE796" s="10" cm="1">
        <f t="array" aca="1" ref="AE796:AI796" ca="1">_xlfn.LET(_xlpm.array,_xlfn.RANDARRAY(1,COLUMNS(_xlfn.ANCHORARRAY(Q795)),-1,1,FALSE),_xlpm.array/SUM(_xlpm.array))</f>
        <v>-0.12228167604937369</v>
      </c>
      <c r="AF796" s="10">
        <f ca="1"/>
        <v>-5.928375881785547E-2</v>
      </c>
      <c r="AG796" s="10">
        <f ca="1"/>
        <v>0.64893790182789313</v>
      </c>
      <c r="AH796" s="10">
        <f ca="1"/>
        <v>-1.2283429163326394E-2</v>
      </c>
      <c r="AI796" s="10">
        <f ca="1"/>
        <v>0.54491096220266244</v>
      </c>
      <c r="AJ796" s="1"/>
      <c r="AK796" s="2" cm="1">
        <f t="array" aca="1" ref="AK796" ca="1">MMULT(MMULT(_xlfn.ANCHORARRAY(AE796),$Q$9:$U$13),TRANSPOSE(_xlfn.ANCHORARRAY(AE796)))</f>
        <v>5.553996196262322E-4</v>
      </c>
      <c r="AL796" s="2">
        <f t="shared" ca="1" si="31"/>
        <v>2.3566917906808097E-2</v>
      </c>
      <c r="AM796" s="2" cm="1">
        <f t="array" aca="1" ref="AM796" ca="1">MMULT(_xlfn.ANCHORARRAY(AE797),TRANSPOSE($Q$3:$U$3))</f>
        <v>6.5619106782374508E-4</v>
      </c>
    </row>
    <row r="797" spans="1:39" x14ac:dyDescent="0.35">
      <c r="A797" s="3">
        <v>44986</v>
      </c>
      <c r="B797" s="4">
        <v>31.379205703735298</v>
      </c>
      <c r="C797" s="4">
        <v>142.72779846191401</v>
      </c>
      <c r="D797" s="4">
        <v>38.126041412353501</v>
      </c>
      <c r="E797" s="4">
        <v>23.386980056762599</v>
      </c>
      <c r="F797" s="4">
        <v>240.57276916503901</v>
      </c>
      <c r="I797" s="5">
        <f>B797/B796-1</f>
        <v>-4.6646340983846901E-3</v>
      </c>
      <c r="J797" s="5">
        <f>C797/C796-1</f>
        <v>7.9615936592620784E-3</v>
      </c>
      <c r="K797" s="5">
        <f>D797/D796-1</f>
        <v>-4.9212749336843276E-3</v>
      </c>
      <c r="L797" s="5">
        <f>E797/E796-1</f>
        <v>1.1471609408295391E-2</v>
      </c>
      <c r="M797" s="5">
        <f>F797/F796-1</f>
        <v>-1.2629322438100776E-2</v>
      </c>
      <c r="N797" s="5">
        <f>SUMPRODUCT(I797:M797,$AJ$13:$AN$13)</f>
        <v>-3.3272443915472513E-4</v>
      </c>
      <c r="P797" s="2" t="s">
        <v>788</v>
      </c>
      <c r="Q797" s="10" cm="1">
        <f t="array" aca="1" ref="Q797:U797" ca="1">_xlfn.LET(_xlpm.array,_xlfn.RANDARRAY(1,COLUMNS(_xlfn.ANCHORARRAY(Q796)),0,1,FALSE),_xlpm.array/SUM(_xlpm.array))</f>
        <v>2.9159808145200111E-2</v>
      </c>
      <c r="R797" s="2">
        <f ca="1"/>
        <v>0.12323655873017948</v>
      </c>
      <c r="S797" s="2">
        <f ca="1"/>
        <v>3.5687956103099099E-2</v>
      </c>
      <c r="T797" s="2">
        <f ca="1"/>
        <v>0.4430238943031139</v>
      </c>
      <c r="U797" s="2">
        <f ca="1"/>
        <v>0.3688917827184075</v>
      </c>
      <c r="V797" s="12"/>
      <c r="X797" s="2" cm="1">
        <f t="array" aca="1" ref="X797" ca="1">MMULT(MMULT(_xlfn.ANCHORARRAY(Q797),$Q$9:$U$13),TRANSPOSE(_xlfn.ANCHORARRAY(Q797)))</f>
        <v>2.8020173109505569E-4</v>
      </c>
      <c r="Y797" s="2">
        <f t="shared" ca="1" si="30"/>
        <v>1.6739227314755471E-2</v>
      </c>
      <c r="Z797" s="2" cm="1">
        <f t="array" aca="1" ref="Z797" ca="1">MMULT(_xlfn.ANCHORARRAY(Q797),TRANSPOSE($Q$3:$U$3))</f>
        <v>8.9751886530423845E-4</v>
      </c>
      <c r="AA797" s="11">
        <f ca="1">AVEDEV(Q797*$Q$3,R797*$R$3,S797*$S$3,T797*$T$3,U797*$U$3)</f>
        <v>1.5029661613601925E-4</v>
      </c>
      <c r="AB797" s="11" cm="1">
        <f t="array" aca="1" ref="AB797" ca="1">MMULT(_xlfn.ANCHORARRAY(Q797),TRANSPOSE($Q$6:$U$6))</f>
        <v>-2.2710978385951763E-2</v>
      </c>
      <c r="AD797" s="2" t="s">
        <v>788</v>
      </c>
      <c r="AE797" s="10" cm="1">
        <f t="array" aca="1" ref="AE797:AI797" ca="1">_xlfn.LET(_xlpm.array,_xlfn.RANDARRAY(1,COLUMNS(_xlfn.ANCHORARRAY(Q796)),-1,1,FALSE),_xlpm.array/SUM(_xlpm.array))</f>
        <v>0.49653488111875443</v>
      </c>
      <c r="AF797" s="10">
        <f ca="1"/>
        <v>0.60159105451356276</v>
      </c>
      <c r="AG797" s="10">
        <f ca="1"/>
        <v>0.2284701283845581</v>
      </c>
      <c r="AH797" s="10">
        <f ca="1"/>
        <v>-0.61034273578716047</v>
      </c>
      <c r="AI797" s="10">
        <f ca="1"/>
        <v>0.28374667177028506</v>
      </c>
      <c r="AJ797" s="1"/>
      <c r="AK797" s="2" cm="1">
        <f t="array" aca="1" ref="AK797" ca="1">MMULT(MMULT(_xlfn.ANCHORARRAY(AE797),$Q$9:$U$13),TRANSPOSE(_xlfn.ANCHORARRAY(AE797)))</f>
        <v>4.6209428815065386E-4</v>
      </c>
      <c r="AL797" s="2">
        <f t="shared" ca="1" si="31"/>
        <v>2.1496378489193335E-2</v>
      </c>
      <c r="AM797" s="2" cm="1">
        <f t="array" aca="1" ref="AM797" ca="1">MMULT(_xlfn.ANCHORARRAY(AE798),TRANSPOSE($Q$3:$U$3))</f>
        <v>9.1265020421399195E-4</v>
      </c>
    </row>
    <row r="798" spans="1:39" x14ac:dyDescent="0.35">
      <c r="A798" s="3">
        <v>44987</v>
      </c>
      <c r="B798" s="4">
        <v>30.981418609619102</v>
      </c>
      <c r="C798" s="4">
        <v>143.17697143554599</v>
      </c>
      <c r="D798" s="4">
        <v>37.871486663818303</v>
      </c>
      <c r="E798" s="4">
        <v>23.576438903808501</v>
      </c>
      <c r="F798" s="4">
        <v>245.30079650878901</v>
      </c>
      <c r="I798" s="5">
        <f>B798/B797-1</f>
        <v>-1.2676773844178091E-2</v>
      </c>
      <c r="J798" s="5">
        <f>C798/C797-1</f>
        <v>3.1470601976100188E-3</v>
      </c>
      <c r="K798" s="5">
        <f>D798/D797-1</f>
        <v>-6.6766634852555296E-3</v>
      </c>
      <c r="L798" s="5">
        <f>E798/E797-1</f>
        <v>8.1010394068010694E-3</v>
      </c>
      <c r="M798" s="5">
        <f>F798/F797-1</f>
        <v>1.965321079422111E-2</v>
      </c>
      <c r="N798" s="5">
        <f>SUMPRODUCT(I798:M798,$AJ$13:$AN$13)</f>
        <v>1.0437171836330019E-2</v>
      </c>
      <c r="P798" s="2" t="s">
        <v>789</v>
      </c>
      <c r="Q798" s="10" cm="1">
        <f t="array" aca="1" ref="Q798:U798" ca="1">_xlfn.LET(_xlpm.array,_xlfn.RANDARRAY(1,COLUMNS(_xlfn.ANCHORARRAY(Q797)),0,1,FALSE),_xlpm.array/SUM(_xlpm.array))</f>
        <v>6.9267386857845697E-2</v>
      </c>
      <c r="R798" s="2">
        <f ca="1"/>
        <v>0.25066520638133899</v>
      </c>
      <c r="S798" s="2">
        <f ca="1"/>
        <v>0.37107053115830441</v>
      </c>
      <c r="T798" s="2">
        <f ca="1"/>
        <v>0.28716594904402282</v>
      </c>
      <c r="U798" s="2">
        <f ca="1"/>
        <v>2.1830926558488093E-2</v>
      </c>
      <c r="V798" s="12"/>
      <c r="X798" s="2" cm="1">
        <f t="array" aca="1" ref="X798" ca="1">MMULT(MMULT(_xlfn.ANCHORARRAY(Q798),$Q$9:$U$13),TRANSPOSE(_xlfn.ANCHORARRAY(Q798)))</f>
        <v>3.6598874165608874E-4</v>
      </c>
      <c r="Y798" s="2">
        <f t="shared" ca="1" si="30"/>
        <v>1.9130832225914499E-2</v>
      </c>
      <c r="Z798" s="2" cm="1">
        <f t="array" aca="1" ref="Z798" ca="1">MMULT(_xlfn.ANCHORARRAY(Q798),TRANSPOSE($Q$3:$U$3))</f>
        <v>1.1309403602501498E-3</v>
      </c>
      <c r="AA798" s="11">
        <f ca="1">AVEDEV(Q798*$Q$3,R798*$R$3,S798*$S$3,T798*$T$3,U798*$U$3)</f>
        <v>1.7744653488502892E-4</v>
      </c>
      <c r="AB798" s="11" cm="1">
        <f t="array" aca="1" ref="AB798" ca="1">MMULT(_xlfn.ANCHORARRAY(Q798),TRANSPOSE($Q$6:$U$6))</f>
        <v>-2.4400478204355678E-2</v>
      </c>
      <c r="AD798" s="2" t="s">
        <v>789</v>
      </c>
      <c r="AE798" s="10" cm="1">
        <f t="array" aca="1" ref="AE798:AI798" ca="1">_xlfn.LET(_xlpm.array,_xlfn.RANDARRAY(1,COLUMNS(_xlfn.ANCHORARRAY(Q797)),-1,1,FALSE),_xlpm.array/SUM(_xlpm.array))</f>
        <v>8.8439878961867502E-2</v>
      </c>
      <c r="AF798" s="10">
        <f ca="1"/>
        <v>0.43739167967269832</v>
      </c>
      <c r="AG798" s="10">
        <f ca="1"/>
        <v>0.3142795715579374</v>
      </c>
      <c r="AH798" s="10">
        <f ca="1"/>
        <v>-0.32863494681948835</v>
      </c>
      <c r="AI798" s="10">
        <f ca="1"/>
        <v>0.48852381662698519</v>
      </c>
      <c r="AJ798" s="1"/>
      <c r="AK798" s="2" cm="1">
        <f t="array" aca="1" ref="AK798" ca="1">MMULT(MMULT(_xlfn.ANCHORARRAY(AE798),$Q$9:$U$13),TRANSPOSE(_xlfn.ANCHORARRAY(AE798)))</f>
        <v>3.5924207591343468E-4</v>
      </c>
      <c r="AL798" s="2">
        <f t="shared" ca="1" si="31"/>
        <v>1.8953682383996907E-2</v>
      </c>
      <c r="AM798" s="2" cm="1">
        <f t="array" aca="1" ref="AM798" ca="1">MMULT(_xlfn.ANCHORARRAY(AE799),TRANSPOSE($Q$3:$U$3))</f>
        <v>-4.6684581461183955E-3</v>
      </c>
    </row>
    <row r="799" spans="1:39" x14ac:dyDescent="0.35">
      <c r="A799" s="3">
        <v>44988</v>
      </c>
      <c r="B799" s="4">
        <v>31.601221084594702</v>
      </c>
      <c r="C799" s="4">
        <v>145.29083251953099</v>
      </c>
      <c r="D799" s="4">
        <v>37.513236999511697</v>
      </c>
      <c r="E799" s="4">
        <v>23.659801483154201</v>
      </c>
      <c r="F799" s="4">
        <v>249.38410949707</v>
      </c>
      <c r="I799" s="5">
        <f>B799/B798-1</f>
        <v>2.0005619587192269E-2</v>
      </c>
      <c r="J799" s="5">
        <f>C799/C798-1</f>
        <v>1.4763974002178104E-2</v>
      </c>
      <c r="K799" s="5">
        <f>D799/D798-1</f>
        <v>-9.4596144980194641E-3</v>
      </c>
      <c r="L799" s="5">
        <f>E799/E798-1</f>
        <v>3.5358426981197955E-3</v>
      </c>
      <c r="M799" s="5">
        <f>F799/F798-1</f>
        <v>1.6646146471581913E-2</v>
      </c>
      <c r="N799" s="5">
        <f>SUMPRODUCT(I799:M799,$AJ$13:$AN$13)</f>
        <v>-3.9822239027799047E-3</v>
      </c>
      <c r="P799" s="2" t="s">
        <v>790</v>
      </c>
      <c r="Q799" s="10" cm="1">
        <f t="array" aca="1" ref="Q799:U799" ca="1">_xlfn.LET(_xlpm.array,_xlfn.RANDARRAY(1,COLUMNS(_xlfn.ANCHORARRAY(Q798)),0,1,FALSE),_xlpm.array/SUM(_xlpm.array))</f>
        <v>3.3095129904794643E-2</v>
      </c>
      <c r="R799" s="2">
        <f ca="1"/>
        <v>0.12905021602440367</v>
      </c>
      <c r="S799" s="2">
        <f ca="1"/>
        <v>8.0975550589715603E-2</v>
      </c>
      <c r="T799" s="2">
        <f ca="1"/>
        <v>0.46070645403081112</v>
      </c>
      <c r="U799" s="2">
        <f ca="1"/>
        <v>0.29617264945027494</v>
      </c>
      <c r="V799" s="12"/>
      <c r="X799" s="2" cm="1">
        <f t="array" aca="1" ref="X799" ca="1">MMULT(MMULT(_xlfn.ANCHORARRAY(Q799),$Q$9:$U$13),TRANSPOSE(_xlfn.ANCHORARRAY(Q799)))</f>
        <v>2.9169269642571329E-4</v>
      </c>
      <c r="Y799" s="2">
        <f t="shared" ca="1" si="30"/>
        <v>1.7079013332909874E-2</v>
      </c>
      <c r="Z799" s="2" cm="1">
        <f t="array" aca="1" ref="Z799" ca="1">MMULT(_xlfn.ANCHORARRAY(Q799),TRANSPOSE($Q$3:$U$3))</f>
        <v>9.397567250066949E-4</v>
      </c>
      <c r="AA799" s="11">
        <f ca="1">AVEDEV(Q799*$Q$3,R799*$R$3,S799*$S$3,T799*$T$3,U799*$U$3)</f>
        <v>1.2851667824362672E-4</v>
      </c>
      <c r="AB799" s="11" cm="1">
        <f t="array" aca="1" ref="AB799" ca="1">MMULT(_xlfn.ANCHORARRAY(Q799),TRANSPOSE($Q$6:$U$6))</f>
        <v>-2.3126534677986858E-2</v>
      </c>
      <c r="AD799" s="2" t="s">
        <v>790</v>
      </c>
      <c r="AE799" s="10" cm="1">
        <f t="array" aca="1" ref="AE799:AI799" ca="1">_xlfn.LET(_xlpm.array,_xlfn.RANDARRAY(1,COLUMNS(_xlfn.ANCHORARRAY(Q798)),-1,1,FALSE),_xlpm.array/SUM(_xlpm.array))</f>
        <v>4.9255860749453699</v>
      </c>
      <c r="AF799" s="10">
        <f ca="1"/>
        <v>1.3659520419793683</v>
      </c>
      <c r="AG799" s="10">
        <f ca="1"/>
        <v>-5.4437024517562875</v>
      </c>
      <c r="AH799" s="10">
        <f ca="1"/>
        <v>2.1609521069375046</v>
      </c>
      <c r="AI799" s="10">
        <f ca="1"/>
        <v>-2.0087877721059555</v>
      </c>
      <c r="AJ799" s="1"/>
      <c r="AK799" s="2" cm="1">
        <f t="array" aca="1" ref="AK799" ca="1">MMULT(MMULT(_xlfn.ANCHORARRAY(AE799),$Q$9:$U$13),TRANSPOSE(_xlfn.ANCHORARRAY(AE799)))</f>
        <v>3.2412246948626634E-2</v>
      </c>
      <c r="AL799" s="2">
        <f t="shared" ca="1" si="31"/>
        <v>0.18003401608759007</v>
      </c>
      <c r="AM799" s="2" cm="1">
        <f t="array" aca="1" ref="AM799" ca="1">MMULT(_xlfn.ANCHORARRAY(AE800),TRANSPOSE($Q$3:$U$3))</f>
        <v>7.2431472536934466E-3</v>
      </c>
    </row>
    <row r="800" spans="1:39" x14ac:dyDescent="0.35">
      <c r="A800" s="3">
        <v>44991</v>
      </c>
      <c r="B800" s="4">
        <v>31.536472320556602</v>
      </c>
      <c r="C800" s="4">
        <v>146.35656738281199</v>
      </c>
      <c r="D800" s="4">
        <v>36.834434509277301</v>
      </c>
      <c r="E800" s="4">
        <v>23.485500335693299</v>
      </c>
      <c r="F800" s="4">
        <v>250.92750549316401</v>
      </c>
      <c r="I800" s="5">
        <f>B800/B799-1</f>
        <v>-2.048932345518284E-3</v>
      </c>
      <c r="J800" s="5">
        <f>C800/C799-1</f>
        <v>7.335183127522793E-3</v>
      </c>
      <c r="K800" s="5">
        <f>D800/D799-1</f>
        <v>-1.8095012441694425E-2</v>
      </c>
      <c r="L800" s="5">
        <f>E800/E799-1</f>
        <v>-7.3669742151051265E-3</v>
      </c>
      <c r="M800" s="5">
        <f>F800/F799-1</f>
        <v>6.1888305522215248E-3</v>
      </c>
      <c r="N800" s="5">
        <f>SUMPRODUCT(I800:M800,$AJ$13:$AN$13)</f>
        <v>-1.0444224663311862E-2</v>
      </c>
      <c r="P800" s="2" t="s">
        <v>791</v>
      </c>
      <c r="Q800" s="10" cm="1">
        <f t="array" aca="1" ref="Q800:U800" ca="1">_xlfn.LET(_xlpm.array,_xlfn.RANDARRAY(1,COLUMNS(_xlfn.ANCHORARRAY(Q799)),0,1,FALSE),_xlpm.array/SUM(_xlpm.array))</f>
        <v>0.39213127884696247</v>
      </c>
      <c r="R800" s="2">
        <f ca="1"/>
        <v>0.16952660835575309</v>
      </c>
      <c r="S800" s="2">
        <f ca="1"/>
        <v>4.4980260115100631E-2</v>
      </c>
      <c r="T800" s="2">
        <f ca="1"/>
        <v>0.37250431298718573</v>
      </c>
      <c r="U800" s="2">
        <f ca="1"/>
        <v>2.0857539694998123E-2</v>
      </c>
      <c r="V800" s="12"/>
      <c r="X800" s="2" cm="1">
        <f t="array" aca="1" ref="X800" ca="1">MMULT(MMULT(_xlfn.ANCHORARRAY(Q800),$Q$9:$U$13),TRANSPOSE(_xlfn.ANCHORARRAY(Q800)))</f>
        <v>3.4059177809808727E-4</v>
      </c>
      <c r="Y800" s="2">
        <f t="shared" ca="1" si="30"/>
        <v>1.8455128774898518E-2</v>
      </c>
      <c r="Z800" s="2" cm="1">
        <f t="array" aca="1" ref="Z800" ca="1">MMULT(_xlfn.ANCHORARRAY(Q800),TRANSPOSE($Q$3:$U$3))</f>
        <v>7.9265193227126118E-4</v>
      </c>
      <c r="AA800" s="11">
        <f ca="1">AVEDEV(Q800*$Q$3,R800*$R$3,S800*$S$3,T800*$T$3,U800*$U$3)</f>
        <v>1.0511810559369254E-4</v>
      </c>
      <c r="AB800" s="11" cm="1">
        <f t="array" aca="1" ref="AB800" ca="1">MMULT(_xlfn.ANCHORARRAY(Q800),TRANSPOSE($Q$6:$U$6))</f>
        <v>-2.2979895545718172E-2</v>
      </c>
      <c r="AD800" s="2" t="s">
        <v>791</v>
      </c>
      <c r="AE800" s="10" cm="1">
        <f t="array" aca="1" ref="AE800:AI800" ca="1">_xlfn.LET(_xlpm.array,_xlfn.RANDARRAY(1,COLUMNS(_xlfn.ANCHORARRAY(Q799)),-1,1,FALSE),_xlpm.array/SUM(_xlpm.array))</f>
        <v>-7.3044428310671341</v>
      </c>
      <c r="AF800" s="10">
        <f ca="1"/>
        <v>-3.148310632131774</v>
      </c>
      <c r="AG800" s="10">
        <f ca="1"/>
        <v>4.2847521003066324</v>
      </c>
      <c r="AH800" s="10">
        <f ca="1"/>
        <v>3.1690989791199002</v>
      </c>
      <c r="AI800" s="10">
        <f ca="1"/>
        <v>3.9989023837723754</v>
      </c>
      <c r="AJ800" s="1"/>
      <c r="AK800" s="2" cm="1">
        <f t="array" aca="1" ref="AK800" ca="1">MMULT(MMULT(_xlfn.ANCHORARRAY(AE800),$Q$9:$U$13),TRANSPOSE(_xlfn.ANCHORARRAY(AE800)))</f>
        <v>3.3727676566564953E-2</v>
      </c>
      <c r="AL800" s="2">
        <f t="shared" ca="1" si="31"/>
        <v>0.18365096396851543</v>
      </c>
      <c r="AM800" s="2" cm="1">
        <f t="array" aca="1" ref="AM800" ca="1">MMULT(_xlfn.ANCHORARRAY(AE801),TRANSPOSE($Q$3:$U$3))</f>
        <v>9.2994341387628516E-4</v>
      </c>
    </row>
    <row r="801" spans="1:39" x14ac:dyDescent="0.35">
      <c r="A801" s="3">
        <v>44992</v>
      </c>
      <c r="B801" s="4">
        <v>30.5281162261962</v>
      </c>
      <c r="C801" s="4">
        <v>144.47172546386699</v>
      </c>
      <c r="D801" s="4">
        <v>35.825660705566399</v>
      </c>
      <c r="E801" s="4">
        <v>22.811021804809499</v>
      </c>
      <c r="F801" s="4">
        <v>248.27047729492099</v>
      </c>
      <c r="I801" s="5">
        <f>B801/B800-1</f>
        <v>-3.197428311292505E-2</v>
      </c>
      <c r="J801" s="5">
        <f>C801/C800-1</f>
        <v>-1.2878423924872373E-2</v>
      </c>
      <c r="K801" s="5">
        <f>D801/D800-1</f>
        <v>-2.7386705324791372E-2</v>
      </c>
      <c r="L801" s="5">
        <f>E801/E800-1</f>
        <v>-2.8718933863151608E-2</v>
      </c>
      <c r="M801" s="5">
        <f>F801/F800-1</f>
        <v>-1.0588828008396223E-2</v>
      </c>
      <c r="N801" s="5">
        <f>SUMPRODUCT(I801:M801,$AJ$13:$AN$13)</f>
        <v>-2.1546462296307582E-2</v>
      </c>
      <c r="P801" s="2" t="s">
        <v>792</v>
      </c>
      <c r="Q801" s="10" cm="1">
        <f t="array" aca="1" ref="Q801:U801" ca="1">_xlfn.LET(_xlpm.array,_xlfn.RANDARRAY(1,COLUMNS(_xlfn.ANCHORARRAY(Q800)),0,1,FALSE),_xlpm.array/SUM(_xlpm.array))</f>
        <v>0.22334155008356327</v>
      </c>
      <c r="R801" s="2">
        <f ca="1"/>
        <v>7.4726571986210896E-2</v>
      </c>
      <c r="S801" s="2">
        <f ca="1"/>
        <v>0.22042901554873312</v>
      </c>
      <c r="T801" s="2">
        <f ca="1"/>
        <v>0.30193242286445593</v>
      </c>
      <c r="U801" s="2">
        <f ca="1"/>
        <v>0.1795704395170368</v>
      </c>
      <c r="V801" s="12"/>
      <c r="X801" s="2" cm="1">
        <f t="array" aca="1" ref="X801" ca="1">MMULT(MMULT(_xlfn.ANCHORARRAY(Q801),$Q$9:$U$13),TRANSPOSE(_xlfn.ANCHORARRAY(Q801)))</f>
        <v>2.9029028386215591E-4</v>
      </c>
      <c r="Y801" s="2">
        <f t="shared" ca="1" si="30"/>
        <v>1.7037907261813461E-2</v>
      </c>
      <c r="Z801" s="2" cm="1">
        <f t="array" aca="1" ref="Z801" ca="1">MMULT(_xlfn.ANCHORARRAY(Q801),TRANSPOSE($Q$3:$U$3))</f>
        <v>9.7186212785942009E-4</v>
      </c>
      <c r="AA801" s="11">
        <f ca="1">AVEDEV(Q801*$Q$3,R801*$R$3,S801*$S$3,T801*$T$3,U801*$U$3)</f>
        <v>1.1107654996247266E-4</v>
      </c>
      <c r="AB801" s="11" cm="1">
        <f t="array" aca="1" ref="AB801" ca="1">MMULT(_xlfn.ANCHORARRAY(Q801),TRANSPOSE($Q$6:$U$6))</f>
        <v>-2.3562375793423653E-2</v>
      </c>
      <c r="AD801" s="2" t="s">
        <v>792</v>
      </c>
      <c r="AE801" s="10" cm="1">
        <f t="array" aca="1" ref="AE801:AI801" ca="1">_xlfn.LET(_xlpm.array,_xlfn.RANDARRAY(1,COLUMNS(_xlfn.ANCHORARRAY(Q800)),-1,1,FALSE),_xlpm.array/SUM(_xlpm.array))</f>
        <v>0.47115936448900558</v>
      </c>
      <c r="AF801" s="10">
        <f ca="1"/>
        <v>-0.65301586491774954</v>
      </c>
      <c r="AG801" s="10">
        <f ca="1"/>
        <v>0.29043547039313544</v>
      </c>
      <c r="AH801" s="10">
        <f ca="1"/>
        <v>5.3987124365337764E-2</v>
      </c>
      <c r="AI801" s="10">
        <f ca="1"/>
        <v>0.83743390567027076</v>
      </c>
      <c r="AJ801" s="1"/>
      <c r="AK801" s="2" cm="1">
        <f t="array" aca="1" ref="AK801" ca="1">MMULT(MMULT(_xlfn.ANCHORARRAY(AE801),$Q$9:$U$13),TRANSPOSE(_xlfn.ANCHORARRAY(AE801)))</f>
        <v>5.4158980538149401E-4</v>
      </c>
      <c r="AL801" s="2">
        <f t="shared" ca="1" si="31"/>
        <v>2.3272082102413914E-2</v>
      </c>
      <c r="AM801" s="2" cm="1">
        <f t="array" aca="1" ref="AM801" ca="1">MMULT(_xlfn.ANCHORARRAY(AE802),TRANSPOSE($Q$3:$U$3))</f>
        <v>1.0424284733595664E-3</v>
      </c>
    </row>
    <row r="802" spans="1:39" x14ac:dyDescent="0.35">
      <c r="A802" s="3">
        <v>44993</v>
      </c>
      <c r="B802" s="4">
        <v>30.121076583862301</v>
      </c>
      <c r="C802" s="4">
        <v>143.55570983886699</v>
      </c>
      <c r="D802" s="4">
        <v>36.551597595214801</v>
      </c>
      <c r="E802" s="4">
        <v>22.60640335083</v>
      </c>
      <c r="F802" s="4">
        <v>247.83088684082</v>
      </c>
      <c r="I802" s="5">
        <f>B802/B801-1</f>
        <v>-1.333327085490521E-2</v>
      </c>
      <c r="J802" s="5">
        <f>C802/C801-1</f>
        <v>-6.340449122891556E-3</v>
      </c>
      <c r="K802" s="5">
        <f>D802/D801-1</f>
        <v>2.0263042616702087E-2</v>
      </c>
      <c r="L802" s="5">
        <f>E802/E801-1</f>
        <v>-8.9701573094966847E-3</v>
      </c>
      <c r="M802" s="5">
        <f>F802/F801-1</f>
        <v>-1.7706110645560047E-3</v>
      </c>
      <c r="N802" s="5">
        <f>SUMPRODUCT(I802:M802,$AJ$13:$AN$13)</f>
        <v>9.8314654352234972E-3</v>
      </c>
      <c r="P802" s="2" t="s">
        <v>793</v>
      </c>
      <c r="Q802" s="10" cm="1">
        <f t="array" aca="1" ref="Q802:U802" ca="1">_xlfn.LET(_xlpm.array,_xlfn.RANDARRAY(1,COLUMNS(_xlfn.ANCHORARRAY(Q801)),0,1,FALSE),_xlpm.array/SUM(_xlpm.array))</f>
        <v>5.7084676857575303E-2</v>
      </c>
      <c r="R802" s="2">
        <f ca="1"/>
        <v>0.21865927352862363</v>
      </c>
      <c r="S802" s="2">
        <f ca="1"/>
        <v>0.17038699360757389</v>
      </c>
      <c r="T802" s="2">
        <f ca="1"/>
        <v>0.32535537561243366</v>
      </c>
      <c r="U802" s="2">
        <f ca="1"/>
        <v>0.22851368039379341</v>
      </c>
      <c r="V802" s="12"/>
      <c r="X802" s="2" cm="1">
        <f t="array" aca="1" ref="X802" ca="1">MMULT(MMULT(_xlfn.ANCHORARRAY(Q802),$Q$9:$U$13),TRANSPOSE(_xlfn.ANCHORARRAY(Q802)))</f>
        <v>2.8587005777337872E-4</v>
      </c>
      <c r="Y802" s="2">
        <f t="shared" ca="1" si="30"/>
        <v>1.6907692266343706E-2</v>
      </c>
      <c r="Z802" s="2" cm="1">
        <f t="array" aca="1" ref="Z802" ca="1">MMULT(_xlfn.ANCHORARRAY(Q802),TRANSPOSE($Q$3:$U$3))</f>
        <v>9.7256340710699023E-4</v>
      </c>
      <c r="AA802" s="11">
        <f ca="1">AVEDEV(Q802*$Q$3,R802*$R$3,S802*$S$3,T802*$T$3,U802*$U$3)</f>
        <v>8.8028748229544557E-5</v>
      </c>
      <c r="AB802" s="11" cm="1">
        <f t="array" aca="1" ref="AB802" ca="1">MMULT(_xlfn.ANCHORARRAY(Q802),TRANSPOSE($Q$6:$U$6))</f>
        <v>-2.3150552922542332E-2</v>
      </c>
      <c r="AD802" s="2" t="s">
        <v>793</v>
      </c>
      <c r="AE802" s="10" cm="1">
        <f t="array" aca="1" ref="AE802:AI802" ca="1">_xlfn.LET(_xlpm.array,_xlfn.RANDARRAY(1,COLUMNS(_xlfn.ANCHORARRAY(Q801)),-1,1,FALSE),_xlpm.array/SUM(_xlpm.array))</f>
        <v>-0.53174912365388005</v>
      </c>
      <c r="AF802" s="10">
        <f ca="1"/>
        <v>0.87658302608340355</v>
      </c>
      <c r="AG802" s="10">
        <f ca="1"/>
        <v>-7.7448738938659268E-3</v>
      </c>
      <c r="AH802" s="10">
        <f ca="1"/>
        <v>0.69371480217751014</v>
      </c>
      <c r="AI802" s="10">
        <f ca="1"/>
        <v>-3.0803830713167685E-2</v>
      </c>
      <c r="AJ802" s="1"/>
      <c r="AK802" s="2" cm="1">
        <f t="array" aca="1" ref="AK802" ca="1">MMULT(MMULT(_xlfn.ANCHORARRAY(AE802),$Q$9:$U$13),TRANSPOSE(_xlfn.ANCHORARRAY(AE802)))</f>
        <v>7.5492286935563435E-4</v>
      </c>
      <c r="AL802" s="2">
        <f t="shared" ca="1" si="31"/>
        <v>2.747585975644137E-2</v>
      </c>
      <c r="AM802" s="2" cm="1">
        <f t="array" aca="1" ref="AM802" ca="1">MMULT(_xlfn.ANCHORARRAY(AE803),TRANSPOSE($Q$3:$U$3))</f>
        <v>1.1190179498637251E-3</v>
      </c>
    </row>
    <row r="803" spans="1:39" x14ac:dyDescent="0.35">
      <c r="A803" s="3">
        <v>44994</v>
      </c>
      <c r="B803" s="4">
        <v>28.252384185791001</v>
      </c>
      <c r="C803" s="4">
        <v>141.37142944335901</v>
      </c>
      <c r="D803" s="4">
        <v>35.6371040344238</v>
      </c>
      <c r="E803" s="4">
        <v>22.363893508911101</v>
      </c>
      <c r="F803" s="4">
        <v>246.482818603515</v>
      </c>
      <c r="I803" s="5">
        <f>B803/B802-1</f>
        <v>-6.2039362798621656E-2</v>
      </c>
      <c r="J803" s="5">
        <f>C803/C802-1</f>
        <v>-1.5215559157902625E-2</v>
      </c>
      <c r="K803" s="5">
        <f>D803/D802-1</f>
        <v>-2.501925007268968E-2</v>
      </c>
      <c r="L803" s="5">
        <f>E803/E802-1</f>
        <v>-1.0727484516460883E-2</v>
      </c>
      <c r="M803" s="5">
        <f>F803/F802-1</f>
        <v>-5.439468237753764E-3</v>
      </c>
      <c r="N803" s="5">
        <f>SUMPRODUCT(I803:M803,$AJ$13:$AN$13)</f>
        <v>-1.4152586483043572E-3</v>
      </c>
      <c r="P803" s="2" t="s">
        <v>794</v>
      </c>
      <c r="Q803" s="10" cm="1">
        <f t="array" aca="1" ref="Q803:U803" ca="1">_xlfn.LET(_xlpm.array,_xlfn.RANDARRAY(1,COLUMNS(_xlfn.ANCHORARRAY(Q802)),0,1,FALSE),_xlpm.array/SUM(_xlpm.array))</f>
        <v>5.1460450518530321E-2</v>
      </c>
      <c r="R803" s="2">
        <f ca="1"/>
        <v>0.42283107886249294</v>
      </c>
      <c r="S803" s="2">
        <f ca="1"/>
        <v>8.2233733003923282E-2</v>
      </c>
      <c r="T803" s="2">
        <f ca="1"/>
        <v>0.18046470044320737</v>
      </c>
      <c r="U803" s="2">
        <f ca="1"/>
        <v>0.26301003717184612</v>
      </c>
      <c r="V803" s="12"/>
      <c r="X803" s="2" cm="1">
        <f t="array" aca="1" ref="X803" ca="1">MMULT(MMULT(_xlfn.ANCHORARRAY(Q803),$Q$9:$U$13),TRANSPOSE(_xlfn.ANCHORARRAY(Q803)))</f>
        <v>2.7560969628026983E-4</v>
      </c>
      <c r="Y803" s="2">
        <f t="shared" ca="1" si="30"/>
        <v>1.6601496808428744E-2</v>
      </c>
      <c r="Z803" s="2" cm="1">
        <f t="array" aca="1" ref="Z803" ca="1">MMULT(_xlfn.ANCHORARRAY(Q803),TRANSPOSE($Q$3:$U$3))</f>
        <v>8.5400005170933608E-4</v>
      </c>
      <c r="AA803" s="11">
        <f ca="1">AVEDEV(Q803*$Q$3,R803*$R$3,S803*$S$3,T803*$T$3,U803*$U$3)</f>
        <v>7.2759117539091781E-5</v>
      </c>
      <c r="AB803" s="11" cm="1">
        <f t="array" aca="1" ref="AB803" ca="1">MMULT(_xlfn.ANCHORARRAY(Q803),TRANSPOSE($Q$6:$U$6))</f>
        <v>-2.1889742547632627E-2</v>
      </c>
      <c r="AD803" s="2" t="s">
        <v>794</v>
      </c>
      <c r="AE803" s="10" cm="1">
        <f t="array" aca="1" ref="AE803:AI803" ca="1">_xlfn.LET(_xlpm.array,_xlfn.RANDARRAY(1,COLUMNS(_xlfn.ANCHORARRAY(Q802)),-1,1,FALSE),_xlpm.array/SUM(_xlpm.array))</f>
        <v>0.19518310707387365</v>
      </c>
      <c r="AF803" s="10">
        <f ca="1"/>
        <v>-0.17751860196938096</v>
      </c>
      <c r="AG803" s="10">
        <f ca="1"/>
        <v>0.37615853459733528</v>
      </c>
      <c r="AH803" s="10">
        <f ca="1"/>
        <v>0.29182273023946559</v>
      </c>
      <c r="AI803" s="10">
        <f ca="1"/>
        <v>0.3143542300587065</v>
      </c>
      <c r="AJ803" s="1"/>
      <c r="AK803" s="2" cm="1">
        <f t="array" aca="1" ref="AK803" ca="1">MMULT(MMULT(_xlfn.ANCHORARRAY(AE803),$Q$9:$U$13),TRANSPOSE(_xlfn.ANCHORARRAY(AE803)))</f>
        <v>3.3707237414755712E-4</v>
      </c>
      <c r="AL803" s="2">
        <f t="shared" ca="1" si="31"/>
        <v>1.8359530880378103E-2</v>
      </c>
      <c r="AM803" s="2" cm="1">
        <f t="array" aca="1" ref="AM803" ca="1">MMULT(_xlfn.ANCHORARRAY(AE804),TRANSPOSE($Q$3:$U$3))</f>
        <v>9.8862420536773672E-4</v>
      </c>
    </row>
    <row r="804" spans="1:39" x14ac:dyDescent="0.35">
      <c r="A804" s="3">
        <v>44995</v>
      </c>
      <c r="B804" s="4">
        <v>28.002611160278299</v>
      </c>
      <c r="C804" s="4">
        <v>140.631576538085</v>
      </c>
      <c r="D804" s="4">
        <v>34.618900299072202</v>
      </c>
      <c r="E804" s="4">
        <v>22.5760898590087</v>
      </c>
      <c r="F804" s="4">
        <v>242.83908081054599</v>
      </c>
      <c r="I804" s="5">
        <f>B804/B803-1</f>
        <v>-8.840776901169356E-3</v>
      </c>
      <c r="J804" s="5">
        <f>C804/C803-1</f>
        <v>-5.2333976404365101E-3</v>
      </c>
      <c r="K804" s="5">
        <f>D804/D803-1</f>
        <v>-2.8571449980000052E-2</v>
      </c>
      <c r="L804" s="5">
        <f>E804/E803-1</f>
        <v>9.4883455786913817E-3</v>
      </c>
      <c r="M804" s="5">
        <f>F804/F803-1</f>
        <v>-1.4782928131109263E-2</v>
      </c>
      <c r="N804" s="5">
        <f>SUMPRODUCT(I804:M804,$AJ$13:$AN$13)</f>
        <v>-1.2652732280059871E-2</v>
      </c>
      <c r="P804" s="2" t="s">
        <v>795</v>
      </c>
      <c r="Q804" s="10" cm="1">
        <f t="array" aca="1" ref="Q804:U804" ca="1">_xlfn.LET(_xlpm.array,_xlfn.RANDARRAY(1,COLUMNS(_xlfn.ANCHORARRAY(Q803)),0,1,FALSE),_xlpm.array/SUM(_xlpm.array))</f>
        <v>0.32070432015007977</v>
      </c>
      <c r="R804" s="2">
        <f ca="1"/>
        <v>0.31635340249710642</v>
      </c>
      <c r="S804" s="2">
        <f ca="1"/>
        <v>8.6043770462374727E-2</v>
      </c>
      <c r="T804" s="2">
        <f ca="1"/>
        <v>2.7522999253420513E-2</v>
      </c>
      <c r="U804" s="2">
        <f ca="1"/>
        <v>0.24937550763701857</v>
      </c>
      <c r="V804" s="12"/>
      <c r="X804" s="2" cm="1">
        <f t="array" aca="1" ref="X804" ca="1">MMULT(MMULT(_xlfn.ANCHORARRAY(Q804),$Q$9:$U$13),TRANSPOSE(_xlfn.ANCHORARRAY(Q804)))</f>
        <v>2.6971026603027403E-4</v>
      </c>
      <c r="Y804" s="2">
        <f t="shared" ca="1" si="30"/>
        <v>1.6422858034771962E-2</v>
      </c>
      <c r="Z804" s="2" cm="1">
        <f t="array" aca="1" ref="Z804" ca="1">MMULT(_xlfn.ANCHORARRAY(Q804),TRANSPOSE($Q$3:$U$3))</f>
        <v>7.5259930133834572E-4</v>
      </c>
      <c r="AA804" s="11">
        <f ca="1">AVEDEV(Q804*$Q$3,R804*$R$3,S804*$S$3,T804*$T$3,U804*$U$3)</f>
        <v>5.3274641342572615E-5</v>
      </c>
      <c r="AB804" s="11" cm="1">
        <f t="array" aca="1" ref="AB804" ca="1">MMULT(_xlfn.ANCHORARRAY(Q804),TRANSPOSE($Q$6:$U$6))</f>
        <v>-2.149487906087711E-2</v>
      </c>
      <c r="AD804" s="2" t="s">
        <v>795</v>
      </c>
      <c r="AE804" s="10" cm="1">
        <f t="array" aca="1" ref="AE804:AI804" ca="1">_xlfn.LET(_xlpm.array,_xlfn.RANDARRAY(1,COLUMNS(_xlfn.ANCHORARRAY(Q803)),-1,1,FALSE),_xlpm.array/SUM(_xlpm.array))</f>
        <v>-0.43954307475054288</v>
      </c>
      <c r="AF804" s="10">
        <f ca="1"/>
        <v>0.31392275798873964</v>
      </c>
      <c r="AG804" s="10">
        <f ca="1"/>
        <v>1.7676987547117922E-2</v>
      </c>
      <c r="AH804" s="10">
        <f ca="1"/>
        <v>0.41540024105117124</v>
      </c>
      <c r="AI804" s="10">
        <f ca="1"/>
        <v>0.69254308816351406</v>
      </c>
      <c r="AJ804" s="1"/>
      <c r="AK804" s="2" cm="1">
        <f t="array" aca="1" ref="AK804" ca="1">MMULT(MMULT(_xlfn.ANCHORARRAY(AE804),$Q$9:$U$13),TRANSPOSE(_xlfn.ANCHORARRAY(AE804)))</f>
        <v>3.5393784147853152E-4</v>
      </c>
      <c r="AL804" s="2">
        <f t="shared" ca="1" si="31"/>
        <v>1.8813235805637783E-2</v>
      </c>
      <c r="AM804" s="2" cm="1">
        <f t="array" aca="1" ref="AM804" ca="1">MMULT(_xlfn.ANCHORARRAY(AE805),TRANSPOSE($Q$3:$U$3))</f>
        <v>6.614062071766785E-4</v>
      </c>
    </row>
    <row r="805" spans="1:39" x14ac:dyDescent="0.35">
      <c r="A805" s="3">
        <v>44998</v>
      </c>
      <c r="B805" s="4">
        <v>26.374441146850501</v>
      </c>
      <c r="C805" s="4">
        <v>139.78605651855401</v>
      </c>
      <c r="D805" s="4">
        <v>34.477489471435497</v>
      </c>
      <c r="E805" s="4">
        <v>21.977394104003899</v>
      </c>
      <c r="F805" s="4">
        <v>248.04577636718699</v>
      </c>
      <c r="I805" s="5">
        <f>B805/B804-1</f>
        <v>-5.8143506836153769E-2</v>
      </c>
      <c r="J805" s="5">
        <f>C805/C804-1</f>
        <v>-6.01230563110422E-3</v>
      </c>
      <c r="K805" s="5">
        <f>D805/D804-1</f>
        <v>-4.0847868191957737E-3</v>
      </c>
      <c r="L805" s="5">
        <f>E805/E804-1</f>
        <v>-2.6519018959605178E-2</v>
      </c>
      <c r="M805" s="5">
        <f>F805/F804-1</f>
        <v>2.1440929274077813E-2</v>
      </c>
      <c r="N805" s="5">
        <f>SUMPRODUCT(I805:M805,$AJ$13:$AN$13)</f>
        <v>9.6570864539409686E-3</v>
      </c>
      <c r="P805" s="2" t="s">
        <v>796</v>
      </c>
      <c r="Q805" s="10" cm="1">
        <f t="array" aca="1" ref="Q805:U805" ca="1">_xlfn.LET(_xlpm.array,_xlfn.RANDARRAY(1,COLUMNS(_xlfn.ANCHORARRAY(Q804)),0,1,FALSE),_xlpm.array/SUM(_xlpm.array))</f>
        <v>0.15595178808204915</v>
      </c>
      <c r="R805" s="2">
        <f ca="1"/>
        <v>0.15125770099081057</v>
      </c>
      <c r="S805" s="2">
        <f ca="1"/>
        <v>0.1823550444179608</v>
      </c>
      <c r="T805" s="2">
        <f ca="1"/>
        <v>0.2127192271675071</v>
      </c>
      <c r="U805" s="2">
        <f ca="1"/>
        <v>0.29771623934167241</v>
      </c>
      <c r="V805" s="12"/>
      <c r="X805" s="2" cm="1">
        <f t="array" aca="1" ref="X805" ca="1">MMULT(MMULT(_xlfn.ANCHORARRAY(Q805),$Q$9:$U$13),TRANSPOSE(_xlfn.ANCHORARRAY(Q805)))</f>
        <v>2.635636676242112E-4</v>
      </c>
      <c r="Y805" s="2">
        <f t="shared" ca="1" si="30"/>
        <v>1.623464405597521E-2</v>
      </c>
      <c r="Z805" s="2" cm="1">
        <f t="array" aca="1" ref="Z805" ca="1">MMULT(_xlfn.ANCHORARRAY(Q805),TRANSPOSE($Q$3:$U$3))</f>
        <v>9.3088793194323507E-4</v>
      </c>
      <c r="AA805" s="11">
        <f ca="1">AVEDEV(Q805*$Q$3,R805*$R$3,S805*$S$3,T805*$T$3,U805*$U$3)</f>
        <v>7.3055592789794883E-5</v>
      </c>
      <c r="AB805" s="11" cm="1">
        <f t="array" aca="1" ref="AB805" ca="1">MMULT(_xlfn.ANCHORARRAY(Q805),TRANSPOSE($Q$6:$U$6))</f>
        <v>-2.2782184158924315E-2</v>
      </c>
      <c r="AD805" s="2" t="s">
        <v>796</v>
      </c>
      <c r="AE805" s="10" cm="1">
        <f t="array" aca="1" ref="AE805:AI805" ca="1">_xlfn.LET(_xlpm.array,_xlfn.RANDARRAY(1,COLUMNS(_xlfn.ANCHORARRAY(Q804)),-1,1,FALSE),_xlpm.array/SUM(_xlpm.array))</f>
        <v>0.28998629084109623</v>
      </c>
      <c r="AF805" s="10">
        <f ca="1"/>
        <v>8.4388783850031873E-2</v>
      </c>
      <c r="AG805" s="10">
        <f ca="1"/>
        <v>-8.2574726177149532E-2</v>
      </c>
      <c r="AH805" s="10">
        <f ca="1"/>
        <v>0.17459655692239998</v>
      </c>
      <c r="AI805" s="10">
        <f ca="1"/>
        <v>0.53360309456362143</v>
      </c>
      <c r="AJ805" s="1"/>
      <c r="AK805" s="2" cm="1">
        <f t="array" aca="1" ref="AK805" ca="1">MMULT(MMULT(_xlfn.ANCHORARRAY(AE805),$Q$9:$U$13),TRANSPOSE(_xlfn.ANCHORARRAY(AE805)))</f>
        <v>2.5426618946486064E-4</v>
      </c>
      <c r="AL805" s="2">
        <f t="shared" ca="1" si="31"/>
        <v>1.5945726369935635E-2</v>
      </c>
      <c r="AM805" s="2" cm="1">
        <f t="array" aca="1" ref="AM805" ca="1">MMULT(_xlfn.ANCHORARRAY(AE806),TRANSPOSE($Q$3:$U$3))</f>
        <v>4.4200807126086716E-3</v>
      </c>
    </row>
    <row r="806" spans="1:39" x14ac:dyDescent="0.35">
      <c r="A806" s="3">
        <v>44999</v>
      </c>
      <c r="B806" s="4">
        <v>26.605716705322202</v>
      </c>
      <c r="C806" s="4">
        <v>141.59164428710901</v>
      </c>
      <c r="D806" s="4">
        <v>35.401420593261697</v>
      </c>
      <c r="E806" s="4">
        <v>21.704572677612301</v>
      </c>
      <c r="F806" s="4">
        <v>254.75688171386699</v>
      </c>
      <c r="I806" s="5">
        <f>B806/B805-1</f>
        <v>8.7689273559952152E-3</v>
      </c>
      <c r="J806" s="5">
        <f>C806/C805-1</f>
        <v>1.2916794518166741E-2</v>
      </c>
      <c r="K806" s="5">
        <f>D806/D805-1</f>
        <v>2.6798097425036582E-2</v>
      </c>
      <c r="L806" s="5">
        <f>E806/E805-1</f>
        <v>-1.2413729539567875E-2</v>
      </c>
      <c r="M806" s="5">
        <f>F806/F805-1</f>
        <v>2.7055914617733379E-2</v>
      </c>
      <c r="N806" s="5">
        <f>SUMPRODUCT(I806:M806,$AJ$13:$AN$13)</f>
        <v>1.4231291641823336E-2</v>
      </c>
      <c r="P806" s="2" t="s">
        <v>797</v>
      </c>
      <c r="Q806" s="10" cm="1">
        <f t="array" aca="1" ref="Q806:U806" ca="1">_xlfn.LET(_xlpm.array,_xlfn.RANDARRAY(1,COLUMNS(_xlfn.ANCHORARRAY(Q805)),0,1,FALSE),_xlpm.array/SUM(_xlpm.array))</f>
        <v>0.21708031996751703</v>
      </c>
      <c r="R806" s="2">
        <f ca="1"/>
        <v>0.1382138852704009</v>
      </c>
      <c r="S806" s="2">
        <f ca="1"/>
        <v>0.29204374864414079</v>
      </c>
      <c r="T806" s="2">
        <f ca="1"/>
        <v>8.8990061455577446E-2</v>
      </c>
      <c r="U806" s="2">
        <f ca="1"/>
        <v>0.26367198466236375</v>
      </c>
      <c r="V806" s="12"/>
      <c r="X806" s="2" cm="1">
        <f t="array" aca="1" ref="X806" ca="1">MMULT(MMULT(_xlfn.ANCHORARRAY(Q806),$Q$9:$U$13),TRANSPOSE(_xlfn.ANCHORARRAY(Q806)))</f>
        <v>2.9194822202035413E-4</v>
      </c>
      <c r="Y806" s="2">
        <f t="shared" ca="1" si="30"/>
        <v>1.7086492384932435E-2</v>
      </c>
      <c r="Z806" s="2" cm="1">
        <f t="array" aca="1" ref="Z806" ca="1">MMULT(_xlfn.ANCHORARRAY(Q806),TRANSPOSE($Q$3:$U$3))</f>
        <v>9.7812300279447972E-4</v>
      </c>
      <c r="AA806" s="11">
        <f ca="1">AVEDEV(Q806*$Q$3,R806*$R$3,S806*$S$3,T806*$T$3,U806*$U$3)</f>
        <v>1.1388023865052061E-4</v>
      </c>
      <c r="AB806" s="11" cm="1">
        <f t="array" aca="1" ref="AB806" ca="1">MMULT(_xlfn.ANCHORARRAY(Q806),TRANSPOSE($Q$6:$U$6))</f>
        <v>-2.3013826369341645E-2</v>
      </c>
      <c r="AD806" s="2" t="s">
        <v>797</v>
      </c>
      <c r="AE806" s="10" cm="1">
        <f t="array" aca="1" ref="AE806:AI806" ca="1">_xlfn.LET(_xlpm.array,_xlfn.RANDARRAY(1,COLUMNS(_xlfn.ANCHORARRAY(Q805)),-1,1,FALSE),_xlpm.array/SUM(_xlpm.array))</f>
        <v>-3.7213639236935694</v>
      </c>
      <c r="AF806" s="10">
        <f ca="1"/>
        <v>-1.4417830883841476</v>
      </c>
      <c r="AG806" s="10">
        <f ca="1"/>
        <v>2.9989361818284701</v>
      </c>
      <c r="AH806" s="10">
        <f ca="1"/>
        <v>0.28766906445401358</v>
      </c>
      <c r="AI806" s="10">
        <f ca="1"/>
        <v>2.876541765795233</v>
      </c>
      <c r="AJ806" s="1"/>
      <c r="AK806" s="2" cm="1">
        <f t="array" aca="1" ref="AK806" ca="1">MMULT(MMULT(_xlfn.ANCHORARRAY(AE806),$Q$9:$U$13),TRANSPOSE(_xlfn.ANCHORARRAY(AE806)))</f>
        <v>1.3081804008829667E-2</v>
      </c>
      <c r="AL806" s="2">
        <f t="shared" ca="1" si="31"/>
        <v>0.11437571424401977</v>
      </c>
      <c r="AM806" s="2" cm="1">
        <f t="array" aca="1" ref="AM806" ca="1">MMULT(_xlfn.ANCHORARRAY(AE807),TRANSPOSE($Q$3:$U$3))</f>
        <v>1.2148545373322967E-3</v>
      </c>
    </row>
    <row r="807" spans="1:39" x14ac:dyDescent="0.35">
      <c r="A807" s="3">
        <v>45000</v>
      </c>
      <c r="B807" s="4">
        <v>26.355939865112301</v>
      </c>
      <c r="C807" s="4">
        <v>135.461502075195</v>
      </c>
      <c r="D807" s="4">
        <v>35.363697052001903</v>
      </c>
      <c r="E807" s="4">
        <v>20.719377517700099</v>
      </c>
      <c r="F807" s="4">
        <v>259.29928588867102</v>
      </c>
      <c r="I807" s="5">
        <f>B807/B806-1</f>
        <v>-9.388089145515699E-3</v>
      </c>
      <c r="J807" s="5">
        <f>C807/C806-1</f>
        <v>-4.3294519551476895E-2</v>
      </c>
      <c r="K807" s="5">
        <f>D807/D806-1</f>
        <v>-1.0655939967272321E-3</v>
      </c>
      <c r="L807" s="5">
        <f>E807/E806-1</f>
        <v>-4.5391133681632168E-2</v>
      </c>
      <c r="M807" s="5">
        <f>F807/F806-1</f>
        <v>1.7830349250018918E-2</v>
      </c>
      <c r="N807" s="5">
        <f>SUMPRODUCT(I807:M807,$AJ$13:$AN$13)</f>
        <v>-1.1674407569046152E-2</v>
      </c>
      <c r="P807" s="2" t="s">
        <v>798</v>
      </c>
      <c r="Q807" s="10" cm="1">
        <f t="array" aca="1" ref="Q807:U807" ca="1">_xlfn.LET(_xlpm.array,_xlfn.RANDARRAY(1,COLUMNS(_xlfn.ANCHORARRAY(Q806)),0,1,FALSE),_xlpm.array/SUM(_xlpm.array))</f>
        <v>0.23276452550758814</v>
      </c>
      <c r="R807" s="2">
        <f ca="1"/>
        <v>0.24960966155256178</v>
      </c>
      <c r="S807" s="2">
        <f ca="1"/>
        <v>0.24853277733484364</v>
      </c>
      <c r="T807" s="2">
        <f ca="1"/>
        <v>0.14908742477491821</v>
      </c>
      <c r="U807" s="2">
        <f ca="1"/>
        <v>0.12000561083008837</v>
      </c>
      <c r="V807" s="12"/>
      <c r="X807" s="2" cm="1">
        <f t="array" aca="1" ref="X807" ca="1">MMULT(MMULT(_xlfn.ANCHORARRAY(Q807),$Q$9:$U$13),TRANSPOSE(_xlfn.ANCHORARRAY(Q807)))</f>
        <v>3.0051626724199429E-4</v>
      </c>
      <c r="Y807" s="2">
        <f t="shared" ca="1" si="30"/>
        <v>1.7335405020996605E-2</v>
      </c>
      <c r="Z807" s="2" cm="1">
        <f t="array" aca="1" ref="Z807" ca="1">MMULT(_xlfn.ANCHORARRAY(Q807),TRANSPOSE($Q$3:$U$3))</f>
        <v>9.4829085723257623E-4</v>
      </c>
      <c r="AA807" s="11">
        <f ca="1">AVEDEV(Q807*$Q$3,R807*$R$3,S807*$S$3,T807*$T$3,U807*$U$3)</f>
        <v>8.5583700441562468E-5</v>
      </c>
      <c r="AB807" s="11" cm="1">
        <f t="array" aca="1" ref="AB807" ca="1">MMULT(_xlfn.ANCHORARRAY(Q807),TRANSPOSE($Q$6:$U$6))</f>
        <v>-2.3086341806516978E-2</v>
      </c>
      <c r="AD807" s="2" t="s">
        <v>798</v>
      </c>
      <c r="AE807" s="10" cm="1">
        <f t="array" aca="1" ref="AE807:AI807" ca="1">_xlfn.LET(_xlpm.array,_xlfn.RANDARRAY(1,COLUMNS(_xlfn.ANCHORARRAY(Q806)),-1,1,FALSE),_xlpm.array/SUM(_xlpm.array))</f>
        <v>-0.46141942194552793</v>
      </c>
      <c r="AF807" s="10">
        <f ca="1"/>
        <v>0.49464176390311315</v>
      </c>
      <c r="AG807" s="10">
        <f ca="1"/>
        <v>0.3621579942807035</v>
      </c>
      <c r="AH807" s="10">
        <f ca="1"/>
        <v>0.14632921954225786</v>
      </c>
      <c r="AI807" s="10">
        <f ca="1"/>
        <v>0.45829044421945336</v>
      </c>
      <c r="AJ807" s="1"/>
      <c r="AK807" s="2" cm="1">
        <f t="array" aca="1" ref="AK807" ca="1">MMULT(MMULT(_xlfn.ANCHORARRAY(AE807),$Q$9:$U$13),TRANSPOSE(_xlfn.ANCHORARRAY(AE807)))</f>
        <v>3.9479234691544845E-4</v>
      </c>
      <c r="AL807" s="2">
        <f t="shared" ca="1" si="31"/>
        <v>1.9869382147300114E-2</v>
      </c>
      <c r="AM807" s="2" cm="1">
        <f t="array" aca="1" ref="AM807" ca="1">MMULT(_xlfn.ANCHORARRAY(AE808),TRANSPOSE($Q$3:$U$3))</f>
        <v>-1.58626047676474E-3</v>
      </c>
    </row>
    <row r="808" spans="1:39" x14ac:dyDescent="0.35">
      <c r="A808" s="3">
        <v>45001</v>
      </c>
      <c r="B808" s="4">
        <v>26.799989700317301</v>
      </c>
      <c r="C808" s="4">
        <v>135.89305114746</v>
      </c>
      <c r="D808" s="4">
        <v>35.872798919677699</v>
      </c>
      <c r="E808" s="4">
        <v>20.545078277587798</v>
      </c>
      <c r="F808" s="4">
        <v>269.81036376953102</v>
      </c>
      <c r="I808" s="5">
        <f>B808/B807-1</f>
        <v>1.6848188206439074E-2</v>
      </c>
      <c r="J808" s="5">
        <f>C808/C807-1</f>
        <v>3.1857691348013972E-3</v>
      </c>
      <c r="K808" s="5">
        <f>D808/D807-1</f>
        <v>1.439617206671473E-2</v>
      </c>
      <c r="L808" s="5">
        <f>E808/E807-1</f>
        <v>-8.4123782176082074E-3</v>
      </c>
      <c r="M808" s="5">
        <f>F808/F807-1</f>
        <v>4.0536470607068553E-2</v>
      </c>
      <c r="N808" s="5">
        <f>SUMPRODUCT(I808:M808,$AJ$13:$AN$13)</f>
        <v>1.2128906453320895E-2</v>
      </c>
      <c r="P808" s="2" t="s">
        <v>799</v>
      </c>
      <c r="Q808" s="10" cm="1">
        <f t="array" aca="1" ref="Q808:U808" ca="1">_xlfn.LET(_xlpm.array,_xlfn.RANDARRAY(1,COLUMNS(_xlfn.ANCHORARRAY(Q807)),0,1,FALSE),_xlpm.array/SUM(_xlpm.array))</f>
        <v>0.18738790400443006</v>
      </c>
      <c r="R808" s="2">
        <f ca="1"/>
        <v>7.6165912230509128E-2</v>
      </c>
      <c r="S808" s="2">
        <f ca="1"/>
        <v>0.27754487331130556</v>
      </c>
      <c r="T808" s="2">
        <f ca="1"/>
        <v>2.1361197652941602E-2</v>
      </c>
      <c r="U808" s="2">
        <f ca="1"/>
        <v>0.43754011280081362</v>
      </c>
      <c r="V808" s="12"/>
      <c r="X808" s="2" cm="1">
        <f t="array" aca="1" ref="X808" ca="1">MMULT(MMULT(_xlfn.ANCHORARRAY(Q808),$Q$9:$U$13),TRANSPOSE(_xlfn.ANCHORARRAY(Q808)))</f>
        <v>2.921326713235675E-4</v>
      </c>
      <c r="Y808" s="2">
        <f t="shared" ca="1" si="30"/>
        <v>1.7091889050762279E-2</v>
      </c>
      <c r="Z808" s="2" cm="1">
        <f t="array" aca="1" ref="Z808" ca="1">MMULT(_xlfn.ANCHORARRAY(Q808),TRANSPOSE($Q$3:$U$3))</f>
        <v>9.5806880230530278E-4</v>
      </c>
      <c r="AA808" s="11">
        <f ca="1">AVEDEV(Q808*$Q$3,R808*$R$3,S808*$S$3,T808*$T$3,U808*$U$3)</f>
        <v>1.6086391747661114E-4</v>
      </c>
      <c r="AB808" s="11" cm="1">
        <f t="array" aca="1" ref="AB808" ca="1">MMULT(_xlfn.ANCHORARRAY(Q808),TRANSPOSE($Q$6:$U$6))</f>
        <v>-2.2498523204672376E-2</v>
      </c>
      <c r="AD808" s="2" t="s">
        <v>799</v>
      </c>
      <c r="AE808" s="10" cm="1">
        <f t="array" aca="1" ref="AE808:AI808" ca="1">_xlfn.LET(_xlpm.array,_xlfn.RANDARRAY(1,COLUMNS(_xlfn.ANCHORARRAY(Q807)),-1,1,FALSE),_xlpm.array/SUM(_xlpm.array))</f>
        <v>3.1698626904287557</v>
      </c>
      <c r="AF808" s="10">
        <f ca="1"/>
        <v>3.5804802585645574</v>
      </c>
      <c r="AG808" s="10">
        <f ca="1"/>
        <v>1.7982824017804422</v>
      </c>
      <c r="AH808" s="10">
        <f ca="1"/>
        <v>-11.523277590088174</v>
      </c>
      <c r="AI808" s="10">
        <f ca="1"/>
        <v>3.9746522393144192</v>
      </c>
      <c r="AJ808" s="1"/>
      <c r="AK808" s="2" cm="1">
        <f t="array" aca="1" ref="AK808" ca="1">MMULT(MMULT(_xlfn.ANCHORARRAY(AE808),$Q$9:$U$13),TRANSPOSE(_xlfn.ANCHORARRAY(AE808)))</f>
        <v>5.3711564233166254E-2</v>
      </c>
      <c r="AL808" s="2">
        <f t="shared" ca="1" si="31"/>
        <v>0.23175755485672145</v>
      </c>
      <c r="AM808" s="2" cm="1">
        <f t="array" aca="1" ref="AM808" ca="1">MMULT(_xlfn.ANCHORARRAY(AE809),TRANSPOSE($Q$3:$U$3))</f>
        <v>1.2100839154027053E-3</v>
      </c>
    </row>
    <row r="809" spans="1:39" x14ac:dyDescent="0.35">
      <c r="A809" s="3">
        <v>45002</v>
      </c>
      <c r="B809" s="4">
        <v>25.736129760742099</v>
      </c>
      <c r="C809" s="4">
        <v>134.17556762695301</v>
      </c>
      <c r="D809" s="4">
        <v>35.090301513671797</v>
      </c>
      <c r="E809" s="4">
        <v>20.522340774536101</v>
      </c>
      <c r="F809" s="4">
        <v>272.96566772460898</v>
      </c>
      <c r="I809" s="5">
        <f>B809/B808-1</f>
        <v>-3.9696281657996546E-2</v>
      </c>
      <c r="J809" s="5">
        <f>C809/C808-1</f>
        <v>-1.263849406577322E-2</v>
      </c>
      <c r="K809" s="5">
        <f>D809/D808-1</f>
        <v>-2.1813112708545024E-2</v>
      </c>
      <c r="L809" s="5">
        <f>E809/E808-1</f>
        <v>-1.1067128946644633E-3</v>
      </c>
      <c r="M809" s="5">
        <f>F809/F808-1</f>
        <v>1.1694524669086492E-2</v>
      </c>
      <c r="N809" s="5">
        <f>SUMPRODUCT(I809:M809,$AJ$13:$AN$13)</f>
        <v>3.9266521701549545E-3</v>
      </c>
      <c r="P809" s="2" t="s">
        <v>800</v>
      </c>
      <c r="Q809" s="10" cm="1">
        <f t="array" aca="1" ref="Q809:U809" ca="1">_xlfn.LET(_xlpm.array,_xlfn.RANDARRAY(1,COLUMNS(_xlfn.ANCHORARRAY(Q808)),0,1,FALSE),_xlpm.array/SUM(_xlpm.array))</f>
        <v>0.17999565823513805</v>
      </c>
      <c r="R809" s="2">
        <f ca="1"/>
        <v>1.8447075034049784E-2</v>
      </c>
      <c r="S809" s="2">
        <f ca="1"/>
        <v>0.31575677564272092</v>
      </c>
      <c r="T809" s="2">
        <f ca="1"/>
        <v>2.3290465364399847E-2</v>
      </c>
      <c r="U809" s="2">
        <f ca="1"/>
        <v>0.46251002572369138</v>
      </c>
      <c r="V809" s="12"/>
      <c r="X809" s="2" cm="1">
        <f t="array" aca="1" ref="X809" ca="1">MMULT(MMULT(_xlfn.ANCHORARRAY(Q809),$Q$9:$U$13),TRANSPOSE(_xlfn.ANCHORARRAY(Q809)))</f>
        <v>3.115034749820838E-4</v>
      </c>
      <c r="Y809" s="2">
        <f t="shared" ca="1" si="30"/>
        <v>1.7649461039422245E-2</v>
      </c>
      <c r="Z809" s="2" cm="1">
        <f t="array" aca="1" ref="Z809" ca="1">MMULT(_xlfn.ANCHORARRAY(Q809),TRANSPOSE($Q$3:$U$3))</f>
        <v>9.9528863743610736E-4</v>
      </c>
      <c r="AA809" s="11">
        <f ca="1">AVEDEV(Q809*$Q$3,R809*$R$3,S809*$S$3,T809*$T$3,U809*$U$3)</f>
        <v>1.8737054072073676E-4</v>
      </c>
      <c r="AB809" s="11" cm="1">
        <f t="array" aca="1" ref="AB809" ca="1">MMULT(_xlfn.ANCHORARRAY(Q809),TRANSPOSE($Q$6:$U$6))</f>
        <v>-2.2738508774129237E-2</v>
      </c>
      <c r="AD809" s="2" t="s">
        <v>800</v>
      </c>
      <c r="AE809" s="10" cm="1">
        <f t="array" aca="1" ref="AE809:AI809" ca="1">_xlfn.LET(_xlpm.array,_xlfn.RANDARRAY(1,COLUMNS(_xlfn.ANCHORARRAY(Q808)),-1,1,FALSE),_xlpm.array/SUM(_xlpm.array))</f>
        <v>9.2194404058783319E-2</v>
      </c>
      <c r="AF809" s="10">
        <f ca="1"/>
        <v>0.42346938741929058</v>
      </c>
      <c r="AG809" s="10">
        <f ca="1"/>
        <v>0.44830866733513164</v>
      </c>
      <c r="AH809" s="10">
        <f ca="1"/>
        <v>0.38316669253896402</v>
      </c>
      <c r="AI809" s="10">
        <f ca="1"/>
        <v>-0.34713915135216966</v>
      </c>
      <c r="AJ809" s="1"/>
      <c r="AK809" s="2" cm="1">
        <f t="array" aca="1" ref="AK809" ca="1">MMULT(MMULT(_xlfn.ANCHORARRAY(AE809),$Q$9:$U$13),TRANSPOSE(_xlfn.ANCHORARRAY(AE809)))</f>
        <v>5.5734437344394426E-4</v>
      </c>
      <c r="AL809" s="2">
        <f t="shared" ca="1" si="31"/>
        <v>2.360814210063859E-2</v>
      </c>
      <c r="AM809" s="2" cm="1">
        <f t="array" aca="1" ref="AM809" ca="1">MMULT(_xlfn.ANCHORARRAY(AE810),TRANSPOSE($Q$3:$U$3))</f>
        <v>8.2974803518989738E-4</v>
      </c>
    </row>
    <row r="810" spans="1:39" x14ac:dyDescent="0.35">
      <c r="A810" s="3">
        <v>45005</v>
      </c>
      <c r="B810" s="4">
        <v>25.671369552612301</v>
      </c>
      <c r="C810" s="4">
        <v>136.14849853515599</v>
      </c>
      <c r="D810" s="4">
        <v>36.344188690185497</v>
      </c>
      <c r="E810" s="4">
        <v>20.719377517700099</v>
      </c>
      <c r="F810" s="4">
        <v>265.93218994140602</v>
      </c>
      <c r="I810" s="5">
        <f>B810/B809-1</f>
        <v>-2.5163149522420269E-3</v>
      </c>
      <c r="J810" s="5">
        <f>C810/C809-1</f>
        <v>1.4704099584570418E-2</v>
      </c>
      <c r="K810" s="5">
        <f>D810/D809-1</f>
        <v>3.5733154815588142E-2</v>
      </c>
      <c r="L810" s="5">
        <f>E810/E809-1</f>
        <v>9.6010852430867821E-3</v>
      </c>
      <c r="M810" s="5">
        <f>F810/F809-1</f>
        <v>-2.5766895308969473E-2</v>
      </c>
      <c r="N810" s="5">
        <f>SUMPRODUCT(I810:M810,$AJ$13:$AN$13)</f>
        <v>1.4730137482009411E-2</v>
      </c>
      <c r="P810" s="2" t="s">
        <v>801</v>
      </c>
      <c r="Q810" s="10" cm="1">
        <f t="array" aca="1" ref="Q810:U810" ca="1">_xlfn.LET(_xlpm.array,_xlfn.RANDARRAY(1,COLUMNS(_xlfn.ANCHORARRAY(Q809)),0,1,FALSE),_xlpm.array/SUM(_xlpm.array))</f>
        <v>7.4063584270343069E-2</v>
      </c>
      <c r="R810" s="2">
        <f ca="1"/>
        <v>0.20554770070725442</v>
      </c>
      <c r="S810" s="2">
        <f ca="1"/>
        <v>0.16555401878749404</v>
      </c>
      <c r="T810" s="2">
        <f ca="1"/>
        <v>0.3705773871036821</v>
      </c>
      <c r="U810" s="2">
        <f ca="1"/>
        <v>0.18425730913122629</v>
      </c>
      <c r="V810" s="12"/>
      <c r="X810" s="2" cm="1">
        <f t="array" aca="1" ref="X810" ca="1">MMULT(MMULT(_xlfn.ANCHORARRAY(Q810),$Q$9:$U$13),TRANSPOSE(_xlfn.ANCHORARRAY(Q810)))</f>
        <v>2.9832555428079504E-4</v>
      </c>
      <c r="Y810" s="2">
        <f t="shared" ca="1" si="30"/>
        <v>1.7272103354276081E-2</v>
      </c>
      <c r="Z810" s="2" cm="1">
        <f t="array" aca="1" ref="Z810" ca="1">MMULT(_xlfn.ANCHORARRAY(Q810),TRANSPOSE($Q$3:$U$3))</f>
        <v>9.7611946269179602E-4</v>
      </c>
      <c r="AA810" s="11">
        <f ca="1">AVEDEV(Q810*$Q$3,R810*$R$3,S810*$S$3,T810*$T$3,U810*$U$3)</f>
        <v>1.0280010997936251E-4</v>
      </c>
      <c r="AB810" s="11" cm="1">
        <f t="array" aca="1" ref="AB810" ca="1">MMULT(_xlfn.ANCHORARRAY(Q810),TRANSPOSE($Q$6:$U$6))</f>
        <v>-2.3363224255826785E-2</v>
      </c>
      <c r="AD810" s="2" t="s">
        <v>801</v>
      </c>
      <c r="AE810" s="10" cm="1">
        <f t="array" aca="1" ref="AE810:AI810" ca="1">_xlfn.LET(_xlpm.array,_xlfn.RANDARRAY(1,COLUMNS(_xlfn.ANCHORARRAY(Q809)),-1,1,FALSE),_xlpm.array/SUM(_xlpm.array))</f>
        <v>0.34959387170603518</v>
      </c>
      <c r="AF810" s="10">
        <f ca="1"/>
        <v>0.34939107262751362</v>
      </c>
      <c r="AG810" s="10">
        <f ca="1"/>
        <v>0.10938681066486927</v>
      </c>
      <c r="AH810" s="10">
        <f ca="1"/>
        <v>0.28320789887013315</v>
      </c>
      <c r="AI810" s="10">
        <f ca="1"/>
        <v>-9.1579653868551117E-2</v>
      </c>
      <c r="AJ810" s="1"/>
      <c r="AK810" s="2" cm="1">
        <f t="array" aca="1" ref="AK810" ca="1">MMULT(MMULT(_xlfn.ANCHORARRAY(AE810),$Q$9:$U$13),TRANSPOSE(_xlfn.ANCHORARRAY(AE810)))</f>
        <v>3.7370001751685014E-4</v>
      </c>
      <c r="AL810" s="2">
        <f t="shared" ca="1" si="31"/>
        <v>1.9331322187497939E-2</v>
      </c>
      <c r="AM810" s="2" cm="1">
        <f t="array" aca="1" ref="AM810" ca="1">MMULT(_xlfn.ANCHORARRAY(AE811),TRANSPOSE($Q$3:$U$3))</f>
        <v>-9.7617633906549646</v>
      </c>
    </row>
    <row r="811" spans="1:39" x14ac:dyDescent="0.35">
      <c r="A811" s="3">
        <v>45006</v>
      </c>
      <c r="B811" s="4">
        <v>26.448450088500898</v>
      </c>
      <c r="C811" s="4">
        <v>140.31449890136699</v>
      </c>
      <c r="D811" s="4">
        <v>36.909862518310497</v>
      </c>
      <c r="E811" s="4">
        <v>21.1589260101318</v>
      </c>
      <c r="F811" s="4">
        <v>267.44631958007801</v>
      </c>
      <c r="I811" s="5">
        <f>B811/B810-1</f>
        <v>3.0270318624645576E-2</v>
      </c>
      <c r="J811" s="5">
        <f>C811/C810-1</f>
        <v>3.0598944615869206E-2</v>
      </c>
      <c r="K811" s="5">
        <f>D811/D810-1</f>
        <v>1.5564354261614177E-2</v>
      </c>
      <c r="L811" s="5">
        <f>E811/E810-1</f>
        <v>2.1214367664096345E-2</v>
      </c>
      <c r="M811" s="5">
        <f>F811/F810-1</f>
        <v>5.6936681452726123E-3</v>
      </c>
      <c r="N811" s="5">
        <f>SUMPRODUCT(I811:M811,$AJ$13:$AN$13)</f>
        <v>1.0161376911468982E-2</v>
      </c>
      <c r="P811" s="2" t="s">
        <v>802</v>
      </c>
      <c r="Q811" s="10" cm="1">
        <f t="array" aca="1" ref="Q811:U811" ca="1">_xlfn.LET(_xlpm.array,_xlfn.RANDARRAY(1,COLUMNS(_xlfn.ANCHORARRAY(Q810)),0,1,FALSE),_xlpm.array/SUM(_xlpm.array))</f>
        <v>0.25533255060825299</v>
      </c>
      <c r="R811" s="2">
        <f ca="1"/>
        <v>0.35009896642416422</v>
      </c>
      <c r="S811" s="2">
        <f ca="1"/>
        <v>0.23169316314278007</v>
      </c>
      <c r="T811" s="2">
        <f ca="1"/>
        <v>5.6956451938384001E-2</v>
      </c>
      <c r="U811" s="2">
        <f ca="1"/>
        <v>0.10591886788641873</v>
      </c>
      <c r="V811" s="12"/>
      <c r="X811" s="2" cm="1">
        <f t="array" aca="1" ref="X811" ca="1">MMULT(MMULT(_xlfn.ANCHORARRAY(Q811),$Q$9:$U$13),TRANSPOSE(_xlfn.ANCHORARRAY(Q811)))</f>
        <v>3.0491714750001067E-4</v>
      </c>
      <c r="Y811" s="2">
        <f t="shared" ca="1" si="30"/>
        <v>1.7461876975285638E-2</v>
      </c>
      <c r="Z811" s="2" cm="1">
        <f t="array" aca="1" ref="Z811" ca="1">MMULT(_xlfn.ANCHORARRAY(Q811),TRANSPOSE($Q$3:$U$3))</f>
        <v>9.0089776038592426E-4</v>
      </c>
      <c r="AA811" s="11">
        <f ca="1">AVEDEV(Q811*$Q$3,R811*$R$3,S811*$S$3,T811*$T$3,U811*$U$3)</f>
        <v>1.0862668332348769E-4</v>
      </c>
      <c r="AB811" s="11" cm="1">
        <f t="array" aca="1" ref="AB811" ca="1">MMULT(_xlfn.ANCHORARRAY(Q811),TRANSPOSE($Q$6:$U$6))</f>
        <v>-2.2584881489066542E-2</v>
      </c>
      <c r="AD811" s="2" t="s">
        <v>802</v>
      </c>
      <c r="AE811" s="10" cm="1">
        <f t="array" aca="1" ref="AE811:AI811" ca="1">_xlfn.LET(_xlpm.array,_xlfn.RANDARRAY(1,COLUMNS(_xlfn.ANCHORARRAY(Q810)),-1,1,FALSE),_xlpm.array/SUM(_xlpm.array))</f>
        <v>15948.279900492362</v>
      </c>
      <c r="AF811" s="10">
        <f ca="1"/>
        <v>-201.80311116368736</v>
      </c>
      <c r="AG811" s="10">
        <f ca="1"/>
        <v>-5634.554209050918</v>
      </c>
      <c r="AH811" s="10">
        <f ca="1"/>
        <v>-3256.5172996837464</v>
      </c>
      <c r="AI811" s="10">
        <f ca="1"/>
        <v>-6854.4052805940109</v>
      </c>
      <c r="AJ811" s="1"/>
      <c r="AK811" s="2" cm="1">
        <f t="array" aca="1" ref="AK811" ca="1">MMULT(MMULT(_xlfn.ANCHORARRAY(AE811),$Q$9:$U$13),TRANSPOSE(_xlfn.ANCHORARRAY(AE811)))</f>
        <v>94023.57814826176</v>
      </c>
      <c r="AL811" s="2">
        <f t="shared" ca="1" si="31"/>
        <v>306.63264364425027</v>
      </c>
      <c r="AM811" s="2" cm="1">
        <f t="array" aca="1" ref="AM811" ca="1">MMULT(_xlfn.ANCHORARRAY(AE812),TRANSPOSE($Q$3:$U$3))</f>
        <v>1.2531962204060429E-3</v>
      </c>
    </row>
    <row r="812" spans="1:39" x14ac:dyDescent="0.35">
      <c r="A812" s="3">
        <v>45007</v>
      </c>
      <c r="B812" s="4">
        <v>25.569606781005799</v>
      </c>
      <c r="C812" s="4">
        <v>137.46086120605401</v>
      </c>
      <c r="D812" s="4">
        <v>35.901081085205</v>
      </c>
      <c r="E812" s="4">
        <v>20.848211288452099</v>
      </c>
      <c r="F812" s="4">
        <v>265.99084472656199</v>
      </c>
      <c r="I812" s="5">
        <f>B812/B811-1</f>
        <v>-3.3228537194215368E-2</v>
      </c>
      <c r="J812" s="5">
        <f>C812/C811-1</f>
        <v>-2.0337439948518221E-2</v>
      </c>
      <c r="K812" s="5">
        <f>D812/D811-1</f>
        <v>-2.7330945288811415E-2</v>
      </c>
      <c r="L812" s="5">
        <f>E812/E811-1</f>
        <v>-1.4684805907961396E-2</v>
      </c>
      <c r="M812" s="5">
        <f>F812/F811-1</f>
        <v>-5.442119584226468E-3</v>
      </c>
      <c r="N812" s="5">
        <f>SUMPRODUCT(I812:M812,$AJ$13:$AN$13)</f>
        <v>-1.2633538040004316E-2</v>
      </c>
      <c r="P812" s="2" t="s">
        <v>803</v>
      </c>
      <c r="Q812" s="10" cm="1">
        <f t="array" aca="1" ref="Q812:U812" ca="1">_xlfn.LET(_xlpm.array,_xlfn.RANDARRAY(1,COLUMNS(_xlfn.ANCHORARRAY(Q811)),0,1,FALSE),_xlpm.array/SUM(_xlpm.array))</f>
        <v>2.4005355150339022E-2</v>
      </c>
      <c r="R812" s="2">
        <f ca="1"/>
        <v>4.7775842365912438E-2</v>
      </c>
      <c r="S812" s="2">
        <f ca="1"/>
        <v>0.39857365715784543</v>
      </c>
      <c r="T812" s="2">
        <f ca="1"/>
        <v>0.24864844601790384</v>
      </c>
      <c r="U812" s="2">
        <f ca="1"/>
        <v>0.28099669930799925</v>
      </c>
      <c r="V812" s="12"/>
      <c r="X812" s="2" cm="1">
        <f t="array" aca="1" ref="X812" ca="1">MMULT(MMULT(_xlfn.ANCHORARRAY(Q812),$Q$9:$U$13),TRANSPOSE(_xlfn.ANCHORARRAY(Q812)))</f>
        <v>3.3563580574128715E-4</v>
      </c>
      <c r="Y812" s="2">
        <f t="shared" ca="1" si="30"/>
        <v>1.8320365873565055E-2</v>
      </c>
      <c r="Z812" s="2" cm="1">
        <f t="array" aca="1" ref="Z812" ca="1">MMULT(_xlfn.ANCHORARRAY(Q812),TRANSPOSE($Q$3:$U$3))</f>
        <v>1.1633172540843097E-3</v>
      </c>
      <c r="AA812" s="11">
        <f ca="1">AVEDEV(Q812*$Q$3,R812*$R$3,S812*$S$3,T812*$T$3,U812*$U$3)</f>
        <v>1.7439221471573542E-4</v>
      </c>
      <c r="AB812" s="11" cm="1">
        <f t="array" aca="1" ref="AB812" ca="1">MMULT(_xlfn.ANCHORARRAY(Q812),TRANSPOSE($Q$6:$U$6))</f>
        <v>-2.4237482897668035E-2</v>
      </c>
      <c r="AD812" s="2" t="s">
        <v>803</v>
      </c>
      <c r="AE812" s="10" cm="1">
        <f t="array" aca="1" ref="AE812:AI812" ca="1">_xlfn.LET(_xlpm.array,_xlfn.RANDARRAY(1,COLUMNS(_xlfn.ANCHORARRAY(Q811)),-1,1,FALSE),_xlpm.array/SUM(_xlpm.array))</f>
        <v>-2.4738312231830605E-2</v>
      </c>
      <c r="AF812" s="10">
        <f ca="1"/>
        <v>-0.81586740906159527</v>
      </c>
      <c r="AG812" s="10">
        <f ca="1"/>
        <v>0.65608116129184912</v>
      </c>
      <c r="AH812" s="10">
        <f ca="1"/>
        <v>-0.42808620087378246</v>
      </c>
      <c r="AI812" s="10">
        <f ca="1"/>
        <v>1.6126107608753593</v>
      </c>
      <c r="AJ812" s="1"/>
      <c r="AK812" s="2" cm="1">
        <f t="array" aca="1" ref="AK812" ca="1">MMULT(MMULT(_xlfn.ANCHORARRAY(AE812),$Q$9:$U$13),TRANSPOSE(_xlfn.ANCHORARRAY(AE812)))</f>
        <v>1.6282976783445272E-3</v>
      </c>
      <c r="AL812" s="2">
        <f t="shared" ca="1" si="31"/>
        <v>4.0352170676984989E-2</v>
      </c>
      <c r="AM812" s="2" cm="1">
        <f t="array" aca="1" ref="AM812" ca="1">MMULT(_xlfn.ANCHORARRAY(AE813),TRANSPOSE($Q$3:$U$3))</f>
        <v>1.0298012312670328E-3</v>
      </c>
    </row>
    <row r="813" spans="1:39" x14ac:dyDescent="0.35">
      <c r="A813" s="3">
        <v>45008</v>
      </c>
      <c r="B813" s="4">
        <v>24.949794769287099</v>
      </c>
      <c r="C813" s="4">
        <v>136.09564208984301</v>
      </c>
      <c r="D813" s="4">
        <v>35.655956268310497</v>
      </c>
      <c r="E813" s="4">
        <v>20.8027439117431</v>
      </c>
      <c r="F813" s="4">
        <v>271.23666381835898</v>
      </c>
      <c r="I813" s="5">
        <f>B813/B812-1</f>
        <v>-2.424018550723761E-2</v>
      </c>
      <c r="J813" s="5">
        <f>C813/C812-1</f>
        <v>-9.9316933142483688E-3</v>
      </c>
      <c r="K813" s="5">
        <f>D813/D812-1</f>
        <v>-6.8277837180652501E-3</v>
      </c>
      <c r="L813" s="5">
        <f>E813/E812-1</f>
        <v>-2.1808766267724655E-3</v>
      </c>
      <c r="M813" s="5">
        <f>F813/F812-1</f>
        <v>1.9721803196608878E-2</v>
      </c>
      <c r="N813" s="5">
        <f>SUMPRODUCT(I813:M813,$AJ$13:$AN$13)</f>
        <v>9.3498840252030056E-3</v>
      </c>
      <c r="P813" s="2" t="s">
        <v>804</v>
      </c>
      <c r="Q813" s="10" cm="1">
        <f t="array" aca="1" ref="Q813:U813" ca="1">_xlfn.LET(_xlpm.array,_xlfn.RANDARRAY(1,COLUMNS(_xlfn.ANCHORARRAY(Q812)),0,1,FALSE),_xlpm.array/SUM(_xlpm.array))</f>
        <v>0.44591536583431762</v>
      </c>
      <c r="R813" s="2">
        <f ca="1"/>
        <v>0.15699271178127125</v>
      </c>
      <c r="S813" s="2">
        <f ca="1"/>
        <v>6.7619549375558516E-2</v>
      </c>
      <c r="T813" s="2">
        <f ca="1"/>
        <v>0.16779813985583314</v>
      </c>
      <c r="U813" s="2">
        <f ca="1"/>
        <v>0.16167423315301951</v>
      </c>
      <c r="V813" s="12"/>
      <c r="X813" s="2" cm="1">
        <f t="array" aca="1" ref="X813" ca="1">MMULT(MMULT(_xlfn.ANCHORARRAY(Q813),$Q$9:$U$13),TRANSPOSE(_xlfn.ANCHORARRAY(Q813)))</f>
        <v>2.8879473547102429E-4</v>
      </c>
      <c r="Y813" s="2">
        <f t="shared" ca="1" si="30"/>
        <v>1.6993961735599628E-2</v>
      </c>
      <c r="Z813" s="2" cm="1">
        <f t="array" aca="1" ref="Z813" ca="1">MMULT(_xlfn.ANCHORARRAY(Q813),TRANSPOSE($Q$3:$U$3))</f>
        <v>7.4617382834970376E-4</v>
      </c>
      <c r="AA813" s="11">
        <f ca="1">AVEDEV(Q813*$Q$3,R813*$R$3,S813*$S$3,T813*$T$3,U813*$U$3)</f>
        <v>3.9836293387470218E-5</v>
      </c>
      <c r="AB813" s="11" cm="1">
        <f t="array" aca="1" ref="AB813" ca="1">MMULT(_xlfn.ANCHORARRAY(Q813),TRANSPOSE($Q$6:$U$6))</f>
        <v>-2.2182049725220844E-2</v>
      </c>
      <c r="AD813" s="2" t="s">
        <v>804</v>
      </c>
      <c r="AE813" s="10" cm="1">
        <f t="array" aca="1" ref="AE813:AI813" ca="1">_xlfn.LET(_xlpm.array,_xlfn.RANDARRAY(1,COLUMNS(_xlfn.ANCHORARRAY(Q812)),-1,1,FALSE),_xlpm.array/SUM(_xlpm.array))</f>
        <v>-0.26129087393097</v>
      </c>
      <c r="AF813" s="10">
        <f ca="1"/>
        <v>0.20747052385957399</v>
      </c>
      <c r="AG813" s="10">
        <f ca="1"/>
        <v>7.5528332435276666E-2</v>
      </c>
      <c r="AH813" s="10">
        <f ca="1"/>
        <v>0.5459884624499598</v>
      </c>
      <c r="AI813" s="10">
        <f ca="1"/>
        <v>0.43230355518615954</v>
      </c>
      <c r="AJ813" s="1"/>
      <c r="AK813" s="2" cm="1">
        <f t="array" aca="1" ref="AK813" ca="1">MMULT(MMULT(_xlfn.ANCHORARRAY(AE813),$Q$9:$U$13),TRANSPOSE(_xlfn.ANCHORARRAY(AE813)))</f>
        <v>3.4077908147874453E-4</v>
      </c>
      <c r="AL813" s="2">
        <f t="shared" ca="1" si="31"/>
        <v>1.8460202639157149E-2</v>
      </c>
      <c r="AM813" s="2" cm="1">
        <f t="array" aca="1" ref="AM813" ca="1">MMULT(_xlfn.ANCHORARRAY(AE814),TRANSPOSE($Q$3:$U$3))</f>
        <v>7.0283619031217322E-4</v>
      </c>
    </row>
    <row r="814" spans="1:39" x14ac:dyDescent="0.35">
      <c r="A814" s="3">
        <v>45009</v>
      </c>
      <c r="B814" s="4">
        <v>25.107063293456999</v>
      </c>
      <c r="C814" s="4">
        <v>137.45201110839801</v>
      </c>
      <c r="D814" s="4">
        <v>35.241138458251903</v>
      </c>
      <c r="E814" s="4">
        <v>20.507183074951101</v>
      </c>
      <c r="F814" s="4">
        <v>274.07922363281199</v>
      </c>
      <c r="I814" s="5">
        <f>B814/B813-1</f>
        <v>6.3033995118668695E-3</v>
      </c>
      <c r="J814" s="5">
        <f>C814/C813-1</f>
        <v>9.9662928050230359E-3</v>
      </c>
      <c r="K814" s="5">
        <f>D814/D813-1</f>
        <v>-1.1633899451107044E-2</v>
      </c>
      <c r="L814" s="5">
        <f>E814/E813-1</f>
        <v>-1.4207781341054493E-2</v>
      </c>
      <c r="M814" s="5">
        <f>F814/F813-1</f>
        <v>1.0479998442823435E-2</v>
      </c>
      <c r="N814" s="5">
        <f>SUMPRODUCT(I814:M814,$AJ$13:$AN$13)</f>
        <v>-1.1344869654859804E-2</v>
      </c>
      <c r="P814" s="2" t="s">
        <v>805</v>
      </c>
      <c r="Q814" s="10" cm="1">
        <f t="array" aca="1" ref="Q814:U814" ca="1">_xlfn.LET(_xlpm.array,_xlfn.RANDARRAY(1,COLUMNS(_xlfn.ANCHORARRAY(Q813)),0,1,FALSE),_xlpm.array/SUM(_xlpm.array))</f>
        <v>6.4016752727566767E-2</v>
      </c>
      <c r="R814" s="2">
        <f ca="1"/>
        <v>5.2891762758701659E-2</v>
      </c>
      <c r="S814" s="2">
        <f ca="1"/>
        <v>0.31301364496376066</v>
      </c>
      <c r="T814" s="2">
        <f ca="1"/>
        <v>0.22886995084494602</v>
      </c>
      <c r="U814" s="2">
        <f ca="1"/>
        <v>0.34120788870502489</v>
      </c>
      <c r="V814" s="12"/>
      <c r="X814" s="2" cm="1">
        <f t="array" aca="1" ref="X814" ca="1">MMULT(MMULT(_xlfn.ANCHORARRAY(Q814),$Q$9:$U$13),TRANSPOSE(_xlfn.ANCHORARRAY(Q814)))</f>
        <v>2.9714440854725332E-4</v>
      </c>
      <c r="Y814" s="2">
        <f t="shared" ca="1" si="30"/>
        <v>1.7237877147353538E-2</v>
      </c>
      <c r="Z814" s="2" cm="1">
        <f t="array" aca="1" ref="Z814" ca="1">MMULT(_xlfn.ANCHORARRAY(Q814),TRANSPOSE($Q$3:$U$3))</f>
        <v>1.074285924315287E-3</v>
      </c>
      <c r="AA814" s="11">
        <f ca="1">AVEDEV(Q814*$Q$3,R814*$R$3,S814*$S$3,T814*$T$3,U814*$U$3)</f>
        <v>1.4342178593723971E-4</v>
      </c>
      <c r="AB814" s="11" cm="1">
        <f t="array" aca="1" ref="AB814" ca="1">MMULT(_xlfn.ANCHORARRAY(Q814),TRANSPOSE($Q$6:$U$6))</f>
        <v>-2.3598738993207368E-2</v>
      </c>
      <c r="AD814" s="2" t="s">
        <v>805</v>
      </c>
      <c r="AE814" s="10" cm="1">
        <f t="array" aca="1" ref="AE814:AI814" ca="1">_xlfn.LET(_xlpm.array,_xlfn.RANDARRAY(1,COLUMNS(_xlfn.ANCHORARRAY(Q813)),-1,1,FALSE),_xlpm.array/SUM(_xlpm.array))</f>
        <v>0.61471693791736126</v>
      </c>
      <c r="AF814" s="10">
        <f ca="1"/>
        <v>-1.592575624981602E-3</v>
      </c>
      <c r="AG814" s="10">
        <f ca="1"/>
        <v>0.18324012741132417</v>
      </c>
      <c r="AH814" s="10">
        <f ca="1"/>
        <v>-0.24054033237091957</v>
      </c>
      <c r="AI814" s="10">
        <f ca="1"/>
        <v>0.44417584266721577</v>
      </c>
      <c r="AJ814" s="1"/>
      <c r="AK814" s="2" cm="1">
        <f t="array" aca="1" ref="AK814" ca="1">MMULT(MMULT(_xlfn.ANCHORARRAY(AE814),$Q$9:$U$13),TRANSPOSE(_xlfn.ANCHORARRAY(AE814)))</f>
        <v>3.7747126792610566E-4</v>
      </c>
      <c r="AL814" s="2">
        <f t="shared" ca="1" si="31"/>
        <v>1.9428619815264943E-2</v>
      </c>
      <c r="AM814" s="2" cm="1">
        <f t="array" aca="1" ref="AM814" ca="1">MMULT(_xlfn.ANCHORARRAY(AE815),TRANSPOSE($Q$3:$U$3))</f>
        <v>1.0232461961236156E-3</v>
      </c>
    </row>
    <row r="815" spans="1:39" x14ac:dyDescent="0.35">
      <c r="A815" s="3">
        <v>45012</v>
      </c>
      <c r="B815" s="4">
        <v>26.355939865112301</v>
      </c>
      <c r="C815" s="4">
        <v>138.852447509765</v>
      </c>
      <c r="D815" s="4">
        <v>35.816234588622997</v>
      </c>
      <c r="E815" s="4">
        <v>20.886104583740199</v>
      </c>
      <c r="F815" s="4">
        <v>269.98620605468699</v>
      </c>
      <c r="I815" s="5">
        <f>B815/B814-1</f>
        <v>4.9742040996916037E-2</v>
      </c>
      <c r="J815" s="5">
        <f>C815/C814-1</f>
        <v>1.0188547916280211E-2</v>
      </c>
      <c r="K815" s="5">
        <f>D815/D814-1</f>
        <v>1.6318886265617616E-2</v>
      </c>
      <c r="L815" s="5">
        <f>E815/E814-1</f>
        <v>1.8477501634631688E-2</v>
      </c>
      <c r="M815" s="5">
        <f>F815/F814-1</f>
        <v>-1.4933702467022747E-2</v>
      </c>
      <c r="N815" s="5">
        <f>SUMPRODUCT(I815:M815,$AJ$13:$AN$13)</f>
        <v>-2.5778691440560579E-3</v>
      </c>
      <c r="P815" s="2" t="s">
        <v>806</v>
      </c>
      <c r="Q815" s="10" cm="1">
        <f t="array" aca="1" ref="Q815:U815" ca="1">_xlfn.LET(_xlpm.array,_xlfn.RANDARRAY(1,COLUMNS(_xlfn.ANCHORARRAY(Q814)),0,1,FALSE),_xlpm.array/SUM(_xlpm.array))</f>
        <v>0.37510426114696144</v>
      </c>
      <c r="R815" s="2">
        <f ca="1"/>
        <v>0.21633376681157429</v>
      </c>
      <c r="S815" s="2">
        <f ca="1"/>
        <v>0.10028635711784309</v>
      </c>
      <c r="T815" s="2">
        <f ca="1"/>
        <v>0.1175979867986794</v>
      </c>
      <c r="U815" s="2">
        <f ca="1"/>
        <v>0.19067762812494179</v>
      </c>
      <c r="V815" s="12"/>
      <c r="X815" s="2" cm="1">
        <f t="array" aca="1" ref="X815" ca="1">MMULT(MMULT(_xlfn.ANCHORARRAY(Q815),$Q$9:$U$13),TRANSPOSE(_xlfn.ANCHORARRAY(Q815)))</f>
        <v>2.7772542556925148E-4</v>
      </c>
      <c r="Y815" s="2">
        <f t="shared" ca="1" si="30"/>
        <v>1.6665096026403554E-2</v>
      </c>
      <c r="Z815" s="2" cm="1">
        <f t="array" aca="1" ref="Z815" ca="1">MMULT(_xlfn.ANCHORARRAY(Q815),TRANSPOSE($Q$3:$U$3))</f>
        <v>7.7746644800655762E-4</v>
      </c>
      <c r="AA815" s="11">
        <f ca="1">AVEDEV(Q815*$Q$3,R815*$R$3,S815*$S$3,T815*$T$3,U815*$U$3)</f>
        <v>1.8002379974516632E-5</v>
      </c>
      <c r="AB815" s="11" cm="1">
        <f t="array" aca="1" ref="AB815" ca="1">MMULT(_xlfn.ANCHORARRAY(Q815),TRANSPOSE($Q$6:$U$6))</f>
        <v>-2.2081830601969735E-2</v>
      </c>
      <c r="AD815" s="2" t="s">
        <v>806</v>
      </c>
      <c r="AE815" s="10" cm="1">
        <f t="array" aca="1" ref="AE815:AI815" ca="1">_xlfn.LET(_xlpm.array,_xlfn.RANDARRAY(1,COLUMNS(_xlfn.ANCHORARRAY(Q814)),-1,1,FALSE),_xlpm.array/SUM(_xlpm.array))</f>
        <v>-5.9135105033525454E-2</v>
      </c>
      <c r="AF815" s="10">
        <f ca="1"/>
        <v>0.28576037489695005</v>
      </c>
      <c r="AG815" s="10">
        <f ca="1"/>
        <v>0.19069215817956026</v>
      </c>
      <c r="AH815" s="10">
        <f ca="1"/>
        <v>0.34770078752589922</v>
      </c>
      <c r="AI815" s="10">
        <f ca="1"/>
        <v>0.23498178443111581</v>
      </c>
      <c r="AJ815" s="1"/>
      <c r="AK815" s="2" cm="1">
        <f t="array" aca="1" ref="AK815" ca="1">MMULT(MMULT(_xlfn.ANCHORARRAY(AE815),$Q$9:$U$13),TRANSPOSE(_xlfn.ANCHORARRAY(AE815)))</f>
        <v>3.0407312722263035E-4</v>
      </c>
      <c r="AL815" s="2">
        <f t="shared" ca="1" si="31"/>
        <v>1.7437692714996164E-2</v>
      </c>
      <c r="AM815" s="2" cm="1">
        <f t="array" aca="1" ref="AM815" ca="1">MMULT(_xlfn.ANCHORARRAY(AE816),TRANSPOSE($Q$3:$U$3))</f>
        <v>3.1367384795511787E-3</v>
      </c>
    </row>
    <row r="816" spans="1:39" x14ac:dyDescent="0.35">
      <c r="A816" s="3">
        <v>45013</v>
      </c>
      <c r="B816" s="4">
        <v>26.0136604309082</v>
      </c>
      <c r="C816" s="4">
        <v>140.47306823730401</v>
      </c>
      <c r="D816" s="4">
        <v>36.117919921875</v>
      </c>
      <c r="E816" s="4">
        <v>21.507532119750898</v>
      </c>
      <c r="F816" s="4">
        <v>268.86282348632801</v>
      </c>
      <c r="I816" s="5">
        <f>B816/B815-1</f>
        <v>-1.2986804339206293E-2</v>
      </c>
      <c r="J816" s="5">
        <f>C816/C815-1</f>
        <v>1.167153159057599E-2</v>
      </c>
      <c r="K816" s="5">
        <f>D816/D815-1</f>
        <v>8.4231448871465719E-3</v>
      </c>
      <c r="L816" s="5">
        <f>E816/E815-1</f>
        <v>2.9753156387739343E-2</v>
      </c>
      <c r="M816" s="5">
        <f>F816/F815-1</f>
        <v>-4.1608887534477779E-3</v>
      </c>
      <c r="N816" s="5">
        <f>SUMPRODUCT(I816:M816,$AJ$13:$AN$13)</f>
        <v>2.027170545990389E-2</v>
      </c>
      <c r="P816" s="2" t="s">
        <v>807</v>
      </c>
      <c r="Q816" s="10" cm="1">
        <f t="array" aca="1" ref="Q816:U816" ca="1">_xlfn.LET(_xlpm.array,_xlfn.RANDARRAY(1,COLUMNS(_xlfn.ANCHORARRAY(Q815)),0,1,FALSE),_xlpm.array/SUM(_xlpm.array))</f>
        <v>6.4460617475841309E-2</v>
      </c>
      <c r="R816" s="2">
        <f ca="1"/>
        <v>0.35378067388034862</v>
      </c>
      <c r="S816" s="2">
        <f ca="1"/>
        <v>0.20177189844925641</v>
      </c>
      <c r="T816" s="2">
        <f ca="1"/>
        <v>0.32629418063147986</v>
      </c>
      <c r="U816" s="2">
        <f ca="1"/>
        <v>5.3692629563073739E-2</v>
      </c>
      <c r="V816" s="12"/>
      <c r="X816" s="2" cm="1">
        <f t="array" aca="1" ref="X816" ca="1">MMULT(MMULT(_xlfn.ANCHORARRAY(Q816),$Q$9:$U$13),TRANSPOSE(_xlfn.ANCHORARRAY(Q816)))</f>
        <v>3.3709241758102476E-4</v>
      </c>
      <c r="Y816" s="2">
        <f t="shared" ca="1" si="30"/>
        <v>1.836007673134905E-2</v>
      </c>
      <c r="Z816" s="2" cm="1">
        <f t="array" aca="1" ref="Z816" ca="1">MMULT(_xlfn.ANCHORARRAY(Q816),TRANSPOSE($Q$3:$U$3))</f>
        <v>9.9319878500600664E-4</v>
      </c>
      <c r="AA816" s="11">
        <f ca="1">AVEDEV(Q816*$Q$3,R816*$R$3,S816*$S$3,T816*$T$3,U816*$U$3)</f>
        <v>1.293802537444188E-4</v>
      </c>
      <c r="AB816" s="11" cm="1">
        <f t="array" aca="1" ref="AB816" ca="1">MMULT(_xlfn.ANCHORARRAY(Q816),TRANSPOSE($Q$6:$U$6))</f>
        <v>-2.345000465999672E-2</v>
      </c>
      <c r="AD816" s="2" t="s">
        <v>807</v>
      </c>
      <c r="AE816" s="10" cm="1">
        <f t="array" aca="1" ref="AE816:AI816" ca="1">_xlfn.LET(_xlpm.array,_xlfn.RANDARRAY(1,COLUMNS(_xlfn.ANCHORARRAY(Q815)),-1,1,FALSE),_xlpm.array/SUM(_xlpm.array))</f>
        <v>-1.7620046736618267</v>
      </c>
      <c r="AF816" s="10">
        <f ca="1"/>
        <v>2.4083186568227855</v>
      </c>
      <c r="AG816" s="10">
        <f ca="1"/>
        <v>2.8975410289056152</v>
      </c>
      <c r="AH816" s="10">
        <f ca="1"/>
        <v>-1.893998167464066</v>
      </c>
      <c r="AI816" s="10">
        <f ca="1"/>
        <v>-0.64985684460250792</v>
      </c>
      <c r="AJ816" s="1"/>
      <c r="AK816" s="2" cm="1">
        <f t="array" aca="1" ref="AK816" ca="1">MMULT(MMULT(_xlfn.ANCHORARRAY(AE816),$Q$9:$U$13),TRANSPOSE(_xlfn.ANCHORARRAY(AE816)))</f>
        <v>7.1711092943221675E-3</v>
      </c>
      <c r="AL816" s="2">
        <f t="shared" ca="1" si="31"/>
        <v>8.468240250679103E-2</v>
      </c>
      <c r="AM816" s="2" cm="1">
        <f t="array" aca="1" ref="AM816" ca="1">MMULT(_xlfn.ANCHORARRAY(AE817),TRANSPOSE($Q$3:$U$3))</f>
        <v>6.9621618739821927E-4</v>
      </c>
    </row>
    <row r="817" spans="1:39" x14ac:dyDescent="0.35">
      <c r="A817" s="3">
        <v>45014</v>
      </c>
      <c r="B817" s="4">
        <v>26.5224590301513</v>
      </c>
      <c r="C817" s="4">
        <v>141.67971801757801</v>
      </c>
      <c r="D817" s="4">
        <v>36.881572723388601</v>
      </c>
      <c r="E817" s="4">
        <v>21.2953376770019</v>
      </c>
      <c r="F817" s="4">
        <v>274.02069091796801</v>
      </c>
      <c r="I817" s="5">
        <f>B817/B816-1</f>
        <v>1.9558900624326192E-2</v>
      </c>
      <c r="J817" s="5">
        <f>C817/C816-1</f>
        <v>8.5899012203221048E-3</v>
      </c>
      <c r="K817" s="5">
        <f>D817/D816-1</f>
        <v>2.1143321740715537E-2</v>
      </c>
      <c r="L817" s="5">
        <f>E817/E816-1</f>
        <v>-9.8660525795116749E-3</v>
      </c>
      <c r="M817" s="5">
        <f>F817/F816-1</f>
        <v>1.9184011254357314E-2</v>
      </c>
      <c r="N817" s="5">
        <f>SUMPRODUCT(I817:M817,$AJ$13:$AN$13)</f>
        <v>6.8689982233895927E-3</v>
      </c>
      <c r="P817" s="2" t="s">
        <v>808</v>
      </c>
      <c r="Q817" s="10" cm="1">
        <f t="array" aca="1" ref="Q817:U817" ca="1">_xlfn.LET(_xlpm.array,_xlfn.RANDARRAY(1,COLUMNS(_xlfn.ANCHORARRAY(Q816)),0,1,FALSE),_xlpm.array/SUM(_xlpm.array))</f>
        <v>0.19352199515254109</v>
      </c>
      <c r="R817" s="2">
        <f ca="1"/>
        <v>0.11035537044812706</v>
      </c>
      <c r="S817" s="2">
        <f ca="1"/>
        <v>0.13159511168626581</v>
      </c>
      <c r="T817" s="2">
        <f ca="1"/>
        <v>0.21685307014805003</v>
      </c>
      <c r="U817" s="2">
        <f ca="1"/>
        <v>0.347674452565016</v>
      </c>
      <c r="V817" s="12"/>
      <c r="X817" s="2" cm="1">
        <f t="array" aca="1" ref="X817" ca="1">MMULT(MMULT(_xlfn.ANCHORARRAY(Q817),$Q$9:$U$13),TRANSPOSE(_xlfn.ANCHORARRAY(Q817)))</f>
        <v>2.5343354612798556E-4</v>
      </c>
      <c r="Y817" s="2">
        <f t="shared" ca="1" si="30"/>
        <v>1.5919596292870795E-2</v>
      </c>
      <c r="Z817" s="2" cm="1">
        <f t="array" aca="1" ref="Z817" ca="1">MMULT(_xlfn.ANCHORARRAY(Q817),TRANSPOSE($Q$3:$U$3))</f>
        <v>8.801141346338647E-4</v>
      </c>
      <c r="AA817" s="11">
        <f ca="1">AVEDEV(Q817*$Q$3,R817*$R$3,S817*$S$3,T817*$T$3,U817*$U$3)</f>
        <v>6.9241210106635849E-5</v>
      </c>
      <c r="AB817" s="11" cm="1">
        <f t="array" aca="1" ref="AB817" ca="1">MMULT(_xlfn.ANCHORARRAY(Q817),TRANSPOSE($Q$6:$U$6))</f>
        <v>-2.2482949163262374E-2</v>
      </c>
      <c r="AD817" s="2" t="s">
        <v>808</v>
      </c>
      <c r="AE817" s="10" cm="1">
        <f t="array" aca="1" ref="AE817:AI817" ca="1">_xlfn.LET(_xlpm.array,_xlfn.RANDARRAY(1,COLUMNS(_xlfn.ANCHORARRAY(Q816)),-1,1,FALSE),_xlpm.array/SUM(_xlpm.array))</f>
        <v>0.1383845483953878</v>
      </c>
      <c r="AF817" s="10">
        <f ca="1"/>
        <v>-1.7964233504343351E-2</v>
      </c>
      <c r="AG817" s="10">
        <f ca="1"/>
        <v>-0.20652237270767515</v>
      </c>
      <c r="AH817" s="10">
        <f ca="1"/>
        <v>0.55959760272897363</v>
      </c>
      <c r="AI817" s="10">
        <f ca="1"/>
        <v>0.52650445508765698</v>
      </c>
      <c r="AJ817" s="1"/>
      <c r="AK817" s="2" cm="1">
        <f t="array" aca="1" ref="AK817" ca="1">MMULT(MMULT(_xlfn.ANCHORARRAY(AE817),$Q$9:$U$13),TRANSPOSE(_xlfn.ANCHORARRAY(AE817)))</f>
        <v>3.2772077923795366E-4</v>
      </c>
      <c r="AL817" s="2">
        <f t="shared" ca="1" si="31"/>
        <v>1.8103059941290415E-2</v>
      </c>
      <c r="AM817" s="2" cm="1">
        <f t="array" aca="1" ref="AM817" ca="1">MMULT(_xlfn.ANCHORARRAY(AE818),TRANSPOSE($Q$3:$U$3))</f>
        <v>9.0007157221827126E-4</v>
      </c>
    </row>
    <row r="818" spans="1:39" x14ac:dyDescent="0.35">
      <c r="A818" s="3">
        <v>45015</v>
      </c>
      <c r="B818" s="4">
        <v>26.18017578125</v>
      </c>
      <c r="C818" s="4">
        <v>143.02728271484301</v>
      </c>
      <c r="D818" s="4">
        <v>37.579231262207003</v>
      </c>
      <c r="E818" s="4">
        <v>21.553005218505799</v>
      </c>
      <c r="F818" s="4">
        <v>277.47869873046801</v>
      </c>
      <c r="I818" s="5">
        <f>B818/B817-1</f>
        <v>-1.2905411542428413E-2</v>
      </c>
      <c r="J818" s="5">
        <f>C818/C817-1</f>
        <v>9.5113451390256287E-3</v>
      </c>
      <c r="K818" s="5">
        <f>D818/D817-1</f>
        <v>1.891618191151534E-2</v>
      </c>
      <c r="L818" s="5">
        <f>E818/E817-1</f>
        <v>1.2099716163795238E-2</v>
      </c>
      <c r="M818" s="5">
        <f>F818/F817-1</f>
        <v>1.2619513515259362E-2</v>
      </c>
      <c r="N818" s="5">
        <f>SUMPRODUCT(I818:M818,$AJ$13:$AN$13)</f>
        <v>2.3139115179941883E-2</v>
      </c>
      <c r="P818" s="2" t="s">
        <v>809</v>
      </c>
      <c r="Q818" s="10" cm="1">
        <f t="array" aca="1" ref="Q818:U818" ca="1">_xlfn.LET(_xlpm.array,_xlfn.RANDARRAY(1,COLUMNS(_xlfn.ANCHORARRAY(Q817)),0,1,FALSE),_xlpm.array/SUM(_xlpm.array))</f>
        <v>0.16219387761517984</v>
      </c>
      <c r="R818" s="2">
        <f ca="1"/>
        <v>0.43973701165978862</v>
      </c>
      <c r="S818" s="2">
        <f ca="1"/>
        <v>1.1087883920714766E-2</v>
      </c>
      <c r="T818" s="2">
        <f ca="1"/>
        <v>0.24094801938157365</v>
      </c>
      <c r="U818" s="2">
        <f ca="1"/>
        <v>0.14603320742274312</v>
      </c>
      <c r="V818" s="12"/>
      <c r="X818" s="2" cm="1">
        <f t="array" aca="1" ref="X818" ca="1">MMULT(MMULT(_xlfn.ANCHORARRAY(Q818),$Q$9:$U$13),TRANSPOSE(_xlfn.ANCHORARRAY(Q818)))</f>
        <v>3.0984397115423382E-4</v>
      </c>
      <c r="Y818" s="2">
        <f t="shared" ca="1" si="30"/>
        <v>1.7602385382505231E-2</v>
      </c>
      <c r="Z818" s="2" cm="1">
        <f t="array" aca="1" ref="Z818" ca="1">MMULT(_xlfn.ANCHORARRAY(Q818),TRANSPOSE($Q$3:$U$3))</f>
        <v>7.7940497852638344E-4</v>
      </c>
      <c r="AA818" s="11">
        <f ca="1">AVEDEV(Q818*$Q$3,R818*$R$3,S818*$S$3,T818*$T$3,U818*$U$3)</f>
        <v>1.0220310767788429E-4</v>
      </c>
      <c r="AB818" s="11" cm="1">
        <f t="array" aca="1" ref="AB818" ca="1">MMULT(_xlfn.ANCHORARRAY(Q818),TRANSPOSE($Q$6:$U$6))</f>
        <v>-2.1866397317519045E-2</v>
      </c>
      <c r="AD818" s="2" t="s">
        <v>809</v>
      </c>
      <c r="AE818" s="10" cm="1">
        <f t="array" aca="1" ref="AE818:AI818" ca="1">_xlfn.LET(_xlpm.array,_xlfn.RANDARRAY(1,COLUMNS(_xlfn.ANCHORARRAY(Q817)),-1,1,FALSE),_xlpm.array/SUM(_xlpm.array))</f>
        <v>0.28668891285484221</v>
      </c>
      <c r="AF818" s="10">
        <f ca="1"/>
        <v>9.9732885464459867E-2</v>
      </c>
      <c r="AG818" s="10">
        <f ca="1"/>
        <v>0.17512555474001529</v>
      </c>
      <c r="AH818" s="10">
        <f ca="1"/>
        <v>0.2406026921507729</v>
      </c>
      <c r="AI818" s="10">
        <f ca="1"/>
        <v>0.19784995478990966</v>
      </c>
      <c r="AJ818" s="1"/>
      <c r="AK818" s="2" cm="1">
        <f t="array" aca="1" ref="AK818" ca="1">MMULT(MMULT(_xlfn.ANCHORARRAY(AE818),$Q$9:$U$13),TRANSPOSE(_xlfn.ANCHORARRAY(AE818)))</f>
        <v>2.7810390952848543E-4</v>
      </c>
      <c r="AL818" s="2">
        <f t="shared" ca="1" si="31"/>
        <v>1.6676447749100688E-2</v>
      </c>
      <c r="AM818" s="2" cm="1">
        <f t="array" aca="1" ref="AM818" ca="1">MMULT(_xlfn.ANCHORARRAY(AE819),TRANSPOSE($Q$3:$U$3))</f>
        <v>1.1799852297916219E-3</v>
      </c>
    </row>
    <row r="819" spans="1:39" x14ac:dyDescent="0.35">
      <c r="A819" s="3">
        <v>45016</v>
      </c>
      <c r="B819" s="4">
        <v>26.457700729370099</v>
      </c>
      <c r="C819" s="4">
        <v>143.70544433593699</v>
      </c>
      <c r="D819" s="4">
        <v>37.909210205078097</v>
      </c>
      <c r="E819" s="4">
        <v>21.545427322387599</v>
      </c>
      <c r="F819" s="4">
        <v>281.63046264648398</v>
      </c>
      <c r="I819" s="5">
        <f>B819/B818-1</f>
        <v>1.0600576193184219E-2</v>
      </c>
      <c r="J819" s="5">
        <f>C819/C818-1</f>
        <v>4.7414843393622785E-3</v>
      </c>
      <c r="K819" s="5">
        <f>D819/D818-1</f>
        <v>8.7808859252251903E-3</v>
      </c>
      <c r="L819" s="5">
        <f>E819/E818-1</f>
        <v>-3.5159348041602367E-4</v>
      </c>
      <c r="M819" s="5">
        <f>F819/F818-1</f>
        <v>1.496245994741674E-2</v>
      </c>
      <c r="N819" s="5">
        <f>SUMPRODUCT(I819:M819,$AJ$13:$AN$13)</f>
        <v>6.1846645939197349E-3</v>
      </c>
      <c r="P819" s="2" t="s">
        <v>810</v>
      </c>
      <c r="Q819" s="10" cm="1">
        <f t="array" aca="1" ref="Q819:U819" ca="1">_xlfn.LET(_xlpm.array,_xlfn.RANDARRAY(1,COLUMNS(_xlfn.ANCHORARRAY(Q818)),0,1,FALSE),_xlpm.array/SUM(_xlpm.array))</f>
        <v>0.1716480173838591</v>
      </c>
      <c r="R819" s="2">
        <f ca="1"/>
        <v>0.23768772279547346</v>
      </c>
      <c r="S819" s="2">
        <f ca="1"/>
        <v>0.22714681915129364</v>
      </c>
      <c r="T819" s="2">
        <f ca="1"/>
        <v>0.15262434500280339</v>
      </c>
      <c r="U819" s="2">
        <f ca="1"/>
        <v>0.2108930956665703</v>
      </c>
      <c r="V819" s="12"/>
      <c r="X819" s="2" cm="1">
        <f t="array" aca="1" ref="X819" ca="1">MMULT(MMULT(_xlfn.ANCHORARRAY(Q819),$Q$9:$U$13),TRANSPOSE(_xlfn.ANCHORARRAY(Q819)))</f>
        <v>2.8056787259807953E-4</v>
      </c>
      <c r="Y819" s="2">
        <f t="shared" ca="1" si="30"/>
        <v>1.6750160375294306E-2</v>
      </c>
      <c r="Z819" s="2" cm="1">
        <f t="array" aca="1" ref="Z819" ca="1">MMULT(_xlfn.ANCHORARRAY(Q819),TRANSPOSE($Q$3:$U$3))</f>
        <v>9.4692096154584725E-4</v>
      </c>
      <c r="AA819" s="11">
        <f ca="1">AVEDEV(Q819*$Q$3,R819*$R$3,S819*$S$3,T819*$T$3,U819*$U$3)</f>
        <v>7.1800967046455321E-5</v>
      </c>
      <c r="AB819" s="11" cm="1">
        <f t="array" aca="1" ref="AB819" ca="1">MMULT(_xlfn.ANCHORARRAY(Q819),TRANSPOSE($Q$6:$U$6))</f>
        <v>-2.2857977836120483E-2</v>
      </c>
      <c r="AD819" s="2" t="s">
        <v>810</v>
      </c>
      <c r="AE819" s="10" cm="1">
        <f t="array" aca="1" ref="AE819:AI819" ca="1">_xlfn.LET(_xlpm.array,_xlfn.RANDARRAY(1,COLUMNS(_xlfn.ANCHORARRAY(Q818)),-1,1,FALSE),_xlpm.array/SUM(_xlpm.array))</f>
        <v>-0.67732662354772522</v>
      </c>
      <c r="AF819" s="10">
        <f ca="1"/>
        <v>9.0649908550197139E-2</v>
      </c>
      <c r="AG819" s="10">
        <f ca="1"/>
        <v>0.31467410352059344</v>
      </c>
      <c r="AH819" s="10">
        <f ca="1"/>
        <v>-0.10082904747708143</v>
      </c>
      <c r="AI819" s="10">
        <f ca="1"/>
        <v>1.3728316589540162</v>
      </c>
      <c r="AJ819" s="1"/>
      <c r="AK819" s="2" cm="1">
        <f t="array" aca="1" ref="AK819" ca="1">MMULT(MMULT(_xlfn.ANCHORARRAY(AE819),$Q$9:$U$13),TRANSPOSE(_xlfn.ANCHORARRAY(AE819)))</f>
        <v>7.5398270941345706E-4</v>
      </c>
      <c r="AL819" s="2">
        <f t="shared" ca="1" si="31"/>
        <v>2.7458745590675789E-2</v>
      </c>
      <c r="AM819" s="2" cm="1">
        <f t="array" aca="1" ref="AM819" ca="1">MMULT(_xlfn.ANCHORARRAY(AE820),TRANSPOSE($Q$3:$U$3))</f>
        <v>4.9257546102194939E-3</v>
      </c>
    </row>
    <row r="820" spans="1:39" x14ac:dyDescent="0.35">
      <c r="A820" s="3">
        <v>45019</v>
      </c>
      <c r="B820" s="4">
        <v>26.448450088500898</v>
      </c>
      <c r="C820" s="4">
        <v>149.68582153320301</v>
      </c>
      <c r="D820" s="4">
        <v>38.625713348388601</v>
      </c>
      <c r="E820" s="4">
        <v>23.0535278320312</v>
      </c>
      <c r="F820" s="4">
        <v>280.58517456054602</v>
      </c>
      <c r="I820" s="5">
        <f>B820/B819-1</f>
        <v>-3.4963888071093407E-4</v>
      </c>
      <c r="J820" s="5">
        <f>C820/C819-1</f>
        <v>4.1615522814054451E-2</v>
      </c>
      <c r="K820" s="5">
        <f>D820/D819-1</f>
        <v>1.8900503055442774E-2</v>
      </c>
      <c r="L820" s="5">
        <f>E820/E819-1</f>
        <v>6.9996314627584599E-2</v>
      </c>
      <c r="M820" s="5">
        <f>F820/F819-1</f>
        <v>-3.7115590270859755E-3</v>
      </c>
      <c r="N820" s="5">
        <f>SUMPRODUCT(I820:M820,$AJ$13:$AN$13)</f>
        <v>4.0045098864669462E-2</v>
      </c>
      <c r="P820" s="2" t="s">
        <v>811</v>
      </c>
      <c r="Q820" s="10" cm="1">
        <f t="array" aca="1" ref="Q820:U820" ca="1">_xlfn.LET(_xlpm.array,_xlfn.RANDARRAY(1,COLUMNS(_xlfn.ANCHORARRAY(Q819)),0,1,FALSE),_xlpm.array/SUM(_xlpm.array))</f>
        <v>0.32911313093085548</v>
      </c>
      <c r="R820" s="2">
        <f ca="1"/>
        <v>0.34072868193614969</v>
      </c>
      <c r="S820" s="2">
        <f ca="1"/>
        <v>7.0558999609316941E-2</v>
      </c>
      <c r="T820" s="2">
        <f ca="1"/>
        <v>0.15072016446680361</v>
      </c>
      <c r="U820" s="2">
        <f ca="1"/>
        <v>0.10887902305687436</v>
      </c>
      <c r="V820" s="12"/>
      <c r="X820" s="2" cm="1">
        <f t="array" aca="1" ref="X820" ca="1">MMULT(MMULT(_xlfn.ANCHORARRAY(Q820),$Q$9:$U$13),TRANSPOSE(_xlfn.ANCHORARRAY(Q820)))</f>
        <v>2.9891634497308735E-4</v>
      </c>
      <c r="Y820" s="2">
        <f t="shared" ca="1" si="30"/>
        <v>1.728919734901211E-2</v>
      </c>
      <c r="Z820" s="2" cm="1">
        <f t="array" aca="1" ref="Z820" ca="1">MMULT(_xlfn.ANCHORARRAY(Q820),TRANSPOSE($Q$3:$U$3))</f>
        <v>7.6792661024080455E-4</v>
      </c>
      <c r="AA820" s="11">
        <f ca="1">AVEDEV(Q820*$Q$3,R820*$R$3,S820*$S$3,T820*$T$3,U820*$U$3)</f>
        <v>4.3722495080306516E-5</v>
      </c>
      <c r="AB820" s="11" cm="1">
        <f t="array" aca="1" ref="AB820" ca="1">MMULT(_xlfn.ANCHORARRAY(Q820),TRANSPOSE($Q$6:$U$6))</f>
        <v>-2.2030206132339393E-2</v>
      </c>
      <c r="AD820" s="2" t="s">
        <v>811</v>
      </c>
      <c r="AE820" s="10" cm="1">
        <f t="array" aca="1" ref="AE820:AI820" ca="1">_xlfn.LET(_xlpm.array,_xlfn.RANDARRAY(1,COLUMNS(_xlfn.ANCHORARRAY(Q819)),-1,1,FALSE),_xlpm.array/SUM(_xlpm.array))</f>
        <v>-4.4596850329247664</v>
      </c>
      <c r="AF820" s="10">
        <f ca="1"/>
        <v>-1.1164771685262134</v>
      </c>
      <c r="AG820" s="10">
        <f ca="1"/>
        <v>1.2016344060671018</v>
      </c>
      <c r="AH820" s="10">
        <f ca="1"/>
        <v>7.5769576164618027</v>
      </c>
      <c r="AI820" s="10">
        <f ca="1"/>
        <v>-2.2024298210779238</v>
      </c>
      <c r="AJ820" s="1"/>
      <c r="AK820" s="2" cm="1">
        <f t="array" aca="1" ref="AK820" ca="1">MMULT(MMULT(_xlfn.ANCHORARRAY(AE820),$Q$9:$U$13),TRANSPOSE(_xlfn.ANCHORARRAY(AE820)))</f>
        <v>2.6253677063448458E-2</v>
      </c>
      <c r="AL820" s="2">
        <f t="shared" ca="1" si="31"/>
        <v>0.16202986472699549</v>
      </c>
      <c r="AM820" s="2" cm="1">
        <f t="array" aca="1" ref="AM820" ca="1">MMULT(_xlfn.ANCHORARRAY(AE821),TRANSPOSE($Q$3:$U$3))</f>
        <v>1.2175458642443406E-3</v>
      </c>
    </row>
    <row r="821" spans="1:39" x14ac:dyDescent="0.35">
      <c r="A821" s="3">
        <v>45020</v>
      </c>
      <c r="B821" s="4">
        <v>25.8841457366943</v>
      </c>
      <c r="C821" s="4">
        <v>148.88432312011699</v>
      </c>
      <c r="D821" s="4">
        <v>38.531440734863203</v>
      </c>
      <c r="E821" s="4">
        <v>22.242641448974599</v>
      </c>
      <c r="F821" s="4">
        <v>280.53631591796801</v>
      </c>
      <c r="I821" s="5">
        <f>B821/B820-1</f>
        <v>-2.1336008345227864E-2</v>
      </c>
      <c r="J821" s="5">
        <f>C821/C820-1</f>
        <v>-5.3545379574125862E-3</v>
      </c>
      <c r="K821" s="5">
        <f>D821/D820-1</f>
        <v>-2.4406698376052693E-3</v>
      </c>
      <c r="L821" s="5">
        <f>E821/E820-1</f>
        <v>-3.5174069190830437E-2</v>
      </c>
      <c r="M821" s="5">
        <f>F821/F820-1</f>
        <v>-1.7413123360676686E-4</v>
      </c>
      <c r="N821" s="5">
        <f>SUMPRODUCT(I821:M821,$AJ$13:$AN$13)</f>
        <v>-1.1418187604359864E-2</v>
      </c>
      <c r="P821" s="2" t="s">
        <v>812</v>
      </c>
      <c r="Q821" s="10" cm="1">
        <f t="array" aca="1" ref="Q821:U821" ca="1">_xlfn.LET(_xlpm.array,_xlfn.RANDARRAY(1,COLUMNS(_xlfn.ANCHORARRAY(Q820)),0,1,FALSE),_xlpm.array/SUM(_xlpm.array))</f>
        <v>0.1158485375200848</v>
      </c>
      <c r="R821" s="2">
        <f ca="1"/>
        <v>0.46255116261784307</v>
      </c>
      <c r="S821" s="2">
        <f ca="1"/>
        <v>9.6106372316883876E-2</v>
      </c>
      <c r="T821" s="2">
        <f ca="1"/>
        <v>8.2791491250554003E-2</v>
      </c>
      <c r="U821" s="2">
        <f ca="1"/>
        <v>0.24270243629463426</v>
      </c>
      <c r="V821" s="12"/>
      <c r="X821" s="2" cm="1">
        <f t="array" aca="1" ref="X821" ca="1">MMULT(MMULT(_xlfn.ANCHORARRAY(Q821),$Q$9:$U$13),TRANSPOSE(_xlfn.ANCHORARRAY(Q821)))</f>
        <v>2.7513071686414796E-4</v>
      </c>
      <c r="Y821" s="2">
        <f t="shared" ca="1" si="30"/>
        <v>1.6587064745281124E-2</v>
      </c>
      <c r="Z821" s="2" cm="1">
        <f t="array" aca="1" ref="Z821" ca="1">MMULT(_xlfn.ANCHORARRAY(Q821),TRANSPOSE($Q$3:$U$3))</f>
        <v>8.229424190459427E-4</v>
      </c>
      <c r="AA821" s="11">
        <f ca="1">AVEDEV(Q821*$Q$3,R821*$R$3,S821*$S$3,T821*$T$3,U821*$U$3)</f>
        <v>7.7691135444857301E-5</v>
      </c>
      <c r="AB821" s="11" cm="1">
        <f t="array" aca="1" ref="AB821" ca="1">MMULT(_xlfn.ANCHORARRAY(Q821),TRANSPOSE($Q$6:$U$6))</f>
        <v>-2.1609362520066233E-2</v>
      </c>
      <c r="AD821" s="2" t="s">
        <v>812</v>
      </c>
      <c r="AE821" s="10" cm="1">
        <f t="array" aca="1" ref="AE821:AI821" ca="1">_xlfn.LET(_xlpm.array,_xlfn.RANDARRAY(1,COLUMNS(_xlfn.ANCHORARRAY(Q820)),-1,1,FALSE),_xlpm.array/SUM(_xlpm.array))</f>
        <v>-0.31326870642096905</v>
      </c>
      <c r="AF821" s="10">
        <f ca="1"/>
        <v>4.0634770378762078E-2</v>
      </c>
      <c r="AG821" s="10">
        <f ca="1"/>
        <v>0.26674070287182705</v>
      </c>
      <c r="AH821" s="10">
        <f ca="1"/>
        <v>0.56293878447038126</v>
      </c>
      <c r="AI821" s="10">
        <f ca="1"/>
        <v>0.44295444869999873</v>
      </c>
      <c r="AJ821" s="1"/>
      <c r="AK821" s="2" cm="1">
        <f t="array" aca="1" ref="AK821" ca="1">MMULT(MMULT(_xlfn.ANCHORARRAY(AE821),$Q$9:$U$13),TRANSPOSE(_xlfn.ANCHORARRAY(AE821)))</f>
        <v>3.7463813528711956E-4</v>
      </c>
      <c r="AL821" s="2">
        <f t="shared" ca="1" si="31"/>
        <v>1.9355571169229792E-2</v>
      </c>
      <c r="AM821" s="2" cm="1">
        <f t="array" aca="1" ref="AM821" ca="1">MMULT(_xlfn.ANCHORARRAY(AE822),TRANSPOSE($Q$3:$U$3))</f>
        <v>1.2164166697961323E-3</v>
      </c>
    </row>
    <row r="822" spans="1:39" x14ac:dyDescent="0.35">
      <c r="A822" s="3">
        <v>45021</v>
      </c>
      <c r="B822" s="4">
        <v>25.569606781005799</v>
      </c>
      <c r="C822" s="4">
        <v>149.62417602539</v>
      </c>
      <c r="D822" s="4">
        <v>38.465442657470703</v>
      </c>
      <c r="E822" s="4">
        <v>22.204746246337798</v>
      </c>
      <c r="F822" s="4">
        <v>277.76202392578102</v>
      </c>
      <c r="I822" s="5">
        <f>B822/B821-1</f>
        <v>-1.2151799749860026E-2</v>
      </c>
      <c r="J822" s="5">
        <f>C822/C821-1</f>
        <v>4.9693136911137525E-3</v>
      </c>
      <c r="K822" s="5">
        <f>D822/D821-1</f>
        <v>-1.7128370009996674E-3</v>
      </c>
      <c r="L822" s="5">
        <f>E822/E821-1</f>
        <v>-1.7037186308889174E-3</v>
      </c>
      <c r="M822" s="5">
        <f>F822/F821-1</f>
        <v>-9.889243690639371E-3</v>
      </c>
      <c r="N822" s="5">
        <f>SUMPRODUCT(I822:M822,$AJ$13:$AN$13)</f>
        <v>-1.6397034990431052E-3</v>
      </c>
      <c r="P822" s="2" t="s">
        <v>813</v>
      </c>
      <c r="Q822" s="10" cm="1">
        <f t="array" aca="1" ref="Q822:U822" ca="1">_xlfn.LET(_xlpm.array,_xlfn.RANDARRAY(1,COLUMNS(_xlfn.ANCHORARRAY(Q821)),0,1,FALSE),_xlpm.array/SUM(_xlpm.array))</f>
        <v>0.24442506645079454</v>
      </c>
      <c r="R822" s="2">
        <f ca="1"/>
        <v>0.24859760144657647</v>
      </c>
      <c r="S822" s="2">
        <f ca="1"/>
        <v>0.28997883579632217</v>
      </c>
      <c r="T822" s="2">
        <f ca="1"/>
        <v>5.4167842972970136E-2</v>
      </c>
      <c r="U822" s="2">
        <f ca="1"/>
        <v>0.1628306533333366</v>
      </c>
      <c r="V822" s="12"/>
      <c r="X822" s="2" cm="1">
        <f t="array" aca="1" ref="X822" ca="1">MMULT(MMULT(_xlfn.ANCHORARRAY(Q822),$Q$9:$U$13),TRANSPOSE(_xlfn.ANCHORARRAY(Q822)))</f>
        <v>3.0408243419069805E-4</v>
      </c>
      <c r="Y822" s="2">
        <f t="shared" ca="1" si="30"/>
        <v>1.7437959576472761E-2</v>
      </c>
      <c r="Z822" s="2" cm="1">
        <f t="array" aca="1" ref="Z822" ca="1">MMULT(_xlfn.ANCHORARRAY(Q822),TRANSPOSE($Q$3:$U$3))</f>
        <v>9.5657009539690989E-4</v>
      </c>
      <c r="AA822" s="11">
        <f ca="1">AVEDEV(Q822*$Q$3,R822*$R$3,S822*$S$3,T822*$T$3,U822*$U$3)</f>
        <v>1.1184473378296842E-4</v>
      </c>
      <c r="AB822" s="11" cm="1">
        <f t="array" aca="1" ref="AB822" ca="1">MMULT(_xlfn.ANCHORARRAY(Q822),TRANSPOSE($Q$6:$U$6))</f>
        <v>-2.291631072792507E-2</v>
      </c>
      <c r="AD822" s="2" t="s">
        <v>813</v>
      </c>
      <c r="AE822" s="10" cm="1">
        <f t="array" aca="1" ref="AE822:AI822" ca="1">_xlfn.LET(_xlpm.array,_xlfn.RANDARRAY(1,COLUMNS(_xlfn.ANCHORARRAY(Q821)),-1,1,FALSE),_xlpm.array/SUM(_xlpm.array))</f>
        <v>3.4302865959473024E-2</v>
      </c>
      <c r="AF822" s="10">
        <f ca="1"/>
        <v>-2.5660687193481874E-2</v>
      </c>
      <c r="AG822" s="10">
        <f ca="1"/>
        <v>0.44523094179215694</v>
      </c>
      <c r="AH822" s="10">
        <f ca="1"/>
        <v>0.29972421100302438</v>
      </c>
      <c r="AI822" s="10">
        <f ca="1"/>
        <v>0.24640266843882769</v>
      </c>
      <c r="AJ822" s="1"/>
      <c r="AK822" s="2" cm="1">
        <f t="array" aca="1" ref="AK822" ca="1">MMULT(MMULT(_xlfn.ANCHORARRAY(AE822),$Q$9:$U$13),TRANSPOSE(_xlfn.ANCHORARRAY(AE822)))</f>
        <v>3.6431365784773712E-4</v>
      </c>
      <c r="AL822" s="2">
        <f t="shared" ca="1" si="31"/>
        <v>1.9087002327440972E-2</v>
      </c>
      <c r="AM822" s="2" cm="1">
        <f t="array" aca="1" ref="AM822" ca="1">MMULT(_xlfn.ANCHORARRAY(AE823),TRANSPOSE($Q$3:$U$3))</f>
        <v>1.4086002386358516E-3</v>
      </c>
    </row>
    <row r="823" spans="1:39" x14ac:dyDescent="0.35">
      <c r="A823" s="3">
        <v>45022</v>
      </c>
      <c r="B823" s="4">
        <v>25.754631042480401</v>
      </c>
      <c r="C823" s="4">
        <v>147.66007995605401</v>
      </c>
      <c r="D823" s="4">
        <v>37.9280586242675</v>
      </c>
      <c r="E823" s="4">
        <v>21.765203475952099</v>
      </c>
      <c r="F823" s="4">
        <v>284.85409545898398</v>
      </c>
      <c r="I823" s="5">
        <f>B823/B822-1</f>
        <v>7.2361011672672504E-3</v>
      </c>
      <c r="J823" s="5">
        <f>C823/C822-1</f>
        <v>-1.3126863061238891E-2</v>
      </c>
      <c r="K823" s="5">
        <f>D823/D822-1</f>
        <v>-1.397056672370911E-2</v>
      </c>
      <c r="L823" s="5">
        <f>E823/E822-1</f>
        <v>-1.9794991823344654E-2</v>
      </c>
      <c r="M823" s="5">
        <f>F823/F822-1</f>
        <v>2.5532905589347177E-2</v>
      </c>
      <c r="N823" s="5">
        <f>SUMPRODUCT(I823:M823,$AJ$13:$AN$13)</f>
        <v>-9.6569841796941037E-3</v>
      </c>
      <c r="P823" s="2" t="s">
        <v>814</v>
      </c>
      <c r="Q823" s="10" cm="1">
        <f t="array" aca="1" ref="Q823:U823" ca="1">_xlfn.LET(_xlpm.array,_xlfn.RANDARRAY(1,COLUMNS(_xlfn.ANCHORARRAY(Q822)),0,1,FALSE),_xlpm.array/SUM(_xlpm.array))</f>
        <v>0.24791256939314335</v>
      </c>
      <c r="R823" s="2">
        <f ca="1"/>
        <v>0.2389199827491979</v>
      </c>
      <c r="S823" s="2">
        <f ca="1"/>
        <v>0.11994320146664803</v>
      </c>
      <c r="T823" s="2">
        <f ca="1"/>
        <v>0.2460380210351952</v>
      </c>
      <c r="U823" s="2">
        <f ca="1"/>
        <v>0.14718622535581538</v>
      </c>
      <c r="V823" s="12"/>
      <c r="X823" s="2" cm="1">
        <f t="array" aca="1" ref="X823" ca="1">MMULT(MMULT(_xlfn.ANCHORARRAY(Q823),$Q$9:$U$13),TRANSPOSE(_xlfn.ANCHORARRAY(Q823)))</f>
        <v>2.8637819213688377E-4</v>
      </c>
      <c r="Y823" s="2">
        <f t="shared" ca="1" si="30"/>
        <v>1.6922712316200489E-2</v>
      </c>
      <c r="Z823" s="2" cm="1">
        <f t="array" aca="1" ref="Z823" ca="1">MMULT(_xlfn.ANCHORARRAY(Q823),TRANSPOSE($Q$3:$U$3))</f>
        <v>8.5918978856977459E-4</v>
      </c>
      <c r="AA823" s="11">
        <f ca="1">AVEDEV(Q823*$Q$3,R823*$R$3,S823*$S$3,T823*$T$3,U823*$U$3)</f>
        <v>4.203973439401806E-5</v>
      </c>
      <c r="AB823" s="11" cm="1">
        <f t="array" aca="1" ref="AB823" ca="1">MMULT(_xlfn.ANCHORARRAY(Q823),TRANSPOSE($Q$6:$U$6))</f>
        <v>-2.2688872094411401E-2</v>
      </c>
      <c r="AD823" s="2" t="s">
        <v>814</v>
      </c>
      <c r="AE823" s="10" cm="1">
        <f t="array" aca="1" ref="AE823:AI823" ca="1">_xlfn.LET(_xlpm.array,_xlfn.RANDARRAY(1,COLUMNS(_xlfn.ANCHORARRAY(Q822)),-1,1,FALSE),_xlpm.array/SUM(_xlpm.array))</f>
        <v>-9.0814800959198097E-2</v>
      </c>
      <c r="AF823" s="10">
        <f ca="1"/>
        <v>-0.44491703755533829</v>
      </c>
      <c r="AG823" s="10">
        <f ca="1"/>
        <v>0.53251761452035229</v>
      </c>
      <c r="AH823" s="10">
        <f ca="1"/>
        <v>0.57458002223090587</v>
      </c>
      <c r="AI823" s="10">
        <f ca="1"/>
        <v>0.42863420176327821</v>
      </c>
      <c r="AJ823" s="1"/>
      <c r="AK823" s="2" cm="1">
        <f t="array" aca="1" ref="AK823" ca="1">MMULT(MMULT(_xlfn.ANCHORARRAY(AE823),$Q$9:$U$13),TRANSPOSE(_xlfn.ANCHORARRAY(AE823)))</f>
        <v>4.9978961646021799E-4</v>
      </c>
      <c r="AL823" s="2">
        <f t="shared" ca="1" si="31"/>
        <v>2.2355974961075126E-2</v>
      </c>
      <c r="AM823" s="2" cm="1">
        <f t="array" aca="1" ref="AM823" ca="1">MMULT(_xlfn.ANCHORARRAY(AE824),TRANSPOSE($Q$3:$U$3))</f>
        <v>1.3733293036238834E-3</v>
      </c>
    </row>
    <row r="824" spans="1:39" x14ac:dyDescent="0.35">
      <c r="A824" s="3">
        <v>45026</v>
      </c>
      <c r="B824" s="4">
        <v>25.847143173217699</v>
      </c>
      <c r="C824" s="4">
        <v>148.22375488281199</v>
      </c>
      <c r="D824" s="4">
        <v>39.059394836425703</v>
      </c>
      <c r="E824" s="4">
        <v>21.8561401367187</v>
      </c>
      <c r="F824" s="4">
        <v>282.69525146484301</v>
      </c>
      <c r="I824" s="5">
        <f>B824/B823-1</f>
        <v>3.5920580879107433E-3</v>
      </c>
      <c r="J824" s="5">
        <f>C824/C823-1</f>
        <v>3.8173819689502064E-3</v>
      </c>
      <c r="K824" s="5">
        <f>D824/D823-1</f>
        <v>2.9828476679118587E-2</v>
      </c>
      <c r="L824" s="5">
        <f>E824/E823-1</f>
        <v>4.1780753792206582E-3</v>
      </c>
      <c r="M824" s="5">
        <f>F824/F823-1</f>
        <v>-7.5787711272412572E-3</v>
      </c>
      <c r="N824" s="5">
        <f>SUMPRODUCT(I824:M824,$AJ$13:$AN$13)</f>
        <v>1.3787510757233997E-2</v>
      </c>
      <c r="P824" s="2" t="s">
        <v>815</v>
      </c>
      <c r="Q824" s="10" cm="1">
        <f t="array" aca="1" ref="Q824:U824" ca="1">_xlfn.LET(_xlpm.array,_xlfn.RANDARRAY(1,COLUMNS(_xlfn.ANCHORARRAY(Q823)),0,1,FALSE),_xlpm.array/SUM(_xlpm.array))</f>
        <v>0.35030236863299635</v>
      </c>
      <c r="R824" s="2">
        <f ca="1"/>
        <v>0.18886671750634745</v>
      </c>
      <c r="S824" s="2">
        <f ca="1"/>
        <v>5.2949148682216923E-2</v>
      </c>
      <c r="T824" s="2">
        <f ca="1"/>
        <v>0.10295430954492049</v>
      </c>
      <c r="U824" s="2">
        <f ca="1"/>
        <v>0.30492745563351875</v>
      </c>
      <c r="V824" s="12"/>
      <c r="X824" s="2" cm="1">
        <f t="array" aca="1" ref="X824" ca="1">MMULT(MMULT(_xlfn.ANCHORARRAY(Q824),$Q$9:$U$13),TRANSPOSE(_xlfn.ANCHORARRAY(Q824)))</f>
        <v>2.5956049484061005E-4</v>
      </c>
      <c r="Y824" s="2">
        <f t="shared" ca="1" si="30"/>
        <v>1.6110881255865864E-2</v>
      </c>
      <c r="Z824" s="2" cm="1">
        <f t="array" aca="1" ref="Z824" ca="1">MMULT(_xlfn.ANCHORARRAY(Q824),TRANSPOSE($Q$3:$U$3))</f>
        <v>7.4035198942533549E-4</v>
      </c>
      <c r="AA824" s="11">
        <f ca="1">AVEDEV(Q824*$Q$3,R824*$R$3,S824*$S$3,T824*$T$3,U824*$U$3)</f>
        <v>4.6049598844522919E-5</v>
      </c>
      <c r="AB824" s="11" cm="1">
        <f t="array" aca="1" ref="AB824" ca="1">MMULT(_xlfn.ANCHORARRAY(Q824),TRANSPOSE($Q$6:$U$6))</f>
        <v>-2.1626146528624629E-2</v>
      </c>
      <c r="AD824" s="2" t="s">
        <v>815</v>
      </c>
      <c r="AE824" s="10" cm="1">
        <f t="array" aca="1" ref="AE824:AI824" ca="1">_xlfn.LET(_xlpm.array,_xlfn.RANDARRAY(1,COLUMNS(_xlfn.ANCHORARRAY(Q823)),-1,1,FALSE),_xlpm.array/SUM(_xlpm.array))</f>
        <v>1.7105807724627573</v>
      </c>
      <c r="AF824" s="10">
        <f ca="1"/>
        <v>-4.0674769125988171</v>
      </c>
      <c r="AG824" s="10">
        <f ca="1"/>
        <v>1.2474554181193855</v>
      </c>
      <c r="AH824" s="10">
        <f ca="1"/>
        <v>-0.64307799730680171</v>
      </c>
      <c r="AI824" s="10">
        <f ca="1"/>
        <v>2.7525187193234761</v>
      </c>
      <c r="AJ824" s="1"/>
      <c r="AK824" s="2" cm="1">
        <f t="array" aca="1" ref="AK824" ca="1">MMULT(MMULT(_xlfn.ANCHORARRAY(AE824),$Q$9:$U$13),TRANSPOSE(_xlfn.ANCHORARRAY(AE824)))</f>
        <v>9.1880518838858439E-3</v>
      </c>
      <c r="AL824" s="2">
        <f t="shared" ca="1" si="31"/>
        <v>9.5854326370205342E-2</v>
      </c>
      <c r="AM824" s="2" cm="1">
        <f t="array" aca="1" ref="AM824" ca="1">MMULT(_xlfn.ANCHORARRAY(AE825),TRANSPOSE($Q$3:$U$3))</f>
        <v>1.1694985769264448E-4</v>
      </c>
    </row>
    <row r="825" spans="1:39" x14ac:dyDescent="0.35">
      <c r="A825" s="3">
        <v>45027</v>
      </c>
      <c r="B825" s="4">
        <v>26.559463500976499</v>
      </c>
      <c r="C825" s="4">
        <v>149.04290771484301</v>
      </c>
      <c r="D825" s="4">
        <v>39.219673156738203</v>
      </c>
      <c r="E825" s="4">
        <v>21.977394104003899</v>
      </c>
      <c r="F825" s="4">
        <v>276.28695678710898</v>
      </c>
      <c r="I825" s="5">
        <f>B825/B824-1</f>
        <v>2.7558957792166883E-2</v>
      </c>
      <c r="J825" s="5">
        <f>C825/C824-1</f>
        <v>5.5264612118257617E-3</v>
      </c>
      <c r="K825" s="5">
        <f>D825/D824-1</f>
        <v>4.1034511923114803E-3</v>
      </c>
      <c r="L825" s="5">
        <f>E825/E824-1</f>
        <v>5.5478216431037453E-3</v>
      </c>
      <c r="M825" s="5">
        <f>F825/F824-1</f>
        <v>-2.2668561443915825E-2</v>
      </c>
      <c r="N825" s="5">
        <f>SUMPRODUCT(I825:M825,$AJ$13:$AN$13)</f>
        <v>-1.0995005385284268E-2</v>
      </c>
      <c r="P825" s="2" t="s">
        <v>816</v>
      </c>
      <c r="Q825" s="10" cm="1">
        <f t="array" aca="1" ref="Q825:U825" ca="1">_xlfn.LET(_xlpm.array,_xlfn.RANDARRAY(1,COLUMNS(_xlfn.ANCHORARRAY(Q824)),0,1,FALSE),_xlpm.array/SUM(_xlpm.array))</f>
        <v>0.31126884783903025</v>
      </c>
      <c r="R825" s="2">
        <f ca="1"/>
        <v>0.16366071246824998</v>
      </c>
      <c r="S825" s="2">
        <f ca="1"/>
        <v>8.5606281042112264E-2</v>
      </c>
      <c r="T825" s="2">
        <f ca="1"/>
        <v>0.20217148370008545</v>
      </c>
      <c r="U825" s="2">
        <f ca="1"/>
        <v>0.23729267495052206</v>
      </c>
      <c r="V825" s="12"/>
      <c r="X825" s="2" cm="1">
        <f t="array" aca="1" ref="X825" ca="1">MMULT(MMULT(_xlfn.ANCHORARRAY(Q825),$Q$9:$U$13),TRANSPOSE(_xlfn.ANCHORARRAY(Q825)))</f>
        <v>2.6627536226362313E-4</v>
      </c>
      <c r="Y825" s="2">
        <f t="shared" ca="1" si="30"/>
        <v>1.6317946018528897E-2</v>
      </c>
      <c r="Z825" s="2" cm="1">
        <f t="array" aca="1" ref="Z825" ca="1">MMULT(_xlfn.ANCHORARRAY(Q825),TRANSPOSE($Q$3:$U$3))</f>
        <v>8.047733921854658E-4</v>
      </c>
      <c r="AA825" s="11">
        <f ca="1">AVEDEV(Q825*$Q$3,R825*$R$3,S825*$S$3,T825*$T$3,U825*$U$3)</f>
        <v>2.6450680738588979E-5</v>
      </c>
      <c r="AB825" s="11" cm="1">
        <f t="array" aca="1" ref="AB825" ca="1">MMULT(_xlfn.ANCHORARRAY(Q825),TRANSPOSE($Q$6:$U$6))</f>
        <v>-2.2285333348236392E-2</v>
      </c>
      <c r="AD825" s="2" t="s">
        <v>816</v>
      </c>
      <c r="AE825" s="10" cm="1">
        <f t="array" aca="1" ref="AE825:AI825" ca="1">_xlfn.LET(_xlpm.array,_xlfn.RANDARRAY(1,COLUMNS(_xlfn.ANCHORARRAY(Q824)),-1,1,FALSE),_xlpm.array/SUM(_xlpm.array))</f>
        <v>0.49607247868633031</v>
      </c>
      <c r="AF825" s="10">
        <f ca="1"/>
        <v>1.2372662082573604</v>
      </c>
      <c r="AG825" s="10">
        <f ca="1"/>
        <v>-0.70686835000748283</v>
      </c>
      <c r="AH825" s="10">
        <f ca="1"/>
        <v>0.50444694839509574</v>
      </c>
      <c r="AI825" s="10">
        <f ca="1"/>
        <v>-0.53091728533130356</v>
      </c>
      <c r="AJ825" s="1"/>
      <c r="AK825" s="2" cm="1">
        <f t="array" aca="1" ref="AK825" ca="1">MMULT(MMULT(_xlfn.ANCHORARRAY(AE825),$Q$9:$U$13),TRANSPOSE(_xlfn.ANCHORARRAY(AE825)))</f>
        <v>1.5878610736548358E-3</v>
      </c>
      <c r="AL825" s="2">
        <f t="shared" ca="1" si="31"/>
        <v>3.9847974523868034E-2</v>
      </c>
      <c r="AM825" s="2" cm="1">
        <f t="array" aca="1" ref="AM825" ca="1">MMULT(_xlfn.ANCHORARRAY(AE826),TRANSPOSE($Q$3:$U$3))</f>
        <v>1.4489703372043471E-3</v>
      </c>
    </row>
    <row r="826" spans="1:39" x14ac:dyDescent="0.35">
      <c r="A826" s="3">
        <v>45028</v>
      </c>
      <c r="B826" s="4">
        <v>26.346687316894499</v>
      </c>
      <c r="C826" s="4">
        <v>149.57138061523401</v>
      </c>
      <c r="D826" s="4">
        <v>39.474220275878899</v>
      </c>
      <c r="E826" s="4">
        <v>22.265375137329102</v>
      </c>
      <c r="F826" s="4">
        <v>276.931640625</v>
      </c>
      <c r="I826" s="5">
        <f>B826/B825-1</f>
        <v>-8.0113133337266218E-3</v>
      </c>
      <c r="J826" s="5">
        <f>C826/C825-1</f>
        <v>3.5457769074265233E-3</v>
      </c>
      <c r="K826" s="5">
        <f>D826/D825-1</f>
        <v>6.4902916993576643E-3</v>
      </c>
      <c r="L826" s="5">
        <f>E826/E825-1</f>
        <v>1.3103511360918585E-2</v>
      </c>
      <c r="M826" s="5">
        <f>F826/F825-1</f>
        <v>2.3333849899682679E-3</v>
      </c>
      <c r="N826" s="5">
        <f>SUMPRODUCT(I826:M826,$AJ$13:$AN$13)</f>
        <v>1.2482288434785698E-2</v>
      </c>
      <c r="P826" s="2" t="s">
        <v>817</v>
      </c>
      <c r="Q826" s="10" cm="1">
        <f t="array" aca="1" ref="Q826:U826" ca="1">_xlfn.LET(_xlpm.array,_xlfn.RANDARRAY(1,COLUMNS(_xlfn.ANCHORARRAY(Q825)),0,1,FALSE),_xlpm.array/SUM(_xlpm.array))</f>
        <v>0.30089904924505256</v>
      </c>
      <c r="R826" s="2">
        <f ca="1"/>
        <v>0.41691724699249344</v>
      </c>
      <c r="S826" s="2">
        <f ca="1"/>
        <v>0.20661466612035326</v>
      </c>
      <c r="T826" s="2">
        <f ca="1"/>
        <v>6.2022112499524752E-2</v>
      </c>
      <c r="U826" s="2">
        <f ca="1"/>
        <v>1.3546925142575895E-2</v>
      </c>
      <c r="V826" s="12"/>
      <c r="X826" s="2" cm="1">
        <f t="array" aca="1" ref="X826" ca="1">MMULT(MMULT(_xlfn.ANCHORARRAY(Q826),$Q$9:$U$13),TRANSPOSE(_xlfn.ANCHORARRAY(Q826)))</f>
        <v>3.2981071581552614E-4</v>
      </c>
      <c r="Y826" s="2">
        <f t="shared" ca="1" si="30"/>
        <v>1.8160691501579066E-2</v>
      </c>
      <c r="Z826" s="2" cm="1">
        <f t="array" aca="1" ref="Z826" ca="1">MMULT(_xlfn.ANCHORARRAY(Q826),TRANSPOSE($Q$3:$U$3))</f>
        <v>8.6664671394960213E-4</v>
      </c>
      <c r="AA826" s="11">
        <f ca="1">AVEDEV(Q826*$Q$3,R826*$R$3,S826*$S$3,T826*$T$3,U826*$U$3)</f>
        <v>1.1733317840108397E-4</v>
      </c>
      <c r="AB826" s="11" cm="1">
        <f t="array" aca="1" ref="AB826" ca="1">MMULT(_xlfn.ANCHORARRAY(Q826),TRANSPOSE($Q$6:$U$6))</f>
        <v>-2.2533067940377446E-2</v>
      </c>
      <c r="AD826" s="2" t="s">
        <v>817</v>
      </c>
      <c r="AE826" s="10" cm="1">
        <f t="array" aca="1" ref="AE826:AI826" ca="1">_xlfn.LET(_xlpm.array,_xlfn.RANDARRAY(1,COLUMNS(_xlfn.ANCHORARRAY(Q825)),-1,1,FALSE),_xlpm.array/SUM(_xlpm.array))</f>
        <v>-0.37803501229707753</v>
      </c>
      <c r="AF826" s="10">
        <f ca="1"/>
        <v>0.51485550807470803</v>
      </c>
      <c r="AG826" s="10">
        <f ca="1"/>
        <v>0.73966489659729706</v>
      </c>
      <c r="AH826" s="10">
        <f ca="1"/>
        <v>-0.1189787064068752</v>
      </c>
      <c r="AI826" s="10">
        <f ca="1"/>
        <v>0.24249331403194754</v>
      </c>
      <c r="AJ826" s="1"/>
      <c r="AK826" s="2" cm="1">
        <f t="array" aca="1" ref="AK826" ca="1">MMULT(MMULT(_xlfn.ANCHORARRAY(AE826),$Q$9:$U$13),TRANSPOSE(_xlfn.ANCHORARRAY(AE826)))</f>
        <v>6.2341202529639134E-4</v>
      </c>
      <c r="AL826" s="2">
        <f t="shared" ca="1" si="31"/>
        <v>2.496822030695002E-2</v>
      </c>
      <c r="AM826" s="2" cm="1">
        <f t="array" aca="1" ref="AM826" ca="1">MMULT(_xlfn.ANCHORARRAY(AE827),TRANSPOSE($Q$3:$U$3))</f>
        <v>6.9327492885369948E-4</v>
      </c>
    </row>
    <row r="827" spans="1:39" x14ac:dyDescent="0.35">
      <c r="A827" s="3">
        <v>45029</v>
      </c>
      <c r="B827" s="4">
        <v>26.420698165893501</v>
      </c>
      <c r="C827" s="4">
        <v>151.57066345214801</v>
      </c>
      <c r="D827" s="4">
        <v>40.209590911865199</v>
      </c>
      <c r="E827" s="4">
        <v>22.371475219726499</v>
      </c>
      <c r="F827" s="4">
        <v>283.13479614257801</v>
      </c>
      <c r="I827" s="5">
        <f>B827/B826-1</f>
        <v>2.8091140304968842E-3</v>
      </c>
      <c r="J827" s="5">
        <f>C827/C826-1</f>
        <v>1.3366747225908693E-2</v>
      </c>
      <c r="K827" s="5">
        <f>D827/D826-1</f>
        <v>1.8629136455309725E-2</v>
      </c>
      <c r="L827" s="5">
        <f>E827/E826-1</f>
        <v>4.7652501582833295E-3</v>
      </c>
      <c r="M827" s="5">
        <f>F827/F826-1</f>
        <v>2.2399591117787221E-2</v>
      </c>
      <c r="N827" s="5">
        <f>SUMPRODUCT(I827:M827,$AJ$13:$AN$13)</f>
        <v>1.815841718415754E-2</v>
      </c>
      <c r="P827" s="2" t="s">
        <v>818</v>
      </c>
      <c r="Q827" s="10" cm="1">
        <f t="array" aca="1" ref="Q827:U827" ca="1">_xlfn.LET(_xlpm.array,_xlfn.RANDARRAY(1,COLUMNS(_xlfn.ANCHORARRAY(Q826)),0,1,FALSE),_xlpm.array/SUM(_xlpm.array))</f>
        <v>1.6670573353409275E-2</v>
      </c>
      <c r="R827" s="2">
        <f ca="1"/>
        <v>0.43436079920440884</v>
      </c>
      <c r="S827" s="2">
        <f ca="1"/>
        <v>0.16063806642257389</v>
      </c>
      <c r="T827" s="2">
        <f ca="1"/>
        <v>0.31384467749982309</v>
      </c>
      <c r="U827" s="2">
        <f ca="1"/>
        <v>7.448588351978494E-2</v>
      </c>
      <c r="V827" s="12"/>
      <c r="X827" s="2" cm="1">
        <f t="array" aca="1" ref="X827" ca="1">MMULT(MMULT(_xlfn.ANCHORARRAY(Q827),$Q$9:$U$13),TRANSPOSE(_xlfn.ANCHORARRAY(Q827)))</f>
        <v>3.3927227033030702E-4</v>
      </c>
      <c r="Y827" s="2">
        <f t="shared" ca="1" si="30"/>
        <v>1.8419345002749339E-2</v>
      </c>
      <c r="Z827" s="2" cm="1">
        <f t="array" aca="1" ref="Z827" ca="1">MMULT(_xlfn.ANCHORARRAY(Q827),TRANSPOSE($Q$3:$U$3))</f>
        <v>9.6413622756978126E-4</v>
      </c>
      <c r="AA827" s="11">
        <f ca="1">AVEDEV(Q827*$Q$3,R827*$R$3,S827*$S$3,T827*$T$3,U827*$U$3)</f>
        <v>1.2808436891643534E-4</v>
      </c>
      <c r="AB827" s="11" cm="1">
        <f t="array" aca="1" ref="AB827" ca="1">MMULT(_xlfn.ANCHORARRAY(Q827),TRANSPOSE($Q$6:$U$6))</f>
        <v>-2.3065648636249367E-2</v>
      </c>
      <c r="AD827" s="2" t="s">
        <v>818</v>
      </c>
      <c r="AE827" s="10" cm="1">
        <f t="array" aca="1" ref="AE827:AI827" ca="1">_xlfn.LET(_xlpm.array,_xlfn.RANDARRAY(1,COLUMNS(_xlfn.ANCHORARRAY(Q826)),-1,1,FALSE),_xlpm.array/SUM(_xlpm.array))</f>
        <v>0.25093122626617742</v>
      </c>
      <c r="AF827" s="10">
        <f ca="1"/>
        <v>0.64034215482773438</v>
      </c>
      <c r="AG827" s="10">
        <f ca="1"/>
        <v>6.4001810375372333E-3</v>
      </c>
      <c r="AH827" s="10">
        <f ca="1"/>
        <v>3.6915565816064345E-2</v>
      </c>
      <c r="AI827" s="10">
        <f ca="1"/>
        <v>6.5410872052486621E-2</v>
      </c>
      <c r="AJ827" s="1"/>
      <c r="AK827" s="2" cm="1">
        <f t="array" aca="1" ref="AK827" ca="1">MMULT(MMULT(_xlfn.ANCHORARRAY(AE827),$Q$9:$U$13),TRANSPOSE(_xlfn.ANCHORARRAY(AE827)))</f>
        <v>3.4486467489794776E-4</v>
      </c>
      <c r="AL827" s="2">
        <f t="shared" ca="1" si="31"/>
        <v>1.8570532434422762E-2</v>
      </c>
      <c r="AM827" s="2" cm="1">
        <f t="array" aca="1" ref="AM827" ca="1">MMULT(_xlfn.ANCHORARRAY(AE828),TRANSPOSE($Q$3:$U$3))</f>
        <v>6.7270171505395609E-4</v>
      </c>
    </row>
    <row r="828" spans="1:39" x14ac:dyDescent="0.35">
      <c r="A828" s="3">
        <v>45030</v>
      </c>
      <c r="B828" s="4">
        <v>27.308792114257798</v>
      </c>
      <c r="C828" s="4">
        <v>151.87895202636699</v>
      </c>
      <c r="D828" s="4">
        <v>40.803539276122997</v>
      </c>
      <c r="E828" s="4">
        <v>22.3866271972656</v>
      </c>
      <c r="F828" s="4">
        <v>279.52035522460898</v>
      </c>
      <c r="I828" s="5">
        <f>B828/B827-1</f>
        <v>3.3613568528281235E-2</v>
      </c>
      <c r="J828" s="5">
        <f>C828/C827-1</f>
        <v>2.0339593902767295E-3</v>
      </c>
      <c r="K828" s="5">
        <f>D828/D827-1</f>
        <v>1.47713107939762E-2</v>
      </c>
      <c r="L828" s="5">
        <f>E828/E827-1</f>
        <v>6.7729004861249997E-4</v>
      </c>
      <c r="M828" s="5">
        <f>F828/F827-1</f>
        <v>-1.2765795540541469E-2</v>
      </c>
      <c r="N828" s="5">
        <f>SUMPRODUCT(I828:M828,$AJ$13:$AN$13)</f>
        <v>-6.0450053897779304E-3</v>
      </c>
      <c r="P828" s="2" t="s">
        <v>819</v>
      </c>
      <c r="Q828" s="10" cm="1">
        <f t="array" aca="1" ref="Q828:U828" ca="1">_xlfn.LET(_xlpm.array,_xlfn.RANDARRAY(1,COLUMNS(_xlfn.ANCHORARRAY(Q827)),0,1,FALSE),_xlpm.array/SUM(_xlpm.array))</f>
        <v>0.29537852752999777</v>
      </c>
      <c r="R828" s="2">
        <f ca="1"/>
        <v>0.12340656637678747</v>
      </c>
      <c r="S828" s="2">
        <f ca="1"/>
        <v>0.16271718599960178</v>
      </c>
      <c r="T828" s="2">
        <f ca="1"/>
        <v>0.31315083614867123</v>
      </c>
      <c r="U828" s="2">
        <f ca="1"/>
        <v>0.10534688394494189</v>
      </c>
      <c r="V828" s="12"/>
      <c r="X828" s="2" cm="1">
        <f t="array" aca="1" ref="X828" ca="1">MMULT(MMULT(_xlfn.ANCHORARRAY(Q828),$Q$9:$U$13),TRANSPOSE(_xlfn.ANCHORARRAY(Q828)))</f>
        <v>3.0083283969730741E-4</v>
      </c>
      <c r="Y828" s="2">
        <f t="shared" ca="1" si="30"/>
        <v>1.7344533424030393E-2</v>
      </c>
      <c r="Z828" s="2" cm="1">
        <f t="array" aca="1" ref="Z828" ca="1">MMULT(_xlfn.ANCHORARRAY(Q828),TRANSPOSE($Q$3:$U$3))</f>
        <v>9.0498938160953524E-4</v>
      </c>
      <c r="AA828" s="11">
        <f ca="1">AVEDEV(Q828*$Q$3,R828*$R$3,S828*$S$3,T828*$T$3,U828*$U$3)</f>
        <v>8.8870936298050777E-5</v>
      </c>
      <c r="AB828" s="11" cm="1">
        <f t="array" aca="1" ref="AB828" ca="1">MMULT(_xlfn.ANCHORARRAY(Q828),TRANSPOSE($Q$6:$U$6))</f>
        <v>-2.3343037061094925E-2</v>
      </c>
      <c r="AD828" s="2" t="s">
        <v>819</v>
      </c>
      <c r="AE828" s="10" cm="1">
        <f t="array" aca="1" ref="AE828:AI828" ca="1">_xlfn.LET(_xlpm.array,_xlfn.RANDARRAY(1,COLUMNS(_xlfn.ANCHORARRAY(Q827)),-1,1,FALSE),_xlpm.array/SUM(_xlpm.array))</f>
        <v>-0.57453336461863347</v>
      </c>
      <c r="AF828" s="10">
        <f ca="1"/>
        <v>0.9167404733193717</v>
      </c>
      <c r="AG828" s="10">
        <f ca="1"/>
        <v>-0.48338005267752043</v>
      </c>
      <c r="AH828" s="10">
        <f ca="1"/>
        <v>0.80792519338746438</v>
      </c>
      <c r="AI828" s="10">
        <f ca="1"/>
        <v>0.33324775058931794</v>
      </c>
      <c r="AJ828" s="1"/>
      <c r="AK828" s="2" cm="1">
        <f t="array" aca="1" ref="AK828" ca="1">MMULT(MMULT(_xlfn.ANCHORARRAY(AE828),$Q$9:$U$13),TRANSPOSE(_xlfn.ANCHORARRAY(AE828)))</f>
        <v>9.6133704652617347E-4</v>
      </c>
      <c r="AL828" s="2">
        <f t="shared" ca="1" si="31"/>
        <v>3.1005435757721151E-2</v>
      </c>
      <c r="AM828" s="2" cm="1">
        <f t="array" aca="1" ref="AM828" ca="1">MMULT(_xlfn.ANCHORARRAY(AE829),TRANSPOSE($Q$3:$U$3))</f>
        <v>8.3541790139808354E-4</v>
      </c>
    </row>
    <row r="829" spans="1:39" x14ac:dyDescent="0.35">
      <c r="A829" s="3">
        <v>45033</v>
      </c>
      <c r="B829" s="4">
        <v>28.095119476318299</v>
      </c>
      <c r="C829" s="4">
        <v>150.54017639160099</v>
      </c>
      <c r="D829" s="4">
        <v>41.416355133056598</v>
      </c>
      <c r="E829" s="4">
        <v>22.219905853271399</v>
      </c>
      <c r="F829" s="4">
        <v>282.11886596679602</v>
      </c>
      <c r="I829" s="5">
        <f>B829/B828-1</f>
        <v>2.8793926833913686E-2</v>
      </c>
      <c r="J829" s="5">
        <f>C829/C828-1</f>
        <v>-8.8147542296287407E-3</v>
      </c>
      <c r="K829" s="5">
        <f>D829/D828-1</f>
        <v>1.5018693667394833E-2</v>
      </c>
      <c r="L829" s="5">
        <f>E829/E828-1</f>
        <v>-7.4473632193493566E-3</v>
      </c>
      <c r="M829" s="5">
        <f>F829/F828-1</f>
        <v>9.2963202629698927E-3</v>
      </c>
      <c r="N829" s="5">
        <f>SUMPRODUCT(I829:M829,$AJ$13:$AN$13)</f>
        <v>-5.9340910750538571E-4</v>
      </c>
      <c r="P829" s="2" t="s">
        <v>820</v>
      </c>
      <c r="Q829" s="10" cm="1">
        <f t="array" aca="1" ref="Q829:U829" ca="1">_xlfn.LET(_xlpm.array,_xlfn.RANDARRAY(1,COLUMNS(_xlfn.ANCHORARRAY(Q828)),0,1,FALSE),_xlpm.array/SUM(_xlpm.array))</f>
        <v>0.51476192249269659</v>
      </c>
      <c r="R829" s="2">
        <f ca="1"/>
        <v>8.2629222065875751E-2</v>
      </c>
      <c r="S829" s="2">
        <f ca="1"/>
        <v>2.9419148514760997E-2</v>
      </c>
      <c r="T829" s="2">
        <f ca="1"/>
        <v>0.27713624188361619</v>
      </c>
      <c r="U829" s="2">
        <f ca="1"/>
        <v>9.6053465043050512E-2</v>
      </c>
      <c r="V829" s="12"/>
      <c r="X829" s="2" cm="1">
        <f t="array" aca="1" ref="X829" ca="1">MMULT(MMULT(_xlfn.ANCHORARRAY(Q829),$Q$9:$U$13),TRANSPOSE(_xlfn.ANCHORARRAY(Q829)))</f>
        <v>3.1740232042113878E-4</v>
      </c>
      <c r="Y829" s="2">
        <f t="shared" ca="1" si="30"/>
        <v>1.7815788515278767E-2</v>
      </c>
      <c r="Z829" s="2" cm="1">
        <f t="array" aca="1" ref="Z829" ca="1">MMULT(_xlfn.ANCHORARRAY(Q829),TRANSPOSE($Q$3:$U$3))</f>
        <v>7.2633561047746799E-4</v>
      </c>
      <c r="AA829" s="11">
        <f ca="1">AVEDEV(Q829*$Q$3,R829*$R$3,S829*$S$3,T829*$T$3,U829*$U$3)</f>
        <v>1.0168748093193118E-4</v>
      </c>
      <c r="AB829" s="11" cm="1">
        <f t="array" aca="1" ref="AB829" ca="1">MMULT(_xlfn.ANCHORARRAY(Q829),TRANSPOSE($Q$6:$U$6))</f>
        <v>-2.2531153677476809E-2</v>
      </c>
      <c r="AD829" s="2" t="s">
        <v>820</v>
      </c>
      <c r="AE829" s="10" cm="1">
        <f t="array" aca="1" ref="AE829:AI829" ca="1">_xlfn.LET(_xlpm.array,_xlfn.RANDARRAY(1,COLUMNS(_xlfn.ANCHORARRAY(Q828)),-1,1,FALSE),_xlpm.array/SUM(_xlpm.array))</f>
        <v>0.15845708160435606</v>
      </c>
      <c r="AF829" s="10">
        <f ca="1"/>
        <v>0.35167140466406482</v>
      </c>
      <c r="AG829" s="10">
        <f ca="1"/>
        <v>0.23074518770240313</v>
      </c>
      <c r="AH829" s="10">
        <f ca="1"/>
        <v>-0.29149659727911109</v>
      </c>
      <c r="AI829" s="10">
        <f ca="1"/>
        <v>0.5506229233082871</v>
      </c>
      <c r="AJ829" s="1"/>
      <c r="AK829" s="2" cm="1">
        <f t="array" aca="1" ref="AK829" ca="1">MMULT(MMULT(_xlfn.ANCHORARRAY(AE829),$Q$9:$U$13),TRANSPOSE(_xlfn.ANCHORARRAY(AE829)))</f>
        <v>3.2996144736342401E-4</v>
      </c>
      <c r="AL829" s="2">
        <f t="shared" ca="1" si="31"/>
        <v>1.8164840967193299E-2</v>
      </c>
      <c r="AM829" s="2" cm="1">
        <f t="array" aca="1" ref="AM829" ca="1">MMULT(_xlfn.ANCHORARRAY(AE830),TRANSPOSE($Q$3:$U$3))</f>
        <v>1.0830212555951648E-3</v>
      </c>
    </row>
    <row r="830" spans="1:39" x14ac:dyDescent="0.35">
      <c r="A830" s="3">
        <v>45034</v>
      </c>
      <c r="B830" s="4">
        <v>28.270889282226499</v>
      </c>
      <c r="C830" s="4">
        <v>150.187896728515</v>
      </c>
      <c r="D830" s="4">
        <v>42.896507263183501</v>
      </c>
      <c r="E830" s="4">
        <v>22.022865295410099</v>
      </c>
      <c r="F830" s="4">
        <v>281.69876098632801</v>
      </c>
      <c r="I830" s="5">
        <f>B830/B829-1</f>
        <v>6.2562398446590617E-3</v>
      </c>
      <c r="J830" s="5">
        <f>C830/C829-1</f>
        <v>-2.3401039611485874E-3</v>
      </c>
      <c r="K830" s="5">
        <f>D830/D829-1</f>
        <v>3.5738348422300392E-2</v>
      </c>
      <c r="L830" s="5">
        <f>E830/E829-1</f>
        <v>-8.8677494478353047E-3</v>
      </c>
      <c r="M830" s="5">
        <f>F830/F829-1</f>
        <v>-1.4891062993194204E-3</v>
      </c>
      <c r="N830" s="5">
        <f>SUMPRODUCT(I830:M830,$AJ$13:$AN$13)</f>
        <v>1.2234313767676426E-2</v>
      </c>
      <c r="P830" s="2" t="s">
        <v>821</v>
      </c>
      <c r="Q830" s="10" cm="1">
        <f t="array" aca="1" ref="Q830:U830" ca="1">_xlfn.LET(_xlpm.array,_xlfn.RANDARRAY(1,COLUMNS(_xlfn.ANCHORARRAY(Q829)),0,1,FALSE),_xlpm.array/SUM(_xlpm.array))</f>
        <v>0.37244895478280127</v>
      </c>
      <c r="R830" s="2">
        <f ca="1"/>
        <v>3.6711548114717593E-2</v>
      </c>
      <c r="S830" s="2">
        <f ca="1"/>
        <v>0.22467324880379777</v>
      </c>
      <c r="T830" s="2">
        <f ca="1"/>
        <v>0.33953491510079592</v>
      </c>
      <c r="U830" s="2">
        <f ca="1"/>
        <v>2.6631333197887477E-2</v>
      </c>
      <c r="V830" s="12"/>
      <c r="X830" s="2" cm="1">
        <f t="array" aca="1" ref="X830" ca="1">MMULT(MMULT(_xlfn.ANCHORARRAY(Q830),$Q$9:$U$13),TRANSPOSE(_xlfn.ANCHORARRAY(Q830)))</f>
        <v>3.3135042218254067E-4</v>
      </c>
      <c r="Y830" s="2">
        <f t="shared" ca="1" si="30"/>
        <v>1.8203033323667257E-2</v>
      </c>
      <c r="Z830" s="2" cm="1">
        <f t="array" aca="1" ref="Z830" ca="1">MMULT(_xlfn.ANCHORARRAY(Q830),TRANSPOSE($Q$3:$U$3))</f>
        <v>9.4821728063789195E-4</v>
      </c>
      <c r="AA830" s="11">
        <f ca="1">AVEDEV(Q830*$Q$3,R830*$R$3,S830*$S$3,T830*$T$3,U830*$U$3)</f>
        <v>1.329829207863472E-4</v>
      </c>
      <c r="AB830" s="11" cm="1">
        <f t="array" aca="1" ref="AB830" ca="1">MMULT(_xlfn.ANCHORARRAY(Q830),TRANSPOSE($Q$6:$U$6))</f>
        <v>-2.3984187215427877E-2</v>
      </c>
      <c r="AD830" s="2" t="s">
        <v>821</v>
      </c>
      <c r="AE830" s="10" cm="1">
        <f t="array" aca="1" ref="AE830:AI830" ca="1">_xlfn.LET(_xlpm.array,_xlfn.RANDARRAY(1,COLUMNS(_xlfn.ANCHORARRAY(Q829)),-1,1,FALSE),_xlpm.array/SUM(_xlpm.array))</f>
        <v>2.1512100225890576</v>
      </c>
      <c r="AF830" s="10">
        <f ca="1"/>
        <v>-0.45288491184140361</v>
      </c>
      <c r="AG830" s="10">
        <f ca="1"/>
        <v>1.3102259728720054</v>
      </c>
      <c r="AH830" s="10">
        <f ca="1"/>
        <v>-1.0561047339669234</v>
      </c>
      <c r="AI830" s="10">
        <f ca="1"/>
        <v>-0.95244634965273589</v>
      </c>
      <c r="AJ830" s="1"/>
      <c r="AK830" s="2" cm="1">
        <f t="array" aca="1" ref="AK830" ca="1">MMULT(MMULT(_xlfn.ANCHORARRAY(AE830),$Q$9:$U$13),TRANSPOSE(_xlfn.ANCHORARRAY(AE830)))</f>
        <v>3.0134877918147722E-3</v>
      </c>
      <c r="AL830" s="2">
        <f t="shared" ca="1" si="31"/>
        <v>5.4895243799574951E-2</v>
      </c>
      <c r="AM830" s="2" cm="1">
        <f t="array" aca="1" ref="AM830" ca="1">MMULT(_xlfn.ANCHORARRAY(AE831),TRANSPOSE($Q$3:$U$3))</f>
        <v>6.2236243334798423E-4</v>
      </c>
    </row>
    <row r="831" spans="1:39" x14ac:dyDescent="0.35">
      <c r="A831" s="3">
        <v>45035</v>
      </c>
      <c r="B831" s="4">
        <v>27.8083400726318</v>
      </c>
      <c r="C831" s="4">
        <v>150.32881164550699</v>
      </c>
      <c r="D831" s="4">
        <v>41.322078704833899</v>
      </c>
      <c r="E831" s="4">
        <v>21.606052398681602</v>
      </c>
      <c r="F831" s="4">
        <v>281.77697753906199</v>
      </c>
      <c r="I831" s="5">
        <f>B831/B830-1</f>
        <v>-1.6361325071068689E-2</v>
      </c>
      <c r="J831" s="5">
        <f>C831/C830-1</f>
        <v>9.3825747654419089E-4</v>
      </c>
      <c r="K831" s="5">
        <f>D831/D830-1</f>
        <v>-3.6702954594647785E-2</v>
      </c>
      <c r="L831" s="5">
        <f>E831/E830-1</f>
        <v>-1.8926369985805991E-2</v>
      </c>
      <c r="M831" s="5">
        <f>F831/F830-1</f>
        <v>2.7766026538467159E-4</v>
      </c>
      <c r="N831" s="5">
        <f>SUMPRODUCT(I831:M831,$AJ$13:$AN$13)</f>
        <v>-2.3159766572040628E-2</v>
      </c>
      <c r="P831" s="2" t="s">
        <v>822</v>
      </c>
      <c r="Q831" s="10" cm="1">
        <f t="array" aca="1" ref="Q831:U831" ca="1">_xlfn.LET(_xlpm.array,_xlfn.RANDARRAY(1,COLUMNS(_xlfn.ANCHORARRAY(Q830)),0,1,FALSE),_xlpm.array/SUM(_xlpm.array))</f>
        <v>0.13188865273152639</v>
      </c>
      <c r="R831" s="2">
        <f ca="1"/>
        <v>0.44364707946211962</v>
      </c>
      <c r="S831" s="2">
        <f ca="1"/>
        <v>0.25778057185618608</v>
      </c>
      <c r="T831" s="2">
        <f ca="1"/>
        <v>8.4089517519846217E-3</v>
      </c>
      <c r="U831" s="2">
        <f ca="1"/>
        <v>0.1582747441981833</v>
      </c>
      <c r="V831" s="12"/>
      <c r="X831" s="2" cm="1">
        <f t="array" aca="1" ref="X831" ca="1">MMULT(MMULT(_xlfn.ANCHORARRAY(Q831),$Q$9:$U$13),TRANSPOSE(_xlfn.ANCHORARRAY(Q831)))</f>
        <v>3.0554548402905566E-4</v>
      </c>
      <c r="Y831" s="2">
        <f t="shared" ca="1" si="30"/>
        <v>1.7479859382416543E-2</v>
      </c>
      <c r="Z831" s="2" cm="1">
        <f t="array" aca="1" ref="Z831" ca="1">MMULT(_xlfn.ANCHORARRAY(Q831),TRANSPOSE($Q$3:$U$3))</f>
        <v>9.3928395381800641E-4</v>
      </c>
      <c r="AA831" s="11">
        <f ca="1">AVEDEV(Q831*$Q$3,R831*$R$3,S831*$S$3,T831*$T$3,U831*$U$3)</f>
        <v>1.4675627519171428E-4</v>
      </c>
      <c r="AB831" s="11" cm="1">
        <f t="array" aca="1" ref="AB831" ca="1">MMULT(_xlfn.ANCHORARRAY(Q831),TRANSPOSE($Q$6:$U$6))</f>
        <v>-2.238498707340305E-2</v>
      </c>
      <c r="AD831" s="2" t="s">
        <v>822</v>
      </c>
      <c r="AE831" s="10" cm="1">
        <f t="array" aca="1" ref="AE831:AI831" ca="1">_xlfn.LET(_xlpm.array,_xlfn.RANDARRAY(1,COLUMNS(_xlfn.ANCHORARRAY(Q830)),-1,1,FALSE),_xlpm.array/SUM(_xlpm.array))</f>
        <v>0.54169621242364729</v>
      </c>
      <c r="AF831" s="10">
        <f ca="1"/>
        <v>0.58465627104644935</v>
      </c>
      <c r="AG831" s="10">
        <f ca="1"/>
        <v>-0.12740290684245256</v>
      </c>
      <c r="AH831" s="10">
        <f ca="1"/>
        <v>0.49153255629207504</v>
      </c>
      <c r="AI831" s="10">
        <f ca="1"/>
        <v>-0.49048213291971915</v>
      </c>
      <c r="AJ831" s="1"/>
      <c r="AK831" s="2" cm="1">
        <f t="array" aca="1" ref="AK831" ca="1">MMULT(MMULT(_xlfn.ANCHORARRAY(AE831),$Q$9:$U$13),TRANSPOSE(_xlfn.ANCHORARRAY(AE831)))</f>
        <v>7.681564034094728E-4</v>
      </c>
      <c r="AL831" s="2">
        <f t="shared" ca="1" si="31"/>
        <v>2.7715634638403517E-2</v>
      </c>
      <c r="AM831" s="2" cm="1">
        <f t="array" aca="1" ref="AM831" ca="1">MMULT(_xlfn.ANCHORARRAY(AE832),TRANSPOSE($Q$3:$U$3))</f>
        <v>2.7298984113565379E-3</v>
      </c>
    </row>
    <row r="832" spans="1:39" x14ac:dyDescent="0.35">
      <c r="A832" s="3">
        <v>45036</v>
      </c>
      <c r="B832" s="4">
        <v>27.660326004028299</v>
      </c>
      <c r="C832" s="4">
        <v>149.59776306152301</v>
      </c>
      <c r="D832" s="4">
        <v>40.464141845703097</v>
      </c>
      <c r="E832" s="4">
        <v>21.659101486206001</v>
      </c>
      <c r="F832" s="4">
        <v>279.491119384765</v>
      </c>
      <c r="I832" s="5">
        <f>B832/B831-1</f>
        <v>-5.3226502630832062E-3</v>
      </c>
      <c r="J832" s="5">
        <f>C832/C831-1</f>
        <v>-4.862997159239657E-3</v>
      </c>
      <c r="K832" s="5">
        <f>D832/D831-1</f>
        <v>-2.0762190238760692E-2</v>
      </c>
      <c r="L832" s="5">
        <f>E832/E831-1</f>
        <v>2.4552882935540143E-3</v>
      </c>
      <c r="M832" s="5">
        <f>F832/F831-1</f>
        <v>-8.1122956682296854E-3</v>
      </c>
      <c r="N832" s="5">
        <f>SUMPRODUCT(I832:M832,$AJ$13:$AN$13)</f>
        <v>-1.0674232481685249E-2</v>
      </c>
      <c r="P832" s="2" t="s">
        <v>823</v>
      </c>
      <c r="Q832" s="10" cm="1">
        <f t="array" aca="1" ref="Q832:U832" ca="1">_xlfn.LET(_xlpm.array,_xlfn.RANDARRAY(1,COLUMNS(_xlfn.ANCHORARRAY(Q831)),0,1,FALSE),_xlpm.array/SUM(_xlpm.array))</f>
        <v>0.27033884448618295</v>
      </c>
      <c r="R832" s="2">
        <f ca="1"/>
        <v>0.22657608129619214</v>
      </c>
      <c r="S832" s="2">
        <f ca="1"/>
        <v>0.25441035416280727</v>
      </c>
      <c r="T832" s="2">
        <f ca="1"/>
        <v>8.0556746889522926E-2</v>
      </c>
      <c r="U832" s="2">
        <f ca="1"/>
        <v>0.16811797316529492</v>
      </c>
      <c r="V832" s="12"/>
      <c r="X832" s="2" cm="1">
        <f t="array" aca="1" ref="X832" ca="1">MMULT(MMULT(_xlfn.ANCHORARRAY(Q832),$Q$9:$U$13),TRANSPOSE(_xlfn.ANCHORARRAY(Q832)))</f>
        <v>2.9438804291176705E-4</v>
      </c>
      <c r="Y832" s="2">
        <f t="shared" ca="1" si="30"/>
        <v>1.7157740029262802E-2</v>
      </c>
      <c r="Z832" s="2" cm="1">
        <f t="array" aca="1" ref="Z832" ca="1">MMULT(_xlfn.ANCHORARRAY(Q832),TRANSPOSE($Q$3:$U$3))</f>
        <v>9.2689984318584245E-4</v>
      </c>
      <c r="AA832" s="11">
        <f ca="1">AVEDEV(Q832*$Q$3,R832*$R$3,S832*$S$3,T832*$T$3,U832*$U$3)</f>
        <v>9.1113057290497955E-5</v>
      </c>
      <c r="AB832" s="11" cm="1">
        <f t="array" aca="1" ref="AB832" ca="1">MMULT(_xlfn.ANCHORARRAY(Q832),TRANSPOSE($Q$6:$U$6))</f>
        <v>-2.2827397600013198E-2</v>
      </c>
      <c r="AD832" s="2" t="s">
        <v>823</v>
      </c>
      <c r="AE832" s="10" cm="1">
        <f t="array" aca="1" ref="AE832:AI832" ca="1">_xlfn.LET(_xlpm.array,_xlfn.RANDARRAY(1,COLUMNS(_xlfn.ANCHORARRAY(Q831)),-1,1,FALSE),_xlpm.array/SUM(_xlpm.array))</f>
        <v>-3.2047731720525783</v>
      </c>
      <c r="AF832" s="10">
        <f ca="1"/>
        <v>0.38722623758580627</v>
      </c>
      <c r="AG832" s="10">
        <f ca="1"/>
        <v>0.73023819901630549</v>
      </c>
      <c r="AH832" s="10">
        <f ca="1"/>
        <v>2.0590845263965472</v>
      </c>
      <c r="AI832" s="10">
        <f ca="1"/>
        <v>1.0282242090539195</v>
      </c>
      <c r="AJ832" s="1"/>
      <c r="AK832" s="2" cm="1">
        <f t="array" aca="1" ref="AK832" ca="1">MMULT(MMULT(_xlfn.ANCHORARRAY(AE832),$Q$9:$U$13),TRANSPOSE(_xlfn.ANCHORARRAY(AE832)))</f>
        <v>4.2897776181939984E-3</v>
      </c>
      <c r="AL832" s="2">
        <f t="shared" ca="1" si="31"/>
        <v>6.549639393275021E-2</v>
      </c>
      <c r="AM832" s="2" cm="1">
        <f t="array" aca="1" ref="AM832" ca="1">MMULT(_xlfn.ANCHORARRAY(AE833),TRANSPOSE($Q$3:$U$3))</f>
        <v>-2.9410439005492166E-2</v>
      </c>
    </row>
    <row r="833" spans="1:39" x14ac:dyDescent="0.35">
      <c r="A833" s="3">
        <v>45037</v>
      </c>
      <c r="B833" s="4">
        <v>27.632574081420898</v>
      </c>
      <c r="C833" s="4">
        <v>148.95480346679599</v>
      </c>
      <c r="D833" s="4">
        <v>40.643268585205</v>
      </c>
      <c r="E833" s="4">
        <v>21.553005218505799</v>
      </c>
      <c r="F833" s="4">
        <v>279.14920043945301</v>
      </c>
      <c r="I833" s="5">
        <f>B833/B832-1</f>
        <v>-1.0033114795305886E-3</v>
      </c>
      <c r="J833" s="5">
        <f>C833/C832-1</f>
        <v>-4.2979225194871296E-3</v>
      </c>
      <c r="K833" s="5">
        <f>D833/D832-1</f>
        <v>4.4268018875810444E-3</v>
      </c>
      <c r="L833" s="5">
        <f>E833/E832-1</f>
        <v>-4.8984611742907136E-3</v>
      </c>
      <c r="M833" s="5">
        <f>F833/F832-1</f>
        <v>-1.2233624669887311E-3</v>
      </c>
      <c r="N833" s="5">
        <f>SUMPRODUCT(I833:M833,$AJ$13:$AN$13)</f>
        <v>3.8395869933343881E-5</v>
      </c>
      <c r="P833" s="2" t="s">
        <v>824</v>
      </c>
      <c r="Q833" s="10" cm="1">
        <f t="array" aca="1" ref="Q833:U833" ca="1">_xlfn.LET(_xlpm.array,_xlfn.RANDARRAY(1,COLUMNS(_xlfn.ANCHORARRAY(Q832)),0,1,FALSE),_xlpm.array/SUM(_xlpm.array))</f>
        <v>0.40220310982267943</v>
      </c>
      <c r="R833" s="2">
        <f ca="1"/>
        <v>2.2051659139135264E-2</v>
      </c>
      <c r="S833" s="2">
        <f ca="1"/>
        <v>0.25492164085139957</v>
      </c>
      <c r="T833" s="2">
        <f ca="1"/>
        <v>0.21101424291664742</v>
      </c>
      <c r="U833" s="2">
        <f ca="1"/>
        <v>0.10980934727013822</v>
      </c>
      <c r="V833" s="12"/>
      <c r="X833" s="2" cm="1">
        <f t="array" aca="1" ref="X833" ca="1">MMULT(MMULT(_xlfn.ANCHORARRAY(Q833),$Q$9:$U$13),TRANSPOSE(_xlfn.ANCHORARRAY(Q833)))</f>
        <v>3.1315041520429618E-4</v>
      </c>
      <c r="Y833" s="2">
        <f t="shared" ca="1" si="30"/>
        <v>1.7696056487373005E-2</v>
      </c>
      <c r="Z833" s="2" cm="1">
        <f t="array" aca="1" ref="Z833" ca="1">MMULT(_xlfn.ANCHORARRAY(Q833),TRANSPOSE($Q$3:$U$3))</f>
        <v>9.340780087251832E-4</v>
      </c>
      <c r="AA833" s="11">
        <f ca="1">AVEDEV(Q833*$Q$3,R833*$R$3,S833*$S$3,T833*$T$3,U833*$U$3)</f>
        <v>1.0941604895361151E-4</v>
      </c>
      <c r="AB833" s="11" cm="1">
        <f t="array" aca="1" ref="AB833" ca="1">MMULT(_xlfn.ANCHORARRAY(Q833),TRANSPOSE($Q$6:$U$6))</f>
        <v>-2.3586740704018446E-2</v>
      </c>
      <c r="AD833" s="2" t="s">
        <v>824</v>
      </c>
      <c r="AE833" s="10" cm="1">
        <f t="array" aca="1" ref="AE833:AI833" ca="1">_xlfn.LET(_xlpm.array,_xlfn.RANDARRAY(1,COLUMNS(_xlfn.ANCHORARRAY(Q832)),-1,1,FALSE),_xlpm.array/SUM(_xlpm.array))</f>
        <v>21.943154047469562</v>
      </c>
      <c r="AF833" s="10">
        <f ca="1"/>
        <v>29.889203380340629</v>
      </c>
      <c r="AG833" s="10">
        <f ca="1"/>
        <v>-31.427893714801733</v>
      </c>
      <c r="AH833" s="10">
        <f ca="1"/>
        <v>13.597245259211615</v>
      </c>
      <c r="AI833" s="10">
        <f ca="1"/>
        <v>-33.001708972220072</v>
      </c>
      <c r="AJ833" s="1"/>
      <c r="AK833" s="2" cm="1">
        <f t="array" aca="1" ref="AK833" ca="1">MMULT(MMULT(_xlfn.ANCHORARRAY(AE833),$Q$9:$U$13),TRANSPOSE(_xlfn.ANCHORARRAY(AE833)))</f>
        <v>1.783655078722556</v>
      </c>
      <c r="AL833" s="2">
        <f t="shared" ca="1" si="31"/>
        <v>1.3355355026065596</v>
      </c>
      <c r="AM833" s="2" cm="1">
        <f t="array" aca="1" ref="AM833" ca="1">MMULT(_xlfn.ANCHORARRAY(AE834),TRANSPOSE($Q$3:$U$3))</f>
        <v>1.0636652372634167E-3</v>
      </c>
    </row>
    <row r="834" spans="1:39" x14ac:dyDescent="0.35">
      <c r="A834" s="3">
        <v>45040</v>
      </c>
      <c r="B834" s="4">
        <v>27.530813217163001</v>
      </c>
      <c r="C834" s="4">
        <v>151.03338623046801</v>
      </c>
      <c r="D834" s="4">
        <v>40.586212158203097</v>
      </c>
      <c r="E834" s="4">
        <v>21.916769027709901</v>
      </c>
      <c r="F834" s="4">
        <v>275.25146484375</v>
      </c>
      <c r="I834" s="5">
        <f>B834/B833-1</f>
        <v>-3.6826415070146945E-3</v>
      </c>
      <c r="J834" s="5">
        <f>C834/C833-1</f>
        <v>1.3954452728577982E-2</v>
      </c>
      <c r="K834" s="5">
        <f>D834/D833-1</f>
        <v>-1.4038346075018193E-3</v>
      </c>
      <c r="L834" s="5">
        <f>E834/E833-1</f>
        <v>1.6877637504201459E-2</v>
      </c>
      <c r="M834" s="5">
        <f>F834/F833-1</f>
        <v>-1.3962911552556689E-2</v>
      </c>
      <c r="N834" s="5">
        <f>SUMPRODUCT(I834:M834,$AJ$13:$AN$13)</f>
        <v>3.0988903135129456E-3</v>
      </c>
      <c r="P834" s="2" t="s">
        <v>825</v>
      </c>
      <c r="Q834" s="10" cm="1">
        <f t="array" aca="1" ref="Q834:U834" ca="1">_xlfn.LET(_xlpm.array,_xlfn.RANDARRAY(1,COLUMNS(_xlfn.ANCHORARRAY(Q833)),0,1,FALSE),_xlpm.array/SUM(_xlpm.array))</f>
        <v>0.30017626839650147</v>
      </c>
      <c r="R834" s="2">
        <f ca="1"/>
        <v>0.39838462436660532</v>
      </c>
      <c r="S834" s="2">
        <f ca="1"/>
        <v>2.8288416689074333E-2</v>
      </c>
      <c r="T834" s="2">
        <f ca="1"/>
        <v>0.23771536213588493</v>
      </c>
      <c r="U834" s="2">
        <f ca="1"/>
        <v>3.54353284119341E-2</v>
      </c>
      <c r="V834" s="12"/>
      <c r="X834" s="2" cm="1">
        <f t="array" aca="1" ref="X834" ca="1">MMULT(MMULT(_xlfn.ANCHORARRAY(Q834),$Q$9:$U$13),TRANSPOSE(_xlfn.ANCHORARRAY(Q834)))</f>
        <v>3.3507978212065352E-4</v>
      </c>
      <c r="Y834" s="2">
        <f t="shared" ca="1" si="30"/>
        <v>1.8305184569423316E-2</v>
      </c>
      <c r="Z834" s="2" cm="1">
        <f t="array" aca="1" ref="Z834" ca="1">MMULT(_xlfn.ANCHORARRAY(Q834),TRANSPOSE($Q$3:$U$3))</f>
        <v>7.5937681333669246E-4</v>
      </c>
      <c r="AA834" s="11">
        <f ca="1">AVEDEV(Q834*$Q$3,R834*$R$3,S834*$S$3,T834*$T$3,U834*$U$3)</f>
        <v>9.2282987413963238E-5</v>
      </c>
      <c r="AB834" s="11" cm="1">
        <f t="array" aca="1" ref="AB834" ca="1">MMULT(_xlfn.ANCHORARRAY(Q834),TRANSPOSE($Q$6:$U$6))</f>
        <v>-2.215559587476823E-2</v>
      </c>
      <c r="AD834" s="2" t="s">
        <v>825</v>
      </c>
      <c r="AE834" s="10" cm="1">
        <f t="array" aca="1" ref="AE834:AI834" ca="1">_xlfn.LET(_xlpm.array,_xlfn.RANDARRAY(1,COLUMNS(_xlfn.ANCHORARRAY(Q833)),-1,1,FALSE),_xlpm.array/SUM(_xlpm.array))</f>
        <v>0.35975864687694387</v>
      </c>
      <c r="AF834" s="10">
        <f ca="1"/>
        <v>0.16739605148742426</v>
      </c>
      <c r="AG834" s="10">
        <f ca="1"/>
        <v>0.35997383743483174</v>
      </c>
      <c r="AH834" s="10">
        <f ca="1"/>
        <v>0.34137338895141089</v>
      </c>
      <c r="AI834" s="10">
        <f ca="1"/>
        <v>-0.22850192475061071</v>
      </c>
      <c r="AJ834" s="1"/>
      <c r="AK834" s="2" cm="1">
        <f t="array" aca="1" ref="AK834" ca="1">MMULT(MMULT(_xlfn.ANCHORARRAY(AE834),$Q$9:$U$13),TRANSPOSE(_xlfn.ANCHORARRAY(AE834)))</f>
        <v>4.4387746570815782E-4</v>
      </c>
      <c r="AL834" s="2">
        <f t="shared" ca="1" si="31"/>
        <v>2.1068399694997193E-2</v>
      </c>
      <c r="AM834" s="2" cm="1">
        <f t="array" aca="1" ref="AM834" ca="1">MMULT(_xlfn.ANCHORARRAY(AE835),TRANSPOSE($Q$3:$U$3))</f>
        <v>9.2876137234494021E-4</v>
      </c>
    </row>
    <row r="835" spans="1:39" x14ac:dyDescent="0.35">
      <c r="A835" s="3">
        <v>45041</v>
      </c>
      <c r="B835" s="4">
        <v>26.679725646972599</v>
      </c>
      <c r="C835" s="4">
        <v>148.84031677246</v>
      </c>
      <c r="D835" s="4">
        <v>39.663803100585902</v>
      </c>
      <c r="E835" s="4">
        <v>21.446907043456999</v>
      </c>
      <c r="F835" s="4">
        <v>269.04833984375</v>
      </c>
      <c r="I835" s="5">
        <f>B835/B834-1</f>
        <v>-3.0914000377577855E-2</v>
      </c>
      <c r="J835" s="5">
        <f>C835/C834-1</f>
        <v>-1.4520428315508482E-2</v>
      </c>
      <c r="K835" s="5">
        <f>D835/D834-1</f>
        <v>-2.2727153103662134E-2</v>
      </c>
      <c r="L835" s="5">
        <f>E835/E834-1</f>
        <v>-2.143846949606687E-2</v>
      </c>
      <c r="M835" s="5">
        <f>F835/F834-1</f>
        <v>-2.2536210673833379E-2</v>
      </c>
      <c r="N835" s="5">
        <f>SUMPRODUCT(I835:M835,$AJ$13:$AN$13)</f>
        <v>-1.9962344801642759E-2</v>
      </c>
      <c r="P835" s="2" t="s">
        <v>826</v>
      </c>
      <c r="Q835" s="10" cm="1">
        <f t="array" aca="1" ref="Q835:U835" ca="1">_xlfn.LET(_xlpm.array,_xlfn.RANDARRAY(1,COLUMNS(_xlfn.ANCHORARRAY(Q834)),0,1,FALSE),_xlpm.array/SUM(_xlpm.array))</f>
        <v>0.45397741567534933</v>
      </c>
      <c r="R835" s="2">
        <f ca="1"/>
        <v>8.7010070475744064E-2</v>
      </c>
      <c r="S835" s="2">
        <f ca="1"/>
        <v>2.7715340418538785E-2</v>
      </c>
      <c r="T835" s="2">
        <f ca="1"/>
        <v>6.7999331161124832E-2</v>
      </c>
      <c r="U835" s="2">
        <f ca="1"/>
        <v>0.363297842269243</v>
      </c>
      <c r="V835" s="12"/>
      <c r="X835" s="2" cm="1">
        <f t="array" aca="1" ref="X835" ca="1">MMULT(MMULT(_xlfn.ANCHORARRAY(Q835),$Q$9:$U$13),TRANSPOSE(_xlfn.ANCHORARRAY(Q835)))</f>
        <v>2.6827167136475583E-4</v>
      </c>
      <c r="Y835" s="2">
        <f t="shared" ca="1" si="30"/>
        <v>1.6379000926941664E-2</v>
      </c>
      <c r="Z835" s="2" cm="1">
        <f t="array" aca="1" ref="Z835" ca="1">MMULT(_xlfn.ANCHORARRAY(Q835),TRANSPOSE($Q$3:$U$3))</f>
        <v>6.8661922628318638E-4</v>
      </c>
      <c r="AA835" s="11">
        <f ca="1">AVEDEV(Q835*$Q$3,R835*$R$3,S835*$S$3,T835*$T$3,U835*$U$3)</f>
        <v>9.3581747612099341E-5</v>
      </c>
      <c r="AB835" s="11" cm="1">
        <f t="array" aca="1" ref="AB835" ca="1">MMULT(_xlfn.ANCHORARRAY(Q835),TRANSPOSE($Q$6:$U$6))</f>
        <v>-2.1378540819477158E-2</v>
      </c>
      <c r="AD835" s="2" t="s">
        <v>826</v>
      </c>
      <c r="AE835" s="10" cm="1">
        <f t="array" aca="1" ref="AE835:AI835" ca="1">_xlfn.LET(_xlpm.array,_xlfn.RANDARRAY(1,COLUMNS(_xlfn.ANCHORARRAY(Q834)),-1,1,FALSE),_xlpm.array/SUM(_xlpm.array))</f>
        <v>0.52047904923634447</v>
      </c>
      <c r="AF835" s="10">
        <f ca="1"/>
        <v>-0.60775289495624574</v>
      </c>
      <c r="AG835" s="10">
        <f ca="1"/>
        <v>-0.10352813224907766</v>
      </c>
      <c r="AH835" s="10">
        <f ca="1"/>
        <v>1.4230034423650837</v>
      </c>
      <c r="AI835" s="10">
        <f ca="1"/>
        <v>-0.23220146439610487</v>
      </c>
      <c r="AJ835" s="1"/>
      <c r="AK835" s="2" cm="1">
        <f t="array" aca="1" ref="AK835" ca="1">MMULT(MMULT(_xlfn.ANCHORARRAY(AE835),$Q$9:$U$13),TRANSPOSE(_xlfn.ANCHORARRAY(AE835)))</f>
        <v>9.2340600758017443E-4</v>
      </c>
      <c r="AL835" s="2">
        <f t="shared" ca="1" si="31"/>
        <v>3.0387596278418839E-2</v>
      </c>
      <c r="AM835" s="2" cm="1">
        <f t="array" aca="1" ref="AM835" ca="1">MMULT(_xlfn.ANCHORARRAY(AE836),TRANSPOSE($Q$3:$U$3))</f>
        <v>1.2509823791315418E-3</v>
      </c>
    </row>
    <row r="836" spans="1:39" x14ac:dyDescent="0.35">
      <c r="A836" s="3">
        <v>45042</v>
      </c>
      <c r="B836" s="4">
        <v>26.309688568115199</v>
      </c>
      <c r="C836" s="4">
        <v>146.189193725585</v>
      </c>
      <c r="D836" s="4">
        <v>39.625759124755803</v>
      </c>
      <c r="E836" s="4">
        <v>21.3408088684082</v>
      </c>
      <c r="F836" s="4">
        <v>288.53692626953102</v>
      </c>
      <c r="I836" s="5">
        <f>B836/B835-1</f>
        <v>-1.3869598351712753E-2</v>
      </c>
      <c r="J836" s="5">
        <f>C836/C835-1</f>
        <v>-1.7811861089545467E-2</v>
      </c>
      <c r="K836" s="5">
        <f>D836/D835-1</f>
        <v>-9.5916107019844432E-4</v>
      </c>
      <c r="L836" s="5">
        <f>E836/E835-1</f>
        <v>-4.9470151958889153E-3</v>
      </c>
      <c r="M836" s="5">
        <f>F836/F835-1</f>
        <v>7.2435259913140593E-2</v>
      </c>
      <c r="N836" s="5">
        <f>SUMPRODUCT(I836:M836,$AJ$13:$AN$13)</f>
        <v>2.5980591744578188E-2</v>
      </c>
      <c r="P836" s="2" t="s">
        <v>827</v>
      </c>
      <c r="Q836" s="10" cm="1">
        <f t="array" aca="1" ref="Q836:U836" ca="1">_xlfn.LET(_xlpm.array,_xlfn.RANDARRAY(1,COLUMNS(_xlfn.ANCHORARRAY(Q835)),0,1,FALSE),_xlpm.array/SUM(_xlpm.array))</f>
        <v>2.1153677407335755E-2</v>
      </c>
      <c r="R836" s="2">
        <f ca="1"/>
        <v>0.29555449875995932</v>
      </c>
      <c r="S836" s="2">
        <f ca="1"/>
        <v>0.17777888145421947</v>
      </c>
      <c r="T836" s="2">
        <f ca="1"/>
        <v>0.27065703137904762</v>
      </c>
      <c r="U836" s="2">
        <f ca="1"/>
        <v>0.23485591099943776</v>
      </c>
      <c r="V836" s="12"/>
      <c r="X836" s="2" cm="1">
        <f t="array" aca="1" ref="X836" ca="1">MMULT(MMULT(_xlfn.ANCHORARRAY(Q836),$Q$9:$U$13),TRANSPOSE(_xlfn.ANCHORARRAY(Q836)))</f>
        <v>2.8551682484869654E-4</v>
      </c>
      <c r="Y836" s="2">
        <f t="shared" ca="1" si="30"/>
        <v>1.68972431138543E-2</v>
      </c>
      <c r="Z836" s="2" cm="1">
        <f t="array" aca="1" ref="Z836" ca="1">MMULT(_xlfn.ANCHORARRAY(Q836),TRANSPOSE($Q$3:$U$3))</f>
        <v>9.7142805322926072E-4</v>
      </c>
      <c r="AA836" s="11">
        <f ca="1">AVEDEV(Q836*$Q$3,R836*$R$3,S836*$S$3,T836*$T$3,U836*$U$3)</f>
        <v>7.9275801578715556E-5</v>
      </c>
      <c r="AB836" s="11" cm="1">
        <f t="array" aca="1" ref="AB836" ca="1">MMULT(_xlfn.ANCHORARRAY(Q836),TRANSPOSE($Q$6:$U$6))</f>
        <v>-2.2910058322819265E-2</v>
      </c>
      <c r="AD836" s="2" t="s">
        <v>827</v>
      </c>
      <c r="AE836" s="10" cm="1">
        <f t="array" aca="1" ref="AE836:AI836" ca="1">_xlfn.LET(_xlpm.array,_xlfn.RANDARRAY(1,COLUMNS(_xlfn.ANCHORARRAY(Q835)),-1,1,FALSE),_xlpm.array/SUM(_xlpm.array))</f>
        <v>-0.42117732055511914</v>
      </c>
      <c r="AF836" s="10">
        <f ca="1"/>
        <v>0.71602727947088407</v>
      </c>
      <c r="AG836" s="10">
        <f ca="1"/>
        <v>0.30806672004978913</v>
      </c>
      <c r="AH836" s="10">
        <f ca="1"/>
        <v>0.53809014534915911</v>
      </c>
      <c r="AI836" s="10">
        <f ca="1"/>
        <v>-0.1410068243147132</v>
      </c>
      <c r="AJ836" s="1"/>
      <c r="AK836" s="2" cm="1">
        <f t="array" aca="1" ref="AK836" ca="1">MMULT(MMULT(_xlfn.ANCHORARRAY(AE836),$Q$9:$U$13),TRANSPOSE(_xlfn.ANCHORARRAY(AE836)))</f>
        <v>6.2717834858751328E-4</v>
      </c>
      <c r="AL836" s="2">
        <f t="shared" ca="1" si="31"/>
        <v>2.5043529076140873E-2</v>
      </c>
      <c r="AM836" s="2" cm="1">
        <f t="array" aca="1" ref="AM836" ca="1">MMULT(_xlfn.ANCHORARRAY(AE837),TRANSPOSE($Q$3:$U$3))</f>
        <v>-3.8944748602548727E-3</v>
      </c>
    </row>
    <row r="837" spans="1:39" x14ac:dyDescent="0.35">
      <c r="A837" s="3">
        <v>45043</v>
      </c>
      <c r="B837" s="4">
        <v>26.725976943969702</v>
      </c>
      <c r="C837" s="4">
        <v>147.04357910156199</v>
      </c>
      <c r="D837" s="4">
        <v>40.700325012207003</v>
      </c>
      <c r="E837" s="4">
        <v>21.2271327972412</v>
      </c>
      <c r="F837" s="4">
        <v>297.77804565429602</v>
      </c>
      <c r="I837" s="5">
        <f>B837/B836-1</f>
        <v>1.5822626511778681E-2</v>
      </c>
      <c r="J837" s="5">
        <f>C837/C836-1</f>
        <v>5.8443812035844367E-3</v>
      </c>
      <c r="K837" s="5">
        <f>D837/D836-1</f>
        <v>2.7117862501210066E-2</v>
      </c>
      <c r="L837" s="5">
        <f>E837/E836-1</f>
        <v>-5.3266992768619126E-3</v>
      </c>
      <c r="M837" s="5">
        <f>F837/F836-1</f>
        <v>3.2027510323349606E-2</v>
      </c>
      <c r="N837" s="5">
        <f>SUMPRODUCT(I837:M837,$AJ$13:$AN$13)</f>
        <v>1.756166737624814E-2</v>
      </c>
      <c r="P837" s="2" t="s">
        <v>828</v>
      </c>
      <c r="Q837" s="10" cm="1">
        <f t="array" aca="1" ref="Q837:U837" ca="1">_xlfn.LET(_xlpm.array,_xlfn.RANDARRAY(1,COLUMNS(_xlfn.ANCHORARRAY(Q836)),0,1,FALSE),_xlpm.array/SUM(_xlpm.array))</f>
        <v>9.1801814063343354E-2</v>
      </c>
      <c r="R837" s="2">
        <f ca="1"/>
        <v>4.3389353892707989E-2</v>
      </c>
      <c r="S837" s="2">
        <f ca="1"/>
        <v>0.26783171687094809</v>
      </c>
      <c r="T837" s="2">
        <f ca="1"/>
        <v>0.40935929739593901</v>
      </c>
      <c r="U837" s="2">
        <f ca="1"/>
        <v>0.18761781777706155</v>
      </c>
      <c r="V837" s="12"/>
      <c r="X837" s="2" cm="1">
        <f t="array" aca="1" ref="X837" ca="1">MMULT(MMULT(_xlfn.ANCHORARRAY(Q837),$Q$9:$U$13),TRANSPOSE(_xlfn.ANCHORARRAY(Q837)))</f>
        <v>3.1391649388909642E-4</v>
      </c>
      <c r="Y837" s="2">
        <f t="shared" ca="1" si="30"/>
        <v>1.7717688728756256E-2</v>
      </c>
      <c r="Z837" s="2" cm="1">
        <f t="array" aca="1" ref="Z837" ca="1">MMULT(_xlfn.ANCHORARRAY(Q837),TRANSPOSE($Q$3:$U$3))</f>
        <v>1.075010116815607E-3</v>
      </c>
      <c r="AA837" s="11">
        <f ca="1">AVEDEV(Q837*$Q$3,R837*$R$3,S837*$S$3,T837*$T$3,U837*$U$3)</f>
        <v>1.6926533513349147E-4</v>
      </c>
      <c r="AB837" s="11" cm="1">
        <f t="array" aca="1" ref="AB837" ca="1">MMULT(_xlfn.ANCHORARRAY(Q837),TRANSPOSE($Q$6:$U$6))</f>
        <v>-2.4226707971270373E-2</v>
      </c>
      <c r="AD837" s="2" t="s">
        <v>828</v>
      </c>
      <c r="AE837" s="10" cm="1">
        <f t="array" aca="1" ref="AE837:AI837" ca="1">_xlfn.LET(_xlpm.array,_xlfn.RANDARRAY(1,COLUMNS(_xlfn.ANCHORARRAY(Q836)),-1,1,FALSE),_xlpm.array/SUM(_xlpm.array))</f>
        <v>1.5363051177223399</v>
      </c>
      <c r="AF837" s="10">
        <f ca="1"/>
        <v>3.1716933737091275</v>
      </c>
      <c r="AG837" s="10">
        <f ca="1"/>
        <v>-5.7632929505056936</v>
      </c>
      <c r="AH837" s="10">
        <f ca="1"/>
        <v>3.1009176200074666</v>
      </c>
      <c r="AI837" s="10">
        <f ca="1"/>
        <v>-1.0456231609332398</v>
      </c>
      <c r="AJ837" s="1"/>
      <c r="AK837" s="2" cm="1">
        <f t="array" aca="1" ref="AK837" ca="1">MMULT(MMULT(_xlfn.ANCHORARRAY(AE837),$Q$9:$U$13),TRANSPOSE(_xlfn.ANCHORARRAY(AE837)))</f>
        <v>3.4157884140676442E-2</v>
      </c>
      <c r="AL837" s="2">
        <f t="shared" ca="1" si="31"/>
        <v>0.18481851676895483</v>
      </c>
      <c r="AM837" s="2" cm="1">
        <f t="array" aca="1" ref="AM837" ca="1">MMULT(_xlfn.ANCHORARRAY(AE838),TRANSPOSE($Q$3:$U$3))</f>
        <v>6.6926220979224424E-4</v>
      </c>
    </row>
    <row r="838" spans="1:39" x14ac:dyDescent="0.35">
      <c r="A838" s="3">
        <v>45044</v>
      </c>
      <c r="B838" s="4">
        <v>27.086769104003899</v>
      </c>
      <c r="C838" s="4">
        <v>148.47920227050699</v>
      </c>
      <c r="D838" s="4">
        <v>41.356479644775298</v>
      </c>
      <c r="E838" s="4">
        <v>21.7803554534912</v>
      </c>
      <c r="F838" s="4">
        <v>300.15185546875</v>
      </c>
      <c r="I838" s="5">
        <f>B838/B837-1</f>
        <v>1.3499680883156895E-2</v>
      </c>
      <c r="J838" s="5">
        <f>C838/C837-1</f>
        <v>9.76324962787678E-3</v>
      </c>
      <c r="K838" s="5">
        <f>D838/D837-1</f>
        <v>1.6121606703914493E-2</v>
      </c>
      <c r="L838" s="5">
        <f>E838/E837-1</f>
        <v>2.6062052823351722E-2</v>
      </c>
      <c r="M838" s="5">
        <f>F838/F837-1</f>
        <v>7.971742205635346E-3</v>
      </c>
      <c r="N838" s="5">
        <f>SUMPRODUCT(I838:M838,$AJ$13:$AN$13)</f>
        <v>1.9010521882358397E-2</v>
      </c>
      <c r="P838" s="2" t="s">
        <v>829</v>
      </c>
      <c r="Q838" s="10" cm="1">
        <f t="array" aca="1" ref="Q838:U838" ca="1">_xlfn.LET(_xlpm.array,_xlfn.RANDARRAY(1,COLUMNS(_xlfn.ANCHORARRAY(Q837)),0,1,FALSE),_xlpm.array/SUM(_xlpm.array))</f>
        <v>0.34946840869997886</v>
      </c>
      <c r="R838" s="2">
        <f ca="1"/>
        <v>0.34512043837864531</v>
      </c>
      <c r="S838" s="2">
        <f ca="1"/>
        <v>4.3320998909300953E-2</v>
      </c>
      <c r="T838" s="2">
        <f ca="1"/>
        <v>8.1358079261912672E-2</v>
      </c>
      <c r="U838" s="2">
        <f ca="1"/>
        <v>0.18073207475016231</v>
      </c>
      <c r="V838" s="12"/>
      <c r="X838" s="2" cm="1">
        <f t="array" aca="1" ref="X838" ca="1">MMULT(MMULT(_xlfn.ANCHORARRAY(Q838),$Q$9:$U$13),TRANSPOSE(_xlfn.ANCHORARRAY(Q838)))</f>
        <v>2.8445790108996572E-4</v>
      </c>
      <c r="Y838" s="2">
        <f t="shared" ca="1" si="30"/>
        <v>1.686587978997733E-2</v>
      </c>
      <c r="Z838" s="2" cm="1">
        <f t="array" aca="1" ref="Z838" ca="1">MMULT(_xlfn.ANCHORARRAY(Q838),TRANSPOSE($Q$3:$U$3))</f>
        <v>7.2134018834336131E-4</v>
      </c>
      <c r="AA838" s="11">
        <f ca="1">AVEDEV(Q838*$Q$3,R838*$R$3,S838*$S$3,T838*$T$3,U838*$U$3)</f>
        <v>5.6440141081489571E-5</v>
      </c>
      <c r="AB838" s="11" cm="1">
        <f t="array" aca="1" ref="AB838" ca="1">MMULT(_xlfn.ANCHORARRAY(Q838),TRANSPOSE($Q$6:$U$6))</f>
        <v>-2.1521957362389578E-2</v>
      </c>
      <c r="AD838" s="2" t="s">
        <v>829</v>
      </c>
      <c r="AE838" s="10" cm="1">
        <f t="array" aca="1" ref="AE838:AI838" ca="1">_xlfn.LET(_xlpm.array,_xlfn.RANDARRAY(1,COLUMNS(_xlfn.ANCHORARRAY(Q837)),-1,1,FALSE),_xlpm.array/SUM(_xlpm.array))</f>
        <v>0.75120526423920364</v>
      </c>
      <c r="AF838" s="10">
        <f ca="1"/>
        <v>2.8779119050128288</v>
      </c>
      <c r="AG838" s="10">
        <f ca="1"/>
        <v>0.47704714778521518</v>
      </c>
      <c r="AH838" s="10">
        <f ca="1"/>
        <v>-0.82979924460331578</v>
      </c>
      <c r="AI838" s="10">
        <f ca="1"/>
        <v>-2.2763650724339315</v>
      </c>
      <c r="AJ838" s="1"/>
      <c r="AK838" s="2" cm="1">
        <f t="array" aca="1" ref="AK838" ca="1">MMULT(MMULT(_xlfn.ANCHORARRAY(AE838),$Q$9:$U$13),TRANSPOSE(_xlfn.ANCHORARRAY(AE838)))</f>
        <v>3.8935132228214544E-3</v>
      </c>
      <c r="AL838" s="2">
        <f t="shared" ca="1" si="31"/>
        <v>6.2398022587430241E-2</v>
      </c>
      <c r="AM838" s="2" cm="1">
        <f t="array" aca="1" ref="AM838" ca="1">MMULT(_xlfn.ANCHORARRAY(AE839),TRANSPOSE($Q$3:$U$3))</f>
        <v>9.9667402870269595E-4</v>
      </c>
    </row>
    <row r="839" spans="1:39" x14ac:dyDescent="0.35">
      <c r="A839" s="3">
        <v>45047</v>
      </c>
      <c r="B839" s="4">
        <v>26.8647441864013</v>
      </c>
      <c r="C839" s="4">
        <v>147.29898071289</v>
      </c>
      <c r="D839" s="4">
        <v>41.6702880859375</v>
      </c>
      <c r="E839" s="4">
        <v>21.712150573730401</v>
      </c>
      <c r="F839" s="4">
        <v>298.491119384765</v>
      </c>
      <c r="I839" s="5">
        <f>B839/B838-1</f>
        <v>-8.1968032713720662E-3</v>
      </c>
      <c r="J839" s="5">
        <f>C839/C838-1</f>
        <v>-7.9487331529893845E-3</v>
      </c>
      <c r="K839" s="5">
        <f>D839/D838-1</f>
        <v>7.5878905520394557E-3</v>
      </c>
      <c r="L839" s="5">
        <f>E839/E838-1</f>
        <v>-3.1314860726878724E-3</v>
      </c>
      <c r="M839" s="5">
        <f>F839/F838-1</f>
        <v>-5.5329862325569357E-3</v>
      </c>
      <c r="N839" s="5">
        <f>SUMPRODUCT(I839:M839,$AJ$13:$AN$13)</f>
        <v>3.2703668923921023E-3</v>
      </c>
      <c r="P839" s="2" t="s">
        <v>830</v>
      </c>
      <c r="Q839" s="10" cm="1">
        <f t="array" aca="1" ref="Q839:U839" ca="1">_xlfn.LET(_xlpm.array,_xlfn.RANDARRAY(1,COLUMNS(_xlfn.ANCHORARRAY(Q838)),0,1,FALSE),_xlpm.array/SUM(_xlpm.array))</f>
        <v>0.24503913883630676</v>
      </c>
      <c r="R839" s="2">
        <f ca="1"/>
        <v>0.13894553447335989</v>
      </c>
      <c r="S839" s="2">
        <f ca="1"/>
        <v>0.14031641657320856</v>
      </c>
      <c r="T839" s="2">
        <f ca="1"/>
        <v>0.20501729600664964</v>
      </c>
      <c r="U839" s="2">
        <f ca="1"/>
        <v>0.27068161411047514</v>
      </c>
      <c r="V839" s="12"/>
      <c r="X839" s="2" cm="1">
        <f t="array" aca="1" ref="X839" ca="1">MMULT(MMULT(_xlfn.ANCHORARRAY(Q839),$Q$9:$U$13),TRANSPOSE(_xlfn.ANCHORARRAY(Q839)))</f>
        <v>2.6182349080920968E-4</v>
      </c>
      <c r="Y839" s="2">
        <f t="shared" ca="1" si="30"/>
        <v>1.6180960750499636E-2</v>
      </c>
      <c r="Z839" s="2" cm="1">
        <f t="array" aca="1" ref="Z839" ca="1">MMULT(_xlfn.ANCHORARRAY(Q839),TRANSPOSE($Q$3:$U$3))</f>
        <v>8.7035869363680165E-4</v>
      </c>
      <c r="AA839" s="11">
        <f ca="1">AVEDEV(Q839*$Q$3,R839*$R$3,S839*$S$3,T839*$T$3,U839*$U$3)</f>
        <v>4.8855919890868786E-5</v>
      </c>
      <c r="AB839" s="11" cm="1">
        <f t="array" aca="1" ref="AB839" ca="1">MMULT(_xlfn.ANCHORARRAY(Q839),TRANSPOSE($Q$6:$U$6))</f>
        <v>-2.2574236794903304E-2</v>
      </c>
      <c r="AD839" s="2" t="s">
        <v>830</v>
      </c>
      <c r="AE839" s="10" cm="1">
        <f t="array" aca="1" ref="AE839:AI839" ca="1">_xlfn.LET(_xlpm.array,_xlfn.RANDARRAY(1,COLUMNS(_xlfn.ANCHORARRAY(Q838)),-1,1,FALSE),_xlpm.array/SUM(_xlpm.array))</f>
        <v>1.4169532852626778</v>
      </c>
      <c r="AF839" s="10">
        <f ca="1"/>
        <v>3.646327463392331</v>
      </c>
      <c r="AG839" s="10">
        <f ca="1"/>
        <v>2.0464916293125297</v>
      </c>
      <c r="AH839" s="10">
        <f ca="1"/>
        <v>-4.037177755503321</v>
      </c>
      <c r="AI839" s="10">
        <f ca="1"/>
        <v>-2.0725946224642176</v>
      </c>
      <c r="AJ839" s="1"/>
      <c r="AK839" s="2" cm="1">
        <f t="array" aca="1" ref="AK839" ca="1">MMULT(MMULT(_xlfn.ANCHORARRAY(AE839),$Q$9:$U$13),TRANSPOSE(_xlfn.ANCHORARRAY(AE839)))</f>
        <v>9.2473392108604491E-3</v>
      </c>
      <c r="AL839" s="2">
        <f t="shared" ca="1" si="31"/>
        <v>9.6163086529397798E-2</v>
      </c>
      <c r="AM839" s="2" cm="1">
        <f t="array" aca="1" ref="AM839" ca="1">MMULT(_xlfn.ANCHORARRAY(AE840),TRANSPOSE($Q$3:$U$3))</f>
        <v>1.3839826530874463E-3</v>
      </c>
    </row>
    <row r="840" spans="1:39" x14ac:dyDescent="0.35">
      <c r="A840" s="3">
        <v>45048</v>
      </c>
      <c r="B840" s="4">
        <v>26.050661087036101</v>
      </c>
      <c r="C840" s="4">
        <v>140.95745849609301</v>
      </c>
      <c r="D840" s="4">
        <v>42.564170837402301</v>
      </c>
      <c r="E840" s="4">
        <v>20.878524780273398</v>
      </c>
      <c r="F840" s="4">
        <v>298.34460449218699</v>
      </c>
      <c r="I840" s="5">
        <f>B840/B839-1</f>
        <v>-3.0303028151568268E-2</v>
      </c>
      <c r="J840" s="5">
        <f>C840/C839-1</f>
        <v>-4.3052044122135924E-2</v>
      </c>
      <c r="K840" s="5">
        <f>D840/D839-1</f>
        <v>2.1451321613647822E-2</v>
      </c>
      <c r="L840" s="5">
        <f>E840/E839-1</f>
        <v>-3.8394436821270417E-2</v>
      </c>
      <c r="M840" s="5">
        <f>F840/F839-1</f>
        <v>-4.9085176430041511E-4</v>
      </c>
      <c r="N840" s="5">
        <f>SUMPRODUCT(I840:M840,$AJ$13:$AN$13)</f>
        <v>3.2395978378466292E-3</v>
      </c>
      <c r="P840" s="2" t="s">
        <v>831</v>
      </c>
      <c r="Q840" s="10" cm="1">
        <f t="array" aca="1" ref="Q840:U840" ca="1">_xlfn.LET(_xlpm.array,_xlfn.RANDARRAY(1,COLUMNS(_xlfn.ANCHORARRAY(Q839)),0,1,FALSE),_xlpm.array/SUM(_xlpm.array))</f>
        <v>0.27991292932467748</v>
      </c>
      <c r="R840" s="2">
        <f ca="1"/>
        <v>0.22887428594150655</v>
      </c>
      <c r="S840" s="2">
        <f ca="1"/>
        <v>0.20074391540957268</v>
      </c>
      <c r="T840" s="2">
        <f ca="1"/>
        <v>0.2197822664884258</v>
      </c>
      <c r="U840" s="2">
        <f ca="1"/>
        <v>7.0686602835817555E-2</v>
      </c>
      <c r="V840" s="12"/>
      <c r="X840" s="2" cm="1">
        <f t="array" aca="1" ref="X840" ca="1">MMULT(MMULT(_xlfn.ANCHORARRAY(Q840),$Q$9:$U$13),TRANSPOSE(_xlfn.ANCHORARRAY(Q840)))</f>
        <v>3.0740142818727834E-4</v>
      </c>
      <c r="Y840" s="2">
        <f t="shared" ca="1" si="30"/>
        <v>1.7532867084058965E-2</v>
      </c>
      <c r="Z840" s="2" cm="1">
        <f t="array" aca="1" ref="Z840" ca="1">MMULT(_xlfn.ANCHORARRAY(Q840),TRANSPOSE($Q$3:$U$3))</f>
        <v>9.1400415636695015E-4</v>
      </c>
      <c r="AA840" s="11">
        <f ca="1">AVEDEV(Q840*$Q$3,R840*$R$3,S840*$S$3,T840*$T$3,U840*$U$3)</f>
        <v>7.3975975569886724E-5</v>
      </c>
      <c r="AB840" s="11" cm="1">
        <f t="array" aca="1" ref="AB840" ca="1">MMULT(_xlfn.ANCHORARRAY(Q840),TRANSPOSE($Q$6:$U$6))</f>
        <v>-2.316667241651987E-2</v>
      </c>
      <c r="AD840" s="2" t="s">
        <v>831</v>
      </c>
      <c r="AE840" s="10" cm="1">
        <f t="array" aca="1" ref="AE840:AI840" ca="1">_xlfn.LET(_xlpm.array,_xlfn.RANDARRAY(1,COLUMNS(_xlfn.ANCHORARRAY(Q839)),-1,1,FALSE),_xlpm.array/SUM(_xlpm.array))</f>
        <v>-0.75604598564775316</v>
      </c>
      <c r="AF840" s="10">
        <f ca="1"/>
        <v>1.8043697247822434E-2</v>
      </c>
      <c r="AG840" s="10">
        <f ca="1"/>
        <v>0.14622576599489259</v>
      </c>
      <c r="AH840" s="10">
        <f ca="1"/>
        <v>1.1688463955785142</v>
      </c>
      <c r="AI840" s="10">
        <f ca="1"/>
        <v>0.42293012682652403</v>
      </c>
      <c r="AJ840" s="1"/>
      <c r="AK840" s="2" cm="1">
        <f t="array" aca="1" ref="AK840" ca="1">MMULT(MMULT(_xlfn.ANCHORARRAY(AE840),$Q$9:$U$13),TRANSPOSE(_xlfn.ANCHORARRAY(AE840)))</f>
        <v>7.7232528553308104E-4</v>
      </c>
      <c r="AL840" s="2">
        <f t="shared" ca="1" si="31"/>
        <v>2.7790741003670287E-2</v>
      </c>
      <c r="AM840" s="2" cm="1">
        <f t="array" aca="1" ref="AM840" ca="1">MMULT(_xlfn.ANCHORARRAY(AE841),TRANSPOSE($Q$3:$U$3))</f>
        <v>1.2294406928983433E-3</v>
      </c>
    </row>
    <row r="841" spans="1:39" x14ac:dyDescent="0.35">
      <c r="A841" s="3">
        <v>45049</v>
      </c>
      <c r="B841" s="4">
        <v>25.773134231567301</v>
      </c>
      <c r="C841" s="4">
        <v>138.13020324707</v>
      </c>
      <c r="D841" s="4">
        <v>42.944553375244098</v>
      </c>
      <c r="E841" s="4">
        <v>20.454133987426701</v>
      </c>
      <c r="F841" s="4">
        <v>297.35794067382801</v>
      </c>
      <c r="I841" s="5">
        <f>B841/B840-1</f>
        <v>-1.0653351734206451E-2</v>
      </c>
      <c r="J841" s="5">
        <f>C841/C840-1</f>
        <v>-2.005750727338329E-2</v>
      </c>
      <c r="K841" s="5">
        <f>D841/D840-1</f>
        <v>8.9366838436693019E-3</v>
      </c>
      <c r="L841" s="5">
        <f>E841/E840-1</f>
        <v>-2.0326665667857569E-2</v>
      </c>
      <c r="M841" s="5">
        <f>F841/F840-1</f>
        <v>-3.3071280777421386E-3</v>
      </c>
      <c r="N841" s="5">
        <f>SUMPRODUCT(I841:M841,$AJ$13:$AN$13)</f>
        <v>-2.2112027618550996E-3</v>
      </c>
      <c r="P841" s="2" t="s">
        <v>832</v>
      </c>
      <c r="Q841" s="10" cm="1">
        <f t="array" aca="1" ref="Q841:U841" ca="1">_xlfn.LET(_xlpm.array,_xlfn.RANDARRAY(1,COLUMNS(_xlfn.ANCHORARRAY(Q840)),0,1,FALSE),_xlpm.array/SUM(_xlpm.array))</f>
        <v>0.43396700253834725</v>
      </c>
      <c r="R841" s="2">
        <f ca="1"/>
        <v>0.15384531412189142</v>
      </c>
      <c r="S841" s="2">
        <f ca="1"/>
        <v>0.28870147603722618</v>
      </c>
      <c r="T841" s="2">
        <f ca="1"/>
        <v>9.470691705983969E-2</v>
      </c>
      <c r="U841" s="2">
        <f ca="1"/>
        <v>2.8779290242695557E-2</v>
      </c>
      <c r="V841" s="12"/>
      <c r="X841" s="2" cm="1">
        <f t="array" aca="1" ref="X841" ca="1">MMULT(MMULT(_xlfn.ANCHORARRAY(Q841),$Q$9:$U$13),TRANSPOSE(_xlfn.ANCHORARRAY(Q841)))</f>
        <v>3.3889495902469235E-4</v>
      </c>
      <c r="Y841" s="2">
        <f t="shared" ca="1" si="30"/>
        <v>1.8409099897189224E-2</v>
      </c>
      <c r="Z841" s="2" cm="1">
        <f t="array" aca="1" ref="Z841" ca="1">MMULT(_xlfn.ANCHORARRAY(Q841),TRANSPOSE($Q$3:$U$3))</f>
        <v>9.2052353520065747E-4</v>
      </c>
      <c r="AA841" s="11">
        <f ca="1">AVEDEV(Q841*$Q$3,R841*$R$3,S841*$S$3,T841*$T$3,U841*$U$3)</f>
        <v>1.2848164267272873E-4</v>
      </c>
      <c r="AB841" s="11" cm="1">
        <f t="array" aca="1" ref="AB841" ca="1">MMULT(_xlfn.ANCHORARRAY(Q841),TRANSPOSE($Q$6:$U$6))</f>
        <v>-2.3347308282445384E-2</v>
      </c>
      <c r="AD841" s="2" t="s">
        <v>832</v>
      </c>
      <c r="AE841" s="10" cm="1">
        <f t="array" aca="1" ref="AE841:AI841" ca="1">_xlfn.LET(_xlpm.array,_xlfn.RANDARRAY(1,COLUMNS(_xlfn.ANCHORARRAY(Q840)),-1,1,FALSE),_xlpm.array/SUM(_xlpm.array))</f>
        <v>-0.21218959799280696</v>
      </c>
      <c r="AF841" s="10">
        <f ca="1"/>
        <v>0.38363083690945221</v>
      </c>
      <c r="AG841" s="10">
        <f ca="1"/>
        <v>0.37471672619473478</v>
      </c>
      <c r="AH841" s="10">
        <f ca="1"/>
        <v>0.3952277153470688</v>
      </c>
      <c r="AI841" s="10">
        <f ca="1"/>
        <v>5.861431954155117E-2</v>
      </c>
      <c r="AJ841" s="1"/>
      <c r="AK841" s="2" cm="1">
        <f t="array" aca="1" ref="AK841" ca="1">MMULT(MMULT(_xlfn.ANCHORARRAY(AE841),$Q$9:$U$13),TRANSPOSE(_xlfn.ANCHORARRAY(AE841)))</f>
        <v>4.1995296081081483E-4</v>
      </c>
      <c r="AL841" s="2">
        <f t="shared" ca="1" si="31"/>
        <v>2.0492753861080137E-2</v>
      </c>
      <c r="AM841" s="2" cm="1">
        <f t="array" aca="1" ref="AM841" ca="1">MMULT(_xlfn.ANCHORARRAY(AE842),TRANSPOSE($Q$3:$U$3))</f>
        <v>8.5221132326287899E-4</v>
      </c>
    </row>
    <row r="842" spans="1:39" x14ac:dyDescent="0.35">
      <c r="A842" s="3">
        <v>45050</v>
      </c>
      <c r="B842" s="4">
        <v>24.968296051025298</v>
      </c>
      <c r="C842" s="4">
        <v>137.59295654296801</v>
      </c>
      <c r="D842" s="4">
        <v>42.012626647949197</v>
      </c>
      <c r="E842" s="4">
        <v>21.014934539794901</v>
      </c>
      <c r="F842" s="4">
        <v>298.34460449218699</v>
      </c>
      <c r="I842" s="5">
        <f>B842/B841-1</f>
        <v>-3.1227796096146676E-2</v>
      </c>
      <c r="J842" s="5">
        <f>C842/C841-1</f>
        <v>-3.8894223817294016E-3</v>
      </c>
      <c r="K842" s="5">
        <f>D842/D841-1</f>
        <v>-2.170069669026109E-2</v>
      </c>
      <c r="L842" s="5">
        <f>E842/E841-1</f>
        <v>2.7417467427998998E-2</v>
      </c>
      <c r="M842" s="5">
        <f>F842/F841-1</f>
        <v>3.3181014642593709E-3</v>
      </c>
      <c r="N842" s="5">
        <f>SUMPRODUCT(I842:M842,$AJ$13:$AN$13)</f>
        <v>1.1779348368312112E-2</v>
      </c>
      <c r="P842" s="2" t="s">
        <v>833</v>
      </c>
      <c r="Q842" s="10" cm="1">
        <f t="array" aca="1" ref="Q842:U842" ca="1">_xlfn.LET(_xlpm.array,_xlfn.RANDARRAY(1,COLUMNS(_xlfn.ANCHORARRAY(Q841)),0,1,FALSE),_xlpm.array/SUM(_xlpm.array))</f>
        <v>0.31967360897890523</v>
      </c>
      <c r="R842" s="2">
        <f ca="1"/>
        <v>0.31199966325010503</v>
      </c>
      <c r="S842" s="2">
        <f ca="1"/>
        <v>0.27123265191819607</v>
      </c>
      <c r="T842" s="2">
        <f ca="1"/>
        <v>1.1049048430733895E-2</v>
      </c>
      <c r="U842" s="2">
        <f ca="1"/>
        <v>8.60450274220598E-2</v>
      </c>
      <c r="V842" s="12"/>
      <c r="X842" s="2" cm="1">
        <f t="array" aca="1" ref="X842" ca="1">MMULT(MMULT(_xlfn.ANCHORARRAY(Q842),$Q$9:$U$13),TRANSPOSE(_xlfn.ANCHORARRAY(Q842)))</f>
        <v>3.1974686578444949E-4</v>
      </c>
      <c r="Y842" s="2">
        <f t="shared" ca="1" si="30"/>
        <v>1.7881467103804696E-2</v>
      </c>
      <c r="Z842" s="2" cm="1">
        <f t="array" aca="1" ref="Z842" ca="1">MMULT(_xlfn.ANCHORARRAY(Q842),TRANSPOSE($Q$3:$U$3))</f>
        <v>9.0788905082990739E-4</v>
      </c>
      <c r="AA842" s="11">
        <f ca="1">AVEDEV(Q842*$Q$3,R842*$R$3,S842*$S$3,T842*$T$3,U842*$U$3)</f>
        <v>1.2206430141872454E-4</v>
      </c>
      <c r="AB842" s="11" cm="1">
        <f t="array" aca="1" ref="AB842" ca="1">MMULT(_xlfn.ANCHORARRAY(Q842),TRANSPOSE($Q$6:$U$6))</f>
        <v>-2.270870436595496E-2</v>
      </c>
      <c r="AD842" s="2" t="s">
        <v>833</v>
      </c>
      <c r="AE842" s="10" cm="1">
        <f t="array" aca="1" ref="AE842:AI842" ca="1">_xlfn.LET(_xlpm.array,_xlfn.RANDARRAY(1,COLUMNS(_xlfn.ANCHORARRAY(Q841)),-1,1,FALSE),_xlpm.array/SUM(_xlpm.array))</f>
        <v>0.28093979180866907</v>
      </c>
      <c r="AF842" s="10">
        <f ca="1"/>
        <v>0.23697296364571213</v>
      </c>
      <c r="AG842" s="10">
        <f ca="1"/>
        <v>0.18662428367257741</v>
      </c>
      <c r="AH842" s="10">
        <f ca="1"/>
        <v>2.8484841103983815E-2</v>
      </c>
      <c r="AI842" s="10">
        <f ca="1"/>
        <v>0.26697811976905744</v>
      </c>
      <c r="AJ842" s="1"/>
      <c r="AK842" s="2" cm="1">
        <f t="array" aca="1" ref="AK842" ca="1">MMULT(MMULT(_xlfn.ANCHORARRAY(AE842),$Q$9:$U$13),TRANSPOSE(_xlfn.ANCHORARRAY(AE842)))</f>
        <v>2.7235971509517536E-4</v>
      </c>
      <c r="AL842" s="2">
        <f t="shared" ca="1" si="31"/>
        <v>1.6503324364962817E-2</v>
      </c>
      <c r="AM842" s="2" cm="1">
        <f t="array" aca="1" ref="AM842" ca="1">MMULT(_xlfn.ANCHORARRAY(AE843),TRANSPOSE($Q$3:$U$3))</f>
        <v>3.7646399542654171E-4</v>
      </c>
    </row>
    <row r="843" spans="1:39" x14ac:dyDescent="0.35">
      <c r="A843" s="3">
        <v>45051</v>
      </c>
      <c r="B843" s="4">
        <v>25.6343669891357</v>
      </c>
      <c r="C843" s="4">
        <v>141.10720825195301</v>
      </c>
      <c r="D843" s="4">
        <v>43.1632690429687</v>
      </c>
      <c r="E843" s="4">
        <v>22.3866271972656</v>
      </c>
      <c r="F843" s="4">
        <v>303.46337890625</v>
      </c>
      <c r="I843" s="5">
        <f>B843/B842-1</f>
        <v>2.6676667752946193E-2</v>
      </c>
      <c r="J843" s="5">
        <f>C843/C842-1</f>
        <v>2.5540927364894328E-2</v>
      </c>
      <c r="K843" s="5">
        <f>D843/D842-1</f>
        <v>2.7388013719338966E-2</v>
      </c>
      <c r="L843" s="5">
        <f>E843/E842-1</f>
        <v>6.5272278382461524E-2</v>
      </c>
      <c r="M843" s="5">
        <f>F843/F842-1</f>
        <v>1.7157254855591164E-2</v>
      </c>
      <c r="N843" s="5">
        <f>SUMPRODUCT(I843:M843,$AJ$13:$AN$13)</f>
        <v>4.1938382697694877E-2</v>
      </c>
      <c r="P843" s="2" t="s">
        <v>834</v>
      </c>
      <c r="Q843" s="10" cm="1">
        <f t="array" aca="1" ref="Q843:U843" ca="1">_xlfn.LET(_xlpm.array,_xlfn.RANDARRAY(1,COLUMNS(_xlfn.ANCHORARRAY(Q842)),0,1,FALSE),_xlpm.array/SUM(_xlpm.array))</f>
        <v>0.15736994873019938</v>
      </c>
      <c r="R843" s="2">
        <f ca="1"/>
        <v>0.17595841104832649</v>
      </c>
      <c r="S843" s="2">
        <f ca="1"/>
        <v>0.25226274271785903</v>
      </c>
      <c r="T843" s="2">
        <f ca="1"/>
        <v>0.27733031567873079</v>
      </c>
      <c r="U843" s="2">
        <f ca="1"/>
        <v>0.13707858182488425</v>
      </c>
      <c r="V843" s="12"/>
      <c r="X843" s="2" cm="1">
        <f t="array" aca="1" ref="X843" ca="1">MMULT(MMULT(_xlfn.ANCHORARRAY(Q843),$Q$9:$U$13),TRANSPOSE(_xlfn.ANCHORARRAY(Q843)))</f>
        <v>3.0307194851197098E-4</v>
      </c>
      <c r="Y843" s="2">
        <f t="shared" ca="1" si="30"/>
        <v>1.7408961729866917E-2</v>
      </c>
      <c r="Z843" s="2" cm="1">
        <f t="array" aca="1" ref="Z843" ca="1">MMULT(_xlfn.ANCHORARRAY(Q843),TRANSPOSE($Q$3:$U$3))</f>
        <v>1.0063197548474763E-3</v>
      </c>
      <c r="AA843" s="11">
        <f ca="1">AVEDEV(Q843*$Q$3,R843*$R$3,S843*$S$3,T843*$T$3,U843*$U$3)</f>
        <v>1.1618895503497656E-4</v>
      </c>
      <c r="AB843" s="11" cm="1">
        <f t="array" aca="1" ref="AB843" ca="1">MMULT(_xlfn.ANCHORARRAY(Q843),TRANSPOSE($Q$6:$U$6))</f>
        <v>-2.3611994551630357E-2</v>
      </c>
      <c r="AD843" s="2" t="s">
        <v>834</v>
      </c>
      <c r="AE843" s="10" cm="1">
        <f t="array" aca="1" ref="AE843:AI843" ca="1">_xlfn.LET(_xlpm.array,_xlfn.RANDARRAY(1,COLUMNS(_xlfn.ANCHORARRAY(Q842)),-1,1,FALSE),_xlpm.array/SUM(_xlpm.array))</f>
        <v>-5.3119168868886672E-2</v>
      </c>
      <c r="AF843" s="10">
        <f ca="1"/>
        <v>0.81582185002092</v>
      </c>
      <c r="AG843" s="10">
        <f ca="1"/>
        <v>-0.49862108257513776</v>
      </c>
      <c r="AH843" s="10">
        <f ca="1"/>
        <v>0.21267706194831082</v>
      </c>
      <c r="AI843" s="10">
        <f ca="1"/>
        <v>0.52324133947479368</v>
      </c>
      <c r="AJ843" s="1"/>
      <c r="AK843" s="2" cm="1">
        <f t="array" aca="1" ref="AK843" ca="1">MMULT(MMULT(_xlfn.ANCHORARRAY(AE843),$Q$9:$U$13),TRANSPOSE(_xlfn.ANCHORARRAY(AE843)))</f>
        <v>5.3082037262633863E-4</v>
      </c>
      <c r="AL843" s="2">
        <f t="shared" ca="1" si="31"/>
        <v>2.3039539331903721E-2</v>
      </c>
      <c r="AM843" s="2" cm="1">
        <f t="array" aca="1" ref="AM843" ca="1">MMULT(_xlfn.ANCHORARRAY(AE844),TRANSPOSE($Q$3:$U$3))</f>
        <v>1.4534423009190673E-4</v>
      </c>
    </row>
    <row r="844" spans="1:39" x14ac:dyDescent="0.35">
      <c r="A844" s="3">
        <v>45054</v>
      </c>
      <c r="B844" s="4">
        <v>25.615869522094702</v>
      </c>
      <c r="C844" s="4">
        <v>140.55233764648401</v>
      </c>
      <c r="D844" s="4">
        <v>43.762355804443303</v>
      </c>
      <c r="E844" s="4">
        <v>22.454833984375</v>
      </c>
      <c r="F844" s="4">
        <v>301.50961303710898</v>
      </c>
      <c r="I844" s="5">
        <f>B844/B843-1</f>
        <v>-7.2158860208393349E-4</v>
      </c>
      <c r="J844" s="5">
        <f>C844/C843-1</f>
        <v>-3.9322626557691809E-3</v>
      </c>
      <c r="K844" s="5">
        <f>D844/D843-1</f>
        <v>1.38795502462572E-2</v>
      </c>
      <c r="L844" s="5">
        <f>E844/E843-1</f>
        <v>3.0467647720391344E-3</v>
      </c>
      <c r="M844" s="5">
        <f>F844/F843-1</f>
        <v>-6.4382261747129022E-3</v>
      </c>
      <c r="N844" s="5">
        <f>SUMPRODUCT(I844:M844,$AJ$13:$AN$13)</f>
        <v>6.8371795720452901E-3</v>
      </c>
      <c r="P844" s="2" t="s">
        <v>835</v>
      </c>
      <c r="Q844" s="10" cm="1">
        <f t="array" aca="1" ref="Q844:U844" ca="1">_xlfn.LET(_xlpm.array,_xlfn.RANDARRAY(1,COLUMNS(_xlfn.ANCHORARRAY(Q843)),0,1,FALSE),_xlpm.array/SUM(_xlpm.array))</f>
        <v>0.15317364527602531</v>
      </c>
      <c r="R844" s="2">
        <f ca="1"/>
        <v>8.5186730057376699E-3</v>
      </c>
      <c r="S844" s="2">
        <f ca="1"/>
        <v>0.35007122467520074</v>
      </c>
      <c r="T844" s="2">
        <f ca="1"/>
        <v>0.30727088977413664</v>
      </c>
      <c r="U844" s="2">
        <f ca="1"/>
        <v>0.1809655672688997</v>
      </c>
      <c r="V844" s="12"/>
      <c r="X844" s="2" cm="1">
        <f t="array" aca="1" ref="X844" ca="1">MMULT(MMULT(_xlfn.ANCHORARRAY(Q844),$Q$9:$U$13),TRANSPOSE(_xlfn.ANCHORARRAY(Q844)))</f>
        <v>3.252428307788396E-4</v>
      </c>
      <c r="Y844" s="2">
        <f t="shared" ca="1" si="30"/>
        <v>1.8034490033789135E-2</v>
      </c>
      <c r="Z844" s="2" cm="1">
        <f t="array" aca="1" ref="Z844" ca="1">MMULT(_xlfn.ANCHORARRAY(Q844),TRANSPOSE($Q$3:$U$3))</f>
        <v>1.1049119462325438E-3</v>
      </c>
      <c r="AA844" s="11">
        <f ca="1">AVEDEV(Q844*$Q$3,R844*$R$3,S844*$S$3,T844*$T$3,U844*$U$3)</f>
        <v>1.7618574585618642E-4</v>
      </c>
      <c r="AB844" s="11" cm="1">
        <f t="array" aca="1" ref="AB844" ca="1">MMULT(_xlfn.ANCHORARRAY(Q844),TRANSPOSE($Q$6:$U$6))</f>
        <v>-2.4364663467698923E-2</v>
      </c>
      <c r="AD844" s="2" t="s">
        <v>835</v>
      </c>
      <c r="AE844" s="10" cm="1">
        <f t="array" aca="1" ref="AE844:AI844" ca="1">_xlfn.LET(_xlpm.array,_xlfn.RANDARRAY(1,COLUMNS(_xlfn.ANCHORARRAY(Q843)),-1,1,FALSE),_xlpm.array/SUM(_xlpm.array))</f>
        <v>2.6020831216763769</v>
      </c>
      <c r="AF844" s="10">
        <f ca="1"/>
        <v>-1.8877408530701794</v>
      </c>
      <c r="AG844" s="10">
        <f ca="1"/>
        <v>9.0835331636614558E-2</v>
      </c>
      <c r="AH844" s="10">
        <f ca="1"/>
        <v>-0.37069147915574263</v>
      </c>
      <c r="AI844" s="10">
        <f ca="1"/>
        <v>0.56551387891293059</v>
      </c>
      <c r="AJ844" s="1"/>
      <c r="AK844" s="2" cm="1">
        <f t="array" aca="1" ref="AK844" ca="1">MMULT(MMULT(_xlfn.ANCHORARRAY(AE844),$Q$9:$U$13),TRANSPOSE(_xlfn.ANCHORARRAY(AE844)))</f>
        <v>2.5088086958964559E-3</v>
      </c>
      <c r="AL844" s="2">
        <f t="shared" ca="1" si="31"/>
        <v>5.0088009502239711E-2</v>
      </c>
      <c r="AM844" s="2" cm="1">
        <f t="array" aca="1" ref="AM844" ca="1">MMULT(_xlfn.ANCHORARRAY(AE845),TRANSPOSE($Q$3:$U$3))</f>
        <v>9.857277247992814E-4</v>
      </c>
    </row>
    <row r="845" spans="1:39" x14ac:dyDescent="0.35">
      <c r="A845" s="3">
        <v>45055</v>
      </c>
      <c r="B845" s="4">
        <v>25.58811378479</v>
      </c>
      <c r="C845" s="4">
        <v>140.14717102050699</v>
      </c>
      <c r="D845" s="4">
        <v>43.724319458007798</v>
      </c>
      <c r="E845" s="4">
        <v>22.310844421386701</v>
      </c>
      <c r="F845" s="4">
        <v>299.89782714843699</v>
      </c>
      <c r="I845" s="5">
        <f>B845/B844-1</f>
        <v>-1.0835368005275292E-3</v>
      </c>
      <c r="J845" s="5">
        <f>C845/C844-1</f>
        <v>-2.882674402727381E-3</v>
      </c>
      <c r="K845" s="5">
        <f>D845/D844-1</f>
        <v>-8.691567383957155E-4</v>
      </c>
      <c r="L845" s="5">
        <f>E845/E844-1</f>
        <v>-6.412408263115732E-3</v>
      </c>
      <c r="M845" s="5">
        <f>F845/F844-1</f>
        <v>-5.3457197348915075E-3</v>
      </c>
      <c r="N845" s="5">
        <f>SUMPRODUCT(I845:M845,$AJ$13:$AN$13)</f>
        <v>-4.8266868320044976E-3</v>
      </c>
      <c r="P845" s="2" t="s">
        <v>836</v>
      </c>
      <c r="Q845" s="10" cm="1">
        <f t="array" aca="1" ref="Q845:U845" ca="1">_xlfn.LET(_xlpm.array,_xlfn.RANDARRAY(1,COLUMNS(_xlfn.ANCHORARRAY(Q844)),0,1,FALSE),_xlpm.array/SUM(_xlpm.array))</f>
        <v>0.2315742500252819</v>
      </c>
      <c r="R845" s="2">
        <f ca="1"/>
        <v>0.3119543804414196</v>
      </c>
      <c r="S845" s="2">
        <f ca="1"/>
        <v>9.2737165365807395E-2</v>
      </c>
      <c r="T845" s="2">
        <f ca="1"/>
        <v>0.32724195873415934</v>
      </c>
      <c r="U845" s="2">
        <f ca="1"/>
        <v>3.6492245433331773E-2</v>
      </c>
      <c r="V845" s="12"/>
      <c r="X845" s="2" cm="1">
        <f t="array" aca="1" ref="X845" ca="1">MMULT(MMULT(_xlfn.ANCHORARRAY(Q845),$Q$9:$U$13),TRANSPOSE(_xlfn.ANCHORARRAY(Q845)))</f>
        <v>3.3088052746610495E-4</v>
      </c>
      <c r="Y845" s="2">
        <f t="shared" ca="1" si="30"/>
        <v>1.8190121700145521E-2</v>
      </c>
      <c r="Z845" s="2" cm="1">
        <f t="array" aca="1" ref="Z845" ca="1">MMULT(_xlfn.ANCHORARRAY(Q845),TRANSPOSE($Q$3:$U$3))</f>
        <v>8.583304648970883E-4</v>
      </c>
      <c r="AA845" s="11">
        <f ca="1">AVEDEV(Q845*$Q$3,R845*$R$3,S845*$S$3,T845*$T$3,U845*$U$3)</f>
        <v>8.7514029563221326E-5</v>
      </c>
      <c r="AB845" s="11" cm="1">
        <f t="array" aca="1" ref="AB845" ca="1">MMULT(_xlfn.ANCHORARRAY(Q845),TRANSPOSE($Q$6:$U$6))</f>
        <v>-2.2916743171035345E-2</v>
      </c>
      <c r="AD845" s="2" t="s">
        <v>836</v>
      </c>
      <c r="AE845" s="10" cm="1">
        <f t="array" aca="1" ref="AE845:AI845" ca="1">_xlfn.LET(_xlpm.array,_xlfn.RANDARRAY(1,COLUMNS(_xlfn.ANCHORARRAY(Q844)),-1,1,FALSE),_xlpm.array/SUM(_xlpm.array))</f>
        <v>0.95949314141237774</v>
      </c>
      <c r="AF845" s="10">
        <f ca="1"/>
        <v>-0.62305565044487987</v>
      </c>
      <c r="AG845" s="10">
        <f ca="1"/>
        <v>0.74626953499371651</v>
      </c>
      <c r="AH845" s="10">
        <f ca="1"/>
        <v>-0.76192745674830809</v>
      </c>
      <c r="AI845" s="10">
        <f ca="1"/>
        <v>0.67922043078709371</v>
      </c>
      <c r="AJ845" s="1"/>
      <c r="AK845" s="2" cm="1">
        <f t="array" aca="1" ref="AK845" ca="1">MMULT(MMULT(_xlfn.ANCHORARRAY(AE845),$Q$9:$U$13),TRANSPOSE(_xlfn.ANCHORARRAY(AE845)))</f>
        <v>1.4072413188574568E-3</v>
      </c>
      <c r="AL845" s="2">
        <f t="shared" ca="1" si="31"/>
        <v>3.7513215256192806E-2</v>
      </c>
      <c r="AM845" s="2" cm="1">
        <f t="array" aca="1" ref="AM845" ca="1">MMULT(_xlfn.ANCHORARRAY(AE846),TRANSPOSE($Q$3:$U$3))</f>
        <v>-1.0082399741376952E-4</v>
      </c>
    </row>
    <row r="846" spans="1:39" x14ac:dyDescent="0.35">
      <c r="A846" s="3">
        <v>45056</v>
      </c>
      <c r="B846" s="4">
        <v>25.273580551147401</v>
      </c>
      <c r="C846" s="4">
        <v>138.35922241210901</v>
      </c>
      <c r="D846" s="4">
        <v>43.5816841125488</v>
      </c>
      <c r="E846" s="4">
        <v>22.1213874816894</v>
      </c>
      <c r="F846" s="4">
        <v>305.0849609375</v>
      </c>
      <c r="I846" s="5">
        <f>B846/B845-1</f>
        <v>-1.2292161754789532E-2</v>
      </c>
      <c r="J846" s="5">
        <f>C846/C845-1</f>
        <v>-1.2757650371239881E-2</v>
      </c>
      <c r="K846" s="5">
        <f>D846/D845-1</f>
        <v>-3.2621512976545031E-3</v>
      </c>
      <c r="L846" s="5">
        <f>E846/E845-1</f>
        <v>-8.491697405934695E-3</v>
      </c>
      <c r="M846" s="5">
        <f>F846/F845-1</f>
        <v>1.7296336683678692E-2</v>
      </c>
      <c r="N846" s="5">
        <f>SUMPRODUCT(I846:M846,$AJ$13:$AN$13)</f>
        <v>4.0844774325362486E-3</v>
      </c>
      <c r="P846" s="2" t="s">
        <v>837</v>
      </c>
      <c r="Q846" s="10" cm="1">
        <f t="array" aca="1" ref="Q846:U846" ca="1">_xlfn.LET(_xlpm.array,_xlfn.RANDARRAY(1,COLUMNS(_xlfn.ANCHORARRAY(Q845)),0,1,FALSE),_xlpm.array/SUM(_xlpm.array))</f>
        <v>0.15568475186944747</v>
      </c>
      <c r="R846" s="2">
        <f ca="1"/>
        <v>0.27024762463712027</v>
      </c>
      <c r="S846" s="2">
        <f ca="1"/>
        <v>0.18552365769177578</v>
      </c>
      <c r="T846" s="2">
        <f ca="1"/>
        <v>0.12293152063861762</v>
      </c>
      <c r="U846" s="2">
        <f ca="1"/>
        <v>0.26561244516303895</v>
      </c>
      <c r="V846" s="12"/>
      <c r="X846" s="2" cm="1">
        <f t="array" aca="1" ref="X846" ca="1">MMULT(MMULT(_xlfn.ANCHORARRAY(Q846),$Q$9:$U$13),TRANSPOSE(_xlfn.ANCHORARRAY(Q846)))</f>
        <v>2.6723028924064302E-4</v>
      </c>
      <c r="Y846" s="2">
        <f t="shared" ca="1" si="30"/>
        <v>1.6347179855884714E-2</v>
      </c>
      <c r="Z846" s="2" cm="1">
        <f t="array" aca="1" ref="Z846" ca="1">MMULT(_xlfn.ANCHORARRAY(Q846),TRANSPOSE($Q$3:$U$3))</f>
        <v>9.0650576258579014E-4</v>
      </c>
      <c r="AA846" s="11">
        <f ca="1">AVEDEV(Q846*$Q$3,R846*$R$3,S846*$S$3,T846*$T$3,U846*$U$3)</f>
        <v>6.3154866889469482E-5</v>
      </c>
      <c r="AB846" s="11" cm="1">
        <f t="array" aca="1" ref="AB846" ca="1">MMULT(_xlfn.ANCHORARRAY(Q846),TRANSPOSE($Q$6:$U$6))</f>
        <v>-2.2407917102279115E-2</v>
      </c>
      <c r="AD846" s="2" t="s">
        <v>837</v>
      </c>
      <c r="AE846" s="10" cm="1">
        <f t="array" aca="1" ref="AE846:AI846" ca="1">_xlfn.LET(_xlpm.array,_xlfn.RANDARRAY(1,COLUMNS(_xlfn.ANCHORARRAY(Q845)),-1,1,FALSE),_xlpm.array/SUM(_xlpm.array))</f>
        <v>5.9473592702554257</v>
      </c>
      <c r="AF846" s="10">
        <f ca="1"/>
        <v>-6.0573002436946508</v>
      </c>
      <c r="AG846" s="10">
        <f ca="1"/>
        <v>-0.60207193731012343</v>
      </c>
      <c r="AH846" s="10">
        <f ca="1"/>
        <v>3.7702264697013277</v>
      </c>
      <c r="AI846" s="10">
        <f ca="1"/>
        <v>-2.0582135589519792</v>
      </c>
      <c r="AJ846" s="1"/>
      <c r="AK846" s="2" cm="1">
        <f t="array" aca="1" ref="AK846" ca="1">MMULT(MMULT(_xlfn.ANCHORARRAY(AE846),$Q$9:$U$13),TRANSPOSE(_xlfn.ANCHORARRAY(AE846)))</f>
        <v>1.4057440115434704E-2</v>
      </c>
      <c r="AL846" s="2">
        <f t="shared" ca="1" si="31"/>
        <v>0.11856407599030452</v>
      </c>
      <c r="AM846" s="2" cm="1">
        <f t="array" aca="1" ref="AM846" ca="1">MMULT(_xlfn.ANCHORARRAY(AE847),TRANSPOSE($Q$3:$U$3))</f>
        <v>9.8149572981596979E-4</v>
      </c>
    </row>
    <row r="847" spans="1:39" x14ac:dyDescent="0.35">
      <c r="A847" s="3">
        <v>45057</v>
      </c>
      <c r="B847" s="4">
        <v>25.338335037231399</v>
      </c>
      <c r="C847" s="4">
        <v>137.59295654296801</v>
      </c>
      <c r="D847" s="4">
        <v>42.507118225097599</v>
      </c>
      <c r="E847" s="4">
        <v>21.699132919311499</v>
      </c>
      <c r="F847" s="4">
        <v>302.93585205078102</v>
      </c>
      <c r="I847" s="5">
        <f>B847/B846-1</f>
        <v>2.5621413615277699E-3</v>
      </c>
      <c r="J847" s="5">
        <f>C847/C846-1</f>
        <v>-5.538234862715874E-3</v>
      </c>
      <c r="K847" s="5">
        <f>D847/D846-1</f>
        <v>-2.4656364464396452E-2</v>
      </c>
      <c r="L847" s="5">
        <f>E847/E846-1</f>
        <v>-1.9088068627133636E-2</v>
      </c>
      <c r="M847" s="5">
        <f>F847/F846-1</f>
        <v>-7.044296382604176E-3</v>
      </c>
      <c r="N847" s="5">
        <f>SUMPRODUCT(I847:M847,$AJ$13:$AN$13)</f>
        <v>-2.4669599539282334E-2</v>
      </c>
      <c r="P847" s="2" t="s">
        <v>838</v>
      </c>
      <c r="Q847" s="10" cm="1">
        <f t="array" aca="1" ref="Q847:U847" ca="1">_xlfn.LET(_xlpm.array,_xlfn.RANDARRAY(1,COLUMNS(_xlfn.ANCHORARRAY(Q846)),0,1,FALSE),_xlpm.array/SUM(_xlpm.array))</f>
        <v>0.15567035918245054</v>
      </c>
      <c r="R847" s="2">
        <f ca="1"/>
        <v>0.22421527560249152</v>
      </c>
      <c r="S847" s="2">
        <f ca="1"/>
        <v>0.18493802813162707</v>
      </c>
      <c r="T847" s="2">
        <f ca="1"/>
        <v>0.22024296938176011</v>
      </c>
      <c r="U847" s="2">
        <f ca="1"/>
        <v>0.21493336770167074</v>
      </c>
      <c r="V847" s="12"/>
      <c r="X847" s="2" cm="1">
        <f t="array" aca="1" ref="X847" ca="1">MMULT(MMULT(_xlfn.ANCHORARRAY(Q847),$Q$9:$U$13),TRANSPOSE(_xlfn.ANCHORARRAY(Q847)))</f>
        <v>2.7595097836224128E-4</v>
      </c>
      <c r="Y847" s="2">
        <f t="shared" ca="1" si="30"/>
        <v>1.6611772282397845E-2</v>
      </c>
      <c r="Z847" s="2" cm="1">
        <f t="array" aca="1" ref="Z847" ca="1">MMULT(_xlfn.ANCHORARRAY(Q847),TRANSPOSE($Q$3:$U$3))</f>
        <v>9.32585722701177E-4</v>
      </c>
      <c r="AA847" s="11">
        <f ca="1">AVEDEV(Q847*$Q$3,R847*$R$3,S847*$S$3,T847*$T$3,U847*$U$3)</f>
        <v>6.0923680478887688E-5</v>
      </c>
      <c r="AB847" s="11" cm="1">
        <f t="array" aca="1" ref="AB847" ca="1">MMULT(_xlfn.ANCHORARRAY(Q847),TRANSPOSE($Q$6:$U$6))</f>
        <v>-2.287203402329226E-2</v>
      </c>
      <c r="AD847" s="2" t="s">
        <v>838</v>
      </c>
      <c r="AE847" s="10" cm="1">
        <f t="array" aca="1" ref="AE847:AI847" ca="1">_xlfn.LET(_xlpm.array,_xlfn.RANDARRAY(1,COLUMNS(_xlfn.ANCHORARRAY(Q846)),-1,1,FALSE),_xlpm.array/SUM(_xlpm.array))</f>
        <v>1.1275048113537676</v>
      </c>
      <c r="AF847" s="10">
        <f ca="1"/>
        <v>0.71410961476676516</v>
      </c>
      <c r="AG847" s="10">
        <f ca="1"/>
        <v>0.91640203782001006</v>
      </c>
      <c r="AH847" s="10">
        <f ca="1"/>
        <v>-0.99950845773520214</v>
      </c>
      <c r="AI847" s="10">
        <f ca="1"/>
        <v>-0.75850800620534053</v>
      </c>
      <c r="AJ847" s="1"/>
      <c r="AK847" s="2" cm="1">
        <f t="array" aca="1" ref="AK847" ca="1">MMULT(MMULT(_xlfn.ANCHORARRAY(AE847),$Q$9:$U$13),TRANSPOSE(_xlfn.ANCHORARRAY(AE847)))</f>
        <v>1.5440773595098462E-3</v>
      </c>
      <c r="AL847" s="2">
        <f t="shared" ca="1" si="31"/>
        <v>3.9294749770291786E-2</v>
      </c>
      <c r="AM847" s="2" cm="1">
        <f t="array" aca="1" ref="AM847" ca="1">MMULT(_xlfn.ANCHORARRAY(AE848),TRANSPOSE($Q$3:$U$3))</f>
        <v>-2.5732262567759159E-4</v>
      </c>
    </row>
    <row r="848" spans="1:39" x14ac:dyDescent="0.35">
      <c r="A848" s="3">
        <v>45058</v>
      </c>
      <c r="B848" s="4">
        <v>25.060811996459901</v>
      </c>
      <c r="C848" s="4">
        <v>137.94526672363199</v>
      </c>
      <c r="D848" s="4">
        <v>42.564170837402301</v>
      </c>
      <c r="E848" s="4">
        <v>21.808607101440401</v>
      </c>
      <c r="F848" s="4">
        <v>301.822265625</v>
      </c>
      <c r="I848" s="5">
        <f>B848/B847-1</f>
        <v>-1.0952694419886444E-2</v>
      </c>
      <c r="J848" s="5">
        <f>C848/C847-1</f>
        <v>2.5605248227511535E-3</v>
      </c>
      <c r="K848" s="5">
        <f>D848/D847-1</f>
        <v>1.3421896069871764E-3</v>
      </c>
      <c r="L848" s="5">
        <f>E848/E847-1</f>
        <v>5.0450947757214593E-3</v>
      </c>
      <c r="M848" s="5">
        <f>F848/F847-1</f>
        <v>-3.6759809650868114E-3</v>
      </c>
      <c r="N848" s="5">
        <f>SUMPRODUCT(I848:M848,$AJ$13:$AN$13)</f>
        <v>4.9120260797749582E-3</v>
      </c>
      <c r="P848" s="2" t="s">
        <v>839</v>
      </c>
      <c r="Q848" s="10" cm="1">
        <f t="array" aca="1" ref="Q848:U848" ca="1">_xlfn.LET(_xlpm.array,_xlfn.RANDARRAY(1,COLUMNS(_xlfn.ANCHORARRAY(Q847)),0,1,FALSE),_xlpm.array/SUM(_xlpm.array))</f>
        <v>9.4087911972112765E-3</v>
      </c>
      <c r="R848" s="2">
        <f ca="1"/>
        <v>0.12980153970646072</v>
      </c>
      <c r="S848" s="2">
        <f ca="1"/>
        <v>0.27777578668376834</v>
      </c>
      <c r="T848" s="2">
        <f ca="1"/>
        <v>0.33354047699514555</v>
      </c>
      <c r="U848" s="2">
        <f ca="1"/>
        <v>0.24947340541741414</v>
      </c>
      <c r="V848" s="12"/>
      <c r="X848" s="2" cm="1">
        <f t="array" aca="1" ref="X848" ca="1">MMULT(MMULT(_xlfn.ANCHORARRAY(Q848),$Q$9:$U$13),TRANSPOSE(_xlfn.ANCHORARRAY(Q848)))</f>
        <v>3.0347953034236421E-4</v>
      </c>
      <c r="Y848" s="2">
        <f t="shared" ca="1" si="30"/>
        <v>1.742066388925417E-2</v>
      </c>
      <c r="Z848" s="2" cm="1">
        <f t="array" aca="1" ref="Z848" ca="1">MMULT(_xlfn.ANCHORARRAY(Q848),TRANSPOSE($Q$3:$U$3))</f>
        <v>1.0822375785237083E-3</v>
      </c>
      <c r="AA848" s="11">
        <f ca="1">AVEDEV(Q848*$Q$3,R848*$R$3,S848*$S$3,T848*$T$3,U848*$U$3)</f>
        <v>1.4358548990042264E-4</v>
      </c>
      <c r="AB848" s="11" cm="1">
        <f t="array" aca="1" ref="AB848" ca="1">MMULT(_xlfn.ANCHORARRAY(Q848),TRANSPOSE($Q$6:$U$6))</f>
        <v>-2.3833552741319861E-2</v>
      </c>
      <c r="AD848" s="2" t="s">
        <v>839</v>
      </c>
      <c r="AE848" s="10" cm="1">
        <f t="array" aca="1" ref="AE848:AI848" ca="1">_xlfn.LET(_xlpm.array,_xlfn.RANDARRAY(1,COLUMNS(_xlfn.ANCHORARRAY(Q847)),-1,1,FALSE),_xlpm.array/SUM(_xlpm.array))</f>
        <v>6.1085210377761469E-2</v>
      </c>
      <c r="AF848" s="10">
        <f ca="1"/>
        <v>0.11286779723345132</v>
      </c>
      <c r="AG848" s="10">
        <f ca="1"/>
        <v>-1.8619291189073923</v>
      </c>
      <c r="AH848" s="10">
        <f ca="1"/>
        <v>2.3253949806143135</v>
      </c>
      <c r="AI848" s="10">
        <f ca="1"/>
        <v>0.36258113068186609</v>
      </c>
      <c r="AJ848" s="1"/>
      <c r="AK848" s="2" cm="1">
        <f t="array" aca="1" ref="AK848" ca="1">MMULT(MMULT(_xlfn.ANCHORARRAY(AE848),$Q$9:$U$13),TRANSPOSE(_xlfn.ANCHORARRAY(AE848)))</f>
        <v>4.481808215829176E-3</v>
      </c>
      <c r="AL848" s="2">
        <f t="shared" ca="1" si="31"/>
        <v>6.6946308455576364E-2</v>
      </c>
      <c r="AM848" s="2" cm="1">
        <f t="array" aca="1" ref="AM848" ca="1">MMULT(_xlfn.ANCHORARRAY(AE849),TRANSPOSE($Q$3:$U$3))</f>
        <v>8.545885312678332E-4</v>
      </c>
    </row>
    <row r="849" spans="1:39" x14ac:dyDescent="0.35">
      <c r="A849" s="3">
        <v>45061</v>
      </c>
      <c r="B849" s="4">
        <v>25.578861236572202</v>
      </c>
      <c r="C849" s="4">
        <v>138.45611572265599</v>
      </c>
      <c r="D849" s="4">
        <v>42.725833892822202</v>
      </c>
      <c r="E849" s="4">
        <v>22.144842147827099</v>
      </c>
      <c r="F849" s="4">
        <v>302.30090332031199</v>
      </c>
      <c r="I849" s="5">
        <f>B849/B848-1</f>
        <v>2.0671686144307033E-2</v>
      </c>
      <c r="J849" s="5">
        <f>C849/C848-1</f>
        <v>3.7032731253292539E-3</v>
      </c>
      <c r="K849" s="5">
        <f>D849/D848-1</f>
        <v>3.7981018363417718E-3</v>
      </c>
      <c r="L849" s="5">
        <f>E849/E848-1</f>
        <v>1.5417538810375886E-2</v>
      </c>
      <c r="M849" s="5">
        <f>F849/F848-1</f>
        <v>1.5858263283552443E-3</v>
      </c>
      <c r="N849" s="5">
        <f>SUMPRODUCT(I849:M849,$AJ$13:$AN$13)</f>
        <v>3.6113985754416713E-3</v>
      </c>
      <c r="P849" s="2" t="s">
        <v>840</v>
      </c>
      <c r="Q849" s="10" cm="1">
        <f t="array" aca="1" ref="Q849:U849" ca="1">_xlfn.LET(_xlpm.array,_xlfn.RANDARRAY(1,COLUMNS(_xlfn.ANCHORARRAY(Q848)),0,1,FALSE),_xlpm.array/SUM(_xlpm.array))</f>
        <v>0.22213933886529949</v>
      </c>
      <c r="R849" s="2">
        <f ca="1"/>
        <v>0.12412238999491457</v>
      </c>
      <c r="S849" s="2">
        <f ca="1"/>
        <v>0.21059068830348127</v>
      </c>
      <c r="T849" s="2">
        <f ca="1"/>
        <v>0.26560362409165433</v>
      </c>
      <c r="U849" s="2">
        <f ca="1"/>
        <v>0.17754395874465034</v>
      </c>
      <c r="V849" s="12"/>
      <c r="X849" s="2" cm="1">
        <f t="array" aca="1" ref="X849" ca="1">MMULT(MMULT(_xlfn.ANCHORARRAY(Q849),$Q$9:$U$13),TRANSPOSE(_xlfn.ANCHORARRAY(Q849)))</f>
        <v>2.8633828397080116E-4</v>
      </c>
      <c r="Y849" s="2">
        <f t="shared" ca="1" si="30"/>
        <v>1.6921533144806978E-2</v>
      </c>
      <c r="Z849" s="2" cm="1">
        <f t="array" aca="1" ref="Z849" ca="1">MMULT(_xlfn.ANCHORARRAY(Q849),TRANSPOSE($Q$3:$U$3))</f>
        <v>9.5268032806309299E-4</v>
      </c>
      <c r="AA849" s="11">
        <f ca="1">AVEDEV(Q849*$Q$3,R849*$R$3,S849*$S$3,T849*$T$3,U849*$U$3)</f>
        <v>9.2909008298066269E-5</v>
      </c>
      <c r="AB849" s="11" cm="1">
        <f t="array" aca="1" ref="AB849" ca="1">MMULT(_xlfn.ANCHORARRAY(Q849),TRANSPOSE($Q$6:$U$6))</f>
        <v>-2.333183064669692E-2</v>
      </c>
      <c r="AD849" s="2" t="s">
        <v>840</v>
      </c>
      <c r="AE849" s="10" cm="1">
        <f t="array" aca="1" ref="AE849:AI849" ca="1">_xlfn.LET(_xlpm.array,_xlfn.RANDARRAY(1,COLUMNS(_xlfn.ANCHORARRAY(Q848)),-1,1,FALSE),_xlpm.array/SUM(_xlpm.array))</f>
        <v>0.54936999967445244</v>
      </c>
      <c r="AF849" s="10">
        <f ca="1"/>
        <v>-0.40613534512217925</v>
      </c>
      <c r="AG849" s="10">
        <f ca="1"/>
        <v>7.720561036837692E-2</v>
      </c>
      <c r="AH849" s="10">
        <f ca="1"/>
        <v>0.58543398923450352</v>
      </c>
      <c r="AI849" s="10">
        <f ca="1"/>
        <v>0.19412574584484632</v>
      </c>
      <c r="AJ849" s="1"/>
      <c r="AK849" s="2" cm="1">
        <f t="array" aca="1" ref="AK849" ca="1">MMULT(MMULT(_xlfn.ANCHORARRAY(AE849),$Q$9:$U$13),TRANSPOSE(_xlfn.ANCHORARRAY(AE849)))</f>
        <v>3.5829489669941388E-4</v>
      </c>
      <c r="AL849" s="2">
        <f t="shared" ca="1" si="31"/>
        <v>1.8928679211699211E-2</v>
      </c>
      <c r="AM849" s="2" cm="1">
        <f t="array" aca="1" ref="AM849" ca="1">MMULT(_xlfn.ANCHORARRAY(AE850),TRANSPOSE($Q$3:$U$3))</f>
        <v>1.4769782028730284E-3</v>
      </c>
    </row>
    <row r="850" spans="1:39" x14ac:dyDescent="0.35">
      <c r="A850" s="3">
        <v>45062</v>
      </c>
      <c r="B850" s="4">
        <v>25.310585021972599</v>
      </c>
      <c r="C850" s="4">
        <v>135.20608520507801</v>
      </c>
      <c r="D850" s="4">
        <v>43.153759002685497</v>
      </c>
      <c r="E850" s="4">
        <v>21.5349216461181</v>
      </c>
      <c r="F850" s="4">
        <v>304.52819824218699</v>
      </c>
      <c r="I850" s="5">
        <f>B850/B849-1</f>
        <v>-1.0488200085155719E-2</v>
      </c>
      <c r="J850" s="5">
        <f>C850/C849-1</f>
        <v>-2.3473361942986881E-2</v>
      </c>
      <c r="K850" s="5">
        <f>D850/D849-1</f>
        <v>1.0015605802726979E-2</v>
      </c>
      <c r="L850" s="5">
        <f>E850/E849-1</f>
        <v>-2.7542327808773526E-2</v>
      </c>
      <c r="M850" s="5">
        <f>F850/F849-1</f>
        <v>7.3678076956158467E-3</v>
      </c>
      <c r="N850" s="5">
        <f>SUMPRODUCT(I850:M850,$AJ$13:$AN$13)</f>
        <v>-1.3909382080537461E-3</v>
      </c>
      <c r="P850" s="2" t="s">
        <v>841</v>
      </c>
      <c r="Q850" s="10" cm="1">
        <f t="array" aca="1" ref="Q850:U850" ca="1">_xlfn.LET(_xlpm.array,_xlfn.RANDARRAY(1,COLUMNS(_xlfn.ANCHORARRAY(Q849)),0,1,FALSE),_xlpm.array/SUM(_xlpm.array))</f>
        <v>0.17114156218952342</v>
      </c>
      <c r="R850" s="2">
        <f ca="1"/>
        <v>0.18431466283503006</v>
      </c>
      <c r="S850" s="2">
        <f ca="1"/>
        <v>0.25640412606691892</v>
      </c>
      <c r="T850" s="2">
        <f ca="1"/>
        <v>0.18775581781522391</v>
      </c>
      <c r="U850" s="2">
        <f ca="1"/>
        <v>0.20038383109330365</v>
      </c>
      <c r="V850" s="12"/>
      <c r="X850" s="2" cm="1">
        <f t="array" aca="1" ref="X850" ca="1">MMULT(MMULT(_xlfn.ANCHORARRAY(Q850),$Q$9:$U$13),TRANSPOSE(_xlfn.ANCHORARRAY(Q850)))</f>
        <v>2.8796595737151979E-4</v>
      </c>
      <c r="Y850" s="2">
        <f t="shared" ca="1" si="30"/>
        <v>1.6969559728275799E-2</v>
      </c>
      <c r="Z850" s="2" cm="1">
        <f t="array" aca="1" ref="Z850" ca="1">MMULT(_xlfn.ANCHORARRAY(Q850),TRANSPOSE($Q$3:$U$3))</f>
        <v>9.8305521727203807E-4</v>
      </c>
      <c r="AA850" s="11">
        <f ca="1">AVEDEV(Q850*$Q$3,R850*$R$3,S850*$S$3,T850*$T$3,U850*$U$3)</f>
        <v>8.7915782209124866E-5</v>
      </c>
      <c r="AB850" s="11" cm="1">
        <f t="array" aca="1" ref="AB850" ca="1">MMULT(_xlfn.ANCHORARRAY(Q850),TRANSPOSE($Q$6:$U$6))</f>
        <v>-2.3214453160740181E-2</v>
      </c>
      <c r="AD850" s="2" t="s">
        <v>841</v>
      </c>
      <c r="AE850" s="10" cm="1">
        <f t="array" aca="1" ref="AE850:AI850" ca="1">_xlfn.LET(_xlpm.array,_xlfn.RANDARRAY(1,COLUMNS(_xlfn.ANCHORARRAY(Q849)),-1,1,FALSE),_xlpm.array/SUM(_xlpm.array))</f>
        <v>6.3439287303014083E-2</v>
      </c>
      <c r="AF850" s="10">
        <f ca="1"/>
        <v>-0.27908815910114282</v>
      </c>
      <c r="AG850" s="10">
        <f ca="1"/>
        <v>0.76204992826736395</v>
      </c>
      <c r="AH850" s="10">
        <f ca="1"/>
        <v>0.24937339729593444</v>
      </c>
      <c r="AI850" s="10">
        <f ca="1"/>
        <v>0.20422554623483027</v>
      </c>
      <c r="AJ850" s="1"/>
      <c r="AK850" s="2" cm="1">
        <f t="array" aca="1" ref="AK850" ca="1">MMULT(MMULT(_xlfn.ANCHORARRAY(AE850),$Q$9:$U$13),TRANSPOSE(_xlfn.ANCHORARRAY(AE850)))</f>
        <v>6.135186908072035E-4</v>
      </c>
      <c r="AL850" s="2">
        <f t="shared" ca="1" si="31"/>
        <v>2.4769309453579916E-2</v>
      </c>
      <c r="AM850" s="2" cm="1">
        <f t="array" aca="1" ref="AM850" ca="1">MMULT(_xlfn.ANCHORARRAY(AE851),TRANSPOSE($Q$3:$U$3))</f>
        <v>1.2325816723574377E-3</v>
      </c>
    </row>
    <row r="851" spans="1:39" x14ac:dyDescent="0.35">
      <c r="A851" s="3">
        <v>45063</v>
      </c>
      <c r="B851" s="4">
        <v>26.429948806762599</v>
      </c>
      <c r="C851" s="4">
        <v>137.143783569335</v>
      </c>
      <c r="D851" s="4">
        <v>43.600704193115199</v>
      </c>
      <c r="E851" s="4">
        <v>21.839881896972599</v>
      </c>
      <c r="F851" s="4">
        <v>307.40643310546801</v>
      </c>
      <c r="I851" s="5">
        <f>B851/B850-1</f>
        <v>4.4225124935605375E-2</v>
      </c>
      <c r="J851" s="5">
        <f>C851/C850-1</f>
        <v>1.433144345032944E-2</v>
      </c>
      <c r="K851" s="5">
        <f>D851/D850-1</f>
        <v>1.0357039589572903E-2</v>
      </c>
      <c r="L851" s="5">
        <f>E851/E850-1</f>
        <v>1.416119621263956E-2</v>
      </c>
      <c r="M851" s="5">
        <f>F851/F850-1</f>
        <v>9.4514559896092809E-3</v>
      </c>
      <c r="N851" s="5">
        <f>SUMPRODUCT(I851:M851,$AJ$13:$AN$13)</f>
        <v>1.9067397731808845E-3</v>
      </c>
      <c r="P851" s="2" t="s">
        <v>842</v>
      </c>
      <c r="Q851" s="10" cm="1">
        <f t="array" aca="1" ref="Q851:U851" ca="1">_xlfn.LET(_xlpm.array,_xlfn.RANDARRAY(1,COLUMNS(_xlfn.ANCHORARRAY(Q850)),0,1,FALSE),_xlpm.array/SUM(_xlpm.array))</f>
        <v>0.15694936026029585</v>
      </c>
      <c r="R851" s="2">
        <f ca="1"/>
        <v>2.6231160508610699E-2</v>
      </c>
      <c r="S851" s="2">
        <f ca="1"/>
        <v>0.30026547955971516</v>
      </c>
      <c r="T851" s="2">
        <f ca="1"/>
        <v>0.41885831732500273</v>
      </c>
      <c r="U851" s="2">
        <f ca="1"/>
        <v>9.7695682346375365E-2</v>
      </c>
      <c r="V851" s="12"/>
      <c r="X851" s="2" cm="1">
        <f t="array" aca="1" ref="X851" ca="1">MMULT(MMULT(_xlfn.ANCHORARRAY(Q851),$Q$9:$U$13),TRANSPOSE(_xlfn.ANCHORARRAY(Q851)))</f>
        <v>3.3673909841903563E-4</v>
      </c>
      <c r="Y851" s="2">
        <f t="shared" ca="1" si="30"/>
        <v>1.835045226742479E-2</v>
      </c>
      <c r="Z851" s="2" cm="1">
        <f t="array" aca="1" ref="Z851" ca="1">MMULT(_xlfn.ANCHORARRAY(Q851),TRANSPOSE($Q$3:$U$3))</f>
        <v>1.0891910583957687E-3</v>
      </c>
      <c r="AA851" s="11">
        <f ca="1">AVEDEV(Q851*$Q$3,R851*$R$3,S851*$S$3,T851*$T$3,U851*$U$3)</f>
        <v>1.9194711133341697E-4</v>
      </c>
      <c r="AB851" s="11" cm="1">
        <f t="array" aca="1" ref="AB851" ca="1">MMULT(_xlfn.ANCHORARRAY(Q851),TRANSPOSE($Q$6:$U$6))</f>
        <v>-2.459057710935595E-2</v>
      </c>
      <c r="AD851" s="2" t="s">
        <v>842</v>
      </c>
      <c r="AE851" s="10" cm="1">
        <f t="array" aca="1" ref="AE851:AI851" ca="1">_xlfn.LET(_xlpm.array,_xlfn.RANDARRAY(1,COLUMNS(_xlfn.ANCHORARRAY(Q850)),-1,1,FALSE),_xlpm.array/SUM(_xlpm.array))</f>
        <v>0.3190410189672841</v>
      </c>
      <c r="AF851" s="10">
        <f ca="1"/>
        <v>0.1693971994757707</v>
      </c>
      <c r="AG851" s="10">
        <f ca="1"/>
        <v>0.58679240377109276</v>
      </c>
      <c r="AH851" s="10">
        <f ca="1"/>
        <v>0.19986863884351788</v>
      </c>
      <c r="AI851" s="10">
        <f ca="1"/>
        <v>-0.27509926105766547</v>
      </c>
      <c r="AJ851" s="1"/>
      <c r="AK851" s="2" cm="1">
        <f t="array" aca="1" ref="AK851" ca="1">MMULT(MMULT(_xlfn.ANCHORARRAY(AE851),$Q$9:$U$13),TRANSPOSE(_xlfn.ANCHORARRAY(AE851)))</f>
        <v>5.367747389778796E-4</v>
      </c>
      <c r="AL851" s="2">
        <f t="shared" ca="1" si="31"/>
        <v>2.3168399577395922E-2</v>
      </c>
      <c r="AM851" s="2" cm="1">
        <f t="array" aca="1" ref="AM851" ca="1">MMULT(_xlfn.ANCHORARRAY(AE852),TRANSPOSE($Q$3:$U$3))</f>
        <v>-1.5776463477164802E-4</v>
      </c>
    </row>
    <row r="852" spans="1:39" x14ac:dyDescent="0.35">
      <c r="A852" s="3">
        <v>45064</v>
      </c>
      <c r="B852" s="4">
        <v>26.337440490722599</v>
      </c>
      <c r="C852" s="4">
        <v>136.97479248046801</v>
      </c>
      <c r="D852" s="4">
        <v>44.808391571044901</v>
      </c>
      <c r="E852" s="4">
        <v>21.542741775512599</v>
      </c>
      <c r="F852" s="4">
        <v>311.83151245117102</v>
      </c>
      <c r="I852" s="5">
        <f>B852/B851-1</f>
        <v>-3.5001322445364913E-3</v>
      </c>
      <c r="J852" s="5">
        <f>C852/C851-1</f>
        <v>-1.232218365782134E-3</v>
      </c>
      <c r="K852" s="5">
        <f>D852/D851-1</f>
        <v>2.7698804417943368E-2</v>
      </c>
      <c r="L852" s="5">
        <f>E852/E851-1</f>
        <v>-1.360539048982623E-2</v>
      </c>
      <c r="M852" s="5">
        <f>F852/F851-1</f>
        <v>1.4394882049149516E-2</v>
      </c>
      <c r="N852" s="5">
        <f>SUMPRODUCT(I852:M852,$AJ$13:$AN$13)</f>
        <v>1.3926008632678542E-2</v>
      </c>
      <c r="P852" s="2" t="s">
        <v>843</v>
      </c>
      <c r="Q852" s="10" cm="1">
        <f t="array" aca="1" ref="Q852:U852" ca="1">_xlfn.LET(_xlpm.array,_xlfn.RANDARRAY(1,COLUMNS(_xlfn.ANCHORARRAY(Q851)),0,1,FALSE),_xlpm.array/SUM(_xlpm.array))</f>
        <v>0.31710883504717202</v>
      </c>
      <c r="R852" s="2">
        <f ca="1"/>
        <v>2.9535517960306217E-2</v>
      </c>
      <c r="S852" s="2">
        <f ca="1"/>
        <v>0.2871973179014104</v>
      </c>
      <c r="T852" s="2">
        <f ca="1"/>
        <v>0.1713682994713496</v>
      </c>
      <c r="U852" s="2">
        <f ca="1"/>
        <v>0.19479002961976186</v>
      </c>
      <c r="V852" s="12"/>
      <c r="X852" s="2" cm="1">
        <f t="array" aca="1" ref="X852" ca="1">MMULT(MMULT(_xlfn.ANCHORARRAY(Q852),$Q$9:$U$13),TRANSPOSE(_xlfn.ANCHORARRAY(Q852)))</f>
        <v>3.0227445859855339E-4</v>
      </c>
      <c r="Y852" s="2">
        <f t="shared" ca="1" si="30"/>
        <v>1.7386042062486604E-2</v>
      </c>
      <c r="Z852" s="2" cm="1">
        <f t="array" aca="1" ref="Z852" ca="1">MMULT(_xlfn.ANCHORARRAY(Q852),TRANSPOSE($Q$3:$U$3))</f>
        <v>9.7320471785147333E-4</v>
      </c>
      <c r="AA852" s="11">
        <f ca="1">AVEDEV(Q852*$Q$3,R852*$R$3,S852*$S$3,T852*$T$3,U852*$U$3)</f>
        <v>1.0870708910183172E-4</v>
      </c>
      <c r="AB852" s="11" cm="1">
        <f t="array" aca="1" ref="AB852" ca="1">MMULT(_xlfn.ANCHORARRAY(Q852),TRANSPOSE($Q$6:$U$6))</f>
        <v>-2.3491428233552141E-2</v>
      </c>
      <c r="AD852" s="2" t="s">
        <v>843</v>
      </c>
      <c r="AE852" s="10" cm="1">
        <f t="array" aca="1" ref="AE852:AI852" ca="1">_xlfn.LET(_xlpm.array,_xlfn.RANDARRAY(1,COLUMNS(_xlfn.ANCHORARRAY(Q851)),-1,1,FALSE),_xlpm.array/SUM(_xlpm.array))</f>
        <v>1.6125755803626898</v>
      </c>
      <c r="AF852" s="10">
        <f ca="1"/>
        <v>-2.0488579431860416</v>
      </c>
      <c r="AG852" s="10">
        <f ca="1"/>
        <v>-1.8095224851113154</v>
      </c>
      <c r="AH852" s="10">
        <f ca="1"/>
        <v>3.7969040168905273</v>
      </c>
      <c r="AI852" s="10">
        <f ca="1"/>
        <v>-0.55109916895585975</v>
      </c>
      <c r="AJ852" s="1"/>
      <c r="AK852" s="2" cm="1">
        <f t="array" aca="1" ref="AK852" ca="1">MMULT(MMULT(_xlfn.ANCHORARRAY(AE852),$Q$9:$U$13),TRANSPOSE(_xlfn.ANCHORARRAY(AE852)))</f>
        <v>7.3321532915341754E-3</v>
      </c>
      <c r="AL852" s="2">
        <f t="shared" ca="1" si="31"/>
        <v>8.5627993620860779E-2</v>
      </c>
      <c r="AM852" s="2" cm="1">
        <f t="array" aca="1" ref="AM852" ca="1">MMULT(_xlfn.ANCHORARRAY(AE853),TRANSPOSE($Q$3:$U$3))</f>
        <v>3.3115329935563538E-4</v>
      </c>
    </row>
    <row r="853" spans="1:39" x14ac:dyDescent="0.35">
      <c r="A853" s="3">
        <v>45065</v>
      </c>
      <c r="B853" s="4">
        <v>26.004405975341701</v>
      </c>
      <c r="C853" s="4">
        <v>138.05982971191401</v>
      </c>
      <c r="D853" s="4">
        <v>45.407485961913999</v>
      </c>
      <c r="E853" s="4">
        <v>21.597478866577099</v>
      </c>
      <c r="F853" s="4">
        <v>311.65524291992102</v>
      </c>
      <c r="I853" s="5">
        <f>B853/B852-1</f>
        <v>-1.2644908129862187E-2</v>
      </c>
      <c r="J853" s="5">
        <f>C853/C852-1</f>
        <v>7.9214373082603373E-3</v>
      </c>
      <c r="K853" s="5">
        <f>D853/D852-1</f>
        <v>1.3370138267945197E-2</v>
      </c>
      <c r="L853" s="5">
        <f>E853/E852-1</f>
        <v>2.540860009133894E-3</v>
      </c>
      <c r="M853" s="5">
        <f>F853/F852-1</f>
        <v>-5.6527170671250015E-4</v>
      </c>
      <c r="N853" s="5">
        <f>SUMPRODUCT(I853:M853,$AJ$13:$AN$13)</f>
        <v>1.1357427531897734E-2</v>
      </c>
      <c r="P853" s="2" t="s">
        <v>844</v>
      </c>
      <c r="Q853" s="10" cm="1">
        <f t="array" aca="1" ref="Q853:U853" ca="1">_xlfn.LET(_xlpm.array,_xlfn.RANDARRAY(1,COLUMNS(_xlfn.ANCHORARRAY(Q852)),0,1,FALSE),_xlpm.array/SUM(_xlpm.array))</f>
        <v>0.20797702796630185</v>
      </c>
      <c r="R853" s="2">
        <f ca="1"/>
        <v>0.28262055679012177</v>
      </c>
      <c r="S853" s="2">
        <f ca="1"/>
        <v>4.9650428232334509E-2</v>
      </c>
      <c r="T853" s="2">
        <f ca="1"/>
        <v>0.14131433884491459</v>
      </c>
      <c r="U853" s="2">
        <f ca="1"/>
        <v>0.31843764816632725</v>
      </c>
      <c r="V853" s="12"/>
      <c r="X853" s="2" cm="1">
        <f t="array" aca="1" ref="X853" ca="1">MMULT(MMULT(_xlfn.ANCHORARRAY(Q853),$Q$9:$U$13),TRANSPOSE(_xlfn.ANCHORARRAY(Q853)))</f>
        <v>2.5398806334521522E-4</v>
      </c>
      <c r="Y853" s="2">
        <f t="shared" ca="1" si="30"/>
        <v>1.5937002959942475E-2</v>
      </c>
      <c r="Z853" s="2" cm="1">
        <f t="array" aca="1" ref="Z853" ca="1">MMULT(_xlfn.ANCHORARRAY(Q853),TRANSPOSE($Q$3:$U$3))</f>
        <v>7.8064384430691477E-4</v>
      </c>
      <c r="AA853" s="11">
        <f ca="1">AVEDEV(Q853*$Q$3,R853*$R$3,S853*$S$3,T853*$T$3,U853*$U$3)</f>
        <v>5.5072511972007802E-5</v>
      </c>
      <c r="AB853" s="11" cm="1">
        <f t="array" aca="1" ref="AB853" ca="1">MMULT(_xlfn.ANCHORARRAY(Q853),TRANSPOSE($Q$6:$U$6))</f>
        <v>-2.1629570609576446E-2</v>
      </c>
      <c r="AD853" s="2" t="s">
        <v>844</v>
      </c>
      <c r="AE853" s="10" cm="1">
        <f t="array" aca="1" ref="AE853:AI853" ca="1">_xlfn.LET(_xlpm.array,_xlfn.RANDARRAY(1,COLUMNS(_xlfn.ANCHORARRAY(Q852)),-1,1,FALSE),_xlpm.array/SUM(_xlpm.array))</f>
        <v>0.49425747900985917</v>
      </c>
      <c r="AF853" s="10">
        <f ca="1"/>
        <v>0.42287150500989129</v>
      </c>
      <c r="AG853" s="10">
        <f ca="1"/>
        <v>-0.16981560118690495</v>
      </c>
      <c r="AH853" s="10">
        <f ca="1"/>
        <v>-0.56992625661884377</v>
      </c>
      <c r="AI853" s="10">
        <f ca="1"/>
        <v>0.82261287378599823</v>
      </c>
      <c r="AJ853" s="1"/>
      <c r="AK853" s="2" cm="1">
        <f t="array" aca="1" ref="AK853" ca="1">MMULT(MMULT(_xlfn.ANCHORARRAY(AE853),$Q$9:$U$13),TRANSPOSE(_xlfn.ANCHORARRAY(AE853)))</f>
        <v>4.761572497918176E-4</v>
      </c>
      <c r="AL853" s="2">
        <f t="shared" ca="1" si="31"/>
        <v>2.1821027697883928E-2</v>
      </c>
      <c r="AM853" s="2" cm="1">
        <f t="array" aca="1" ref="AM853" ca="1">MMULT(_xlfn.ANCHORARRAY(AE854),TRANSPOSE($Q$3:$U$3))</f>
        <v>1.6876362688545941E-3</v>
      </c>
    </row>
    <row r="854" spans="1:39" x14ac:dyDescent="0.35">
      <c r="A854" s="3">
        <v>45068</v>
      </c>
      <c r="B854" s="4">
        <v>26.217178344726499</v>
      </c>
      <c r="C854" s="4">
        <v>135.57843017578099</v>
      </c>
      <c r="D854" s="4">
        <v>45.207794189453097</v>
      </c>
      <c r="E854" s="4">
        <v>21.503644943237301</v>
      </c>
      <c r="F854" s="4">
        <v>314.43566894531199</v>
      </c>
      <c r="I854" s="5">
        <f>B854/B853-1</f>
        <v>8.182166113948286E-3</v>
      </c>
      <c r="J854" s="5">
        <f>C854/C853-1</f>
        <v>-1.7973363731585645E-2</v>
      </c>
      <c r="K854" s="5">
        <f>D854/D853-1</f>
        <v>-4.3977720464065673E-3</v>
      </c>
      <c r="L854" s="5">
        <f>E854/E853-1</f>
        <v>-4.344670223755065E-3</v>
      </c>
      <c r="M854" s="5">
        <f>F854/F853-1</f>
        <v>8.9214800281907092E-3</v>
      </c>
      <c r="N854" s="5">
        <f>SUMPRODUCT(I854:M854,$AJ$13:$AN$13)</f>
        <v>-3.1172437299432231E-3</v>
      </c>
      <c r="P854" s="2" t="s">
        <v>845</v>
      </c>
      <c r="Q854" s="10" cm="1">
        <f t="array" aca="1" ref="Q854:U854" ca="1">_xlfn.LET(_xlpm.array,_xlfn.RANDARRAY(1,COLUMNS(_xlfn.ANCHORARRAY(Q853)),0,1,FALSE),_xlpm.array/SUM(_xlpm.array))</f>
        <v>3.2483917110541577E-2</v>
      </c>
      <c r="R854" s="2">
        <f ca="1"/>
        <v>0.13449896686022172</v>
      </c>
      <c r="S854" s="2">
        <f ca="1"/>
        <v>0.30960915751580725</v>
      </c>
      <c r="T854" s="2">
        <f ca="1"/>
        <v>0.27008600767867469</v>
      </c>
      <c r="U854" s="2">
        <f ca="1"/>
        <v>0.25332195083475467</v>
      </c>
      <c r="V854" s="12"/>
      <c r="X854" s="2" cm="1">
        <f t="array" aca="1" ref="X854" ca="1">MMULT(MMULT(_xlfn.ANCHORARRAY(Q854),$Q$9:$U$13),TRANSPOSE(_xlfn.ANCHORARRAY(Q854)))</f>
        <v>3.0423106430211964E-4</v>
      </c>
      <c r="Y854" s="2">
        <f t="shared" ca="1" si="30"/>
        <v>1.7442220738831383E-2</v>
      </c>
      <c r="Z854" s="2" cm="1">
        <f t="array" aca="1" ref="Z854" ca="1">MMULT(_xlfn.ANCHORARRAY(Q854),TRANSPOSE($Q$3:$U$3))</f>
        <v>1.0872104902789142E-3</v>
      </c>
      <c r="AA854" s="11">
        <f ca="1">AVEDEV(Q854*$Q$3,R854*$R$3,S854*$S$3,T854*$T$3,U854*$U$3)</f>
        <v>1.3753832250395389E-4</v>
      </c>
      <c r="AB854" s="11" cm="1">
        <f t="array" aca="1" ref="AB854" ca="1">MMULT(_xlfn.ANCHORARRAY(Q854),TRANSPOSE($Q$6:$U$6))</f>
        <v>-2.3773985635782233E-2</v>
      </c>
      <c r="AD854" s="2" t="s">
        <v>845</v>
      </c>
      <c r="AE854" s="10" cm="1">
        <f t="array" aca="1" ref="AE854:AI854" ca="1">_xlfn.LET(_xlpm.array,_xlfn.RANDARRAY(1,COLUMNS(_xlfn.ANCHORARRAY(Q853)),-1,1,FALSE),_xlpm.array/SUM(_xlpm.array))</f>
        <v>-1.1358481554177868</v>
      </c>
      <c r="AF854" s="10">
        <f ca="1"/>
        <v>1.6300111810220075</v>
      </c>
      <c r="AG854" s="10">
        <f ca="1"/>
        <v>1.2196065330204047</v>
      </c>
      <c r="AH854" s="10">
        <f ca="1"/>
        <v>-1.4023949363098018</v>
      </c>
      <c r="AI854" s="10">
        <f ca="1"/>
        <v>0.68862537768517673</v>
      </c>
      <c r="AJ854" s="1"/>
      <c r="AK854" s="2" cm="1">
        <f t="array" aca="1" ref="AK854" ca="1">MMULT(MMULT(_xlfn.ANCHORARRAY(AE854),$Q$9:$U$13),TRANSPOSE(_xlfn.ANCHORARRAY(AE854)))</f>
        <v>2.1746295728519963E-3</v>
      </c>
      <c r="AL854" s="2">
        <f t="shared" ca="1" si="31"/>
        <v>4.6632923700450052E-2</v>
      </c>
      <c r="AM854" s="2" cm="1">
        <f t="array" aca="1" ref="AM854" ca="1">MMULT(_xlfn.ANCHORARRAY(AE855),TRANSPOSE($Q$3:$U$3))</f>
        <v>9.8409488022219334E-4</v>
      </c>
    </row>
    <row r="855" spans="1:39" x14ac:dyDescent="0.35">
      <c r="A855" s="3">
        <v>45069</v>
      </c>
      <c r="B855" s="4">
        <v>26.439203262329102</v>
      </c>
      <c r="C855" s="4">
        <v>139.50065612792901</v>
      </c>
      <c r="D855" s="4">
        <v>44.076168060302699</v>
      </c>
      <c r="E855" s="4">
        <v>21.824245452880799</v>
      </c>
      <c r="F855" s="4">
        <v>308.63998413085898</v>
      </c>
      <c r="I855" s="5">
        <f>B855/B854-1</f>
        <v>8.4686809039182798E-3</v>
      </c>
      <c r="J855" s="5">
        <f>C855/C854-1</f>
        <v>2.8929571961135325E-2</v>
      </c>
      <c r="K855" s="5">
        <f>D855/D854-1</f>
        <v>-2.5031659903778314E-2</v>
      </c>
      <c r="L855" s="5">
        <f>E855/E854-1</f>
        <v>1.4909124034077958E-2</v>
      </c>
      <c r="M855" s="5">
        <f>F855/F854-1</f>
        <v>-1.8432020876934962E-2</v>
      </c>
      <c r="N855" s="5">
        <f>SUMPRODUCT(I855:M855,$AJ$13:$AN$13)</f>
        <v>-1.5621094842400967E-2</v>
      </c>
      <c r="P855" s="2" t="s">
        <v>846</v>
      </c>
      <c r="Q855" s="10" cm="1">
        <f t="array" aca="1" ref="Q855:U855" ca="1">_xlfn.LET(_xlpm.array,_xlfn.RANDARRAY(1,COLUMNS(_xlfn.ANCHORARRAY(Q854)),0,1,FALSE),_xlpm.array/SUM(_xlpm.array))</f>
        <v>0.38693861036764499</v>
      </c>
      <c r="R855" s="2">
        <f ca="1"/>
        <v>0.41341813768158114</v>
      </c>
      <c r="S855" s="2">
        <f ca="1"/>
        <v>1.9284017061680751E-2</v>
      </c>
      <c r="T855" s="2">
        <f ca="1"/>
        <v>5.1439842186611157E-2</v>
      </c>
      <c r="U855" s="2">
        <f ca="1"/>
        <v>0.12891939270248193</v>
      </c>
      <c r="V855" s="12"/>
      <c r="X855" s="2" cm="1">
        <f t="array" aca="1" ref="X855" ca="1">MMULT(MMULT(_xlfn.ANCHORARRAY(Q855),$Q$9:$U$13),TRANSPOSE(_xlfn.ANCHORARRAY(Q855)))</f>
        <v>3.0587923680961446E-4</v>
      </c>
      <c r="Y855" s="2">
        <f t="shared" ca="1" si="30"/>
        <v>1.7489403557857955E-2</v>
      </c>
      <c r="Z855" s="2" cm="1">
        <f t="array" aca="1" ref="Z855" ca="1">MMULT(_xlfn.ANCHORARRAY(Q855),TRANSPOSE($Q$3:$U$3))</f>
        <v>6.8102773653895196E-4</v>
      </c>
      <c r="AA855" s="11">
        <f ca="1">AVEDEV(Q855*$Q$3,R855*$R$3,S855*$S$3,T855*$T$3,U855*$U$3)</f>
        <v>9.0457227924033886E-5</v>
      </c>
      <c r="AB855" s="11" cm="1">
        <f t="array" aca="1" ref="AB855" ca="1">MMULT(_xlfn.ANCHORARRAY(Q855),TRANSPOSE($Q$6:$U$6))</f>
        <v>-2.1290066916474372E-2</v>
      </c>
      <c r="AD855" s="2" t="s">
        <v>846</v>
      </c>
      <c r="AE855" s="10" cm="1">
        <f t="array" aca="1" ref="AE855:AI855" ca="1">_xlfn.LET(_xlpm.array,_xlfn.RANDARRAY(1,COLUMNS(_xlfn.ANCHORARRAY(Q854)),-1,1,FALSE),_xlpm.array/SUM(_xlpm.array))</f>
        <v>0.13578843209039054</v>
      </c>
      <c r="AF855" s="10">
        <f ca="1"/>
        <v>0.43921356953123381</v>
      </c>
      <c r="AG855" s="10">
        <f ca="1"/>
        <v>0.1820763828139346</v>
      </c>
      <c r="AH855" s="10">
        <f ca="1"/>
        <v>0.43954219402716582</v>
      </c>
      <c r="AI855" s="10">
        <f ca="1"/>
        <v>-0.19662057846272465</v>
      </c>
      <c r="AJ855" s="1"/>
      <c r="AK855" s="2" cm="1">
        <f t="array" aca="1" ref="AK855" ca="1">MMULT(MMULT(_xlfn.ANCHORARRAY(AE855),$Q$9:$U$13),TRANSPOSE(_xlfn.ANCHORARRAY(AE855)))</f>
        <v>4.6043033257976435E-4</v>
      </c>
      <c r="AL855" s="2">
        <f t="shared" ca="1" si="31"/>
        <v>2.1457640424328215E-2</v>
      </c>
      <c r="AM855" s="2" cm="1">
        <f t="array" aca="1" ref="AM855" ca="1">MMULT(_xlfn.ANCHORARRAY(AE856),TRANSPOSE($Q$3:$U$3))</f>
        <v>1.0910180593945095E-3</v>
      </c>
    </row>
    <row r="856" spans="1:39" x14ac:dyDescent="0.35">
      <c r="A856" s="3">
        <v>45070</v>
      </c>
      <c r="B856" s="4">
        <v>25.995155334472599</v>
      </c>
      <c r="C856" s="4">
        <v>139.87420654296801</v>
      </c>
      <c r="D856" s="4">
        <v>43.657760620117102</v>
      </c>
      <c r="E856" s="4">
        <v>21.769506454467699</v>
      </c>
      <c r="F856" s="4">
        <v>307.25958251953102</v>
      </c>
      <c r="I856" s="5">
        <f>B856/B855-1</f>
        <v>-1.6795057076821496E-2</v>
      </c>
      <c r="J856" s="5">
        <f>C856/C855-1</f>
        <v>2.6777681582834667E-3</v>
      </c>
      <c r="K856" s="5">
        <f>D856/D855-1</f>
        <v>-9.4928270446095198E-3</v>
      </c>
      <c r="L856" s="5">
        <f>E856/E855-1</f>
        <v>-2.5081736975183233E-3</v>
      </c>
      <c r="M856" s="5">
        <f>F856/F855-1</f>
        <v>-4.4725300748547081E-3</v>
      </c>
      <c r="N856" s="5">
        <f>SUMPRODUCT(I856:M856,$AJ$13:$AN$13)</f>
        <v>-2.8390199169734927E-3</v>
      </c>
      <c r="P856" s="2" t="s">
        <v>847</v>
      </c>
      <c r="Q856" s="10" cm="1">
        <f t="array" aca="1" ref="Q856:U856" ca="1">_xlfn.LET(_xlpm.array,_xlfn.RANDARRAY(1,COLUMNS(_xlfn.ANCHORARRAY(Q855)),0,1,FALSE),_xlpm.array/SUM(_xlpm.array))</f>
        <v>0.32249040586767369</v>
      </c>
      <c r="R856" s="2">
        <f ca="1"/>
        <v>0.11458939147230578</v>
      </c>
      <c r="S856" s="2">
        <f ca="1"/>
        <v>0.32412266290409369</v>
      </c>
      <c r="T856" s="2">
        <f ca="1"/>
        <v>0.22855056472619489</v>
      </c>
      <c r="U856" s="2">
        <f ca="1"/>
        <v>1.0246975029731912E-2</v>
      </c>
      <c r="V856" s="12"/>
      <c r="X856" s="2" cm="1">
        <f t="array" aca="1" ref="X856" ca="1">MMULT(MMULT(_xlfn.ANCHORARRAY(Q856),$Q$9:$U$13),TRANSPOSE(_xlfn.ANCHORARRAY(Q856)))</f>
        <v>3.4480903672067507E-4</v>
      </c>
      <c r="Y856" s="2">
        <f t="shared" ca="1" si="30"/>
        <v>1.8569034350786124E-2</v>
      </c>
      <c r="Z856" s="2" cm="1">
        <f t="array" aca="1" ref="Z856" ca="1">MMULT(_xlfn.ANCHORARRAY(Q856),TRANSPOSE($Q$3:$U$3))</f>
        <v>1.0152862512540345E-3</v>
      </c>
      <c r="AA856" s="11">
        <f ca="1">AVEDEV(Q856*$Q$3,R856*$R$3,S856*$S$3,T856*$T$3,U856*$U$3)</f>
        <v>1.4150085037904214E-4</v>
      </c>
      <c r="AB856" s="11" cm="1">
        <f t="array" aca="1" ref="AB856" ca="1">MMULT(_xlfn.ANCHORARRAY(Q856),TRANSPOSE($Q$6:$U$6))</f>
        <v>-2.4086452995891981E-2</v>
      </c>
      <c r="AD856" s="2" t="s">
        <v>847</v>
      </c>
      <c r="AE856" s="10" cm="1">
        <f t="array" aca="1" ref="AE856:AI856" ca="1">_xlfn.LET(_xlpm.array,_xlfn.RANDARRAY(1,COLUMNS(_xlfn.ANCHORARRAY(Q855)),-1,1,FALSE),_xlpm.array/SUM(_xlpm.array))</f>
        <v>0.29111851036661818</v>
      </c>
      <c r="AF856" s="10">
        <f ca="1"/>
        <v>0.42456012925192615</v>
      </c>
      <c r="AG856" s="10">
        <f ca="1"/>
        <v>0.41866662618362638</v>
      </c>
      <c r="AH856" s="10">
        <f ca="1"/>
        <v>0.21758306875609587</v>
      </c>
      <c r="AI856" s="10">
        <f ca="1"/>
        <v>-0.35192833455826639</v>
      </c>
      <c r="AJ856" s="1"/>
      <c r="AK856" s="2" cm="1">
        <f t="array" aca="1" ref="AK856" ca="1">MMULT(MMULT(_xlfn.ANCHORARRAY(AE856),$Q$9:$U$13),TRANSPOSE(_xlfn.ANCHORARRAY(AE856)))</f>
        <v>5.1765062689637415E-4</v>
      </c>
      <c r="AL856" s="2">
        <f t="shared" ca="1" si="31"/>
        <v>2.2751936772423886E-2</v>
      </c>
      <c r="AM856" s="2" cm="1">
        <f t="array" aca="1" ref="AM856" ca="1">MMULT(_xlfn.ANCHORARRAY(AE857),TRANSPOSE($Q$3:$U$3))</f>
        <v>1.3815092318383276E-3</v>
      </c>
    </row>
    <row r="857" spans="1:39" x14ac:dyDescent="0.35">
      <c r="A857" s="3">
        <v>45071</v>
      </c>
      <c r="B857" s="4">
        <v>26.059913635253899</v>
      </c>
      <c r="C857" s="4">
        <v>137.46395874023401</v>
      </c>
      <c r="D857" s="4">
        <v>45.721298217773402</v>
      </c>
      <c r="E857" s="4">
        <v>20.870264053344702</v>
      </c>
      <c r="F857" s="4">
        <v>319.07614135742102</v>
      </c>
      <c r="I857" s="5">
        <f>B857/B856-1</f>
        <v>2.4911680637438316E-3</v>
      </c>
      <c r="J857" s="5">
        <f>C857/C856-1</f>
        <v>-1.7231538696833248E-2</v>
      </c>
      <c r="K857" s="5">
        <f>D857/D856-1</f>
        <v>4.726622640157685E-2</v>
      </c>
      <c r="L857" s="5">
        <f>E857/E856-1</f>
        <v>-4.130743170516149E-2</v>
      </c>
      <c r="M857" s="5">
        <f>F857/F856-1</f>
        <v>3.8457901755232893E-2</v>
      </c>
      <c r="N857" s="5">
        <f>SUMPRODUCT(I857:M857,$AJ$13:$AN$13)</f>
        <v>1.799982679232618E-2</v>
      </c>
      <c r="P857" s="2" t="s">
        <v>848</v>
      </c>
      <c r="Q857" s="10" cm="1">
        <f t="array" aca="1" ref="Q857:U857" ca="1">_xlfn.LET(_xlpm.array,_xlfn.RANDARRAY(1,COLUMNS(_xlfn.ANCHORARRAY(Q856)),0,1,FALSE),_xlpm.array/SUM(_xlpm.array))</f>
        <v>0.14939647550534021</v>
      </c>
      <c r="R857" s="2">
        <f ca="1"/>
        <v>0.41224763018951904</v>
      </c>
      <c r="S857" s="2">
        <f ca="1"/>
        <v>0.12269761956402758</v>
      </c>
      <c r="T857" s="2">
        <f ca="1"/>
        <v>4.1688354958954503E-2</v>
      </c>
      <c r="U857" s="2">
        <f ca="1"/>
        <v>0.27396991978215868</v>
      </c>
      <c r="V857" s="12"/>
      <c r="X857" s="2" cm="1">
        <f t="array" aca="1" ref="X857" ca="1">MMULT(MMULT(_xlfn.ANCHORARRAY(Q857),$Q$9:$U$13),TRANSPOSE(_xlfn.ANCHORARRAY(Q857)))</f>
        <v>2.6693879034719561E-4</v>
      </c>
      <c r="Y857" s="2">
        <f t="shared" ca="1" si="30"/>
        <v>1.6338261546051822E-2</v>
      </c>
      <c r="Z857" s="2" cm="1">
        <f t="array" aca="1" ref="Z857" ca="1">MMULT(_xlfn.ANCHORARRAY(Q857),TRANSPOSE($Q$3:$U$3))</f>
        <v>8.2836702114106502E-4</v>
      </c>
      <c r="AA857" s="11">
        <f ca="1">AVEDEV(Q857*$Q$3,R857*$R$3,S857*$S$3,T857*$T$3,U857*$U$3)</f>
        <v>8.5130829205003157E-5</v>
      </c>
      <c r="AB857" s="11" cm="1">
        <f t="array" aca="1" ref="AB857" ca="1">MMULT(_xlfn.ANCHORARRAY(Q857),TRANSPOSE($Q$6:$U$6))</f>
        <v>-2.1615171249844481E-2</v>
      </c>
      <c r="AD857" s="2" t="s">
        <v>848</v>
      </c>
      <c r="AE857" s="10" cm="1">
        <f t="array" aca="1" ref="AE857:AI857" ca="1">_xlfn.LET(_xlpm.array,_xlfn.RANDARRAY(1,COLUMNS(_xlfn.ANCHORARRAY(Q856)),-1,1,FALSE),_xlpm.array/SUM(_xlpm.array))</f>
        <v>-9.3352359362256204E-3</v>
      </c>
      <c r="AF857" s="10">
        <f ca="1"/>
        <v>-0.260242642038646</v>
      </c>
      <c r="AG857" s="10">
        <f ca="1"/>
        <v>0.79814466312899279</v>
      </c>
      <c r="AH857" s="10">
        <f ca="1"/>
        <v>-0.31340877573529208</v>
      </c>
      <c r="AI857" s="10">
        <f ca="1"/>
        <v>0.78484199058117088</v>
      </c>
      <c r="AJ857" s="1"/>
      <c r="AK857" s="2" cm="1">
        <f t="array" aca="1" ref="AK857" ca="1">MMULT(MMULT(_xlfn.ANCHORARRAY(AE857),$Q$9:$U$13),TRANSPOSE(_xlfn.ANCHORARRAY(AE857)))</f>
        <v>9.1163256765519585E-4</v>
      </c>
      <c r="AL857" s="2">
        <f t="shared" ca="1" si="31"/>
        <v>3.01932536778532E-2</v>
      </c>
      <c r="AM857" s="2" cm="1">
        <f t="array" aca="1" ref="AM857" ca="1">MMULT(_xlfn.ANCHORARRAY(AE858),TRANSPOSE($Q$3:$U$3))</f>
        <v>7.2503109044122762E-3</v>
      </c>
    </row>
    <row r="858" spans="1:39" x14ac:dyDescent="0.35">
      <c r="A858" s="3">
        <v>45072</v>
      </c>
      <c r="B858" s="4">
        <v>26.189426422119102</v>
      </c>
      <c r="C858" s="4">
        <v>137.037017822265</v>
      </c>
      <c r="D858" s="4">
        <v>46.1302070617675</v>
      </c>
      <c r="E858" s="4">
        <v>20.745149612426701</v>
      </c>
      <c r="F858" s="4">
        <v>325.89978027343699</v>
      </c>
      <c r="I858" s="5">
        <f>B858/B857-1</f>
        <v>4.9698087521670153E-3</v>
      </c>
      <c r="J858" s="5">
        <f>C858/C857-1</f>
        <v>-3.1058389550369103E-3</v>
      </c>
      <c r="K858" s="5">
        <f>D858/D857-1</f>
        <v>8.9435090413758633E-3</v>
      </c>
      <c r="L858" s="5">
        <f>E858/E857-1</f>
        <v>-5.9948662172268907E-3</v>
      </c>
      <c r="M858" s="5">
        <f>F858/F857-1</f>
        <v>2.1385613123521718E-2</v>
      </c>
      <c r="N858" s="5">
        <f>SUMPRODUCT(I858:M858,$AJ$13:$AN$13)</f>
        <v>7.663695381865572E-3</v>
      </c>
      <c r="P858" s="2" t="s">
        <v>849</v>
      </c>
      <c r="Q858" s="10" cm="1">
        <f t="array" aca="1" ref="Q858:U858" ca="1">_xlfn.LET(_xlpm.array,_xlfn.RANDARRAY(1,COLUMNS(_xlfn.ANCHORARRAY(Q857)),0,1,FALSE),_xlpm.array/SUM(_xlpm.array))</f>
        <v>0.14581320166983855</v>
      </c>
      <c r="R858" s="2">
        <f ca="1"/>
        <v>0.33507612605434345</v>
      </c>
      <c r="S858" s="2">
        <f ca="1"/>
        <v>7.0429781299343741E-2</v>
      </c>
      <c r="T858" s="2">
        <f ca="1"/>
        <v>0.34902814422877315</v>
      </c>
      <c r="U858" s="2">
        <f ca="1"/>
        <v>9.9652746747701026E-2</v>
      </c>
      <c r="V858" s="12"/>
      <c r="X858" s="2" cm="1">
        <f t="array" aca="1" ref="X858" ca="1">MMULT(MMULT(_xlfn.ANCHORARRAY(Q858),$Q$9:$U$13),TRANSPOSE(_xlfn.ANCHORARRAY(Q858)))</f>
        <v>3.2129041248109535E-4</v>
      </c>
      <c r="Y858" s="2">
        <f t="shared" ref="Y858:Y921" ca="1" si="32">SQRT(X858)</f>
        <v>1.7924575656932451E-2</v>
      </c>
      <c r="Z858" s="2" cm="1">
        <f t="array" aca="1" ref="Z858" ca="1">MMULT(_xlfn.ANCHORARRAY(Q858),TRANSPOSE($Q$3:$U$3))</f>
        <v>8.659656172767228E-4</v>
      </c>
      <c r="AA858" s="11">
        <f ca="1">AVEDEV(Q858*$Q$3,R858*$R$3,S858*$S$3,T858*$T$3,U858*$U$3)</f>
        <v>1.0194902188829032E-4</v>
      </c>
      <c r="AB858" s="11" cm="1">
        <f t="array" aca="1" ref="AB858" ca="1">MMULT(_xlfn.ANCHORARRAY(Q858),TRANSPOSE($Q$6:$U$6))</f>
        <v>-2.2753773688527365E-2</v>
      </c>
      <c r="AD858" s="2" t="s">
        <v>849</v>
      </c>
      <c r="AE858" s="10" cm="1">
        <f t="array" aca="1" ref="AE858:AI858" ca="1">_xlfn.LET(_xlpm.array,_xlfn.RANDARRAY(1,COLUMNS(_xlfn.ANCHORARRAY(Q857)),-1,1,FALSE),_xlpm.array/SUM(_xlpm.array))</f>
        <v>-12.05934758473772</v>
      </c>
      <c r="AF858" s="10">
        <f ca="1"/>
        <v>-0.70660981506864395</v>
      </c>
      <c r="AG858" s="10">
        <f ca="1"/>
        <v>2.8419134397321106</v>
      </c>
      <c r="AH858" s="10">
        <f ca="1"/>
        <v>3.6019818727080688</v>
      </c>
      <c r="AI858" s="10">
        <f ca="1"/>
        <v>7.3220620873661844</v>
      </c>
      <c r="AJ858" s="1"/>
      <c r="AK858" s="2" cm="1">
        <f t="array" aca="1" ref="AK858" ca="1">MMULT(MMULT(_xlfn.ANCHORARRAY(AE858),$Q$9:$U$13),TRANSPOSE(_xlfn.ANCHORARRAY(AE858)))</f>
        <v>5.500970471727528E-2</v>
      </c>
      <c r="AL858" s="2">
        <f t="shared" ref="AL858:AL921" ca="1" si="33">SQRT(AK858)</f>
        <v>0.2345414776052954</v>
      </c>
      <c r="AM858" s="2" cm="1">
        <f t="array" aca="1" ref="AM858" ca="1">MMULT(_xlfn.ANCHORARRAY(AE859),TRANSPOSE($Q$3:$U$3))</f>
        <v>1.8258726753860768E-3</v>
      </c>
    </row>
    <row r="859" spans="1:39" x14ac:dyDescent="0.35">
      <c r="A859" s="3">
        <v>45076</v>
      </c>
      <c r="B859" s="4">
        <v>26.143169403076101</v>
      </c>
      <c r="C859" s="4">
        <v>136.18322753906199</v>
      </c>
      <c r="D859" s="4">
        <v>44.998584747314403</v>
      </c>
      <c r="E859" s="4">
        <v>20.315076828002901</v>
      </c>
      <c r="F859" s="4">
        <v>324.25506591796801</v>
      </c>
      <c r="I859" s="5">
        <f>B859/B858-1</f>
        <v>-1.7662478855945407E-3</v>
      </c>
      <c r="J859" s="5">
        <f>C859/C858-1</f>
        <v>-6.230362399671896E-3</v>
      </c>
      <c r="K859" s="5">
        <f>D859/D858-1</f>
        <v>-2.4531047799934536E-2</v>
      </c>
      <c r="L859" s="5">
        <f>E859/E858-1</f>
        <v>-2.0731245252923025E-2</v>
      </c>
      <c r="M859" s="5">
        <f>F859/F858-1</f>
        <v>-5.0466875248857956E-3</v>
      </c>
      <c r="N859" s="5">
        <f>SUMPRODUCT(I859:M859,$AJ$13:$AN$13)</f>
        <v>-2.3430339186123274E-2</v>
      </c>
      <c r="P859" s="2" t="s">
        <v>850</v>
      </c>
      <c r="Q859" s="10" cm="1">
        <f t="array" aca="1" ref="Q859:U859" ca="1">_xlfn.LET(_xlpm.array,_xlfn.RANDARRAY(1,COLUMNS(_xlfn.ANCHORARRAY(Q858)),0,1,FALSE),_xlpm.array/SUM(_xlpm.array))</f>
        <v>0.1515233939841418</v>
      </c>
      <c r="R859" s="2">
        <f ca="1"/>
        <v>0.28185228764493464</v>
      </c>
      <c r="S859" s="2">
        <f ca="1"/>
        <v>0.16123846543058967</v>
      </c>
      <c r="T859" s="2">
        <f ca="1"/>
        <v>0.31934583767809838</v>
      </c>
      <c r="U859" s="2">
        <f ca="1"/>
        <v>8.6040015262235439E-2</v>
      </c>
      <c r="V859" s="12"/>
      <c r="X859" s="2" cm="1">
        <f t="array" aca="1" ref="X859" ca="1">MMULT(MMULT(_xlfn.ANCHORARRAY(Q859),$Q$9:$U$13),TRANSPOSE(_xlfn.ANCHORARRAY(Q859)))</f>
        <v>3.1405835401748729E-4</v>
      </c>
      <c r="Y859" s="2">
        <f t="shared" ca="1" si="32"/>
        <v>1.772169162403768E-2</v>
      </c>
      <c r="Z859" s="2" cm="1">
        <f t="array" aca="1" ref="Z859" ca="1">MMULT(_xlfn.ANCHORARRAY(Q859),TRANSPOSE($Q$3:$U$3))</f>
        <v>9.3673934678708344E-4</v>
      </c>
      <c r="AA859" s="11">
        <f ca="1">AVEDEV(Q859*$Q$3,R859*$R$3,S859*$S$3,T859*$T$3,U859*$U$3)</f>
        <v>9.2750603275278722E-5</v>
      </c>
      <c r="AB859" s="11" cm="1">
        <f t="array" aca="1" ref="AB859" ca="1">MMULT(_xlfn.ANCHORARRAY(Q859),TRANSPOSE($Q$6:$U$6))</f>
        <v>-2.3225433762969448E-2</v>
      </c>
      <c r="AD859" s="2" t="s">
        <v>850</v>
      </c>
      <c r="AE859" s="10" cm="1">
        <f t="array" aca="1" ref="AE859:AI859" ca="1">_xlfn.LET(_xlpm.array,_xlfn.RANDARRAY(1,COLUMNS(_xlfn.ANCHORARRAY(Q858)),-1,1,FALSE),_xlpm.array/SUM(_xlpm.array))</f>
        <v>0.9383701337624456</v>
      </c>
      <c r="AF859" s="10">
        <f ca="1"/>
        <v>7.869004408289472E-2</v>
      </c>
      <c r="AG859" s="10">
        <f ca="1"/>
        <v>1.8746329248144322</v>
      </c>
      <c r="AH859" s="10">
        <f ca="1"/>
        <v>-1.1919522115510663</v>
      </c>
      <c r="AI859" s="10">
        <f ca="1"/>
        <v>-0.69974089110870641</v>
      </c>
      <c r="AJ859" s="1"/>
      <c r="AK859" s="2" cm="1">
        <f t="array" aca="1" ref="AK859" ca="1">MMULT(MMULT(_xlfn.ANCHORARRAY(AE859),$Q$9:$U$13),TRANSPOSE(_xlfn.ANCHORARRAY(AE859)))</f>
        <v>3.2246558804102181E-3</v>
      </c>
      <c r="AL859" s="2">
        <f t="shared" ca="1" si="33"/>
        <v>5.6786053573128485E-2</v>
      </c>
      <c r="AM859" s="2" cm="1">
        <f t="array" aca="1" ref="AM859" ca="1">MMULT(_xlfn.ANCHORARRAY(AE860),TRANSPOSE($Q$3:$U$3))</f>
        <v>1.4410177662946269E-3</v>
      </c>
    </row>
    <row r="860" spans="1:39" x14ac:dyDescent="0.35">
      <c r="A860" s="3">
        <v>45077</v>
      </c>
      <c r="B860" s="4">
        <v>25.7083740234375</v>
      </c>
      <c r="C860" s="4">
        <v>133.95973205566401</v>
      </c>
      <c r="D860" s="4">
        <v>42.611721038818303</v>
      </c>
      <c r="E860" s="4">
        <v>19.806814193725501</v>
      </c>
      <c r="F860" s="4">
        <v>321.49429321289</v>
      </c>
      <c r="I860" s="5">
        <f>B860/B859-1</f>
        <v>-1.6631318603146927E-2</v>
      </c>
      <c r="J860" s="5">
        <f>C860/C859-1</f>
        <v>-1.6327234444199146E-2</v>
      </c>
      <c r="K860" s="5">
        <f>D860/D859-1</f>
        <v>-5.304308395251367E-2</v>
      </c>
      <c r="L860" s="5">
        <f>E860/E859-1</f>
        <v>-2.5018986567493351E-2</v>
      </c>
      <c r="M860" s="5">
        <f>F860/F859-1</f>
        <v>-8.5142006872344078E-3</v>
      </c>
      <c r="N860" s="5">
        <f>SUMPRODUCT(I860:M860,$AJ$13:$AN$13)</f>
        <v>-3.680759171119935E-2</v>
      </c>
      <c r="P860" s="2" t="s">
        <v>851</v>
      </c>
      <c r="Q860" s="10" cm="1">
        <f t="array" aca="1" ref="Q860:U860" ca="1">_xlfn.LET(_xlpm.array,_xlfn.RANDARRAY(1,COLUMNS(_xlfn.ANCHORARRAY(Q859)),0,1,FALSE),_xlpm.array/SUM(_xlpm.array))</f>
        <v>0.20915535886075562</v>
      </c>
      <c r="R860" s="2">
        <f ca="1"/>
        <v>0.21655400979018172</v>
      </c>
      <c r="S860" s="2">
        <f ca="1"/>
        <v>0.29302925402542057</v>
      </c>
      <c r="T860" s="2">
        <f ca="1"/>
        <v>0.27689663191440522</v>
      </c>
      <c r="U860" s="2">
        <f ca="1"/>
        <v>4.3647454092369115E-3</v>
      </c>
      <c r="V860" s="12"/>
      <c r="X860" s="2" cm="1">
        <f t="array" aca="1" ref="X860" ca="1">MMULT(MMULT(_xlfn.ANCHORARRAY(Q860),$Q$9:$U$13),TRANSPOSE(_xlfn.ANCHORARRAY(Q860)))</f>
        <v>3.4262013074921064E-4</v>
      </c>
      <c r="Y860" s="2">
        <f t="shared" ca="1" si="32"/>
        <v>1.8510000830610749E-2</v>
      </c>
      <c r="Z860" s="2" cm="1">
        <f t="array" aca="1" ref="Z860" ca="1">MMULT(_xlfn.ANCHORARRAY(Q860),TRANSPOSE($Q$3:$U$3))</f>
        <v>1.0265390892852803E-3</v>
      </c>
      <c r="AA860" s="11">
        <f ca="1">AVEDEV(Q860*$Q$3,R860*$R$3,S860*$S$3,T860*$T$3,U860*$U$3)</f>
        <v>1.3925857637361335E-4</v>
      </c>
      <c r="AB860" s="11" cm="1">
        <f t="array" aca="1" ref="AB860" ca="1">MMULT(_xlfn.ANCHORARRAY(Q860),TRANSPOSE($Q$6:$U$6))</f>
        <v>-2.399172253176966E-2</v>
      </c>
      <c r="AD860" s="2" t="s">
        <v>851</v>
      </c>
      <c r="AE860" s="10" cm="1">
        <f t="array" aca="1" ref="AE860:AI860" ca="1">_xlfn.LET(_xlpm.array,_xlfn.RANDARRAY(1,COLUMNS(_xlfn.ANCHORARRAY(Q859)),-1,1,FALSE),_xlpm.array/SUM(_xlpm.array))</f>
        <v>0.1790545485256676</v>
      </c>
      <c r="AF860" s="10">
        <f ca="1"/>
        <v>0.17150534758845101</v>
      </c>
      <c r="AG860" s="10">
        <f ca="1"/>
        <v>0.64473105224418892</v>
      </c>
      <c r="AH860" s="10">
        <f ca="1"/>
        <v>0.67816776163533954</v>
      </c>
      <c r="AI860" s="10">
        <f ca="1"/>
        <v>-0.67345870999364721</v>
      </c>
      <c r="AJ860" s="1"/>
      <c r="AK860" s="2" cm="1">
        <f t="array" aca="1" ref="AK860" ca="1">MMULT(MMULT(_xlfn.ANCHORARRAY(AE860),$Q$9:$U$13),TRANSPOSE(_xlfn.ANCHORARRAY(AE860)))</f>
        <v>8.7110621741246376E-4</v>
      </c>
      <c r="AL860" s="2">
        <f t="shared" ca="1" si="33"/>
        <v>2.9514508591749648E-2</v>
      </c>
      <c r="AM860" s="2" cm="1">
        <f t="array" aca="1" ref="AM860" ca="1">MMULT(_xlfn.ANCHORARRAY(AE861),TRANSPOSE($Q$3:$U$3))</f>
        <v>1.5428549336335621E-3</v>
      </c>
    </row>
    <row r="861" spans="1:39" x14ac:dyDescent="0.35">
      <c r="A861" s="3">
        <v>45078</v>
      </c>
      <c r="B861" s="4">
        <v>25.904195785522401</v>
      </c>
      <c r="C861" s="4">
        <v>135.32942199707</v>
      </c>
      <c r="D861" s="4">
        <v>43.229835510253899</v>
      </c>
      <c r="E861" s="4">
        <v>20.189966201782202</v>
      </c>
      <c r="F861" s="4">
        <v>325.59622192382801</v>
      </c>
      <c r="I861" s="5">
        <f>B861/B860-1</f>
        <v>7.6170418987360211E-3</v>
      </c>
      <c r="J861" s="5">
        <f>C861/C860-1</f>
        <v>1.0224639303076932E-2</v>
      </c>
      <c r="K861" s="5">
        <f>D861/D860-1</f>
        <v>1.4505738242126087E-2</v>
      </c>
      <c r="L861" s="5">
        <f>E861/E860-1</f>
        <v>1.9344454100956643E-2</v>
      </c>
      <c r="M861" s="5">
        <f>F861/F860-1</f>
        <v>1.27589471960603E-2</v>
      </c>
      <c r="N861" s="5">
        <f>SUMPRODUCT(I861:M861,$AJ$13:$AN$13)</f>
        <v>1.8315710069547783E-2</v>
      </c>
      <c r="P861" s="2" t="s">
        <v>852</v>
      </c>
      <c r="Q861" s="10" cm="1">
        <f t="array" aca="1" ref="Q861:U861" ca="1">_xlfn.LET(_xlpm.array,_xlfn.RANDARRAY(1,COLUMNS(_xlfn.ANCHORARRAY(Q860)),0,1,FALSE),_xlpm.array/SUM(_xlpm.array))</f>
        <v>3.6731122490070559E-2</v>
      </c>
      <c r="R861" s="2">
        <f ca="1"/>
        <v>0.4333134873867483</v>
      </c>
      <c r="S861" s="2">
        <f ca="1"/>
        <v>9.1214609217239395E-2</v>
      </c>
      <c r="T861" s="2">
        <f ca="1"/>
        <v>0.14577196573726889</v>
      </c>
      <c r="U861" s="2">
        <f ca="1"/>
        <v>0.29296881516867279</v>
      </c>
      <c r="V861" s="12"/>
      <c r="X861" s="2" cm="1">
        <f t="array" aca="1" ref="X861" ca="1">MMULT(MMULT(_xlfn.ANCHORARRAY(Q861),$Q$9:$U$13),TRANSPOSE(_xlfn.ANCHORARRAY(Q861)))</f>
        <v>2.7039891407048286E-4</v>
      </c>
      <c r="Y861" s="2">
        <f t="shared" ca="1" si="32"/>
        <v>1.6443810813509221E-2</v>
      </c>
      <c r="Z861" s="2" cm="1">
        <f t="array" aca="1" ref="Z861" ca="1">MMULT(_xlfn.ANCHORARRAY(Q861),TRANSPOSE($Q$3:$U$3))</f>
        <v>8.562249337391157E-4</v>
      </c>
      <c r="AA861" s="11">
        <f ca="1">AVEDEV(Q861*$Q$3,R861*$R$3,S861*$S$3,T861*$T$3,U861*$U$3)</f>
        <v>7.9204308946688202E-5</v>
      </c>
      <c r="AB861" s="11" cm="1">
        <f t="array" aca="1" ref="AB861" ca="1">MMULT(_xlfn.ANCHORARRAY(Q861),TRANSPOSE($Q$6:$U$6))</f>
        <v>-2.1761293539215829E-2</v>
      </c>
      <c r="AD861" s="2" t="s">
        <v>852</v>
      </c>
      <c r="AE861" s="10" cm="1">
        <f t="array" aca="1" ref="AE861:AI861" ca="1">_xlfn.LET(_xlpm.array,_xlfn.RANDARRAY(1,COLUMNS(_xlfn.ANCHORARRAY(Q860)),-1,1,FALSE),_xlpm.array/SUM(_xlpm.array))</f>
        <v>-0.11274893311222756</v>
      </c>
      <c r="AF861" s="10">
        <f ca="1"/>
        <v>-0.45376396008802761</v>
      </c>
      <c r="AG861" s="10">
        <f ca="1"/>
        <v>0.66763340354400458</v>
      </c>
      <c r="AH861" s="10">
        <f ca="1"/>
        <v>0.62223355090085675</v>
      </c>
      <c r="AI861" s="10">
        <f ca="1"/>
        <v>0.27664593875539395</v>
      </c>
      <c r="AJ861" s="1"/>
      <c r="AK861" s="2" cm="1">
        <f t="array" aca="1" ref="AK861" ca="1">MMULT(MMULT(_xlfn.ANCHORARRAY(AE861),$Q$9:$U$13),TRANSPOSE(_xlfn.ANCHORARRAY(AE861)))</f>
        <v>6.0289365743096835E-4</v>
      </c>
      <c r="AL861" s="2">
        <f t="shared" ca="1" si="33"/>
        <v>2.4553892918048013E-2</v>
      </c>
      <c r="AM861" s="2" cm="1">
        <f t="array" aca="1" ref="AM861" ca="1">MMULT(_xlfn.ANCHORARRAY(AE862),TRANSPOSE($Q$3:$U$3))</f>
        <v>2.0563129059158252E-4</v>
      </c>
    </row>
    <row r="862" spans="1:39" x14ac:dyDescent="0.35">
      <c r="A862" s="3">
        <v>45079</v>
      </c>
      <c r="B862" s="4">
        <v>26.771398544311499</v>
      </c>
      <c r="C862" s="4">
        <v>138.97589111328099</v>
      </c>
      <c r="D862" s="4">
        <v>44.951038360595703</v>
      </c>
      <c r="E862" s="4">
        <v>21.026655197143501</v>
      </c>
      <c r="F862" s="4">
        <v>328.35708618164</v>
      </c>
      <c r="I862" s="5">
        <f>B862/B861-1</f>
        <v>3.347730869428367E-2</v>
      </c>
      <c r="J862" s="5">
        <f>C862/C861-1</f>
        <v>2.6945131830164337E-2</v>
      </c>
      <c r="K862" s="5">
        <f>D862/D861-1</f>
        <v>3.9815160757054935E-2</v>
      </c>
      <c r="L862" s="5">
        <f>E862/E861-1</f>
        <v>4.1440831896362607E-2</v>
      </c>
      <c r="M862" s="5">
        <f>F862/F861-1</f>
        <v>8.4794112213559814E-3</v>
      </c>
      <c r="N862" s="5">
        <f>SUMPRODUCT(I862:M862,$AJ$13:$AN$13)</f>
        <v>3.2361821269607301E-2</v>
      </c>
      <c r="P862" s="2" t="s">
        <v>853</v>
      </c>
      <c r="Q862" s="10" cm="1">
        <f t="array" aca="1" ref="Q862:U862" ca="1">_xlfn.LET(_xlpm.array,_xlfn.RANDARRAY(1,COLUMNS(_xlfn.ANCHORARRAY(Q861)),0,1,FALSE),_xlpm.array/SUM(_xlpm.array))</f>
        <v>0.23764970492029791</v>
      </c>
      <c r="R862" s="2">
        <f ca="1"/>
        <v>5.6994452049059688E-2</v>
      </c>
      <c r="S862" s="2">
        <f ca="1"/>
        <v>0.21868448142747085</v>
      </c>
      <c r="T862" s="2">
        <f ca="1"/>
        <v>0.28444779150906685</v>
      </c>
      <c r="U862" s="2">
        <f ca="1"/>
        <v>0.20222357009410474</v>
      </c>
      <c r="V862" s="12"/>
      <c r="X862" s="2" cm="1">
        <f t="array" aca="1" ref="X862" ca="1">MMULT(MMULT(_xlfn.ANCHORARRAY(Q862),$Q$9:$U$13),TRANSPOSE(_xlfn.ANCHORARRAY(Q862)))</f>
        <v>2.8543966676604376E-4</v>
      </c>
      <c r="Y862" s="2">
        <f t="shared" ca="1" si="32"/>
        <v>1.6894959803623204E-2</v>
      </c>
      <c r="Z862" s="2" cm="1">
        <f t="array" aca="1" ref="Z862" ca="1">MMULT(_xlfn.ANCHORARRAY(Q862),TRANSPOSE($Q$3:$U$3))</f>
        <v>9.6281611725346412E-4</v>
      </c>
      <c r="AA862" s="11">
        <f ca="1">AVEDEV(Q862*$Q$3,R862*$R$3,S862*$S$3,T862*$T$3,U862*$U$3)</f>
        <v>1.0424562221454051E-4</v>
      </c>
      <c r="AB862" s="11" cm="1">
        <f t="array" aca="1" ref="AB862" ca="1">MMULT(_xlfn.ANCHORARRAY(Q862),TRANSPOSE($Q$6:$U$6))</f>
        <v>-2.3474949055903353E-2</v>
      </c>
      <c r="AD862" s="2" t="s">
        <v>853</v>
      </c>
      <c r="AE862" s="10" cm="1">
        <f t="array" aca="1" ref="AE862:AI862" ca="1">_xlfn.LET(_xlpm.array,_xlfn.RANDARRAY(1,COLUMNS(_xlfn.ANCHORARRAY(Q861)),-1,1,FALSE),_xlpm.array/SUM(_xlpm.array))</f>
        <v>0.65198579968703008</v>
      </c>
      <c r="AF862" s="10">
        <f ca="1"/>
        <v>0.48896059015702775</v>
      </c>
      <c r="AG862" s="10">
        <f ca="1"/>
        <v>-0.56266619920016958</v>
      </c>
      <c r="AH862" s="10">
        <f ca="1"/>
        <v>0.42225727214563563</v>
      </c>
      <c r="AI862" s="10">
        <f ca="1"/>
        <v>-5.3746278952391386E-4</v>
      </c>
      <c r="AJ862" s="1"/>
      <c r="AK862" s="2" cm="1">
        <f t="array" aca="1" ref="AK862" ca="1">MMULT(MMULT(_xlfn.ANCHORARRAY(AE862),$Q$9:$U$13),TRANSPOSE(_xlfn.ANCHORARRAY(AE862)))</f>
        <v>7.536824037718586E-4</v>
      </c>
      <c r="AL862" s="2">
        <f t="shared" ca="1" si="33"/>
        <v>2.7453276740160883E-2</v>
      </c>
      <c r="AM862" s="2" cm="1">
        <f t="array" aca="1" ref="AM862" ca="1">MMULT(_xlfn.ANCHORARRAY(AE863),TRANSPOSE($Q$3:$U$3))</f>
        <v>2.0544974253262037E-3</v>
      </c>
    </row>
    <row r="863" spans="1:39" x14ac:dyDescent="0.35">
      <c r="A863" s="3">
        <v>45082</v>
      </c>
      <c r="B863" s="4">
        <v>26.612880706787099</v>
      </c>
      <c r="C863" s="4">
        <v>138.30886840820301</v>
      </c>
      <c r="D863" s="4">
        <v>43.248851776122997</v>
      </c>
      <c r="E863" s="4">
        <v>21.315975189208899</v>
      </c>
      <c r="F863" s="4">
        <v>328.8857421875</v>
      </c>
      <c r="I863" s="5">
        <f>B863/B862-1</f>
        <v>-5.9211638593338334E-3</v>
      </c>
      <c r="J863" s="5">
        <f>C863/C862-1</f>
        <v>-4.7995569572155672E-3</v>
      </c>
      <c r="K863" s="5">
        <f>D863/D862-1</f>
        <v>-3.7867569839384441E-2</v>
      </c>
      <c r="L863" s="5">
        <f>E863/E862-1</f>
        <v>1.3759677388189839E-2</v>
      </c>
      <c r="M863" s="5">
        <f>F863/F862-1</f>
        <v>1.6100033412025372E-3</v>
      </c>
      <c r="N863" s="5">
        <f>SUMPRODUCT(I863:M863,$AJ$13:$AN$13)</f>
        <v>-1.0879771744447963E-2</v>
      </c>
      <c r="P863" s="2" t="s">
        <v>854</v>
      </c>
      <c r="Q863" s="10" cm="1">
        <f t="array" aca="1" ref="Q863:U863" ca="1">_xlfn.LET(_xlpm.array,_xlfn.RANDARRAY(1,COLUMNS(_xlfn.ANCHORARRAY(Q862)),0,1,FALSE),_xlpm.array/SUM(_xlpm.array))</f>
        <v>0.3183113843374113</v>
      </c>
      <c r="R863" s="2">
        <f ca="1"/>
        <v>0.15668762788356741</v>
      </c>
      <c r="S863" s="2">
        <f ca="1"/>
        <v>0.18238024853001891</v>
      </c>
      <c r="T863" s="2">
        <f ca="1"/>
        <v>3.2885699403462393E-2</v>
      </c>
      <c r="U863" s="2">
        <f ca="1"/>
        <v>0.30973503984554007</v>
      </c>
      <c r="V863" s="12"/>
      <c r="X863" s="2" cm="1">
        <f t="array" aca="1" ref="X863" ca="1">MMULT(MMULT(_xlfn.ANCHORARRAY(Q863),$Q$9:$U$13),TRANSPOSE(_xlfn.ANCHORARRAY(Q863)))</f>
        <v>2.709386379224767E-4</v>
      </c>
      <c r="Y863" s="2">
        <f t="shared" ca="1" si="32"/>
        <v>1.646021378726524E-2</v>
      </c>
      <c r="Z863" s="2" cm="1">
        <f t="array" aca="1" ref="Z863" ca="1">MMULT(_xlfn.ANCHORARRAY(Q863),TRANSPOSE($Q$3:$U$3))</f>
        <v>8.4288427708569436E-4</v>
      </c>
      <c r="AA863" s="11">
        <f ca="1">AVEDEV(Q863*$Q$3,R863*$R$3,S863*$S$3,T863*$T$3,U863*$U$3)</f>
        <v>7.8373592622934006E-5</v>
      </c>
      <c r="AB863" s="11" cm="1">
        <f t="array" aca="1" ref="AB863" ca="1">MMULT(_xlfn.ANCHORARRAY(Q863),TRANSPOSE($Q$6:$U$6))</f>
        <v>-2.2119805424645294E-2</v>
      </c>
      <c r="AD863" s="2" t="s">
        <v>854</v>
      </c>
      <c r="AE863" s="10" cm="1">
        <f t="array" aca="1" ref="AE863:AI863" ca="1">_xlfn.LET(_xlpm.array,_xlfn.RANDARRAY(1,COLUMNS(_xlfn.ANCHORARRAY(Q862)),-1,1,FALSE),_xlpm.array/SUM(_xlpm.array))</f>
        <v>-0.31588510974201056</v>
      </c>
      <c r="AF863" s="10">
        <f ca="1"/>
        <v>-1.2065780484339745</v>
      </c>
      <c r="AG863" s="10">
        <f ca="1"/>
        <v>1.0560704562124101</v>
      </c>
      <c r="AH863" s="10">
        <f ca="1"/>
        <v>1.010658262529105</v>
      </c>
      <c r="AI863" s="10">
        <f ca="1"/>
        <v>0.4557344394344699</v>
      </c>
      <c r="AJ863" s="1"/>
      <c r="AK863" s="2" cm="1">
        <f t="array" aca="1" ref="AK863" ca="1">MMULT(MMULT(_xlfn.ANCHORARRAY(AE863),$Q$9:$U$13),TRANSPOSE(_xlfn.ANCHORARRAY(AE863)))</f>
        <v>1.3655778712095719E-3</v>
      </c>
      <c r="AL863" s="2">
        <f t="shared" ca="1" si="33"/>
        <v>3.6953726080188071E-2</v>
      </c>
      <c r="AM863" s="2" cm="1">
        <f t="array" aca="1" ref="AM863" ca="1">MMULT(_xlfn.ANCHORARRAY(AE864),TRANSPOSE($Q$3:$U$3))</f>
        <v>1.7379886919377985E-4</v>
      </c>
    </row>
    <row r="864" spans="1:39" x14ac:dyDescent="0.35">
      <c r="A864" s="3">
        <v>45083</v>
      </c>
      <c r="B864" s="4">
        <v>27.256288528442301</v>
      </c>
      <c r="C864" s="4">
        <v>138.55787658691401</v>
      </c>
      <c r="D864" s="4">
        <v>44.551647186279297</v>
      </c>
      <c r="E864" s="4">
        <v>21.065750122070298</v>
      </c>
      <c r="F864" s="4">
        <v>326.67321777343699</v>
      </c>
      <c r="I864" s="5">
        <f>B864/B863-1</f>
        <v>2.4176556786320136E-2</v>
      </c>
      <c r="J864" s="5">
        <f>C864/C863-1</f>
        <v>1.8003775287647183E-3</v>
      </c>
      <c r="K864" s="5">
        <f>D864/D863-1</f>
        <v>3.0123236956675736E-2</v>
      </c>
      <c r="L864" s="5">
        <f>E864/E863-1</f>
        <v>-1.1738851491311375E-2</v>
      </c>
      <c r="M864" s="5">
        <f>F864/F863-1</f>
        <v>-6.7273345428323639E-3</v>
      </c>
      <c r="N864" s="5">
        <f>SUMPRODUCT(I864:M864,$AJ$13:$AN$13)</f>
        <v>9.0088515758960687E-4</v>
      </c>
      <c r="P864" s="2" t="s">
        <v>855</v>
      </c>
      <c r="Q864" s="10" cm="1">
        <f t="array" aca="1" ref="Q864:U864" ca="1">_xlfn.LET(_xlpm.array,_xlfn.RANDARRAY(1,COLUMNS(_xlfn.ANCHORARRAY(Q863)),0,1,FALSE),_xlpm.array/SUM(_xlpm.array))</f>
        <v>0.28736116035954679</v>
      </c>
      <c r="R864" s="2">
        <f ca="1"/>
        <v>0.19727650793218629</v>
      </c>
      <c r="S864" s="2">
        <f ca="1"/>
        <v>0.16489749292446293</v>
      </c>
      <c r="T864" s="2">
        <f ca="1"/>
        <v>0.15211355067361096</v>
      </c>
      <c r="U864" s="2">
        <f ca="1"/>
        <v>0.19835128811019312</v>
      </c>
      <c r="V864" s="12"/>
      <c r="X864" s="2" cm="1">
        <f t="array" aca="1" ref="X864" ca="1">MMULT(MMULT(_xlfn.ANCHORARRAY(Q864),$Q$9:$U$13),TRANSPOSE(_xlfn.ANCHORARRAY(Q864)))</f>
        <v>2.7489425553382644E-4</v>
      </c>
      <c r="Y864" s="2">
        <f t="shared" ca="1" si="32"/>
        <v>1.6579935329603262E-2</v>
      </c>
      <c r="Z864" s="2" cm="1">
        <f t="array" aca="1" ref="Z864" ca="1">MMULT(_xlfn.ANCHORARRAY(Q864),TRANSPOSE($Q$3:$U$3))</f>
        <v>8.6501444554822765E-4</v>
      </c>
      <c r="AA864" s="11">
        <f ca="1">AVEDEV(Q864*$Q$3,R864*$R$3,S864*$S$3,T864*$T$3,U864*$U$3)</f>
        <v>3.7916306757536183E-5</v>
      </c>
      <c r="AB864" s="11" cm="1">
        <f t="array" aca="1" ref="AB864" ca="1">MMULT(_xlfn.ANCHORARRAY(Q864),TRANSPOSE($Q$6:$U$6))</f>
        <v>-2.2570512307929985E-2</v>
      </c>
      <c r="AD864" s="2" t="s">
        <v>855</v>
      </c>
      <c r="AE864" s="10" cm="1">
        <f t="array" aca="1" ref="AE864:AI864" ca="1">_xlfn.LET(_xlpm.array,_xlfn.RANDARRAY(1,COLUMNS(_xlfn.ANCHORARRAY(Q863)),-1,1,FALSE),_xlpm.array/SUM(_xlpm.array))</f>
        <v>0.64717896280307707</v>
      </c>
      <c r="AF864" s="10">
        <f ca="1"/>
        <v>0.47076362039603087</v>
      </c>
      <c r="AG864" s="10">
        <f ca="1"/>
        <v>-0.40727725613649035</v>
      </c>
      <c r="AH864" s="10">
        <f ca="1"/>
        <v>-0.2289172044437586</v>
      </c>
      <c r="AI864" s="10">
        <f ca="1"/>
        <v>0.51825187738114109</v>
      </c>
      <c r="AJ864" s="1"/>
      <c r="AK864" s="2" cm="1">
        <f t="array" aca="1" ref="AK864" ca="1">MMULT(MMULT(_xlfn.ANCHORARRAY(AE864),$Q$9:$U$13),TRANSPOSE(_xlfn.ANCHORARRAY(AE864)))</f>
        <v>4.5976070384406455E-4</v>
      </c>
      <c r="AL864" s="2">
        <f t="shared" ca="1" si="33"/>
        <v>2.1442031243426182E-2</v>
      </c>
      <c r="AM864" s="2" cm="1">
        <f t="array" aca="1" ref="AM864" ca="1">MMULT(_xlfn.ANCHORARRAY(AE865),TRANSPOSE($Q$3:$U$3))</f>
        <v>-9.3802272881428556E-4</v>
      </c>
    </row>
    <row r="865" spans="1:39" x14ac:dyDescent="0.35">
      <c r="A865" s="3">
        <v>45084</v>
      </c>
      <c r="B865" s="4">
        <v>27.489406585693299</v>
      </c>
      <c r="C865" s="4">
        <v>142.15103149414</v>
      </c>
      <c r="D865" s="4">
        <v>45.321903228759702</v>
      </c>
      <c r="E865" s="4">
        <v>21.7851448059082</v>
      </c>
      <c r="F865" s="4">
        <v>316.58944702148398</v>
      </c>
      <c r="I865" s="5">
        <f>B865/B864-1</f>
        <v>8.5528173437017241E-3</v>
      </c>
      <c r="J865" s="5">
        <f>C865/C864-1</f>
        <v>2.5932520010669258E-2</v>
      </c>
      <c r="K865" s="5">
        <f>D865/D864-1</f>
        <v>1.728905867968944E-2</v>
      </c>
      <c r="L865" s="5">
        <f>E865/E864-1</f>
        <v>3.4149967585735297E-2</v>
      </c>
      <c r="M865" s="5">
        <f>F865/F864-1</f>
        <v>-3.0868066934543026E-2</v>
      </c>
      <c r="N865" s="5">
        <f>SUMPRODUCT(I865:M865,$AJ$13:$AN$13)</f>
        <v>1.1324197391046195E-2</v>
      </c>
      <c r="P865" s="2" t="s">
        <v>856</v>
      </c>
      <c r="Q865" s="10" cm="1">
        <f t="array" aca="1" ref="Q865:U865" ca="1">_xlfn.LET(_xlpm.array,_xlfn.RANDARRAY(1,COLUMNS(_xlfn.ANCHORARRAY(Q864)),0,1,FALSE),_xlpm.array/SUM(_xlpm.array))</f>
        <v>0.13227933780814488</v>
      </c>
      <c r="R865" s="2">
        <f ca="1"/>
        <v>0.30329965297713513</v>
      </c>
      <c r="S865" s="2">
        <f ca="1"/>
        <v>0.31011921755934901</v>
      </c>
      <c r="T865" s="2">
        <f ca="1"/>
        <v>0.23241899996260443</v>
      </c>
      <c r="U865" s="2">
        <f ca="1"/>
        <v>2.1882791692766378E-2</v>
      </c>
      <c r="V865" s="12"/>
      <c r="X865" s="2" cm="1">
        <f t="array" aca="1" ref="X865" ca="1">MMULT(MMULT(_xlfn.ANCHORARRAY(Q865),$Q$9:$U$13),TRANSPOSE(_xlfn.ANCHORARRAY(Q865)))</f>
        <v>3.4374374353560692E-4</v>
      </c>
      <c r="Y865" s="2">
        <f t="shared" ca="1" si="32"/>
        <v>1.8540327492674095E-2</v>
      </c>
      <c r="Z865" s="2" cm="1">
        <f t="array" aca="1" ref="Z865" ca="1">MMULT(_xlfn.ANCHORARRAY(Q865),TRANSPOSE($Q$3:$U$3))</f>
        <v>1.0465259440979988E-3</v>
      </c>
      <c r="AA865" s="11">
        <f ca="1">AVEDEV(Q865*$Q$3,R865*$R$3,S865*$S$3,T865*$T$3,U865*$U$3)</f>
        <v>1.3385710553573833E-4</v>
      </c>
      <c r="AB865" s="11" cm="1">
        <f t="array" aca="1" ref="AB865" ca="1">MMULT(_xlfn.ANCHORARRAY(Q865),TRANSPOSE($Q$6:$U$6))</f>
        <v>-2.3814831392569877E-2</v>
      </c>
      <c r="AD865" s="2" t="s">
        <v>856</v>
      </c>
      <c r="AE865" s="10" cm="1">
        <f t="array" aca="1" ref="AE865:AI865" ca="1">_xlfn.LET(_xlpm.array,_xlfn.RANDARRAY(1,COLUMNS(_xlfn.ANCHORARRAY(Q864)),-1,1,FALSE),_xlpm.array/SUM(_xlpm.array))</f>
        <v>1.633082316870055</v>
      </c>
      <c r="AF865" s="10">
        <f ca="1"/>
        <v>0.71920625583552233</v>
      </c>
      <c r="AG865" s="10">
        <f ca="1"/>
        <v>-0.84100357220239319</v>
      </c>
      <c r="AH865" s="10">
        <f ca="1"/>
        <v>-2.0889839991551158</v>
      </c>
      <c r="AI865" s="10">
        <f ca="1"/>
        <v>1.5776989986519319</v>
      </c>
      <c r="AJ865" s="1"/>
      <c r="AK865" s="2" cm="1">
        <f t="array" aca="1" ref="AK865" ca="1">MMULT(MMULT(_xlfn.ANCHORARRAY(AE865),$Q$9:$U$13),TRANSPOSE(_xlfn.ANCHORARRAY(AE865)))</f>
        <v>3.0317650592551022E-3</v>
      </c>
      <c r="AL865" s="2">
        <f t="shared" ca="1" si="33"/>
        <v>5.5061466192384508E-2</v>
      </c>
      <c r="AM865" s="2" cm="1">
        <f t="array" aca="1" ref="AM865" ca="1">MMULT(_xlfn.ANCHORARRAY(AE866),TRANSPOSE($Q$3:$U$3))</f>
        <v>1.8023972294895782E-3</v>
      </c>
    </row>
    <row r="866" spans="1:39" x14ac:dyDescent="0.35">
      <c r="A866" s="3">
        <v>45085</v>
      </c>
      <c r="B866" s="4">
        <v>27.256288528442301</v>
      </c>
      <c r="C866" s="4">
        <v>141.62629699707</v>
      </c>
      <c r="D866" s="4">
        <v>45.540630340576101</v>
      </c>
      <c r="E866" s="4">
        <v>22.066646575927699</v>
      </c>
      <c r="F866" s="4">
        <v>318.42999267578102</v>
      </c>
      <c r="I866" s="5">
        <f>B866/B865-1</f>
        <v>-8.4802869979857531E-3</v>
      </c>
      <c r="J866" s="5">
        <f>C866/C865-1</f>
        <v>-3.6913871925834396E-3</v>
      </c>
      <c r="K866" s="5">
        <f>D866/D865-1</f>
        <v>4.8260795825891822E-3</v>
      </c>
      <c r="L866" s="5">
        <f>E866/E865-1</f>
        <v>1.2921730496973982E-2</v>
      </c>
      <c r="M866" s="5">
        <f>F866/F865-1</f>
        <v>5.8136671061310707E-3</v>
      </c>
      <c r="N866" s="5">
        <f>SUMPRODUCT(I866:M866,$AJ$13:$AN$13)</f>
        <v>1.3066149998714504E-2</v>
      </c>
      <c r="P866" s="2" t="s">
        <v>857</v>
      </c>
      <c r="Q866" s="10" cm="1">
        <f t="array" aca="1" ref="Q866:U866" ca="1">_xlfn.LET(_xlpm.array,_xlfn.RANDARRAY(1,COLUMNS(_xlfn.ANCHORARRAY(Q865)),0,1,FALSE),_xlpm.array/SUM(_xlpm.array))</f>
        <v>4.6703117920055728E-2</v>
      </c>
      <c r="R866" s="2">
        <f ca="1"/>
        <v>0.22521975311072306</v>
      </c>
      <c r="S866" s="2">
        <f ca="1"/>
        <v>0.38220514140435985</v>
      </c>
      <c r="T866" s="2">
        <f ca="1"/>
        <v>0.25915781683560268</v>
      </c>
      <c r="U866" s="2">
        <f ca="1"/>
        <v>8.6714170729258661E-2</v>
      </c>
      <c r="V866" s="12"/>
      <c r="X866" s="2" cm="1">
        <f t="array" aca="1" ref="X866" ca="1">MMULT(MMULT(_xlfn.ANCHORARRAY(Q866),$Q$9:$U$13),TRANSPOSE(_xlfn.ANCHORARRAY(Q866)))</f>
        <v>3.5268782639318296E-4</v>
      </c>
      <c r="Y866" s="2">
        <f t="shared" ca="1" si="32"/>
        <v>1.8779984728246799E-2</v>
      </c>
      <c r="Z866" s="2" cm="1">
        <f t="array" aca="1" ref="Z866" ca="1">MMULT(_xlfn.ANCHORARRAY(Q866),TRANSPOSE($Q$3:$U$3))</f>
        <v>1.1399861167514821E-3</v>
      </c>
      <c r="AA866" s="11">
        <f ca="1">AVEDEV(Q866*$Q$3,R866*$R$3,S866*$S$3,T866*$T$3,U866*$U$3)</f>
        <v>1.7178682508143511E-4</v>
      </c>
      <c r="AB866" s="11" cm="1">
        <f t="array" aca="1" ref="AB866" ca="1">MMULT(_xlfn.ANCHORARRAY(Q866),TRANSPOSE($Q$6:$U$6))</f>
        <v>-2.4292343166269565E-2</v>
      </c>
      <c r="AD866" s="2" t="s">
        <v>857</v>
      </c>
      <c r="AE866" s="10" cm="1">
        <f t="array" aca="1" ref="AE866:AI866" ca="1">_xlfn.LET(_xlpm.array,_xlfn.RANDARRAY(1,COLUMNS(_xlfn.ANCHORARRAY(Q865)),-1,1,FALSE),_xlpm.array/SUM(_xlpm.array))</f>
        <v>0.4764371884295362</v>
      </c>
      <c r="AF866" s="10">
        <f ca="1"/>
        <v>-1.2199111213537976</v>
      </c>
      <c r="AG866" s="10">
        <f ca="1"/>
        <v>1.0571399008301812</v>
      </c>
      <c r="AH866" s="10">
        <f ca="1"/>
        <v>0.81528522725664687</v>
      </c>
      <c r="AI866" s="10">
        <f ca="1"/>
        <v>-0.12895119516256665</v>
      </c>
      <c r="AJ866" s="1"/>
      <c r="AK866" s="2" cm="1">
        <f t="array" aca="1" ref="AK866" ca="1">MMULT(MMULT(_xlfn.ANCHORARRAY(AE866),$Q$9:$U$13),TRANSPOSE(_xlfn.ANCHORARRAY(AE866)))</f>
        <v>1.2342358300248086E-3</v>
      </c>
      <c r="AL866" s="2">
        <f t="shared" ca="1" si="33"/>
        <v>3.5131692672355094E-2</v>
      </c>
      <c r="AM866" s="2" cm="1">
        <f t="array" aca="1" ref="AM866" ca="1">MMULT(_xlfn.ANCHORARRAY(AE867),TRANSPOSE($Q$3:$U$3))</f>
        <v>1.3859309425172026E-3</v>
      </c>
    </row>
    <row r="867" spans="1:39" x14ac:dyDescent="0.35">
      <c r="A867" s="3">
        <v>45086</v>
      </c>
      <c r="B867" s="4">
        <v>27.293584823608398</v>
      </c>
      <c r="C867" s="4">
        <v>141.288330078125</v>
      </c>
      <c r="D867" s="4">
        <v>45.274364471435497</v>
      </c>
      <c r="E867" s="4">
        <v>22.840776443481399</v>
      </c>
      <c r="F867" s="4">
        <v>319.92785644531199</v>
      </c>
      <c r="I867" s="5">
        <f>B867/B866-1</f>
        <v>1.3683556045123169E-3</v>
      </c>
      <c r="J867" s="5">
        <f>C867/C866-1</f>
        <v>-2.3863288535461713E-3</v>
      </c>
      <c r="K867" s="5">
        <f>D867/D866-1</f>
        <v>-5.8467761018969888E-3</v>
      </c>
      <c r="L867" s="5">
        <f>E867/E866-1</f>
        <v>3.508144587760742E-2</v>
      </c>
      <c r="M867" s="5">
        <f>F867/F866-1</f>
        <v>4.703902911105784E-3</v>
      </c>
      <c r="N867" s="5">
        <f>SUMPRODUCT(I867:M867,$AJ$13:$AN$13)</f>
        <v>1.4601530010526366E-2</v>
      </c>
      <c r="P867" s="2" t="s">
        <v>858</v>
      </c>
      <c r="Q867" s="10" cm="1">
        <f t="array" aca="1" ref="Q867:U867" ca="1">_xlfn.LET(_xlpm.array,_xlfn.RANDARRAY(1,COLUMNS(_xlfn.ANCHORARRAY(Q866)),0,1,FALSE),_xlpm.array/SUM(_xlpm.array))</f>
        <v>0.1148869780615864</v>
      </c>
      <c r="R867" s="2">
        <f ca="1"/>
        <v>0.18464404036069906</v>
      </c>
      <c r="S867" s="2">
        <f ca="1"/>
        <v>0.1941315654530904</v>
      </c>
      <c r="T867" s="2">
        <f ca="1"/>
        <v>0.30779800063176144</v>
      </c>
      <c r="U867" s="2">
        <f ca="1"/>
        <v>0.19853941549286261</v>
      </c>
      <c r="V867" s="12"/>
      <c r="X867" s="2" cm="1">
        <f t="array" aca="1" ref="X867" ca="1">MMULT(MMULT(_xlfn.ANCHORARRAY(Q867),$Q$9:$U$13),TRANSPOSE(_xlfn.ANCHORARRAY(Q867)))</f>
        <v>2.8720707749480603E-4</v>
      </c>
      <c r="Y867" s="2">
        <f t="shared" ca="1" si="32"/>
        <v>1.6947184943075531E-2</v>
      </c>
      <c r="Z867" s="2" cm="1">
        <f t="array" aca="1" ref="Z867" ca="1">MMULT(_xlfn.ANCHORARRAY(Q867),TRANSPOSE($Q$3:$U$3))</f>
        <v>9.7480031535025487E-4</v>
      </c>
      <c r="AA867" s="11">
        <f ca="1">AVEDEV(Q867*$Q$3,R867*$R$3,S867*$S$3,T867*$T$3,U867*$U$3)</f>
        <v>9.5920558131358625E-5</v>
      </c>
      <c r="AB867" s="11" cm="1">
        <f t="array" aca="1" ref="AB867" ca="1">MMULT(_xlfn.ANCHORARRAY(Q867),TRANSPOSE($Q$6:$U$6))</f>
        <v>-2.3298428463002337E-2</v>
      </c>
      <c r="AD867" s="2" t="s">
        <v>858</v>
      </c>
      <c r="AE867" s="10" cm="1">
        <f t="array" aca="1" ref="AE867:AI867" ca="1">_xlfn.LET(_xlpm.array,_xlfn.RANDARRAY(1,COLUMNS(_xlfn.ANCHORARRAY(Q866)),-1,1,FALSE),_xlpm.array/SUM(_xlpm.array))</f>
        <v>-0.44305563719271401</v>
      </c>
      <c r="AF867" s="10">
        <f ca="1"/>
        <v>0.68682934375565796</v>
      </c>
      <c r="AG867" s="10">
        <f ca="1"/>
        <v>0.82771381419871537</v>
      </c>
      <c r="AH867" s="10">
        <f ca="1"/>
        <v>-0.70090883029336004</v>
      </c>
      <c r="AI867" s="10">
        <f ca="1"/>
        <v>0.62942130953170072</v>
      </c>
      <c r="AJ867" s="1"/>
      <c r="AK867" s="2" cm="1">
        <f t="array" aca="1" ref="AK867" ca="1">MMULT(MMULT(_xlfn.ANCHORARRAY(AE867),$Q$9:$U$13),TRANSPOSE(_xlfn.ANCHORARRAY(AE867)))</f>
        <v>9.4889248816019652E-4</v>
      </c>
      <c r="AL867" s="2">
        <f t="shared" ca="1" si="33"/>
        <v>3.0804098561071327E-2</v>
      </c>
      <c r="AM867" s="2" cm="1">
        <f t="array" aca="1" ref="AM867" ca="1">MMULT(_xlfn.ANCHORARRAY(AE868),TRANSPOSE($Q$3:$U$3))</f>
        <v>4.2231930017578841E-4</v>
      </c>
    </row>
    <row r="868" spans="1:39" x14ac:dyDescent="0.35">
      <c r="A868" s="3">
        <v>45089</v>
      </c>
      <c r="B868" s="4">
        <v>27.163036346435501</v>
      </c>
      <c r="C868" s="4">
        <v>139.92753601074199</v>
      </c>
      <c r="D868" s="4">
        <v>45.711788177490199</v>
      </c>
      <c r="E868" s="4">
        <v>22.676567077636701</v>
      </c>
      <c r="F868" s="4">
        <v>324.88162231445301</v>
      </c>
      <c r="I868" s="5">
        <f>B868/B867-1</f>
        <v>-4.7831194772177676E-3</v>
      </c>
      <c r="J868" s="5">
        <f>C868/C867-1</f>
        <v>-9.6313267106389322E-3</v>
      </c>
      <c r="K868" s="5">
        <f>D868/D867-1</f>
        <v>9.6616200174532985E-3</v>
      </c>
      <c r="L868" s="5">
        <f>E868/E867-1</f>
        <v>-7.1893075198660172E-3</v>
      </c>
      <c r="M868" s="5">
        <f>F868/F867-1</f>
        <v>1.5484009189389969E-2</v>
      </c>
      <c r="N868" s="5">
        <f>SUMPRODUCT(I868:M868,$AJ$13:$AN$13)</f>
        <v>8.5425417840563796E-3</v>
      </c>
      <c r="P868" s="2" t="s">
        <v>859</v>
      </c>
      <c r="Q868" s="10" cm="1">
        <f t="array" aca="1" ref="Q868:U868" ca="1">_xlfn.LET(_xlpm.array,_xlfn.RANDARRAY(1,COLUMNS(_xlfn.ANCHORARRAY(Q867)),0,1,FALSE),_xlpm.array/SUM(_xlpm.array))</f>
        <v>0.16177223314609959</v>
      </c>
      <c r="R868" s="2">
        <f ca="1"/>
        <v>0.19995962357190245</v>
      </c>
      <c r="S868" s="2">
        <f ca="1"/>
        <v>0.18073592986420128</v>
      </c>
      <c r="T868" s="2">
        <f ca="1"/>
        <v>0.3495537978322345</v>
      </c>
      <c r="U868" s="2">
        <f ca="1"/>
        <v>0.10797841558556222</v>
      </c>
      <c r="V868" s="12"/>
      <c r="X868" s="2" cm="1">
        <f t="array" aca="1" ref="X868" ca="1">MMULT(MMULT(_xlfn.ANCHORARRAY(Q868),$Q$9:$U$13),TRANSPOSE(_xlfn.ANCHORARRAY(Q868)))</f>
        <v>3.087862486297674E-4</v>
      </c>
      <c r="Y868" s="2">
        <f t="shared" ca="1" si="32"/>
        <v>1.7572314834129493E-2</v>
      </c>
      <c r="Z868" s="2" cm="1">
        <f t="array" aca="1" ref="Z868" ca="1">MMULT(_xlfn.ANCHORARRAY(Q868),TRANSPOSE($Q$3:$U$3))</f>
        <v>9.6145159570134491E-4</v>
      </c>
      <c r="AA868" s="11">
        <f ca="1">AVEDEV(Q868*$Q$3,R868*$R$3,S868*$S$3,T868*$T$3,U868*$U$3)</f>
        <v>1.064179192809829E-4</v>
      </c>
      <c r="AB868" s="11" cm="1">
        <f t="array" aca="1" ref="AB868" ca="1">MMULT(_xlfn.ANCHORARRAY(Q868),TRANSPOSE($Q$6:$U$6))</f>
        <v>-2.3491113798100798E-2</v>
      </c>
      <c r="AD868" s="2" t="s">
        <v>859</v>
      </c>
      <c r="AE868" s="10" cm="1">
        <f t="array" aca="1" ref="AE868:AI868" ca="1">_xlfn.LET(_xlpm.array,_xlfn.RANDARRAY(1,COLUMNS(_xlfn.ANCHORARRAY(Q867)),-1,1,FALSE),_xlpm.array/SUM(_xlpm.array))</f>
        <v>1.1872650907295883</v>
      </c>
      <c r="AF868" s="10">
        <f ca="1"/>
        <v>-1.2014744127295447</v>
      </c>
      <c r="AG868" s="10">
        <f ca="1"/>
        <v>-0.26771215895990708</v>
      </c>
      <c r="AH868" s="10">
        <f ca="1"/>
        <v>0.5863065907911118</v>
      </c>
      <c r="AI868" s="10">
        <f ca="1"/>
        <v>0.69561489016875178</v>
      </c>
      <c r="AJ868" s="1"/>
      <c r="AK868" s="2" cm="1">
        <f t="array" aca="1" ref="AK868" ca="1">MMULT(MMULT(_xlfn.ANCHORARRAY(AE868),$Q$9:$U$13),TRANSPOSE(_xlfn.ANCHORARRAY(AE868)))</f>
        <v>7.5527816915261896E-4</v>
      </c>
      <c r="AL868" s="2">
        <f t="shared" ca="1" si="33"/>
        <v>2.748232466791372E-2</v>
      </c>
      <c r="AM868" s="2" cm="1">
        <f t="array" aca="1" ref="AM868" ca="1">MMULT(_xlfn.ANCHORARRAY(AE869),TRANSPOSE($Q$3:$U$3))</f>
        <v>5.4882020385434258E-4</v>
      </c>
    </row>
    <row r="869" spans="1:39" x14ac:dyDescent="0.35">
      <c r="A869" s="3">
        <v>45090</v>
      </c>
      <c r="B869" s="4">
        <v>27.414808273315401</v>
      </c>
      <c r="C869" s="4">
        <v>140.97703552246</v>
      </c>
      <c r="D869" s="4">
        <v>46.405979156494098</v>
      </c>
      <c r="E869" s="4">
        <v>23.560174942016602</v>
      </c>
      <c r="F869" s="4">
        <v>327.27038574218699</v>
      </c>
      <c r="I869" s="5">
        <f>B869/B868-1</f>
        <v>9.2689169085820033E-3</v>
      </c>
      <c r="J869" s="5">
        <f>C869/C868-1</f>
        <v>7.5003072421531147E-3</v>
      </c>
      <c r="K869" s="5">
        <f>D869/D868-1</f>
        <v>1.5186257345883858E-2</v>
      </c>
      <c r="L869" s="5">
        <f>E869/E868-1</f>
        <v>3.8965680358703958E-2</v>
      </c>
      <c r="M869" s="5">
        <f>F869/F868-1</f>
        <v>7.3527194635278903E-3</v>
      </c>
      <c r="N869" s="5">
        <f>SUMPRODUCT(I869:M869,$AJ$13:$AN$13)</f>
        <v>2.5643763847499314E-2</v>
      </c>
      <c r="P869" s="2" t="s">
        <v>860</v>
      </c>
      <c r="Q869" s="10" cm="1">
        <f t="array" aca="1" ref="Q869:U869" ca="1">_xlfn.LET(_xlpm.array,_xlfn.RANDARRAY(1,COLUMNS(_xlfn.ANCHORARRAY(Q868)),0,1,FALSE),_xlpm.array/SUM(_xlpm.array))</f>
        <v>9.9763539871880261E-2</v>
      </c>
      <c r="R869" s="2">
        <f ca="1"/>
        <v>0.40828904753835565</v>
      </c>
      <c r="S869" s="2">
        <f ca="1"/>
        <v>0.3587108094509639</v>
      </c>
      <c r="T869" s="2">
        <f ca="1"/>
        <v>3.7759302900263671E-2</v>
      </c>
      <c r="U869" s="2">
        <f ca="1"/>
        <v>9.5477300238536469E-2</v>
      </c>
      <c r="V869" s="12"/>
      <c r="X869" s="2" cm="1">
        <f t="array" aca="1" ref="X869" ca="1">MMULT(MMULT(_xlfn.ANCHORARRAY(Q869),$Q$9:$U$13),TRANSPOSE(_xlfn.ANCHORARRAY(Q869)))</f>
        <v>3.4160129569322205E-4</v>
      </c>
      <c r="Y869" s="2">
        <f t="shared" ca="1" si="32"/>
        <v>1.8482459135440339E-2</v>
      </c>
      <c r="Z869" s="2" cm="1">
        <f t="array" aca="1" ref="Z869" ca="1">MMULT(_xlfn.ANCHORARRAY(Q869),TRANSPOSE($Q$3:$U$3))</f>
        <v>1.0430014106870111E-3</v>
      </c>
      <c r="AA869" s="11">
        <f ca="1">AVEDEV(Q869*$Q$3,R869*$R$3,S869*$S$3,T869*$T$3,U869*$U$3)</f>
        <v>1.8539786940286008E-4</v>
      </c>
      <c r="AB869" s="11" cm="1">
        <f t="array" aca="1" ref="AB869" ca="1">MMULT(_xlfn.ANCHORARRAY(Q869),TRANSPOSE($Q$6:$U$6))</f>
        <v>-2.3177305719611928E-2</v>
      </c>
      <c r="AD869" s="2" t="s">
        <v>860</v>
      </c>
      <c r="AE869" s="10" cm="1">
        <f t="array" aca="1" ref="AE869:AI869" ca="1">_xlfn.LET(_xlpm.array,_xlfn.RANDARRAY(1,COLUMNS(_xlfn.ANCHORARRAY(Q868)),-1,1,FALSE),_xlpm.array/SUM(_xlpm.array))</f>
        <v>0.1530322651038922</v>
      </c>
      <c r="AF869" s="10">
        <f ca="1"/>
        <v>0.31439339825541091</v>
      </c>
      <c r="AG869" s="10">
        <f ca="1"/>
        <v>-0.33186784863649837</v>
      </c>
      <c r="AH869" s="10">
        <f ca="1"/>
        <v>0.46440252950216643</v>
      </c>
      <c r="AI869" s="10">
        <f ca="1"/>
        <v>0.40003965577502881</v>
      </c>
      <c r="AJ869" s="1"/>
      <c r="AK869" s="2" cm="1">
        <f t="array" aca="1" ref="AK869" ca="1">MMULT(MMULT(_xlfn.ANCHORARRAY(AE869),$Q$9:$U$13),TRANSPOSE(_xlfn.ANCHORARRAY(AE869)))</f>
        <v>3.96690643180232E-4</v>
      </c>
      <c r="AL869" s="2">
        <f t="shared" ca="1" si="33"/>
        <v>1.9917094245402164E-2</v>
      </c>
      <c r="AM869" s="2" cm="1">
        <f t="array" aca="1" ref="AM869" ca="1">MMULT(_xlfn.ANCHORARRAY(AE870),TRANSPOSE($Q$3:$U$3))</f>
        <v>-2.8923451008842395E-2</v>
      </c>
    </row>
    <row r="870" spans="1:39" x14ac:dyDescent="0.35">
      <c r="A870" s="3">
        <v>45091</v>
      </c>
      <c r="B870" s="4">
        <v>27.153718948364201</v>
      </c>
      <c r="C870" s="4">
        <v>139.71408081054599</v>
      </c>
      <c r="D870" s="4">
        <v>46.95751953125</v>
      </c>
      <c r="E870" s="4">
        <v>23.255212783813398</v>
      </c>
      <c r="F870" s="4">
        <v>330.25631713867102</v>
      </c>
      <c r="I870" s="5">
        <f>B870/B869-1</f>
        <v>-9.5236604373898359E-3</v>
      </c>
      <c r="J870" s="5">
        <f>C870/C869-1</f>
        <v>-8.9585846888715626E-3</v>
      </c>
      <c r="K870" s="5">
        <f>D870/D869-1</f>
        <v>1.1885114478372483E-2</v>
      </c>
      <c r="L870" s="5">
        <f>E870/E869-1</f>
        <v>-1.2943968325945687E-2</v>
      </c>
      <c r="M870" s="5">
        <f>F870/F869-1</f>
        <v>9.1237445444765086E-3</v>
      </c>
      <c r="N870" s="5">
        <f>SUMPRODUCT(I870:M870,$AJ$13:$AN$13)</f>
        <v>6.2357186829727915E-3</v>
      </c>
      <c r="P870" s="2" t="s">
        <v>861</v>
      </c>
      <c r="Q870" s="10" cm="1">
        <f t="array" aca="1" ref="Q870:U870" ca="1">_xlfn.LET(_xlpm.array,_xlfn.RANDARRAY(1,COLUMNS(_xlfn.ANCHORARRAY(Q869)),0,1,FALSE),_xlpm.array/SUM(_xlpm.array))</f>
        <v>0.10710077668984097</v>
      </c>
      <c r="R870" s="2">
        <f ca="1"/>
        <v>0.31135968888819249</v>
      </c>
      <c r="S870" s="2">
        <f ca="1"/>
        <v>0.35365994842779297</v>
      </c>
      <c r="T870" s="2">
        <f ca="1"/>
        <v>0.17763519261601723</v>
      </c>
      <c r="U870" s="2">
        <f ca="1"/>
        <v>5.0244393378156393E-2</v>
      </c>
      <c r="V870" s="12"/>
      <c r="X870" s="2" cm="1">
        <f t="array" aca="1" ref="X870" ca="1">MMULT(MMULT(_xlfn.ANCHORARRAY(Q870),$Q$9:$U$13),TRANSPOSE(_xlfn.ANCHORARRAY(Q870)))</f>
        <v>3.4604013447559086E-4</v>
      </c>
      <c r="Y870" s="2">
        <f t="shared" ca="1" si="32"/>
        <v>1.8602154027842873E-2</v>
      </c>
      <c r="Z870" s="2" cm="1">
        <f t="array" aca="1" ref="Z870" ca="1">MMULT(_xlfn.ANCHORARRAY(Q870),TRANSPOSE($Q$3:$U$3))</f>
        <v>1.0760493719226623E-3</v>
      </c>
      <c r="AA870" s="11">
        <f ca="1">AVEDEV(Q870*$Q$3,R870*$R$3,S870*$S$3,T870*$T$3,U870*$U$3)</f>
        <v>1.485165136408841E-4</v>
      </c>
      <c r="AB870" s="11" cm="1">
        <f t="array" aca="1" ref="AB870" ca="1">MMULT(_xlfn.ANCHORARRAY(Q870),TRANSPOSE($Q$6:$U$6))</f>
        <v>-2.3811315641899741E-2</v>
      </c>
      <c r="AD870" s="2" t="s">
        <v>861</v>
      </c>
      <c r="AE870" s="10" cm="1">
        <f t="array" aca="1" ref="AE870:AI870" ca="1">_xlfn.LET(_xlpm.array,_xlfn.RANDARRAY(1,COLUMNS(_xlfn.ANCHORARRAY(Q869)),-1,1,FALSE),_xlpm.array/SUM(_xlpm.array))</f>
        <v>16.193064967227947</v>
      </c>
      <c r="AF870" s="10">
        <f ca="1"/>
        <v>9.1788884531829993</v>
      </c>
      <c r="AG870" s="10">
        <f ca="1"/>
        <v>-38.456831222149887</v>
      </c>
      <c r="AH870" s="10">
        <f ca="1"/>
        <v>30.474575284009791</v>
      </c>
      <c r="AI870" s="10">
        <f ca="1"/>
        <v>-16.389697482270847</v>
      </c>
      <c r="AJ870" s="1"/>
      <c r="AK870" s="2" cm="1">
        <f t="array" aca="1" ref="AK870" ca="1">MMULT(MMULT(_xlfn.ANCHORARRAY(AE870),$Q$9:$U$13),TRANSPOSE(_xlfn.ANCHORARRAY(AE870)))</f>
        <v>1.7462286775153237</v>
      </c>
      <c r="AL870" s="2">
        <f t="shared" ca="1" si="33"/>
        <v>1.3214494608252423</v>
      </c>
      <c r="AM870" s="2" cm="1">
        <f t="array" aca="1" ref="AM870" ca="1">MMULT(_xlfn.ANCHORARRAY(AE871),TRANSPOSE($Q$3:$U$3))</f>
        <v>-2.1844106648063718E-3</v>
      </c>
    </row>
    <row r="871" spans="1:39" x14ac:dyDescent="0.35">
      <c r="A871" s="3">
        <v>45092</v>
      </c>
      <c r="B871" s="4">
        <v>27.386833190917901</v>
      </c>
      <c r="C871" s="4">
        <v>140.77249145507801</v>
      </c>
      <c r="D871" s="4">
        <v>47.7373046875</v>
      </c>
      <c r="E871" s="4">
        <v>24.0449829101562</v>
      </c>
      <c r="F871" s="4">
        <v>340.79037475585898</v>
      </c>
      <c r="I871" s="5">
        <f>B871/B870-1</f>
        <v>8.5849839941627426E-3</v>
      </c>
      <c r="J871" s="5">
        <f>C871/C870-1</f>
        <v>7.5755474207874762E-3</v>
      </c>
      <c r="K871" s="5">
        <f>D871/D870-1</f>
        <v>1.6606182865580355E-2</v>
      </c>
      <c r="L871" s="5">
        <f>E871/E870-1</f>
        <v>3.3960993334471334E-2</v>
      </c>
      <c r="M871" s="5">
        <f>F871/F870-1</f>
        <v>3.1896612026848237E-2</v>
      </c>
      <c r="N871" s="5">
        <f>SUMPRODUCT(I871:M871,$AJ$13:$AN$13)</f>
        <v>3.2438733313564533E-2</v>
      </c>
      <c r="P871" s="2" t="s">
        <v>862</v>
      </c>
      <c r="Q871" s="10" cm="1">
        <f t="array" aca="1" ref="Q871:U871" ca="1">_xlfn.LET(_xlpm.array,_xlfn.RANDARRAY(1,COLUMNS(_xlfn.ANCHORARRAY(Q870)),0,1,FALSE),_xlpm.array/SUM(_xlpm.array))</f>
        <v>0.23056782662328218</v>
      </c>
      <c r="R871" s="2">
        <f ca="1"/>
        <v>0.13115704248260049</v>
      </c>
      <c r="S871" s="2">
        <f ca="1"/>
        <v>0.43285669360480133</v>
      </c>
      <c r="T871" s="2">
        <f ca="1"/>
        <v>3.7786847958779249E-2</v>
      </c>
      <c r="U871" s="2">
        <f ca="1"/>
        <v>0.16763158933053673</v>
      </c>
      <c r="V871" s="12"/>
      <c r="X871" s="2" cm="1">
        <f t="array" aca="1" ref="X871" ca="1">MMULT(MMULT(_xlfn.ANCHORARRAY(Q871),$Q$9:$U$13),TRANSPOSE(_xlfn.ANCHORARRAY(Q871)))</f>
        <v>3.5791616398535758E-4</v>
      </c>
      <c r="Y871" s="2">
        <f t="shared" ca="1" si="32"/>
        <v>1.8918672363180181E-2</v>
      </c>
      <c r="Z871" s="2" cm="1">
        <f t="array" aca="1" ref="Z871" ca="1">MMULT(_xlfn.ANCHORARRAY(Q871),TRANSPOSE($Q$3:$U$3))</f>
        <v>1.0827381838526497E-3</v>
      </c>
      <c r="AA871" s="11">
        <f ca="1">AVEDEV(Q871*$Q$3,R871*$R$3,S871*$S$3,T871*$T$3,U871*$U$3)</f>
        <v>1.9456478732657261E-4</v>
      </c>
      <c r="AB871" s="11" cm="1">
        <f t="array" aca="1" ref="AB871" ca="1">MMULT(_xlfn.ANCHORARRAY(Q871),TRANSPOSE($Q$6:$U$6))</f>
        <v>-2.3761442095095252E-2</v>
      </c>
      <c r="AD871" s="2" t="s">
        <v>862</v>
      </c>
      <c r="AE871" s="10" cm="1">
        <f t="array" aca="1" ref="AE871:AI871" ca="1">_xlfn.LET(_xlpm.array,_xlfn.RANDARRAY(1,COLUMNS(_xlfn.ANCHORARRAY(Q870)),-1,1,FALSE),_xlpm.array/SUM(_xlpm.array))</f>
        <v>4.9768136033982975</v>
      </c>
      <c r="AF871" s="10">
        <f ca="1"/>
        <v>-2.9684456594452624</v>
      </c>
      <c r="AG871" s="10">
        <f ca="1"/>
        <v>-0.54222308901336203</v>
      </c>
      <c r="AH871" s="10">
        <f ca="1"/>
        <v>-5.098388796794878</v>
      </c>
      <c r="AI871" s="10">
        <f ca="1"/>
        <v>4.6322439418552062</v>
      </c>
      <c r="AJ871" s="1"/>
      <c r="AK871" s="2" cm="1">
        <f t="array" aca="1" ref="AK871" ca="1">MMULT(MMULT(_xlfn.ANCHORARRAY(AE871),$Q$9:$U$13),TRANSPOSE(_xlfn.ANCHORARRAY(AE871)))</f>
        <v>2.7674994257336612E-2</v>
      </c>
      <c r="AL871" s="2">
        <f t="shared" ca="1" si="33"/>
        <v>0.16635803033618971</v>
      </c>
      <c r="AM871" s="2" cm="1">
        <f t="array" aca="1" ref="AM871" ca="1">MMULT(_xlfn.ANCHORARRAY(AE872),TRANSPOSE($Q$3:$U$3))</f>
        <v>1.1893615100192949E-3</v>
      </c>
    </row>
    <row r="872" spans="1:39" x14ac:dyDescent="0.35">
      <c r="A872" s="3">
        <v>45093</v>
      </c>
      <c r="B872" s="4">
        <v>27.218986511230401</v>
      </c>
      <c r="C872" s="4">
        <v>139.86528015136699</v>
      </c>
      <c r="D872" s="4">
        <v>47.233303070068303</v>
      </c>
      <c r="E872" s="4">
        <v>23.560174942016602</v>
      </c>
      <c r="F872" s="4">
        <v>335.14147949218699</v>
      </c>
      <c r="I872" s="5">
        <f>B872/B871-1</f>
        <v>-6.1287363353556001E-3</v>
      </c>
      <c r="J872" s="5">
        <f>C872/C871-1</f>
        <v>-6.4445211868721097E-3</v>
      </c>
      <c r="K872" s="5">
        <f>D872/D871-1</f>
        <v>-1.0557814705522528E-2</v>
      </c>
      <c r="L872" s="5">
        <f>E872/E871-1</f>
        <v>-2.016254159759967E-2</v>
      </c>
      <c r="M872" s="5">
        <f>F872/F871-1</f>
        <v>-1.6575865054049288E-2</v>
      </c>
      <c r="N872" s="5">
        <f>SUMPRODUCT(I872:M872,$AJ$13:$AN$13)</f>
        <v>-1.8471698035389918E-2</v>
      </c>
      <c r="P872" s="2" t="s">
        <v>863</v>
      </c>
      <c r="Q872" s="10" cm="1">
        <f t="array" aca="1" ref="Q872:U872" ca="1">_xlfn.LET(_xlpm.array,_xlfn.RANDARRAY(1,COLUMNS(_xlfn.ANCHORARRAY(Q871)),0,1,FALSE),_xlpm.array/SUM(_xlpm.array))</f>
        <v>6.0472302288035601E-2</v>
      </c>
      <c r="R872" s="2">
        <f ca="1"/>
        <v>0.25969632603283199</v>
      </c>
      <c r="S872" s="2">
        <f ca="1"/>
        <v>0.39882712209021076</v>
      </c>
      <c r="T872" s="2">
        <f ca="1"/>
        <v>0.20478975629034324</v>
      </c>
      <c r="U872" s="2">
        <f ca="1"/>
        <v>7.6214493298578406E-2</v>
      </c>
      <c r="V872" s="12"/>
      <c r="X872" s="2" cm="1">
        <f t="array" aca="1" ref="X872" ca="1">MMULT(MMULT(_xlfn.ANCHORARRAY(Q872),$Q$9:$U$13),TRANSPOSE(_xlfn.ANCHORARRAY(Q872)))</f>
        <v>3.571466979631509E-4</v>
      </c>
      <c r="Y872" s="2">
        <f t="shared" ca="1" si="32"/>
        <v>1.8898325268741432E-2</v>
      </c>
      <c r="Z872" s="2" cm="1">
        <f t="array" aca="1" ref="Z872" ca="1">MMULT(_xlfn.ANCHORARRAY(Q872),TRANSPOSE($Q$3:$U$3))</f>
        <v>1.135580442171097E-3</v>
      </c>
      <c r="AA872" s="11">
        <f ca="1">AVEDEV(Q872*$Q$3,R872*$R$3,S872*$S$3,T872*$T$3,U872*$U$3)</f>
        <v>1.6823178648093124E-4</v>
      </c>
      <c r="AB872" s="11" cm="1">
        <f t="array" aca="1" ref="AB872" ca="1">MMULT(_xlfn.ANCHORARRAY(Q872),TRANSPOSE($Q$6:$U$6))</f>
        <v>-2.417192442766132E-2</v>
      </c>
      <c r="AD872" s="2" t="s">
        <v>863</v>
      </c>
      <c r="AE872" s="10" cm="1">
        <f t="array" aca="1" ref="AE872:AI872" ca="1">_xlfn.LET(_xlpm.array,_xlfn.RANDARRAY(1,COLUMNS(_xlfn.ANCHORARRAY(Q871)),-1,1,FALSE),_xlpm.array/SUM(_xlpm.array))</f>
        <v>0.93085093747922487</v>
      </c>
      <c r="AF872" s="10">
        <f ca="1"/>
        <v>-1.4436091842832448</v>
      </c>
      <c r="AG872" s="10">
        <f ca="1"/>
        <v>0.99380188351216558</v>
      </c>
      <c r="AH872" s="10">
        <f ca="1"/>
        <v>-0.93635251632044358</v>
      </c>
      <c r="AI872" s="10">
        <f ca="1"/>
        <v>1.4553088796122979</v>
      </c>
      <c r="AJ872" s="1"/>
      <c r="AK872" s="2" cm="1">
        <f t="array" aca="1" ref="AK872" ca="1">MMULT(MMULT(_xlfn.ANCHORARRAY(AE872),$Q$9:$U$13),TRANSPOSE(_xlfn.ANCHORARRAY(AE872)))</f>
        <v>3.0584430998561499E-3</v>
      </c>
      <c r="AL872" s="2">
        <f t="shared" ca="1" si="33"/>
        <v>5.5303192492442511E-2</v>
      </c>
      <c r="AM872" s="2" cm="1">
        <f t="array" aca="1" ref="AM872" ca="1">MMULT(_xlfn.ANCHORARRAY(AE873),TRANSPOSE($Q$3:$U$3))</f>
        <v>8.6482796886693035E-4</v>
      </c>
    </row>
    <row r="873" spans="1:39" x14ac:dyDescent="0.35">
      <c r="A873" s="3">
        <v>45097</v>
      </c>
      <c r="B873" s="4">
        <v>26.920595169067301</v>
      </c>
      <c r="C873" s="4">
        <v>136.68124389648401</v>
      </c>
      <c r="D873" s="4">
        <v>46.909980773925703</v>
      </c>
      <c r="E873" s="4">
        <v>23.560174942016602</v>
      </c>
      <c r="F873" s="4">
        <v>330.951416015625</v>
      </c>
      <c r="I873" s="5">
        <f>B873/B872-1</f>
        <v>-1.0962617658081597E-2</v>
      </c>
      <c r="J873" s="5">
        <f>C873/C872-1</f>
        <v>-2.276502253766699E-2</v>
      </c>
      <c r="K873" s="5">
        <f>D873/D872-1</f>
        <v>-6.8452188419464433E-3</v>
      </c>
      <c r="L873" s="5">
        <f>E873/E872-1</f>
        <v>0</v>
      </c>
      <c r="M873" s="5">
        <f>F873/F872-1</f>
        <v>-1.250237208151872E-2</v>
      </c>
      <c r="N873" s="5">
        <f>SUMPRODUCT(I873:M873,$AJ$13:$AN$13)</f>
        <v>-3.8241284184587212E-3</v>
      </c>
      <c r="P873" s="2" t="s">
        <v>864</v>
      </c>
      <c r="Q873" s="10" cm="1">
        <f t="array" aca="1" ref="Q873:U873" ca="1">_xlfn.LET(_xlpm.array,_xlfn.RANDARRAY(1,COLUMNS(_xlfn.ANCHORARRAY(Q872)),0,1,FALSE),_xlpm.array/SUM(_xlpm.array))</f>
        <v>9.2637172946643476E-2</v>
      </c>
      <c r="R873" s="2">
        <f ca="1"/>
        <v>6.2445897071960313E-2</v>
      </c>
      <c r="S873" s="2">
        <f ca="1"/>
        <v>0.29695821051398968</v>
      </c>
      <c r="T873" s="2">
        <f ca="1"/>
        <v>0.20590037264204358</v>
      </c>
      <c r="U873" s="2">
        <f ca="1"/>
        <v>0.3420583468253629</v>
      </c>
      <c r="V873" s="12"/>
      <c r="X873" s="2" cm="1">
        <f t="array" aca="1" ref="X873" ca="1">MMULT(MMULT(_xlfn.ANCHORARRAY(Q873),$Q$9:$U$13),TRANSPOSE(_xlfn.ANCHORARRAY(Q873)))</f>
        <v>2.9000062031024328E-4</v>
      </c>
      <c r="Y873" s="2">
        <f t="shared" ca="1" si="32"/>
        <v>1.7029404578852523E-2</v>
      </c>
      <c r="Z873" s="2" cm="1">
        <f t="array" aca="1" ref="Z873" ca="1">MMULT(_xlfn.ANCHORARRAY(Q873),TRANSPOSE($Q$3:$U$3))</f>
        <v>1.0469192711331482E-3</v>
      </c>
      <c r="AA873" s="11">
        <f ca="1">AVEDEV(Q873*$Q$3,R873*$R$3,S873*$S$3,T873*$T$3,U873*$U$3)</f>
        <v>1.3043391217702413E-4</v>
      </c>
      <c r="AB873" s="11" cm="1">
        <f t="array" aca="1" ref="AB873" ca="1">MMULT(_xlfn.ANCHORARRAY(Q873),TRANSPOSE($Q$6:$U$6))</f>
        <v>-2.3417198713592942E-2</v>
      </c>
      <c r="AD873" s="2" t="s">
        <v>864</v>
      </c>
      <c r="AE873" s="10" cm="1">
        <f t="array" aca="1" ref="AE873:AI873" ca="1">_xlfn.LET(_xlpm.array,_xlfn.RANDARRAY(1,COLUMNS(_xlfn.ANCHORARRAY(Q872)),-1,1,FALSE),_xlpm.array/SUM(_xlpm.array))</f>
        <v>0.53483876607475589</v>
      </c>
      <c r="AF873" s="10">
        <f ca="1"/>
        <v>-0.77772724874529542</v>
      </c>
      <c r="AG873" s="10">
        <f ca="1"/>
        <v>0.27288291445203694</v>
      </c>
      <c r="AH873" s="10">
        <f ca="1"/>
        <v>-9.405372820986356E-2</v>
      </c>
      <c r="AI873" s="10">
        <f ca="1"/>
        <v>1.0640592964283662</v>
      </c>
      <c r="AJ873" s="1"/>
      <c r="AK873" s="2" cm="1">
        <f t="array" aca="1" ref="AK873" ca="1">MMULT(MMULT(_xlfn.ANCHORARRAY(AE873),$Q$9:$U$13),TRANSPOSE(_xlfn.ANCHORARRAY(AE873)))</f>
        <v>7.3973726242044569E-4</v>
      </c>
      <c r="AL873" s="2">
        <f t="shared" ca="1" si="33"/>
        <v>2.7198111375984282E-2</v>
      </c>
      <c r="AM873" s="2" cm="1">
        <f t="array" aca="1" ref="AM873" ca="1">MMULT(_xlfn.ANCHORARRAY(AE874),TRANSPOSE($Q$3:$U$3))</f>
        <v>2.3902966429789076E-3</v>
      </c>
    </row>
    <row r="874" spans="1:39" x14ac:dyDescent="0.35">
      <c r="A874" s="3">
        <v>45098</v>
      </c>
      <c r="B874" s="4">
        <v>26.640853881835898</v>
      </c>
      <c r="C874" s="4">
        <v>137.74856567382801</v>
      </c>
      <c r="D874" s="4">
        <v>47.604167938232401</v>
      </c>
      <c r="E874" s="4">
        <v>23.5132541656494</v>
      </c>
      <c r="F874" s="4">
        <v>326.55569458007801</v>
      </c>
      <c r="I874" s="5">
        <f>B874/B873-1</f>
        <v>-1.039134853722834E-2</v>
      </c>
      <c r="J874" s="5">
        <f>C874/C873-1</f>
        <v>7.8088386300636525E-3</v>
      </c>
      <c r="K874" s="5">
        <f>D874/D873-1</f>
        <v>1.4798282856951284E-2</v>
      </c>
      <c r="L874" s="5">
        <f>E874/E873-1</f>
        <v>-1.9915292005546759E-3</v>
      </c>
      <c r="M874" s="5">
        <f>F874/F873-1</f>
        <v>-1.3282074717998693E-2</v>
      </c>
      <c r="N874" s="5">
        <f>SUMPRODUCT(I874:M874,$AJ$13:$AN$13)</f>
        <v>5.0871679054178198E-3</v>
      </c>
      <c r="P874" s="2" t="s">
        <v>865</v>
      </c>
      <c r="Q874" s="10" cm="1">
        <f t="array" aca="1" ref="Q874:U874" ca="1">_xlfn.LET(_xlpm.array,_xlfn.RANDARRAY(1,COLUMNS(_xlfn.ANCHORARRAY(Q873)),0,1,FALSE),_xlpm.array/SUM(_xlpm.array))</f>
        <v>3.1726454566933099E-2</v>
      </c>
      <c r="R874" s="2">
        <f ca="1"/>
        <v>0.20223090520088757</v>
      </c>
      <c r="S874" s="2">
        <f ca="1"/>
        <v>0.22296575120741885</v>
      </c>
      <c r="T874" s="2">
        <f ca="1"/>
        <v>6.2225030716078863E-2</v>
      </c>
      <c r="U874" s="2">
        <f ca="1"/>
        <v>0.4808518583086816</v>
      </c>
      <c r="V874" s="12"/>
      <c r="X874" s="2" cm="1">
        <f t="array" aca="1" ref="X874" ca="1">MMULT(MMULT(_xlfn.ANCHORARRAY(Q874),$Q$9:$U$13),TRANSPOSE(_xlfn.ANCHORARRAY(Q874)))</f>
        <v>2.7046113158679967E-4</v>
      </c>
      <c r="Y874" s="2">
        <f t="shared" ca="1" si="32"/>
        <v>1.6445702526398792E-2</v>
      </c>
      <c r="Z874" s="2" cm="1">
        <f t="array" aca="1" ref="Z874" ca="1">MMULT(_xlfn.ANCHORARRAY(Q874),TRANSPOSE($Q$3:$U$3))</f>
        <v>9.5724984454424516E-4</v>
      </c>
      <c r="AA874" s="11">
        <f ca="1">AVEDEV(Q874*$Q$3,R874*$R$3,S874*$S$3,T874*$T$3,U874*$U$3)</f>
        <v>1.3879119768495178E-4</v>
      </c>
      <c r="AB874" s="11" cm="1">
        <f t="array" aca="1" ref="AB874" ca="1">MMULT(_xlfn.ANCHORARRAY(Q874),TRANSPOSE($Q$6:$U$6))</f>
        <v>-2.214992369806313E-2</v>
      </c>
      <c r="AD874" s="2" t="s">
        <v>865</v>
      </c>
      <c r="AE874" s="10" cm="1">
        <f t="array" aca="1" ref="AE874:AI874" ca="1">_xlfn.LET(_xlpm.array,_xlfn.RANDARRAY(1,COLUMNS(_xlfn.ANCHORARRAY(Q873)),-1,1,FALSE),_xlpm.array/SUM(_xlpm.array))</f>
        <v>-0.77545058695632363</v>
      </c>
      <c r="AF874" s="10">
        <f ca="1"/>
        <v>-3.7775710510982239</v>
      </c>
      <c r="AG874" s="10">
        <f ca="1"/>
        <v>1.0587704761183649</v>
      </c>
      <c r="AH874" s="10">
        <f ca="1"/>
        <v>1.5035526543691342</v>
      </c>
      <c r="AI874" s="10">
        <f ca="1"/>
        <v>2.9906985075670485</v>
      </c>
      <c r="AJ874" s="1"/>
      <c r="AK874" s="2" cm="1">
        <f t="array" aca="1" ref="AK874" ca="1">MMULT(MMULT(_xlfn.ANCHORARRAY(AE874),$Q$9:$U$13),TRANSPOSE(_xlfn.ANCHORARRAY(AE874)))</f>
        <v>6.5348833779131955E-3</v>
      </c>
      <c r="AL874" s="2">
        <f t="shared" ca="1" si="33"/>
        <v>8.0838625532063543E-2</v>
      </c>
      <c r="AM874" s="2" cm="1">
        <f t="array" aca="1" ref="AM874" ca="1">MMULT(_xlfn.ANCHORARRAY(AE875),TRANSPOSE($Q$3:$U$3))</f>
        <v>1.4714940331934899E-3</v>
      </c>
    </row>
    <row r="875" spans="1:39" x14ac:dyDescent="0.35">
      <c r="A875" s="3">
        <v>45099</v>
      </c>
      <c r="B875" s="4">
        <v>26.072042465209901</v>
      </c>
      <c r="C875" s="4">
        <v>135.75631713867099</v>
      </c>
      <c r="D875" s="4">
        <v>48.764312744140597</v>
      </c>
      <c r="E875" s="4">
        <v>22.911153793334901</v>
      </c>
      <c r="F875" s="4">
        <v>332.57650756835898</v>
      </c>
      <c r="I875" s="5">
        <f>B875/B874-1</f>
        <v>-2.1351095544794862E-2</v>
      </c>
      <c r="J875" s="5">
        <f>C875/C874-1</f>
        <v>-1.4462934880022038E-2</v>
      </c>
      <c r="K875" s="5">
        <f>D875/D874-1</f>
        <v>2.4370656103337662E-2</v>
      </c>
      <c r="L875" s="5">
        <f>E875/E874-1</f>
        <v>-2.5606849995017278E-2</v>
      </c>
      <c r="M875" s="5">
        <f>F875/F874-1</f>
        <v>1.8437323520029913E-2</v>
      </c>
      <c r="N875" s="5">
        <f>SUMPRODUCT(I875:M875,$AJ$13:$AN$13)</f>
        <v>1.3531932020584177E-2</v>
      </c>
      <c r="P875" s="2" t="s">
        <v>866</v>
      </c>
      <c r="Q875" s="10" cm="1">
        <f t="array" aca="1" ref="Q875:U875" ca="1">_xlfn.LET(_xlpm.array,_xlfn.RANDARRAY(1,COLUMNS(_xlfn.ANCHORARRAY(Q874)),0,1,FALSE),_xlpm.array/SUM(_xlpm.array))</f>
        <v>0.15648800242150085</v>
      </c>
      <c r="R875" s="2">
        <f ca="1"/>
        <v>0.39061288886922307</v>
      </c>
      <c r="S875" s="2">
        <f ca="1"/>
        <v>0.11799519828070934</v>
      </c>
      <c r="T875" s="2">
        <f ca="1"/>
        <v>1.6976547537389954E-2</v>
      </c>
      <c r="U875" s="2">
        <f ca="1"/>
        <v>0.31792736289117679</v>
      </c>
      <c r="V875" s="12"/>
      <c r="X875" s="2" cm="1">
        <f t="array" aca="1" ref="X875" ca="1">MMULT(MMULT(_xlfn.ANCHORARRAY(Q875),$Q$9:$U$13),TRANSPOSE(_xlfn.ANCHORARRAY(Q875)))</f>
        <v>2.6107848597286588E-4</v>
      </c>
      <c r="Y875" s="2">
        <f t="shared" ca="1" si="32"/>
        <v>1.6157923318696182E-2</v>
      </c>
      <c r="Z875" s="2" cm="1">
        <f t="array" aca="1" ref="Z875" ca="1">MMULT(_xlfn.ANCHORARRAY(Q875),TRANSPOSE($Q$3:$U$3))</f>
        <v>8.169110068399839E-4</v>
      </c>
      <c r="AA875" s="11">
        <f ca="1">AVEDEV(Q875*$Q$3,R875*$R$3,S875*$S$3,T875*$T$3,U875*$U$3)</f>
        <v>9.1954572419479676E-5</v>
      </c>
      <c r="AB875" s="11" cm="1">
        <f t="array" aca="1" ref="AB875" ca="1">MMULT(_xlfn.ANCHORARRAY(Q875),TRANSPOSE($Q$6:$U$6))</f>
        <v>-2.1458086314888686E-2</v>
      </c>
      <c r="AD875" s="2" t="s">
        <v>866</v>
      </c>
      <c r="AE875" s="10" cm="1">
        <f t="array" aca="1" ref="AE875:AI875" ca="1">_xlfn.LET(_xlpm.array,_xlfn.RANDARRAY(1,COLUMNS(_xlfn.ANCHORARRAY(Q874)),-1,1,FALSE),_xlpm.array/SUM(_xlpm.array))</f>
        <v>-0.28889515086214346</v>
      </c>
      <c r="AF875" s="10">
        <f ca="1"/>
        <v>-0.13507229056155742</v>
      </c>
      <c r="AG875" s="10">
        <f ca="1"/>
        <v>0.79790099847819818</v>
      </c>
      <c r="AH875" s="10">
        <f ca="1"/>
        <v>-0.22465116734315832</v>
      </c>
      <c r="AI875" s="10">
        <f ca="1"/>
        <v>0.850717610288661</v>
      </c>
      <c r="AJ875" s="1"/>
      <c r="AK875" s="2" cm="1">
        <f t="array" aca="1" ref="AK875" ca="1">MMULT(MMULT(_xlfn.ANCHORARRAY(AE875),$Q$9:$U$13),TRANSPOSE(_xlfn.ANCHORARRAY(AE875)))</f>
        <v>8.9320252749741213E-4</v>
      </c>
      <c r="AL875" s="2">
        <f t="shared" ca="1" si="33"/>
        <v>2.9886494065002208E-2</v>
      </c>
      <c r="AM875" s="2" cm="1">
        <f t="array" aca="1" ref="AM875" ca="1">MMULT(_xlfn.ANCHORARRAY(AE876),TRANSPOSE($Q$3:$U$3))</f>
        <v>6.8827778328741252E-4</v>
      </c>
    </row>
    <row r="876" spans="1:39" x14ac:dyDescent="0.35">
      <c r="A876" s="3">
        <v>45100</v>
      </c>
      <c r="B876" s="4">
        <v>25.876222610473601</v>
      </c>
      <c r="C876" s="4">
        <v>134.60900878906199</v>
      </c>
      <c r="D876" s="4">
        <v>48.374427795410099</v>
      </c>
      <c r="E876" s="4">
        <v>22.191759109496999</v>
      </c>
      <c r="F876" s="4">
        <v>327.98498535156199</v>
      </c>
      <c r="I876" s="5">
        <f>B876/B875-1</f>
        <v>-7.5107216857903669E-3</v>
      </c>
      <c r="J876" s="5">
        <f>C876/C875-1</f>
        <v>-8.4512336058517601E-3</v>
      </c>
      <c r="K876" s="5">
        <f>D876/D875-1</f>
        <v>-7.9952925980145695E-3</v>
      </c>
      <c r="L876" s="5">
        <f>E876/E875-1</f>
        <v>-3.139932149760094E-2</v>
      </c>
      <c r="M876" s="5">
        <f>F876/F875-1</f>
        <v>-1.3805912661624897E-2</v>
      </c>
      <c r="N876" s="5">
        <f>SUMPRODUCT(I876:M876,$AJ$13:$AN$13)</f>
        <v>-2.0997197848668027E-2</v>
      </c>
      <c r="P876" s="2" t="s">
        <v>867</v>
      </c>
      <c r="Q876" s="10" cm="1">
        <f t="array" aca="1" ref="Q876:U876" ca="1">_xlfn.LET(_xlpm.array,_xlfn.RANDARRAY(1,COLUMNS(_xlfn.ANCHORARRAY(Q875)),0,1,FALSE),_xlpm.array/SUM(_xlpm.array))</f>
        <v>0.32012865921887579</v>
      </c>
      <c r="R876" s="2">
        <f ca="1"/>
        <v>0.18608407443585492</v>
      </c>
      <c r="S876" s="2">
        <f ca="1"/>
        <v>0.27627821880216658</v>
      </c>
      <c r="T876" s="2">
        <f ca="1"/>
        <v>7.8381631545248159E-2</v>
      </c>
      <c r="U876" s="2">
        <f ca="1"/>
        <v>0.13912741599785458</v>
      </c>
      <c r="V876" s="12"/>
      <c r="X876" s="2" cm="1">
        <f t="array" aca="1" ref="X876" ca="1">MMULT(MMULT(_xlfn.ANCHORARRAY(Q876),$Q$9:$U$13),TRANSPOSE(_xlfn.ANCHORARRAY(Q876)))</f>
        <v>3.0634887685993917E-4</v>
      </c>
      <c r="Y876" s="2">
        <f t="shared" ca="1" si="32"/>
        <v>1.7502824825151485E-2</v>
      </c>
      <c r="Z876" s="2" cm="1">
        <f t="array" aca="1" ref="Z876" ca="1">MMULT(_xlfn.ANCHORARRAY(Q876),TRANSPOSE($Q$3:$U$3))</f>
        <v>9.3375424074285725E-4</v>
      </c>
      <c r="AA876" s="11">
        <f ca="1">AVEDEV(Q876*$Q$3,R876*$R$3,S876*$S$3,T876*$T$3,U876*$U$3)</f>
        <v>1.0477007711871467E-4</v>
      </c>
      <c r="AB876" s="11" cm="1">
        <f t="array" aca="1" ref="AB876" ca="1">MMULT(_xlfn.ANCHORARRAY(Q876),TRANSPOSE($Q$6:$U$6))</f>
        <v>-2.3024636005680613E-2</v>
      </c>
      <c r="AD876" s="2" t="s">
        <v>867</v>
      </c>
      <c r="AE876" s="10" cm="1">
        <f t="array" aca="1" ref="AE876:AI876" ca="1">_xlfn.LET(_xlpm.array,_xlfn.RANDARRAY(1,COLUMNS(_xlfn.ANCHORARRAY(Q875)),-1,1,FALSE),_xlpm.array/SUM(_xlpm.array))</f>
        <v>-0.59929116548194528</v>
      </c>
      <c r="AF876" s="10">
        <f ca="1"/>
        <v>1.1363579075279875</v>
      </c>
      <c r="AG876" s="10">
        <f ca="1"/>
        <v>-0.30043808582987824</v>
      </c>
      <c r="AH876" s="10">
        <f ca="1"/>
        <v>0.26131672907361247</v>
      </c>
      <c r="AI876" s="10">
        <f ca="1"/>
        <v>0.5020546147102235</v>
      </c>
      <c r="AJ876" s="1"/>
      <c r="AK876" s="2" cm="1">
        <f t="array" aca="1" ref="AK876" ca="1">MMULT(MMULT(_xlfn.ANCHORARRAY(AE876),$Q$9:$U$13),TRANSPOSE(_xlfn.ANCHORARRAY(AE876)))</f>
        <v>6.2714808955958328E-4</v>
      </c>
      <c r="AL876" s="2">
        <f t="shared" ca="1" si="33"/>
        <v>2.5042924940181874E-2</v>
      </c>
      <c r="AM876" s="2" cm="1">
        <f t="array" aca="1" ref="AM876" ca="1">MMULT(_xlfn.ANCHORARRAY(AE877),TRANSPOSE($Q$3:$U$3))</f>
        <v>6.8360436937406083E-4</v>
      </c>
    </row>
    <row r="877" spans="1:39" x14ac:dyDescent="0.35">
      <c r="A877" s="3">
        <v>45103</v>
      </c>
      <c r="B877" s="4">
        <v>26.193262100219702</v>
      </c>
      <c r="C877" s="4">
        <v>136.97479248046801</v>
      </c>
      <c r="D877" s="4">
        <v>48.802360534667898</v>
      </c>
      <c r="E877" s="4">
        <v>22.684391021728501</v>
      </c>
      <c r="F877" s="4">
        <v>321.69985961914</v>
      </c>
      <c r="I877" s="5">
        <f>B877/B876-1</f>
        <v>1.2252154980989305E-2</v>
      </c>
      <c r="J877" s="5">
        <f>C877/C876-1</f>
        <v>1.7575225556510254E-2</v>
      </c>
      <c r="K877" s="5">
        <f>D877/D876-1</f>
        <v>8.8462594548437412E-3</v>
      </c>
      <c r="L877" s="5">
        <f>E877/E876-1</f>
        <v>2.2198867147069867E-2</v>
      </c>
      <c r="M877" s="5">
        <f>F877/F876-1</f>
        <v>-1.9162845901878889E-2</v>
      </c>
      <c r="N877" s="5">
        <f>SUMPRODUCT(I877:M877,$AJ$13:$AN$13)</f>
        <v>4.4580172367576863E-3</v>
      </c>
      <c r="P877" s="2" t="s">
        <v>868</v>
      </c>
      <c r="Q877" s="10" cm="1">
        <f t="array" aca="1" ref="Q877:U877" ca="1">_xlfn.LET(_xlpm.array,_xlfn.RANDARRAY(1,COLUMNS(_xlfn.ANCHORARRAY(Q876)),0,1,FALSE),_xlpm.array/SUM(_xlpm.array))</f>
        <v>0.33837142360243833</v>
      </c>
      <c r="R877" s="2">
        <f ca="1"/>
        <v>0.35703970983463418</v>
      </c>
      <c r="S877" s="2">
        <f ca="1"/>
        <v>0.11347682874418215</v>
      </c>
      <c r="T877" s="2">
        <f ca="1"/>
        <v>9.3431818463655697E-2</v>
      </c>
      <c r="U877" s="2">
        <f ca="1"/>
        <v>9.7680219355089748E-2</v>
      </c>
      <c r="V877" s="12"/>
      <c r="X877" s="2" cm="1">
        <f t="array" aca="1" ref="X877" ca="1">MMULT(MMULT(_xlfn.ANCHORARRAY(Q877),$Q$9:$U$13),TRANSPOSE(_xlfn.ANCHORARRAY(Q877)))</f>
        <v>3.0071919275093426E-4</v>
      </c>
      <c r="Y877" s="2">
        <f t="shared" ca="1" si="32"/>
        <v>1.7341256954181098E-2</v>
      </c>
      <c r="Z877" s="2" cm="1">
        <f t="array" aca="1" ref="Z877" ca="1">MMULT(_xlfn.ANCHORARRAY(Q877),TRANSPOSE($Q$3:$U$3))</f>
        <v>7.8714943673264073E-4</v>
      </c>
      <c r="AA877" s="11">
        <f ca="1">AVEDEV(Q877*$Q$3,R877*$R$3,S877*$S$3,T877*$T$3,U877*$U$3)</f>
        <v>5.7878856017358848E-5</v>
      </c>
      <c r="AB877" s="11" cm="1">
        <f t="array" aca="1" ref="AB877" ca="1">MMULT(_xlfn.ANCHORARRAY(Q877),TRANSPOSE($Q$6:$U$6))</f>
        <v>-2.2064523972081241E-2</v>
      </c>
      <c r="AD877" s="2" t="s">
        <v>868</v>
      </c>
      <c r="AE877" s="10" cm="1">
        <f t="array" aca="1" ref="AE877:AI877" ca="1">_xlfn.LET(_xlpm.array,_xlfn.RANDARRAY(1,COLUMNS(_xlfn.ANCHORARRAY(Q876)),-1,1,FALSE),_xlpm.array/SUM(_xlpm.array))</f>
        <v>8.0395268352767363E-2</v>
      </c>
      <c r="AF877" s="10">
        <f ca="1"/>
        <v>0.56163384723524767</v>
      </c>
      <c r="AG877" s="10">
        <f ca="1"/>
        <v>-5.4248691839615872E-2</v>
      </c>
      <c r="AH877" s="10">
        <f ca="1"/>
        <v>2.1144026035767212E-2</v>
      </c>
      <c r="AI877" s="10">
        <f ca="1"/>
        <v>0.39107555021583368</v>
      </c>
      <c r="AJ877" s="1"/>
      <c r="AK877" s="2" cm="1">
        <f t="array" aca="1" ref="AK877" ca="1">MMULT(MMULT(_xlfn.ANCHORARRAY(AE877),$Q$9:$U$13),TRANSPOSE(_xlfn.ANCHORARRAY(AE877)))</f>
        <v>2.761307492964571E-4</v>
      </c>
      <c r="AL877" s="2">
        <f t="shared" ca="1" si="33"/>
        <v>1.6617182351303036E-2</v>
      </c>
      <c r="AM877" s="2" cm="1">
        <f t="array" aca="1" ref="AM877" ca="1">MMULT(_xlfn.ANCHORARRAY(AE878),TRANSPOSE($Q$3:$U$3))</f>
        <v>-1.9824638499726863E-3</v>
      </c>
    </row>
    <row r="878" spans="1:39" x14ac:dyDescent="0.35">
      <c r="A878" s="3">
        <v>45104</v>
      </c>
      <c r="B878" s="4">
        <v>26.333135604858398</v>
      </c>
      <c r="C878" s="4">
        <v>136.54789733886699</v>
      </c>
      <c r="D878" s="4">
        <v>48.868923187255803</v>
      </c>
      <c r="E878" s="4">
        <v>22.4889011383056</v>
      </c>
      <c r="F878" s="4">
        <v>327.54449462890602</v>
      </c>
      <c r="I878" s="5">
        <f>B878/B877-1</f>
        <v>5.3400566948673678E-3</v>
      </c>
      <c r="J878" s="5">
        <f>C878/C877-1</f>
        <v>-3.1165963741970337E-3</v>
      </c>
      <c r="K878" s="5">
        <f>D878/D877-1</f>
        <v>1.3639228073940579E-3</v>
      </c>
      <c r="L878" s="5">
        <f>E878/E877-1</f>
        <v>-8.6178149210903721E-3</v>
      </c>
      <c r="M878" s="5">
        <f>F878/F877-1</f>
        <v>1.8167975008399173E-2</v>
      </c>
      <c r="N878" s="5">
        <f>SUMPRODUCT(I878:M878,$AJ$13:$AN$13)</f>
        <v>1.3100554258827432E-3</v>
      </c>
      <c r="P878" s="2" t="s">
        <v>869</v>
      </c>
      <c r="Q878" s="10" cm="1">
        <f t="array" aca="1" ref="Q878:U878" ca="1">_xlfn.LET(_xlpm.array,_xlfn.RANDARRAY(1,COLUMNS(_xlfn.ANCHORARRAY(Q877)),0,1,FALSE),_xlpm.array/SUM(_xlpm.array))</f>
        <v>0.17950214008017451</v>
      </c>
      <c r="R878" s="2">
        <f ca="1"/>
        <v>8.6772375488610304E-2</v>
      </c>
      <c r="S878" s="2">
        <f ca="1"/>
        <v>0.29245172310343576</v>
      </c>
      <c r="T878" s="2">
        <f ca="1"/>
        <v>0.20512690571117728</v>
      </c>
      <c r="U878" s="2">
        <f ca="1"/>
        <v>0.23614685561660226</v>
      </c>
      <c r="V878" s="12"/>
      <c r="X878" s="2" cm="1">
        <f t="array" aca="1" ref="X878" ca="1">MMULT(MMULT(_xlfn.ANCHORARRAY(Q878),$Q$9:$U$13),TRANSPOSE(_xlfn.ANCHORARRAY(Q878)))</f>
        <v>2.9372634212030345E-4</v>
      </c>
      <c r="Y878" s="2">
        <f t="shared" ca="1" si="32"/>
        <v>1.7138446315821732E-2</v>
      </c>
      <c r="Z878" s="2" cm="1">
        <f t="array" aca="1" ref="Z878" ca="1">MMULT(_xlfn.ANCHORARRAY(Q878),TRANSPOSE($Q$3:$U$3))</f>
        <v>1.0197166746501042E-3</v>
      </c>
      <c r="AA878" s="11">
        <f ca="1">AVEDEV(Q878*$Q$3,R878*$R$3,S878*$S$3,T878*$T$3,U878*$U$3)</f>
        <v>1.1064652585642549E-4</v>
      </c>
      <c r="AB878" s="11" cm="1">
        <f t="array" aca="1" ref="AB878" ca="1">MMULT(_xlfn.ANCHORARRAY(Q878),TRANSPOSE($Q$6:$U$6))</f>
        <v>-2.352158016516125E-2</v>
      </c>
      <c r="AD878" s="2" t="s">
        <v>869</v>
      </c>
      <c r="AE878" s="10" cm="1">
        <f t="array" aca="1" ref="AE878:AI878" ca="1">_xlfn.LET(_xlpm.array,_xlfn.RANDARRAY(1,COLUMNS(_xlfn.ANCHORARRAY(Q877)),-1,1,FALSE),_xlpm.array/SUM(_xlpm.array))</f>
        <v>3.4260778440012705</v>
      </c>
      <c r="AF878" s="10">
        <f ca="1"/>
        <v>1.4344582656241125</v>
      </c>
      <c r="AG878" s="10">
        <f ca="1"/>
        <v>-2.6775404829145271</v>
      </c>
      <c r="AH878" s="10">
        <f ca="1"/>
        <v>1.8768025736607519</v>
      </c>
      <c r="AI878" s="10">
        <f ca="1"/>
        <v>-3.0597982003716075</v>
      </c>
      <c r="AJ878" s="1"/>
      <c r="AK878" s="2" cm="1">
        <f t="array" aca="1" ref="AK878" ca="1">MMULT(MMULT(_xlfn.ANCHORARRAY(AE878),$Q$9:$U$13),TRANSPOSE(_xlfn.ANCHORARRAY(AE878)))</f>
        <v>1.5725176867949511E-2</v>
      </c>
      <c r="AL878" s="2">
        <f t="shared" ca="1" si="33"/>
        <v>0.12540006725655897</v>
      </c>
      <c r="AM878" s="2" cm="1">
        <f t="array" aca="1" ref="AM878" ca="1">MMULT(_xlfn.ANCHORARRAY(AE879),TRANSPOSE($Q$3:$U$3))</f>
        <v>1.5024765340008856E-3</v>
      </c>
    </row>
    <row r="879" spans="1:39" x14ac:dyDescent="0.35">
      <c r="A879" s="3">
        <v>45105</v>
      </c>
      <c r="B879" s="4">
        <v>26.174612045288001</v>
      </c>
      <c r="C879" s="4">
        <v>137.78411865234301</v>
      </c>
      <c r="D879" s="4">
        <v>49.230274200439403</v>
      </c>
      <c r="E879" s="4">
        <v>22.590551376342699</v>
      </c>
      <c r="F879" s="4">
        <v>328.797607421875</v>
      </c>
      <c r="I879" s="5">
        <f>B879/B878-1</f>
        <v>-6.0199272106870039E-3</v>
      </c>
      <c r="J879" s="5">
        <f>C879/C878-1</f>
        <v>9.0533895985827062E-3</v>
      </c>
      <c r="K879" s="5">
        <f>D879/D878-1</f>
        <v>7.3942904737021031E-3</v>
      </c>
      <c r="L879" s="5">
        <f>E879/E878-1</f>
        <v>4.520018004079196E-3</v>
      </c>
      <c r="M879" s="5">
        <f>F879/F878-1</f>
        <v>3.8257788285793737E-3</v>
      </c>
      <c r="N879" s="5">
        <f>SUMPRODUCT(I879:M879,$AJ$13:$AN$13)</f>
        <v>8.6844368128353132E-3</v>
      </c>
      <c r="P879" s="2" t="s">
        <v>870</v>
      </c>
      <c r="Q879" s="10" cm="1">
        <f t="array" aca="1" ref="Q879:U879" ca="1">_xlfn.LET(_xlpm.array,_xlfn.RANDARRAY(1,COLUMNS(_xlfn.ANCHORARRAY(Q878)),0,1,FALSE),_xlpm.array/SUM(_xlpm.array))</f>
        <v>4.451339911210838E-3</v>
      </c>
      <c r="R879" s="2">
        <f ca="1"/>
        <v>0.31362444028201314</v>
      </c>
      <c r="S879" s="2">
        <f ca="1"/>
        <v>0.22323594022627052</v>
      </c>
      <c r="T879" s="2">
        <f ca="1"/>
        <v>9.8902922403041896E-2</v>
      </c>
      <c r="U879" s="2">
        <f ca="1"/>
        <v>0.35978535717746363</v>
      </c>
      <c r="V879" s="12"/>
      <c r="X879" s="2" cm="1">
        <f t="array" aca="1" ref="X879" ca="1">MMULT(MMULT(_xlfn.ANCHORARRAY(Q879),$Q$9:$U$13),TRANSPOSE(_xlfn.ANCHORARRAY(Q879)))</f>
        <v>2.7222215773342173E-4</v>
      </c>
      <c r="Y879" s="2">
        <f t="shared" ca="1" si="32"/>
        <v>1.6499156273380215E-2</v>
      </c>
      <c r="Z879" s="2" cm="1">
        <f t="array" aca="1" ref="Z879" ca="1">MMULT(_xlfn.ANCHORARRAY(Q879),TRANSPOSE($Q$3:$U$3))</f>
        <v>9.7004265291689867E-4</v>
      </c>
      <c r="AA879" s="11">
        <f ca="1">AVEDEV(Q879*$Q$3,R879*$R$3,S879*$S$3,T879*$T$3,U879*$U$3)</f>
        <v>1.138855059731465E-4</v>
      </c>
      <c r="AB879" s="11" cm="1">
        <f t="array" aca="1" ref="AB879" ca="1">MMULT(_xlfn.ANCHORARRAY(Q879),TRANSPOSE($Q$6:$U$6))</f>
        <v>-2.2348411068317524E-2</v>
      </c>
      <c r="AD879" s="2" t="s">
        <v>870</v>
      </c>
      <c r="AE879" s="10" cm="1">
        <f t="array" aca="1" ref="AE879:AI879" ca="1">_xlfn.LET(_xlpm.array,_xlfn.RANDARRAY(1,COLUMNS(_xlfn.ANCHORARRAY(Q878)),-1,1,FALSE),_xlpm.array/SUM(_xlpm.array))</f>
        <v>-0.23469244308490944</v>
      </c>
      <c r="AF879" s="10">
        <f ca="1"/>
        <v>-0.22355313719003575</v>
      </c>
      <c r="AG879" s="10">
        <f ca="1"/>
        <v>0.83253455723709191</v>
      </c>
      <c r="AH879" s="10">
        <f ca="1"/>
        <v>-0.17763017580915128</v>
      </c>
      <c r="AI879" s="10">
        <f ca="1"/>
        <v>0.8033411988470045</v>
      </c>
      <c r="AJ879" s="1"/>
      <c r="AK879" s="2" cm="1">
        <f t="array" aca="1" ref="AK879" ca="1">MMULT(MMULT(_xlfn.ANCHORARRAY(AE879),$Q$9:$U$13),TRANSPOSE(_xlfn.ANCHORARRAY(AE879)))</f>
        <v>9.121348743960458E-4</v>
      </c>
      <c r="AL879" s="2">
        <f t="shared" ca="1" si="33"/>
        <v>3.0201570727299031E-2</v>
      </c>
      <c r="AM879" s="2" cm="1">
        <f t="array" aca="1" ref="AM879" ca="1">MMULT(_xlfn.ANCHORARRAY(AE880),TRANSPOSE($Q$3:$U$3))</f>
        <v>1.0627182361612154E-3</v>
      </c>
    </row>
    <row r="880" spans="1:39" x14ac:dyDescent="0.35">
      <c r="A880" s="3">
        <v>45106</v>
      </c>
      <c r="B880" s="4">
        <v>26.724773406982401</v>
      </c>
      <c r="C880" s="4">
        <v>138.95811462402301</v>
      </c>
      <c r="D880" s="4">
        <v>50.495033264160099</v>
      </c>
      <c r="E880" s="4">
        <v>22.684391021728501</v>
      </c>
      <c r="F880" s="4">
        <v>328.01443481445301</v>
      </c>
      <c r="I880" s="5">
        <f>B880/B879-1</f>
        <v>2.1018892686642143E-2</v>
      </c>
      <c r="J880" s="5">
        <f>C880/C879-1</f>
        <v>8.5205463674824511E-3</v>
      </c>
      <c r="K880" s="5">
        <f>D880/D879-1</f>
        <v>2.5690676809380975E-2</v>
      </c>
      <c r="L880" s="5">
        <f>E880/E879-1</f>
        <v>4.1539333778313203E-3</v>
      </c>
      <c r="M880" s="5">
        <f>F880/F879-1</f>
        <v>-2.3819291556373967E-3</v>
      </c>
      <c r="N880" s="5">
        <f>SUMPRODUCT(I880:M880,$AJ$13:$AN$13)</f>
        <v>8.1636185849133704E-3</v>
      </c>
      <c r="P880" s="2" t="s">
        <v>871</v>
      </c>
      <c r="Q880" s="10" cm="1">
        <f t="array" aca="1" ref="Q880:U880" ca="1">_xlfn.LET(_xlpm.array,_xlfn.RANDARRAY(1,COLUMNS(_xlfn.ANCHORARRAY(Q879)),0,1,FALSE),_xlpm.array/SUM(_xlpm.array))</f>
        <v>0.44944298830695151</v>
      </c>
      <c r="R880" s="2">
        <f ca="1"/>
        <v>0.11551941137464498</v>
      </c>
      <c r="S880" s="2">
        <f ca="1"/>
        <v>0.15354290738305074</v>
      </c>
      <c r="T880" s="2">
        <f ca="1"/>
        <v>5.3171874091041873E-3</v>
      </c>
      <c r="U880" s="2">
        <f ca="1"/>
        <v>0.27617750552624859</v>
      </c>
      <c r="V880" s="12"/>
      <c r="X880" s="2" cm="1">
        <f t="array" aca="1" ref="X880" ca="1">MMULT(MMULT(_xlfn.ANCHORARRAY(Q880),$Q$9:$U$13),TRANSPOSE(_xlfn.ANCHORARRAY(Q880)))</f>
        <v>2.8535551188374415E-4</v>
      </c>
      <c r="Y880" s="2">
        <f t="shared" ca="1" si="32"/>
        <v>1.6892469087843379E-2</v>
      </c>
      <c r="Z880" s="2" cm="1">
        <f t="array" aca="1" ref="Z880" ca="1">MMULT(_xlfn.ANCHORARRAY(Q880),TRANSPOSE($Q$3:$U$3))</f>
        <v>7.7880584683438802E-4</v>
      </c>
      <c r="AA880" s="11">
        <f ca="1">AVEDEV(Q880*$Q$3,R880*$R$3,S880*$S$3,T880*$T$3,U880*$U$3)</f>
        <v>8.8693369551575714E-5</v>
      </c>
      <c r="AB880" s="11" cm="1">
        <f t="array" aca="1" ref="AB880" ca="1">MMULT(_xlfn.ANCHORARRAY(Q880),TRANSPOSE($Q$6:$U$6))</f>
        <v>-2.1953190370044989E-2</v>
      </c>
      <c r="AD880" s="2" t="s">
        <v>871</v>
      </c>
      <c r="AE880" s="10" cm="1">
        <f t="array" aca="1" ref="AE880:AI880" ca="1">_xlfn.LET(_xlpm.array,_xlfn.RANDARRAY(1,COLUMNS(_xlfn.ANCHORARRAY(Q879)),-1,1,FALSE),_xlpm.array/SUM(_xlpm.array))</f>
        <v>0.38616277980126312</v>
      </c>
      <c r="AF880" s="10">
        <f ca="1"/>
        <v>-0.28110624916541149</v>
      </c>
      <c r="AG880" s="10">
        <f ca="1"/>
        <v>0.37801503900044786</v>
      </c>
      <c r="AH880" s="10">
        <f ca="1"/>
        <v>0.24324275036133422</v>
      </c>
      <c r="AI880" s="10">
        <f ca="1"/>
        <v>0.27368568000236632</v>
      </c>
      <c r="AJ880" s="1"/>
      <c r="AK880" s="2" cm="1">
        <f t="array" aca="1" ref="AK880" ca="1">MMULT(MMULT(_xlfn.ANCHORARRAY(AE880),$Q$9:$U$13),TRANSPOSE(_xlfn.ANCHORARRAY(AE880)))</f>
        <v>3.6042677400982716E-4</v>
      </c>
      <c r="AL880" s="2">
        <f t="shared" ca="1" si="33"/>
        <v>1.8984909112498463E-2</v>
      </c>
      <c r="AM880" s="2" cm="1">
        <f t="array" aca="1" ref="AM880" ca="1">MMULT(_xlfn.ANCHORARRAY(AE881),TRANSPOSE($Q$3:$U$3))</f>
        <v>-8.3546892165019086E-4</v>
      </c>
    </row>
    <row r="881" spans="1:39" x14ac:dyDescent="0.35">
      <c r="A881" s="3">
        <v>45107</v>
      </c>
      <c r="B881" s="4">
        <v>26.752752304077099</v>
      </c>
      <c r="C881" s="4">
        <v>139.94535827636699</v>
      </c>
      <c r="D881" s="4">
        <v>51.455482482910099</v>
      </c>
      <c r="E881" s="4">
        <v>22.840776443481399</v>
      </c>
      <c r="F881" s="4">
        <v>333.38916015625</v>
      </c>
      <c r="I881" s="5">
        <f>B881/B880-1</f>
        <v>1.046927383391294E-3</v>
      </c>
      <c r="J881" s="5">
        <f>C881/C880-1</f>
        <v>7.1046131779719524E-3</v>
      </c>
      <c r="K881" s="5">
        <f>D881/D880-1</f>
        <v>1.9020667116417256E-2</v>
      </c>
      <c r="L881" s="5">
        <f>E881/E880-1</f>
        <v>6.8939660581190942E-3</v>
      </c>
      <c r="M881" s="5">
        <f>F881/F880-1</f>
        <v>1.638563664076953E-2</v>
      </c>
      <c r="N881" s="5">
        <f>SUMPRODUCT(I881:M881,$AJ$13:$AN$13)</f>
        <v>1.8062801733401052E-2</v>
      </c>
      <c r="P881" s="2" t="s">
        <v>872</v>
      </c>
      <c r="Q881" s="10" cm="1">
        <f t="array" aca="1" ref="Q881:U881" ca="1">_xlfn.LET(_xlpm.array,_xlfn.RANDARRAY(1,COLUMNS(_xlfn.ANCHORARRAY(Q880)),0,1,FALSE),_xlpm.array/SUM(_xlpm.array))</f>
        <v>0.37538050338227069</v>
      </c>
      <c r="R881" s="2">
        <f ca="1"/>
        <v>0.30471532977145305</v>
      </c>
      <c r="S881" s="2">
        <f ca="1"/>
        <v>0.11356284365292604</v>
      </c>
      <c r="T881" s="2">
        <f ca="1"/>
        <v>6.5407581661682465E-2</v>
      </c>
      <c r="U881" s="2">
        <f ca="1"/>
        <v>0.14093374153166779</v>
      </c>
      <c r="V881" s="12"/>
      <c r="X881" s="2" cm="1">
        <f t="array" aca="1" ref="X881" ca="1">MMULT(MMULT(_xlfn.ANCHORARRAY(Q881),$Q$9:$U$13),TRANSPOSE(_xlfn.ANCHORARRAY(Q881)))</f>
        <v>2.9097829390478544E-4</v>
      </c>
      <c r="Y881" s="2">
        <f t="shared" ca="1" si="32"/>
        <v>1.7058085880449349E-2</v>
      </c>
      <c r="Z881" s="2" cm="1">
        <f t="array" aca="1" ref="Z881" ca="1">MMULT(_xlfn.ANCHORARRAY(Q881),TRANSPOSE($Q$3:$U$3))</f>
        <v>7.7234212666256951E-4</v>
      </c>
      <c r="AA881" s="11">
        <f ca="1">AVEDEV(Q881*$Q$3,R881*$R$3,S881*$S$3,T881*$T$3,U881*$U$3)</f>
        <v>5.372865389040379E-5</v>
      </c>
      <c r="AB881" s="11" cm="1">
        <f t="array" aca="1" ref="AB881" ca="1">MMULT(_xlfn.ANCHORARRAY(Q881),TRANSPOSE($Q$6:$U$6))</f>
        <v>-2.1954233327803871E-2</v>
      </c>
      <c r="AD881" s="2" t="s">
        <v>872</v>
      </c>
      <c r="AE881" s="10" cm="1">
        <f t="array" aca="1" ref="AE881:AI881" ca="1">_xlfn.LET(_xlpm.array,_xlfn.RANDARRAY(1,COLUMNS(_xlfn.ANCHORARRAY(Q880)),-1,1,FALSE),_xlpm.array/SUM(_xlpm.array))</f>
        <v>-1.4829365250883311</v>
      </c>
      <c r="AF881" s="10">
        <f ca="1"/>
        <v>3.5315869654118246</v>
      </c>
      <c r="AG881" s="10">
        <f ca="1"/>
        <v>-2.0280651473190758</v>
      </c>
      <c r="AH881" s="10">
        <f ca="1"/>
        <v>-0.45257407276584644</v>
      </c>
      <c r="AI881" s="10">
        <f ca="1"/>
        <v>1.4319887797614288</v>
      </c>
      <c r="AJ881" s="1"/>
      <c r="AK881" s="2" cm="1">
        <f t="array" aca="1" ref="AK881" ca="1">MMULT(MMULT(_xlfn.ANCHORARRAY(AE881),$Q$9:$U$13),TRANSPOSE(_xlfn.ANCHORARRAY(AE881)))</f>
        <v>5.1063328994294232E-3</v>
      </c>
      <c r="AL881" s="2">
        <f t="shared" ca="1" si="33"/>
        <v>7.1458609694209863E-2</v>
      </c>
      <c r="AM881" s="2" cm="1">
        <f t="array" aca="1" ref="AM881" ca="1">MMULT(_xlfn.ANCHORARRAY(AE882),TRANSPOSE($Q$3:$U$3))</f>
        <v>7.7952523867262158E-4</v>
      </c>
    </row>
    <row r="882" spans="1:39" x14ac:dyDescent="0.35">
      <c r="A882" s="3">
        <v>45110</v>
      </c>
      <c r="B882" s="4">
        <v>27.228317260742099</v>
      </c>
      <c r="C882" s="4">
        <v>139.82084655761699</v>
      </c>
      <c r="D882" s="4">
        <v>51.930946350097599</v>
      </c>
      <c r="E882" s="4">
        <v>22.989353179931602</v>
      </c>
      <c r="F882" s="4">
        <v>330.89270019531199</v>
      </c>
      <c r="I882" s="5">
        <f>B882/B881-1</f>
        <v>1.7776300219866537E-2</v>
      </c>
      <c r="J882" s="5">
        <f>C882/C881-1</f>
        <v>-8.8971667430448598E-4</v>
      </c>
      <c r="K882" s="5">
        <f>D882/D881-1</f>
        <v>9.240295576771862E-3</v>
      </c>
      <c r="L882" s="5">
        <f>E882/E881-1</f>
        <v>6.5048899199136034E-3</v>
      </c>
      <c r="M882" s="5">
        <f>F882/F881-1</f>
        <v>-7.4881257680003976E-3</v>
      </c>
      <c r="N882" s="5">
        <f>SUMPRODUCT(I882:M882,$AJ$13:$AN$13)</f>
        <v>2.3724829937809156E-4</v>
      </c>
      <c r="P882" s="2" t="s">
        <v>873</v>
      </c>
      <c r="Q882" s="10" cm="1">
        <f t="array" aca="1" ref="Q882:U882" ca="1">_xlfn.LET(_xlpm.array,_xlfn.RANDARRAY(1,COLUMNS(_xlfn.ANCHORARRAY(Q881)),0,1,FALSE),_xlpm.array/SUM(_xlpm.array))</f>
        <v>0.30852547849130574</v>
      </c>
      <c r="R882" s="2">
        <f ca="1"/>
        <v>0.32037734703926929</v>
      </c>
      <c r="S882" s="2">
        <f ca="1"/>
        <v>0.18885885591577511</v>
      </c>
      <c r="T882" s="2">
        <f ca="1"/>
        <v>0.1698168074266358</v>
      </c>
      <c r="U882" s="2">
        <f ca="1"/>
        <v>1.2421511127014067E-2</v>
      </c>
      <c r="V882" s="12"/>
      <c r="X882" s="2" cm="1">
        <f t="array" aca="1" ref="X882" ca="1">MMULT(MMULT(_xlfn.ANCHORARRAY(Q882),$Q$9:$U$13),TRANSPOSE(_xlfn.ANCHORARRAY(Q882)))</f>
        <v>3.2458801510472146E-4</v>
      </c>
      <c r="Y882" s="2">
        <f t="shared" ca="1" si="32"/>
        <v>1.8016326348751607E-2</v>
      </c>
      <c r="Z882" s="2" cm="1">
        <f t="array" aca="1" ref="Z882" ca="1">MMULT(_xlfn.ANCHORARRAY(Q882),TRANSPOSE($Q$3:$U$3))</f>
        <v>8.8045429305950507E-4</v>
      </c>
      <c r="AA882" s="11">
        <f ca="1">AVEDEV(Q882*$Q$3,R882*$R$3,S882*$S$3,T882*$T$3,U882*$U$3)</f>
        <v>7.5390904041168106E-5</v>
      </c>
      <c r="AB882" s="11" cm="1">
        <f t="array" aca="1" ref="AB882" ca="1">MMULT(_xlfn.ANCHORARRAY(Q882),TRANSPOSE($Q$6:$U$6))</f>
        <v>-2.2916983400128686E-2</v>
      </c>
      <c r="AD882" s="2" t="s">
        <v>873</v>
      </c>
      <c r="AE882" s="10" cm="1">
        <f t="array" aca="1" ref="AE882:AI882" ca="1">_xlfn.LET(_xlpm.array,_xlfn.RANDARRAY(1,COLUMNS(_xlfn.ANCHORARRAY(Q881)),-1,1,FALSE),_xlpm.array/SUM(_xlpm.array))</f>
        <v>0.45440501427397417</v>
      </c>
      <c r="AF882" s="10">
        <f ca="1"/>
        <v>0.35395424083987226</v>
      </c>
      <c r="AG882" s="10">
        <f ca="1"/>
        <v>0.17582801183638</v>
      </c>
      <c r="AH882" s="10">
        <f ca="1"/>
        <v>-2.9345584073492983E-2</v>
      </c>
      <c r="AI882" s="10">
        <f ca="1"/>
        <v>4.5158317123266567E-2</v>
      </c>
      <c r="AJ882" s="1"/>
      <c r="AK882" s="2" cm="1">
        <f t="array" aca="1" ref="AK882" ca="1">MMULT(MMULT(_xlfn.ANCHORARRAY(AE882),$Q$9:$U$13),TRANSPOSE(_xlfn.ANCHORARRAY(AE882)))</f>
        <v>3.3011362674243891E-4</v>
      </c>
      <c r="AL882" s="2">
        <f t="shared" ca="1" si="33"/>
        <v>1.8169029328570056E-2</v>
      </c>
      <c r="AM882" s="2" cm="1">
        <f t="array" aca="1" ref="AM882" ca="1">MMULT(_xlfn.ANCHORARRAY(AE883),TRANSPOSE($Q$3:$U$3))</f>
        <v>5.5470382764156436E-4</v>
      </c>
    </row>
    <row r="883" spans="1:39" x14ac:dyDescent="0.35">
      <c r="A883" s="3">
        <v>45112</v>
      </c>
      <c r="B883" s="4">
        <v>27.1164150238037</v>
      </c>
      <c r="C883" s="4">
        <v>139.02037048339801</v>
      </c>
      <c r="D883" s="4">
        <v>51.550579071044901</v>
      </c>
      <c r="E883" s="4">
        <v>22.864236831665</v>
      </c>
      <c r="F883" s="4">
        <v>331.04928588867102</v>
      </c>
      <c r="I883" s="5">
        <f>B883/B882-1</f>
        <v>-4.1097742422643302E-3</v>
      </c>
      <c r="J883" s="5">
        <f>C883/C882-1</f>
        <v>-5.7250123563593602E-3</v>
      </c>
      <c r="K883" s="5">
        <f>D883/D882-1</f>
        <v>-7.3244819474002076E-3</v>
      </c>
      <c r="L883" s="5">
        <f>E883/E882-1</f>
        <v>-5.4423605260812691E-3</v>
      </c>
      <c r="M883" s="5">
        <f>F883/F882-1</f>
        <v>4.7322196369581349E-4</v>
      </c>
      <c r="N883" s="5">
        <f>SUMPRODUCT(I883:M883,$AJ$13:$AN$13)</f>
        <v>-4.8223947556226407E-3</v>
      </c>
      <c r="P883" s="2" t="s">
        <v>874</v>
      </c>
      <c r="Q883" s="10" cm="1">
        <f t="array" aca="1" ref="Q883:U883" ca="1">_xlfn.LET(_xlpm.array,_xlfn.RANDARRAY(1,COLUMNS(_xlfn.ANCHORARRAY(Q882)),0,1,FALSE),_xlpm.array/SUM(_xlpm.array))</f>
        <v>0.22268089878777761</v>
      </c>
      <c r="R883" s="2">
        <f ca="1"/>
        <v>0.30490371147336254</v>
      </c>
      <c r="S883" s="2">
        <f ca="1"/>
        <v>9.2687593171567832E-3</v>
      </c>
      <c r="T883" s="2">
        <f ca="1"/>
        <v>0.20627594404065022</v>
      </c>
      <c r="U883" s="2">
        <f ca="1"/>
        <v>0.2568706863810527</v>
      </c>
      <c r="V883" s="12"/>
      <c r="X883" s="2" cm="1">
        <f t="array" aca="1" ref="X883" ca="1">MMULT(MMULT(_xlfn.ANCHORARRAY(Q883),$Q$9:$U$13),TRANSPOSE(_xlfn.ANCHORARRAY(Q883)))</f>
        <v>2.6986134469790643E-4</v>
      </c>
      <c r="Y883" s="2">
        <f t="shared" ca="1" si="32"/>
        <v>1.6427457036860771E-2</v>
      </c>
      <c r="Z883" s="2" cm="1">
        <f t="array" aca="1" ref="Z883" ca="1">MMULT(_xlfn.ANCHORARRAY(Q883),TRANSPOSE($Q$3:$U$3))</f>
        <v>7.5808536230237032E-4</v>
      </c>
      <c r="AA883" s="11">
        <f ca="1">AVEDEV(Q883*$Q$3,R883*$R$3,S883*$S$3,T883*$T$3,U883*$U$3)</f>
        <v>7.000197659395811E-5</v>
      </c>
      <c r="AB883" s="11" cm="1">
        <f t="array" aca="1" ref="AB883" ca="1">MMULT(_xlfn.ANCHORARRAY(Q883),TRANSPOSE($Q$6:$U$6))</f>
        <v>-2.1705254802229505E-2</v>
      </c>
      <c r="AD883" s="2" t="s">
        <v>874</v>
      </c>
      <c r="AE883" s="10" cm="1">
        <f t="array" aca="1" ref="AE883:AI883" ca="1">_xlfn.LET(_xlpm.array,_xlfn.RANDARRAY(1,COLUMNS(_xlfn.ANCHORARRAY(Q882)),-1,1,FALSE),_xlpm.array/SUM(_xlpm.array))</f>
        <v>0.40991717300853253</v>
      </c>
      <c r="AF883" s="10">
        <f ca="1"/>
        <v>0.42031219110032819</v>
      </c>
      <c r="AG883" s="10">
        <f ca="1"/>
        <v>-8.700215037421706E-2</v>
      </c>
      <c r="AH883" s="10">
        <f ca="1"/>
        <v>-6.1011437046588617E-2</v>
      </c>
      <c r="AI883" s="10">
        <f ca="1"/>
        <v>0.31778422331194495</v>
      </c>
      <c r="AJ883" s="1"/>
      <c r="AK883" s="2" cm="1">
        <f t="array" aca="1" ref="AK883" ca="1">MMULT(MMULT(_xlfn.ANCHORARRAY(AE883),$Q$9:$U$13),TRANSPOSE(_xlfn.ANCHORARRAY(AE883)))</f>
        <v>2.945634109272406E-4</v>
      </c>
      <c r="AL883" s="2">
        <f t="shared" ca="1" si="33"/>
        <v>1.716284973211735E-2</v>
      </c>
      <c r="AM883" s="2" cm="1">
        <f t="array" aca="1" ref="AM883" ca="1">MMULT(_xlfn.ANCHORARRAY(AE884),TRANSPOSE($Q$3:$U$3))</f>
        <v>2.4255413507417662E-3</v>
      </c>
    </row>
    <row r="884" spans="1:39" x14ac:dyDescent="0.35">
      <c r="A884" s="3">
        <v>45113</v>
      </c>
      <c r="B884" s="4">
        <v>26.370435714721602</v>
      </c>
      <c r="C884" s="4">
        <v>135.96978759765599</v>
      </c>
      <c r="D884" s="4">
        <v>51.160694122314403</v>
      </c>
      <c r="E884" s="4">
        <v>22.144842147827099</v>
      </c>
      <c r="F884" s="4">
        <v>334.103759765625</v>
      </c>
      <c r="I884" s="5">
        <f>B884/B883-1</f>
        <v>-2.7510248254691949E-2</v>
      </c>
      <c r="J884" s="5">
        <f>C884/C883-1</f>
        <v>-2.1943423651761274E-2</v>
      </c>
      <c r="K884" s="5">
        <f>D884/D883-1</f>
        <v>-7.5631536203147887E-3</v>
      </c>
      <c r="L884" s="5">
        <f>E884/E883-1</f>
        <v>-3.1463752284161206E-2</v>
      </c>
      <c r="M884" s="5">
        <f>F884/F883-1</f>
        <v>9.2266439081858387E-3</v>
      </c>
      <c r="N884" s="5">
        <f>SUMPRODUCT(I884:M884,$AJ$13:$AN$13)</f>
        <v>-6.8822112142334167E-3</v>
      </c>
      <c r="P884" s="2" t="s">
        <v>875</v>
      </c>
      <c r="Q884" s="10" cm="1">
        <f t="array" aca="1" ref="Q884:U884" ca="1">_xlfn.LET(_xlpm.array,_xlfn.RANDARRAY(1,COLUMNS(_xlfn.ANCHORARRAY(Q883)),0,1,FALSE),_xlpm.array/SUM(_xlpm.array))</f>
        <v>0.13226305590604301</v>
      </c>
      <c r="R884" s="2">
        <f ca="1"/>
        <v>0.36268918982096021</v>
      </c>
      <c r="S884" s="2">
        <f ca="1"/>
        <v>0.21762608699988062</v>
      </c>
      <c r="T884" s="2">
        <f ca="1"/>
        <v>0.16616441216677089</v>
      </c>
      <c r="U884" s="2">
        <f ca="1"/>
        <v>0.1212572551063453</v>
      </c>
      <c r="V884" s="12"/>
      <c r="X884" s="2" cm="1">
        <f t="array" aca="1" ref="X884" ca="1">MMULT(MMULT(_xlfn.ANCHORARRAY(Q884),$Q$9:$U$13),TRANSPOSE(_xlfn.ANCHORARRAY(Q884)))</f>
        <v>3.0202741866856847E-4</v>
      </c>
      <c r="Y884" s="2">
        <f t="shared" ca="1" si="32"/>
        <v>1.7378936062618117E-2</v>
      </c>
      <c r="Z884" s="2" cm="1">
        <f t="array" aca="1" ref="Z884" ca="1">MMULT(_xlfn.ANCHORARRAY(Q884),TRANSPOSE($Q$3:$U$3))</f>
        <v>9.4799742837623315E-4</v>
      </c>
      <c r="AA884" s="11">
        <f ca="1">AVEDEV(Q884*$Q$3,R884*$R$3,S884*$S$3,T884*$T$3,U884*$U$3)</f>
        <v>9.5630308537285894E-5</v>
      </c>
      <c r="AB884" s="11" cm="1">
        <f t="array" aca="1" ref="AB884" ca="1">MMULT(_xlfn.ANCHORARRAY(Q884),TRANSPOSE($Q$6:$U$6))</f>
        <v>-2.2859717538446955E-2</v>
      </c>
      <c r="AD884" s="2" t="s">
        <v>875</v>
      </c>
      <c r="AE884" s="10" cm="1">
        <f t="array" aca="1" ref="AE884:AI884" ca="1">_xlfn.LET(_xlpm.array,_xlfn.RANDARRAY(1,COLUMNS(_xlfn.ANCHORARRAY(Q883)),-1,1,FALSE),_xlpm.array/SUM(_xlpm.array))</f>
        <v>-2.6345071132837736</v>
      </c>
      <c r="AF884" s="10">
        <f ca="1"/>
        <v>3.0837920856034331</v>
      </c>
      <c r="AG884" s="10">
        <f ca="1"/>
        <v>1.0945678561257552</v>
      </c>
      <c r="AH884" s="10">
        <f ca="1"/>
        <v>0.58810260664451353</v>
      </c>
      <c r="AI884" s="10">
        <f ca="1"/>
        <v>-1.1319554350899284</v>
      </c>
      <c r="AJ884" s="1"/>
      <c r="AK884" s="2" cm="1">
        <f t="array" aca="1" ref="AK884" ca="1">MMULT(MMULT(_xlfn.ANCHORARRAY(AE884),$Q$9:$U$13),TRANSPOSE(_xlfn.ANCHORARRAY(AE884)))</f>
        <v>4.978917595644409E-3</v>
      </c>
      <c r="AL884" s="2">
        <f t="shared" ca="1" si="33"/>
        <v>7.0561445532559844E-2</v>
      </c>
      <c r="AM884" s="2" cm="1">
        <f t="array" aca="1" ref="AM884" ca="1">MMULT(_xlfn.ANCHORARRAY(AE885),TRANSPOSE($Q$3:$U$3))</f>
        <v>6.0481880938125768E-4</v>
      </c>
    </row>
    <row r="885" spans="1:39" x14ac:dyDescent="0.35">
      <c r="A885" s="3">
        <v>45114</v>
      </c>
      <c r="B885" s="4">
        <v>26.6035556793212</v>
      </c>
      <c r="C885" s="4">
        <v>137.16156005859301</v>
      </c>
      <c r="D885" s="4">
        <v>50.903938293457003</v>
      </c>
      <c r="E885" s="4">
        <v>22.6374702453613</v>
      </c>
      <c r="F885" s="4">
        <v>330.13885498046801</v>
      </c>
      <c r="I885" s="5">
        <f>B885/B884-1</f>
        <v>8.8402014711290722E-3</v>
      </c>
      <c r="J885" s="5">
        <f>C885/C884-1</f>
        <v>8.7649799414526441E-3</v>
      </c>
      <c r="K885" s="5">
        <f>D885/D884-1</f>
        <v>-5.0186150376214655E-3</v>
      </c>
      <c r="L885" s="5">
        <f>E885/E884-1</f>
        <v>2.2245726307086766E-2</v>
      </c>
      <c r="M885" s="5">
        <f>F885/F884-1</f>
        <v>-1.1867285743621614E-2</v>
      </c>
      <c r="N885" s="5">
        <f>SUMPRODUCT(I885:M885,$AJ$13:$AN$13)</f>
        <v>9.7332563737040963E-4</v>
      </c>
      <c r="P885" s="2" t="s">
        <v>876</v>
      </c>
      <c r="Q885" s="10" cm="1">
        <f t="array" aca="1" ref="Q885:U885" ca="1">_xlfn.LET(_xlpm.array,_xlfn.RANDARRAY(1,COLUMNS(_xlfn.ANCHORARRAY(Q884)),0,1,FALSE),_xlpm.array/SUM(_xlpm.array))</f>
        <v>0.27209623155992418</v>
      </c>
      <c r="R885" s="2">
        <f ca="1"/>
        <v>0.23654219289130185</v>
      </c>
      <c r="S885" s="2">
        <f ca="1"/>
        <v>0.13730455758161758</v>
      </c>
      <c r="T885" s="2">
        <f ca="1"/>
        <v>0.11721301476509939</v>
      </c>
      <c r="U885" s="2">
        <f ca="1"/>
        <v>0.23684400320205698</v>
      </c>
      <c r="V885" s="12"/>
      <c r="X885" s="2" cm="1">
        <f t="array" aca="1" ref="X885" ca="1">MMULT(MMULT(_xlfn.ANCHORARRAY(Q885),$Q$9:$U$13),TRANSPOSE(_xlfn.ANCHORARRAY(Q885)))</f>
        <v>2.6669411724854935E-4</v>
      </c>
      <c r="Y885" s="2">
        <f t="shared" ca="1" si="32"/>
        <v>1.6330772095909898E-2</v>
      </c>
      <c r="Z885" s="2" cm="1">
        <f t="array" aca="1" ref="Z885" ca="1">MMULT(_xlfn.ANCHORARRAY(Q885),TRANSPOSE($Q$3:$U$3))</f>
        <v>8.349048057701453E-4</v>
      </c>
      <c r="AA885" s="11">
        <f ca="1">AVEDEV(Q885*$Q$3,R885*$R$3,S885*$S$3,T885*$T$3,U885*$U$3)</f>
        <v>3.0369284140405628E-5</v>
      </c>
      <c r="AB885" s="11" cm="1">
        <f t="array" aca="1" ref="AB885" ca="1">MMULT(_xlfn.ANCHORARRAY(Q885),TRANSPOSE($Q$6:$U$6))</f>
        <v>-2.2196932354078474E-2</v>
      </c>
      <c r="AD885" s="2" t="s">
        <v>876</v>
      </c>
      <c r="AE885" s="10" cm="1">
        <f t="array" aca="1" ref="AE885:AI885" ca="1">_xlfn.LET(_xlpm.array,_xlfn.RANDARRAY(1,COLUMNS(_xlfn.ANCHORARRAY(Q884)),-1,1,FALSE),_xlpm.array/SUM(_xlpm.array))</f>
        <v>-1.4049823041994882</v>
      </c>
      <c r="AF885" s="10">
        <f ca="1"/>
        <v>2.0528842325193564</v>
      </c>
      <c r="AG885" s="10">
        <f ca="1"/>
        <v>-0.3353278087998055</v>
      </c>
      <c r="AH885" s="10">
        <f ca="1"/>
        <v>-0.62862613168028658</v>
      </c>
      <c r="AI885" s="10">
        <f ca="1"/>
        <v>1.3160520121602239</v>
      </c>
      <c r="AJ885" s="1"/>
      <c r="AK885" s="2" cm="1">
        <f t="array" aca="1" ref="AK885" ca="1">MMULT(MMULT(_xlfn.ANCHORARRAY(AE885),$Q$9:$U$13),TRANSPOSE(_xlfn.ANCHORARRAY(AE885)))</f>
        <v>1.3264566634588297E-3</v>
      </c>
      <c r="AL885" s="2">
        <f t="shared" ca="1" si="33"/>
        <v>3.6420552761577213E-2</v>
      </c>
      <c r="AM885" s="2" cm="1">
        <f t="array" aca="1" ref="AM885" ca="1">MMULT(_xlfn.ANCHORARRAY(AE886),TRANSPOSE($Q$3:$U$3))</f>
        <v>2.2281502551866192E-3</v>
      </c>
    </row>
    <row r="886" spans="1:39" x14ac:dyDescent="0.35">
      <c r="A886" s="3">
        <v>45117</v>
      </c>
      <c r="B886" s="4">
        <v>26.724773406982401</v>
      </c>
      <c r="C886" s="4">
        <v>138.07760620117099</v>
      </c>
      <c r="D886" s="4">
        <v>52.178195953369098</v>
      </c>
      <c r="E886" s="4">
        <v>22.6061916351318</v>
      </c>
      <c r="F886" s="4">
        <v>324.86203002929602</v>
      </c>
      <c r="I886" s="5">
        <f>B886/B885-1</f>
        <v>4.5564483606010953E-3</v>
      </c>
      <c r="J886" s="5">
        <f>C886/C885-1</f>
        <v>6.6785923270824554E-3</v>
      </c>
      <c r="K886" s="5">
        <f>D886/D885-1</f>
        <v>2.5032594778150674E-2</v>
      </c>
      <c r="L886" s="5">
        <f>E886/E885-1</f>
        <v>-1.3817184469147037E-3</v>
      </c>
      <c r="M886" s="5">
        <f>F886/F885-1</f>
        <v>-1.5983653155531075E-2</v>
      </c>
      <c r="N886" s="5">
        <f>SUMPRODUCT(I886:M886,$AJ$13:$AN$13)</f>
        <v>5.5123071660101624E-3</v>
      </c>
      <c r="P886" s="2" t="s">
        <v>877</v>
      </c>
      <c r="Q886" s="10" cm="1">
        <f t="array" aca="1" ref="Q886:U886" ca="1">_xlfn.LET(_xlpm.array,_xlfn.RANDARRAY(1,COLUMNS(_xlfn.ANCHORARRAY(Q885)),0,1,FALSE),_xlpm.array/SUM(_xlpm.array))</f>
        <v>0.4913905387460395</v>
      </c>
      <c r="R886" s="2">
        <f ca="1"/>
        <v>0.27232103130138308</v>
      </c>
      <c r="S886" s="2">
        <f ca="1"/>
        <v>7.4008596292092194E-2</v>
      </c>
      <c r="T886" s="2">
        <f ca="1"/>
        <v>8.7636596754106424E-3</v>
      </c>
      <c r="U886" s="2">
        <f ca="1"/>
        <v>0.15351617398507456</v>
      </c>
      <c r="V886" s="12"/>
      <c r="X886" s="2" cm="1">
        <f t="array" aca="1" ref="X886" ca="1">MMULT(MMULT(_xlfn.ANCHORARRAY(Q886),$Q$9:$U$13),TRANSPOSE(_xlfn.ANCHORARRAY(Q886)))</f>
        <v>3.0190211041946919E-4</v>
      </c>
      <c r="Y886" s="2">
        <f t="shared" ca="1" si="32"/>
        <v>1.7375330512524625E-2</v>
      </c>
      <c r="Z886" s="2" cm="1">
        <f t="array" aca="1" ref="Z886" ca="1">MMULT(_xlfn.ANCHORARRAY(Q886),TRANSPOSE($Q$3:$U$3))</f>
        <v>6.9516740242929844E-4</v>
      </c>
      <c r="AA886" s="11">
        <f ca="1">AVEDEV(Q886*$Q$3,R886*$R$3,S886*$S$3,T886*$T$3,U886*$U$3)</f>
        <v>6.8215954901994577E-5</v>
      </c>
      <c r="AB886" s="11" cm="1">
        <f t="array" aca="1" ref="AB886" ca="1">MMULT(_xlfn.ANCHORARRAY(Q886),TRANSPOSE($Q$6:$U$6))</f>
        <v>-2.1547754243738011E-2</v>
      </c>
      <c r="AD886" s="2" t="s">
        <v>877</v>
      </c>
      <c r="AE886" s="10" cm="1">
        <f t="array" aca="1" ref="AE886:AI886" ca="1">_xlfn.LET(_xlpm.array,_xlfn.RANDARRAY(1,COLUMNS(_xlfn.ANCHORARRAY(Q885)),-1,1,FALSE),_xlpm.array/SUM(_xlpm.array))</f>
        <v>4.1098958558150231</v>
      </c>
      <c r="AF886" s="10">
        <f ca="1"/>
        <v>-2.238436122770914</v>
      </c>
      <c r="AG886" s="10">
        <f ca="1"/>
        <v>3.4867875184379629</v>
      </c>
      <c r="AH886" s="10">
        <f ca="1"/>
        <v>-2.1623767128121694</v>
      </c>
      <c r="AI886" s="10">
        <f ca="1"/>
        <v>-2.1958705386699031</v>
      </c>
      <c r="AJ886" s="1"/>
      <c r="AK886" s="2" cm="1">
        <f t="array" aca="1" ref="AK886" ca="1">MMULT(MMULT(_xlfn.ANCHORARRAY(AE886),$Q$9:$U$13),TRANSPOSE(_xlfn.ANCHORARRAY(AE886)))</f>
        <v>1.5366650045807088E-2</v>
      </c>
      <c r="AL886" s="2">
        <f t="shared" ca="1" si="33"/>
        <v>0.12396229283861721</v>
      </c>
      <c r="AM886" s="2" cm="1">
        <f t="array" aca="1" ref="AM886" ca="1">MMULT(_xlfn.ANCHORARRAY(AE887),TRANSPOSE($Q$3:$U$3))</f>
        <v>9.1866854487348431E-4</v>
      </c>
    </row>
    <row r="887" spans="1:39" x14ac:dyDescent="0.35">
      <c r="A887" s="3">
        <v>45118</v>
      </c>
      <c r="B887" s="4">
        <v>27.060466766357401</v>
      </c>
      <c r="C887" s="4">
        <v>140.63015747070301</v>
      </c>
      <c r="D887" s="4">
        <v>53.005519866943303</v>
      </c>
      <c r="E887" s="4">
        <v>23.333410263061499</v>
      </c>
      <c r="F887" s="4">
        <v>325.48864746093699</v>
      </c>
      <c r="I887" s="5">
        <f>B887/B886-1</f>
        <v>1.2561130239079787E-2</v>
      </c>
      <c r="J887" s="5">
        <f>C887/C886-1</f>
        <v>1.8486352275061124E-2</v>
      </c>
      <c r="K887" s="5">
        <f>D887/D886-1</f>
        <v>1.5855740093305926E-2</v>
      </c>
      <c r="L887" s="5">
        <f>E887/E886-1</f>
        <v>3.2169002177241612E-2</v>
      </c>
      <c r="M887" s="5">
        <f>F887/F886-1</f>
        <v>1.9288724865273998E-3</v>
      </c>
      <c r="N887" s="5">
        <f>SUMPRODUCT(I887:M887,$AJ$13:$AN$13)</f>
        <v>1.969266542787021E-2</v>
      </c>
      <c r="P887" s="2" t="s">
        <v>878</v>
      </c>
      <c r="Q887" s="10" cm="1">
        <f t="array" aca="1" ref="Q887:U887" ca="1">_xlfn.LET(_xlpm.array,_xlfn.RANDARRAY(1,COLUMNS(_xlfn.ANCHORARRAY(Q886)),0,1,FALSE),_xlpm.array/SUM(_xlpm.array))</f>
        <v>0.16202228878719374</v>
      </c>
      <c r="R887" s="2">
        <f ca="1"/>
        <v>0.10788173803736448</v>
      </c>
      <c r="S887" s="2">
        <f ca="1"/>
        <v>0.21926404059626645</v>
      </c>
      <c r="T887" s="2">
        <f ca="1"/>
        <v>0.3922186122980636</v>
      </c>
      <c r="U887" s="2">
        <f ca="1"/>
        <v>0.11861332028111174</v>
      </c>
      <c r="V887" s="12"/>
      <c r="X887" s="2" cm="1">
        <f t="array" aca="1" ref="X887" ca="1">MMULT(MMULT(_xlfn.ANCHORARRAY(Q887),$Q$9:$U$13),TRANSPOSE(_xlfn.ANCHORARRAY(Q887)))</f>
        <v>3.1349997079797593E-4</v>
      </c>
      <c r="Y887" s="2">
        <f t="shared" ca="1" si="32"/>
        <v>1.7705930384986152E-2</v>
      </c>
      <c r="Z887" s="2" cm="1">
        <f t="array" aca="1" ref="Z887" ca="1">MMULT(_xlfn.ANCHORARRAY(Q887),TRANSPOSE($Q$3:$U$3))</f>
        <v>1.0086307522062313E-3</v>
      </c>
      <c r="AA887" s="11">
        <f ca="1">AVEDEV(Q887*$Q$3,R887*$R$3,S887*$S$3,T887*$T$3,U887*$U$3)</f>
        <v>1.4133196895727018E-4</v>
      </c>
      <c r="AB887" s="11" cm="1">
        <f t="array" aca="1" ref="AB887" ca="1">MMULT(_xlfn.ANCHORARRAY(Q887),TRANSPOSE($Q$6:$U$6))</f>
        <v>-2.3933554060227385E-2</v>
      </c>
      <c r="AD887" s="2" t="s">
        <v>878</v>
      </c>
      <c r="AE887" s="10" cm="1">
        <f t="array" aca="1" ref="AE887:AI887" ca="1">_xlfn.LET(_xlpm.array,_xlfn.RANDARRAY(1,COLUMNS(_xlfn.ANCHORARRAY(Q886)),-1,1,FALSE),_xlpm.array/SUM(_xlpm.array))</f>
        <v>0.53473287143395498</v>
      </c>
      <c r="AF887" s="10">
        <f ca="1"/>
        <v>1.1127484968667045</v>
      </c>
      <c r="AG887" s="10">
        <f ca="1"/>
        <v>0.66933476404079362</v>
      </c>
      <c r="AH887" s="10">
        <f ca="1"/>
        <v>-0.95616528565516379</v>
      </c>
      <c r="AI887" s="10">
        <f ca="1"/>
        <v>-0.36065084668628933</v>
      </c>
      <c r="AJ887" s="1"/>
      <c r="AK887" s="2" cm="1">
        <f t="array" aca="1" ref="AK887" ca="1">MMULT(MMULT(_xlfn.ANCHORARRAY(AE887),$Q$9:$U$13),TRANSPOSE(_xlfn.ANCHORARRAY(AE887)))</f>
        <v>9.9976890568375136E-4</v>
      </c>
      <c r="AL887" s="2">
        <f t="shared" ca="1" si="33"/>
        <v>3.1619122468590923E-2</v>
      </c>
      <c r="AM887" s="2" cm="1">
        <f t="array" aca="1" ref="AM887" ca="1">MMULT(_xlfn.ANCHORARRAY(AE888),TRANSPOSE($Q$3:$U$3))</f>
        <v>3.1108120715626292E-3</v>
      </c>
    </row>
    <row r="888" spans="1:39" x14ac:dyDescent="0.35">
      <c r="A888" s="3">
        <v>45119</v>
      </c>
      <c r="B888" s="4">
        <v>27.377508163452099</v>
      </c>
      <c r="C888" s="4">
        <v>141.98202514648401</v>
      </c>
      <c r="D888" s="4">
        <v>51.512538909912102</v>
      </c>
      <c r="E888" s="4">
        <v>23.575811386108398</v>
      </c>
      <c r="F888" s="4">
        <v>330.11923217773398</v>
      </c>
      <c r="I888" s="5">
        <f>B888/B887-1</f>
        <v>1.1716035788741586E-2</v>
      </c>
      <c r="J888" s="5">
        <f>C888/C887-1</f>
        <v>9.612928692500633E-3</v>
      </c>
      <c r="K888" s="5">
        <f>D888/D887-1</f>
        <v>-2.8166518520692629E-2</v>
      </c>
      <c r="L888" s="5">
        <f>E888/E887-1</f>
        <v>1.0388585308108045E-2</v>
      </c>
      <c r="M888" s="5">
        <f>F888/F887-1</f>
        <v>1.4226562901407336E-2</v>
      </c>
      <c r="N888" s="5">
        <f>SUMPRODUCT(I888:M888,$AJ$13:$AN$13)</f>
        <v>-8.7624449748225693E-3</v>
      </c>
      <c r="P888" s="2" t="s">
        <v>879</v>
      </c>
      <c r="Q888" s="10" cm="1">
        <f t="array" aca="1" ref="Q888:U888" ca="1">_xlfn.LET(_xlpm.array,_xlfn.RANDARRAY(1,COLUMNS(_xlfn.ANCHORARRAY(Q887)),0,1,FALSE),_xlpm.array/SUM(_xlpm.array))</f>
        <v>5.2462430229421327E-2</v>
      </c>
      <c r="R888" s="2">
        <f ca="1"/>
        <v>0.1893406231258481</v>
      </c>
      <c r="S888" s="2">
        <f ca="1"/>
        <v>0.20357291608543276</v>
      </c>
      <c r="T888" s="2">
        <f ca="1"/>
        <v>0.35556929843049701</v>
      </c>
      <c r="U888" s="2">
        <f ca="1"/>
        <v>0.19905473212880079</v>
      </c>
      <c r="V888" s="12"/>
      <c r="X888" s="2" cm="1">
        <f t="array" aca="1" ref="X888" ca="1">MMULT(MMULT(_xlfn.ANCHORARRAY(Q888),$Q$9:$U$13),TRANSPOSE(_xlfn.ANCHORARRAY(Q888)))</f>
        <v>2.9793282499365455E-4</v>
      </c>
      <c r="Y888" s="2">
        <f t="shared" ca="1" si="32"/>
        <v>1.7260730720153609E-2</v>
      </c>
      <c r="Z888" s="2" cm="1">
        <f t="array" aca="1" ref="Z888" ca="1">MMULT(_xlfn.ANCHORARRAY(Q888),TRANSPOSE($Q$3:$U$3))</f>
        <v>1.0110337799419098E-3</v>
      </c>
      <c r="AA888" s="11">
        <f ca="1">AVEDEV(Q888*$Q$3,R888*$R$3,S888*$S$3,T888*$T$3,U888*$U$3)</f>
        <v>1.1577789848983422E-4</v>
      </c>
      <c r="AB888" s="11" cm="1">
        <f t="array" aca="1" ref="AB888" ca="1">MMULT(_xlfn.ANCHORARRAY(Q888),TRANSPOSE($Q$6:$U$6))</f>
        <v>-2.3515064342789022E-2</v>
      </c>
      <c r="AD888" s="2" t="s">
        <v>879</v>
      </c>
      <c r="AE888" s="10" cm="1">
        <f t="array" aca="1" ref="AE888:AI888" ca="1">_xlfn.LET(_xlpm.array,_xlfn.RANDARRAY(1,COLUMNS(_xlfn.ANCHORARRAY(Q887)),-1,1,FALSE),_xlpm.array/SUM(_xlpm.array))</f>
        <v>-0.65161682643734242</v>
      </c>
      <c r="AF888" s="10">
        <f ca="1"/>
        <v>2.035917140581784</v>
      </c>
      <c r="AG888" s="10">
        <f ca="1"/>
        <v>2.9044950486716048</v>
      </c>
      <c r="AH888" s="10">
        <f ca="1"/>
        <v>-0.95873057144068041</v>
      </c>
      <c r="AI888" s="10">
        <f ca="1"/>
        <v>-2.3300647913753658</v>
      </c>
      <c r="AJ888" s="1"/>
      <c r="AK888" s="2" cm="1">
        <f t="array" aca="1" ref="AK888" ca="1">MMULT(MMULT(_xlfn.ANCHORARRAY(AE888),$Q$9:$U$13),TRANSPOSE(_xlfn.ANCHORARRAY(AE888)))</f>
        <v>7.0398113119006E-3</v>
      </c>
      <c r="AL888" s="2">
        <f t="shared" ca="1" si="33"/>
        <v>8.3903583427053938E-2</v>
      </c>
      <c r="AM888" s="2" cm="1">
        <f t="array" aca="1" ref="AM888" ca="1">MMULT(_xlfn.ANCHORARRAY(AE889),TRANSPOSE($Q$3:$U$3))</f>
        <v>7.742095851812231E-3</v>
      </c>
    </row>
    <row r="889" spans="1:39" x14ac:dyDescent="0.35">
      <c r="A889" s="3">
        <v>45120</v>
      </c>
      <c r="B889" s="4">
        <v>27.6665744781494</v>
      </c>
      <c r="C889" s="4">
        <v>140.087646484375</v>
      </c>
      <c r="D889" s="4">
        <v>52.9104194641113</v>
      </c>
      <c r="E889" s="4">
        <v>23.6931056976318</v>
      </c>
      <c r="F889" s="4">
        <v>335.464599609375</v>
      </c>
      <c r="I889" s="5">
        <f>B889/B888-1</f>
        <v>1.0558532682064747E-2</v>
      </c>
      <c r="J889" s="5">
        <f>C889/C888-1</f>
        <v>-1.3342383728887963E-2</v>
      </c>
      <c r="K889" s="5">
        <f>D889/D888-1</f>
        <v>2.7136704650568388E-2</v>
      </c>
      <c r="L889" s="5">
        <f>E889/E888-1</f>
        <v>4.9751972308582637E-3</v>
      </c>
      <c r="M889" s="5">
        <f>F889/F888-1</f>
        <v>1.6192232716581323E-2</v>
      </c>
      <c r="N889" s="5">
        <f>SUMPRODUCT(I889:M889,$AJ$13:$AN$13)</f>
        <v>1.9246432886961554E-2</v>
      </c>
      <c r="P889" s="2" t="s">
        <v>880</v>
      </c>
      <c r="Q889" s="10" cm="1">
        <f t="array" aca="1" ref="Q889:U889" ca="1">_xlfn.LET(_xlpm.array,_xlfn.RANDARRAY(1,COLUMNS(_xlfn.ANCHORARRAY(Q888)),0,1,FALSE),_xlpm.array/SUM(_xlpm.array))</f>
        <v>0.15791923271024572</v>
      </c>
      <c r="R889" s="2">
        <f ca="1"/>
        <v>0.24821675578760496</v>
      </c>
      <c r="S889" s="2">
        <f ca="1"/>
        <v>0.33123082941601129</v>
      </c>
      <c r="T889" s="2">
        <f ca="1"/>
        <v>0.23253149562525602</v>
      </c>
      <c r="U889" s="2">
        <f ca="1"/>
        <v>3.0101686460882078E-2</v>
      </c>
      <c r="V889" s="12"/>
      <c r="X889" s="2" cm="1">
        <f t="array" aca="1" ref="X889" ca="1">MMULT(MMULT(_xlfn.ANCHORARRAY(Q889),$Q$9:$U$13),TRANSPOSE(_xlfn.ANCHORARRAY(Q889)))</f>
        <v>3.4337106084624024E-4</v>
      </c>
      <c r="Y889" s="2">
        <f t="shared" ca="1" si="32"/>
        <v>1.8530274170832989E-2</v>
      </c>
      <c r="Z889" s="2" cm="1">
        <f t="array" aca="1" ref="Z889" ca="1">MMULT(_xlfn.ANCHORARRAY(Q889),TRANSPOSE($Q$3:$U$3))</f>
        <v>1.0600200965046702E-3</v>
      </c>
      <c r="AA889" s="11">
        <f ca="1">AVEDEV(Q889*$Q$3,R889*$R$3,S889*$S$3,T889*$T$3,U889*$U$3)</f>
        <v>1.4058769717843503E-4</v>
      </c>
      <c r="AB889" s="11" cm="1">
        <f t="array" aca="1" ref="AB889" ca="1">MMULT(_xlfn.ANCHORARRAY(Q889),TRANSPOSE($Q$6:$U$6))</f>
        <v>-2.3975700670993191E-2</v>
      </c>
      <c r="AD889" s="2" t="s">
        <v>880</v>
      </c>
      <c r="AE889" s="10" cm="1">
        <f t="array" aca="1" ref="AE889:AI889" ca="1">_xlfn.LET(_xlpm.array,_xlfn.RANDARRAY(1,COLUMNS(_xlfn.ANCHORARRAY(Q888)),-1,1,FALSE),_xlpm.array/SUM(_xlpm.array))</f>
        <v>-12.695720156092344</v>
      </c>
      <c r="AF889" s="10">
        <f ca="1"/>
        <v>-4.5765892618241422</v>
      </c>
      <c r="AG889" s="10">
        <f ca="1"/>
        <v>2.1151882996297422</v>
      </c>
      <c r="AH889" s="10">
        <f ca="1"/>
        <v>6.7912700116435394</v>
      </c>
      <c r="AI889" s="10">
        <f ca="1"/>
        <v>9.3658511066432037</v>
      </c>
      <c r="AJ889" s="1"/>
      <c r="AK889" s="2" cm="1">
        <f t="array" aca="1" ref="AK889" ca="1">MMULT(MMULT(_xlfn.ANCHORARRAY(AE889),$Q$9:$U$13),TRANSPOSE(_xlfn.ANCHORARRAY(AE889)))</f>
        <v>7.6154088161475328E-2</v>
      </c>
      <c r="AL889" s="2">
        <f t="shared" ca="1" si="33"/>
        <v>0.27596030178537517</v>
      </c>
      <c r="AM889" s="2" cm="1">
        <f t="array" aca="1" ref="AM889" ca="1">MMULT(_xlfn.ANCHORARRAY(AE890),TRANSPOSE($Q$3:$U$3))</f>
        <v>7.4091949947137814E-4</v>
      </c>
    </row>
    <row r="890" spans="1:39" x14ac:dyDescent="0.35">
      <c r="A890" s="3">
        <v>45121</v>
      </c>
      <c r="B890" s="4">
        <v>27.144390106201101</v>
      </c>
      <c r="C890" s="4">
        <v>136.592361450195</v>
      </c>
      <c r="D890" s="4">
        <v>52.701221466064403</v>
      </c>
      <c r="E890" s="4">
        <v>22.856418609619102</v>
      </c>
      <c r="F890" s="4">
        <v>337.99041748046801</v>
      </c>
      <c r="I890" s="5">
        <f>B890/B889-1</f>
        <v>-1.8874196816837996E-2</v>
      </c>
      <c r="J890" s="5">
        <f>C890/C889-1</f>
        <v>-2.495070137801092E-2</v>
      </c>
      <c r="K890" s="5">
        <f>D890/D889-1</f>
        <v>-3.9538147715648675E-3</v>
      </c>
      <c r="L890" s="5">
        <f>E890/E889-1</f>
        <v>-3.5313525322107853E-2</v>
      </c>
      <c r="M890" s="5">
        <f>F890/F889-1</f>
        <v>7.5293127025448658E-3</v>
      </c>
      <c r="N890" s="5">
        <f>SUMPRODUCT(I890:M890,$AJ$13:$AN$13)</f>
        <v>-9.7678829819849398E-3</v>
      </c>
      <c r="P890" s="2" t="s">
        <v>881</v>
      </c>
      <c r="Q890" s="10" cm="1">
        <f t="array" aca="1" ref="Q890:U890" ca="1">_xlfn.LET(_xlpm.array,_xlfn.RANDARRAY(1,COLUMNS(_xlfn.ANCHORARRAY(Q889)),0,1,FALSE),_xlpm.array/SUM(_xlpm.array))</f>
        <v>9.9109531562583286E-2</v>
      </c>
      <c r="R890" s="2">
        <f ca="1"/>
        <v>0.27361194086587276</v>
      </c>
      <c r="S890" s="2">
        <f ca="1"/>
        <v>0.28667382147795417</v>
      </c>
      <c r="T890" s="2">
        <f ca="1"/>
        <v>6.8718814631696351E-2</v>
      </c>
      <c r="U890" s="2">
        <f ca="1"/>
        <v>0.27188589146189346</v>
      </c>
      <c r="V890" s="12"/>
      <c r="X890" s="2" cm="1">
        <f t="array" aca="1" ref="X890" ca="1">MMULT(MMULT(_xlfn.ANCHORARRAY(Q890),$Q$9:$U$13),TRANSPOSE(_xlfn.ANCHORARRAY(Q890)))</f>
        <v>2.8972807173322228E-4</v>
      </c>
      <c r="Y890" s="2">
        <f t="shared" ca="1" si="32"/>
        <v>1.7021400404585465E-2</v>
      </c>
      <c r="Z890" s="2" cm="1">
        <f t="array" aca="1" ref="Z890" ca="1">MMULT(_xlfn.ANCHORARRAY(Q890),TRANSPOSE($Q$3:$U$3))</f>
        <v>9.9388995885818098E-4</v>
      </c>
      <c r="AA890" s="11">
        <f ca="1">AVEDEV(Q890*$Q$3,R890*$R$3,S890*$S$3,T890*$T$3,U890*$U$3)</f>
        <v>1.1079184723714446E-4</v>
      </c>
      <c r="AB890" s="11" cm="1">
        <f t="array" aca="1" ref="AB890" ca="1">MMULT(_xlfn.ANCHORARRAY(Q890),TRANSPOSE($Q$6:$U$6))</f>
        <v>-2.276313845944267E-2</v>
      </c>
      <c r="AD890" s="2" t="s">
        <v>881</v>
      </c>
      <c r="AE890" s="10" cm="1">
        <f t="array" aca="1" ref="AE890:AI890" ca="1">_xlfn.LET(_xlpm.array,_xlfn.RANDARRAY(1,COLUMNS(_xlfn.ANCHORARRAY(Q889)),-1,1,FALSE),_xlpm.array/SUM(_xlpm.array))</f>
        <v>0.80274599054226492</v>
      </c>
      <c r="AF890" s="10">
        <f ca="1"/>
        <v>-1.3712733957350205</v>
      </c>
      <c r="AG890" s="10">
        <f ca="1"/>
        <v>0.17984284922828062</v>
      </c>
      <c r="AH890" s="10">
        <f ca="1"/>
        <v>-7.758650461271191E-2</v>
      </c>
      <c r="AI890" s="10">
        <f ca="1"/>
        <v>1.4662710605771869</v>
      </c>
      <c r="AJ890" s="1"/>
      <c r="AK890" s="2" cm="1">
        <f t="array" aca="1" ref="AK890" ca="1">MMULT(MMULT(_xlfn.ANCHORARRAY(AE890),$Q$9:$U$13),TRANSPOSE(_xlfn.ANCHORARRAY(AE890)))</f>
        <v>1.3249301146268798E-3</v>
      </c>
      <c r="AL890" s="2">
        <f t="shared" ca="1" si="33"/>
        <v>3.6399589484318089E-2</v>
      </c>
      <c r="AM890" s="2" cm="1">
        <f t="array" aca="1" ref="AM890" ca="1">MMULT(_xlfn.ANCHORARRAY(AE891),TRANSPOSE($Q$3:$U$3))</f>
        <v>1.3550521294325606E-3</v>
      </c>
    </row>
    <row r="891" spans="1:39" x14ac:dyDescent="0.35">
      <c r="A891" s="3">
        <v>45124</v>
      </c>
      <c r="B891" s="4">
        <v>27.414808273315401</v>
      </c>
      <c r="C891" s="4">
        <v>136.467849731445</v>
      </c>
      <c r="D891" s="4">
        <v>52.016536712646399</v>
      </c>
      <c r="E891" s="4">
        <v>22.9658889770507</v>
      </c>
      <c r="F891" s="4">
        <v>338.47018432617102</v>
      </c>
      <c r="I891" s="5">
        <f>B891/B890-1</f>
        <v>9.9622119361055805E-3</v>
      </c>
      <c r="J891" s="5">
        <f>C891/C890-1</f>
        <v>-9.1155696722766688E-4</v>
      </c>
      <c r="K891" s="5">
        <f>D891/D890-1</f>
        <v>-1.2991819437408902E-2</v>
      </c>
      <c r="L891" s="5">
        <f>E891/E890-1</f>
        <v>4.7894803337880099E-3</v>
      </c>
      <c r="M891" s="5">
        <f>F891/F890-1</f>
        <v>1.4194687804447437E-3</v>
      </c>
      <c r="N891" s="5">
        <f>SUMPRODUCT(I891:M891,$AJ$13:$AN$13)</f>
        <v>-6.9037413819161824E-3</v>
      </c>
      <c r="P891" s="2" t="s">
        <v>882</v>
      </c>
      <c r="Q891" s="10" cm="1">
        <f t="array" aca="1" ref="Q891:U891" ca="1">_xlfn.LET(_xlpm.array,_xlfn.RANDARRAY(1,COLUMNS(_xlfn.ANCHORARRAY(Q890)),0,1,FALSE),_xlpm.array/SUM(_xlpm.array))</f>
        <v>0.15585102302136083</v>
      </c>
      <c r="R891" s="2">
        <f ca="1"/>
        <v>0.24105988773774678</v>
      </c>
      <c r="S891" s="2">
        <f ca="1"/>
        <v>9.7359493730393556E-2</v>
      </c>
      <c r="T891" s="2">
        <f ca="1"/>
        <v>0.30651306241927545</v>
      </c>
      <c r="U891" s="2">
        <f ca="1"/>
        <v>0.19921653309122339</v>
      </c>
      <c r="V891" s="12"/>
      <c r="X891" s="2" cm="1">
        <f t="array" aca="1" ref="X891" ca="1">MMULT(MMULT(_xlfn.ANCHORARRAY(Q891),$Q$9:$U$13),TRANSPOSE(_xlfn.ANCHORARRAY(Q891)))</f>
        <v>2.8227109004048652E-4</v>
      </c>
      <c r="Y891" s="2">
        <f t="shared" ca="1" si="32"/>
        <v>1.6800925273343922E-2</v>
      </c>
      <c r="Z891" s="2" cm="1">
        <f t="array" aca="1" ref="Z891" ca="1">MMULT(_xlfn.ANCHORARRAY(Q891),TRANSPOSE($Q$3:$U$3))</f>
        <v>8.7886445401918166E-4</v>
      </c>
      <c r="AA891" s="11">
        <f ca="1">AVEDEV(Q891*$Q$3,R891*$R$3,S891*$S$3,T891*$T$3,U891*$U$3)</f>
        <v>5.50498223255227E-5</v>
      </c>
      <c r="AB891" s="11" cm="1">
        <f t="array" aca="1" ref="AB891" ca="1">MMULT(_xlfn.ANCHORARRAY(Q891),TRANSPOSE($Q$6:$U$6))</f>
        <v>-2.2699549616161344E-2</v>
      </c>
      <c r="AD891" s="2" t="s">
        <v>882</v>
      </c>
      <c r="AE891" s="10" cm="1">
        <f t="array" aca="1" ref="AE891:AI891" ca="1">_xlfn.LET(_xlpm.array,_xlfn.RANDARRAY(1,COLUMNS(_xlfn.ANCHORARRAY(Q890)),-1,1,FALSE),_xlpm.array/SUM(_xlpm.array))</f>
        <v>-0.12501862084487245</v>
      </c>
      <c r="AF891" s="10">
        <f ca="1"/>
        <v>-0.11526416228152161</v>
      </c>
      <c r="AG891" s="10">
        <f ca="1"/>
        <v>0.52166319189046484</v>
      </c>
      <c r="AH891" s="10">
        <f ca="1"/>
        <v>0.41260724535971155</v>
      </c>
      <c r="AI891" s="10">
        <f ca="1"/>
        <v>0.30601234587621762</v>
      </c>
      <c r="AJ891" s="1"/>
      <c r="AK891" s="2" cm="1">
        <f t="array" aca="1" ref="AK891" ca="1">MMULT(MMULT(_xlfn.ANCHORARRAY(AE891),$Q$9:$U$13),TRANSPOSE(_xlfn.ANCHORARRAY(AE891)))</f>
        <v>4.3384917060506115E-4</v>
      </c>
      <c r="AL891" s="2">
        <f t="shared" ca="1" si="33"/>
        <v>2.0829046320104558E-2</v>
      </c>
      <c r="AM891" s="2" cm="1">
        <f t="array" aca="1" ref="AM891" ca="1">MMULT(_xlfn.ANCHORARRAY(AE892),TRANSPOSE($Q$3:$U$3))</f>
        <v>-1.0775607755839701E-2</v>
      </c>
    </row>
    <row r="892" spans="1:39" x14ac:dyDescent="0.35">
      <c r="A892" s="3">
        <v>45125</v>
      </c>
      <c r="B892" s="4">
        <v>28.627027511596602</v>
      </c>
      <c r="C892" s="4">
        <v>136.74353027343699</v>
      </c>
      <c r="D892" s="4">
        <v>51.189216613769503</v>
      </c>
      <c r="E892" s="4">
        <v>23.388145446777301</v>
      </c>
      <c r="F892" s="4">
        <v>351.94119262695301</v>
      </c>
      <c r="I892" s="5">
        <f>B892/B891-1</f>
        <v>4.421768068541021E-2</v>
      </c>
      <c r="J892" s="5">
        <f>C892/C891-1</f>
        <v>2.02011347386577E-3</v>
      </c>
      <c r="K892" s="5">
        <f>D892/D891-1</f>
        <v>-1.5904943911341896E-2</v>
      </c>
      <c r="L892" s="5">
        <f>E892/E891-1</f>
        <v>1.8386245363658738E-2</v>
      </c>
      <c r="M892" s="5">
        <f>F892/F891-1</f>
        <v>3.979968967606462E-2</v>
      </c>
      <c r="N892" s="5">
        <f>SUMPRODUCT(I892:M892,$AJ$13:$AN$13)</f>
        <v>7.5022381919797113E-4</v>
      </c>
      <c r="P892" s="2" t="s">
        <v>883</v>
      </c>
      <c r="Q892" s="10" cm="1">
        <f t="array" aca="1" ref="Q892:U892" ca="1">_xlfn.LET(_xlpm.array,_xlfn.RANDARRAY(1,COLUMNS(_xlfn.ANCHORARRAY(Q891)),0,1,FALSE),_xlpm.array/SUM(_xlpm.array))</f>
        <v>6.8573495335287019E-2</v>
      </c>
      <c r="R892" s="2">
        <f ca="1"/>
        <v>5.4194860292865354E-2</v>
      </c>
      <c r="S892" s="2">
        <f ca="1"/>
        <v>0.2827198712634052</v>
      </c>
      <c r="T892" s="2">
        <f ca="1"/>
        <v>0.29010670013442069</v>
      </c>
      <c r="U892" s="2">
        <f ca="1"/>
        <v>0.3044050729740217</v>
      </c>
      <c r="V892" s="12"/>
      <c r="X892" s="2" cm="1">
        <f t="array" aca="1" ref="X892" ca="1">MMULT(MMULT(_xlfn.ANCHORARRAY(Q892),$Q$9:$U$13),TRANSPOSE(_xlfn.ANCHORARRAY(Q892)))</f>
        <v>2.9232600151054335E-4</v>
      </c>
      <c r="Y892" s="2">
        <f t="shared" ca="1" si="32"/>
        <v>1.7097543727405507E-2</v>
      </c>
      <c r="Z892" s="2" cm="1">
        <f t="array" aca="1" ref="Z892" ca="1">MMULT(_xlfn.ANCHORARRAY(Q892),TRANSPOSE($Q$3:$U$3))</f>
        <v>1.0627680701868663E-3</v>
      </c>
      <c r="AA892" s="11">
        <f ca="1">AVEDEV(Q892*$Q$3,R892*$R$3,S892*$S$3,T892*$T$3,U892*$U$3)</f>
        <v>1.4027192126294164E-4</v>
      </c>
      <c r="AB892" s="11" cm="1">
        <f t="array" aca="1" ref="AB892" ca="1">MMULT(_xlfn.ANCHORARRAY(Q892),TRANSPOSE($Q$6:$U$6))</f>
        <v>-2.3701644746351336E-2</v>
      </c>
      <c r="AD892" s="2" t="s">
        <v>883</v>
      </c>
      <c r="AE892" s="10" cm="1">
        <f t="array" aca="1" ref="AE892:AI892" ca="1">_xlfn.LET(_xlpm.array,_xlfn.RANDARRAY(1,COLUMNS(_xlfn.ANCHORARRAY(Q891)),-1,1,FALSE),_xlpm.array/SUM(_xlpm.array))</f>
        <v>9.9504552447985972</v>
      </c>
      <c r="AF892" s="10">
        <f ca="1"/>
        <v>6.5550597484247213</v>
      </c>
      <c r="AG892" s="10">
        <f ca="1"/>
        <v>-7.5694728591762077</v>
      </c>
      <c r="AH892" s="10">
        <f ca="1"/>
        <v>-8.7898383855578697</v>
      </c>
      <c r="AI892" s="10">
        <f ca="1"/>
        <v>0.85379625151075866</v>
      </c>
      <c r="AJ892" s="1"/>
      <c r="AK892" s="2" cm="1">
        <f t="array" aca="1" ref="AK892" ca="1">MMULT(MMULT(_xlfn.ANCHORARRAY(AE892),$Q$9:$U$13),TRANSPOSE(_xlfn.ANCHORARRAY(AE892)))</f>
        <v>8.1729406105359753E-2</v>
      </c>
      <c r="AL892" s="2">
        <f t="shared" ca="1" si="33"/>
        <v>0.28588355340131016</v>
      </c>
      <c r="AM892" s="2" cm="1">
        <f t="array" aca="1" ref="AM892" ca="1">MMULT(_xlfn.ANCHORARRAY(AE893),TRANSPOSE($Q$3:$U$3))</f>
        <v>1.5148348424949523E-3</v>
      </c>
    </row>
    <row r="893" spans="1:39" x14ac:dyDescent="0.35">
      <c r="A893" s="3">
        <v>45126</v>
      </c>
      <c r="B893" s="4">
        <v>29.400983810424801</v>
      </c>
      <c r="C893" s="4">
        <v>137.57955932617099</v>
      </c>
      <c r="D893" s="4">
        <v>51.636161804199197</v>
      </c>
      <c r="E893" s="4">
        <v>23.5288982391357</v>
      </c>
      <c r="F893" s="4">
        <v>347.62380981445301</v>
      </c>
      <c r="I893" s="5">
        <f>B893/B892-1</f>
        <v>2.7035859678923302E-2</v>
      </c>
      <c r="J893" s="5">
        <f>C893/C892-1</f>
        <v>6.1138472223312146E-3</v>
      </c>
      <c r="K893" s="5">
        <f>D893/D892-1</f>
        <v>8.7312371627401575E-3</v>
      </c>
      <c r="L893" s="5">
        <f>E893/E892-1</f>
        <v>6.0181254079636481E-3</v>
      </c>
      <c r="M893" s="5">
        <f>F893/F892-1</f>
        <v>-1.2267341541563392E-2</v>
      </c>
      <c r="N893" s="5">
        <f>SUMPRODUCT(I893:M893,$AJ$13:$AN$13)</f>
        <v>-4.7591628701156973E-3</v>
      </c>
      <c r="P893" s="2" t="s">
        <v>884</v>
      </c>
      <c r="Q893" s="10" cm="1">
        <f t="array" aca="1" ref="Q893:U893" ca="1">_xlfn.LET(_xlpm.array,_xlfn.RANDARRAY(1,COLUMNS(_xlfn.ANCHORARRAY(Q892)),0,1,FALSE),_xlpm.array/SUM(_xlpm.array))</f>
        <v>0.29019568195577766</v>
      </c>
      <c r="R893" s="2">
        <f ca="1"/>
        <v>0.28564088725420728</v>
      </c>
      <c r="S893" s="2">
        <f ca="1"/>
        <v>1.0619689583263653E-2</v>
      </c>
      <c r="T893" s="2">
        <f ca="1"/>
        <v>0.15311702206954675</v>
      </c>
      <c r="U893" s="2">
        <f ca="1"/>
        <v>0.26042671913720467</v>
      </c>
      <c r="V893" s="12"/>
      <c r="X893" s="2" cm="1">
        <f t="array" aca="1" ref="X893" ca="1">MMULT(MMULT(_xlfn.ANCHORARRAY(Q893),$Q$9:$U$13),TRANSPOSE(_xlfn.ANCHORARRAY(Q893)))</f>
        <v>2.6711262206665113E-4</v>
      </c>
      <c r="Y893" s="2">
        <f t="shared" ca="1" si="32"/>
        <v>1.6343580454314506E-2</v>
      </c>
      <c r="Z893" s="2" cm="1">
        <f t="array" aca="1" ref="Z893" ca="1">MMULT(_xlfn.ANCHORARRAY(Q893),TRANSPOSE($Q$3:$U$3))</f>
        <v>7.289387229294401E-4</v>
      </c>
      <c r="AA893" s="11">
        <f ca="1">AVEDEV(Q893*$Q$3,R893*$R$3,S893*$S$3,T893*$T$3,U893*$U$3)</f>
        <v>5.1416544196727629E-5</v>
      </c>
      <c r="AB893" s="11" cm="1">
        <f t="array" aca="1" ref="AB893" ca="1">MMULT(_xlfn.ANCHORARRAY(Q893),TRANSPOSE($Q$6:$U$6))</f>
        <v>-2.1537967545247907E-2</v>
      </c>
      <c r="AD893" s="2" t="s">
        <v>884</v>
      </c>
      <c r="AE893" s="10" cm="1">
        <f t="array" aca="1" ref="AE893:AI893" ca="1">_xlfn.LET(_xlpm.array,_xlfn.RANDARRAY(1,COLUMNS(_xlfn.ANCHORARRAY(Q892)),-1,1,FALSE),_xlpm.array/SUM(_xlpm.array))</f>
        <v>-1.2974293634666147</v>
      </c>
      <c r="AF893" s="10">
        <f ca="1"/>
        <v>2.6793252030825032</v>
      </c>
      <c r="AG893" s="10">
        <f ca="1"/>
        <v>0.83179947792448794</v>
      </c>
      <c r="AH893" s="10">
        <f ca="1"/>
        <v>-0.79778898332215453</v>
      </c>
      <c r="AI893" s="10">
        <f ca="1"/>
        <v>-0.41590633421822204</v>
      </c>
      <c r="AJ893" s="1"/>
      <c r="AK893" s="2" cm="1">
        <f t="array" aca="1" ref="AK893" ca="1">MMULT(MMULT(_xlfn.ANCHORARRAY(AE893),$Q$9:$U$13),TRANSPOSE(_xlfn.ANCHORARRAY(AE893)))</f>
        <v>2.0410231997347776E-3</v>
      </c>
      <c r="AL893" s="2">
        <f t="shared" ca="1" si="33"/>
        <v>4.5177684754032908E-2</v>
      </c>
      <c r="AM893" s="2" cm="1">
        <f t="array" aca="1" ref="AM893" ca="1">MMULT(_xlfn.ANCHORARRAY(AE894),TRANSPOSE($Q$3:$U$3))</f>
        <v>7.1030083090492819E-3</v>
      </c>
    </row>
    <row r="894" spans="1:39" x14ac:dyDescent="0.35">
      <c r="A894" s="3">
        <v>45127</v>
      </c>
      <c r="B894" s="4">
        <v>29.550176620483398</v>
      </c>
      <c r="C894" s="4">
        <v>139.10040283203099</v>
      </c>
      <c r="D894" s="4">
        <v>50.970500946044901</v>
      </c>
      <c r="E894" s="4">
        <v>23.974609375</v>
      </c>
      <c r="F894" s="4">
        <v>339.58627319335898</v>
      </c>
      <c r="I894" s="5">
        <f>B894/B893-1</f>
        <v>5.0744155712809658E-3</v>
      </c>
      <c r="J894" s="5">
        <f>C894/C893-1</f>
        <v>1.1054283887146354E-2</v>
      </c>
      <c r="K894" s="5">
        <f>D894/D893-1</f>
        <v>-1.2891369824861054E-2</v>
      </c>
      <c r="L894" s="5">
        <f>E894/E893-1</f>
        <v>1.8943136705098507E-2</v>
      </c>
      <c r="M894" s="5">
        <f>F894/F893-1</f>
        <v>-2.3121363940473816E-2</v>
      </c>
      <c r="N894" s="5">
        <f>SUMPRODUCT(I894:M894,$AJ$13:$AN$13)</f>
        <v>-7.4142239083243794E-3</v>
      </c>
      <c r="P894" s="2" t="s">
        <v>885</v>
      </c>
      <c r="Q894" s="10" cm="1">
        <f t="array" aca="1" ref="Q894:U894" ca="1">_xlfn.LET(_xlpm.array,_xlfn.RANDARRAY(1,COLUMNS(_xlfn.ANCHORARRAY(Q893)),0,1,FALSE),_xlpm.array/SUM(_xlpm.array))</f>
        <v>0.25584348325791773</v>
      </c>
      <c r="R894" s="2">
        <f ca="1"/>
        <v>0.21822205494470245</v>
      </c>
      <c r="S894" s="2">
        <f ca="1"/>
        <v>8.8495218036030457E-2</v>
      </c>
      <c r="T894" s="2">
        <f ca="1"/>
        <v>0.19220534295909203</v>
      </c>
      <c r="U894" s="2">
        <f ca="1"/>
        <v>0.24523390080225732</v>
      </c>
      <c r="V894" s="12"/>
      <c r="X894" s="2" cm="1">
        <f t="array" aca="1" ref="X894" ca="1">MMULT(MMULT(_xlfn.ANCHORARRAY(Q894),$Q$9:$U$13),TRANSPOSE(_xlfn.ANCHORARRAY(Q894)))</f>
        <v>2.6382187703672072E-4</v>
      </c>
      <c r="Y894" s="2">
        <f t="shared" ca="1" si="32"/>
        <v>1.6242594529099121E-2</v>
      </c>
      <c r="Z894" s="2" cm="1">
        <f t="array" aca="1" ref="Z894" ca="1">MMULT(_xlfn.ANCHORARRAY(Q894),TRANSPOSE($Q$3:$U$3))</f>
        <v>8.1703041424402271E-4</v>
      </c>
      <c r="AA894" s="11">
        <f ca="1">AVEDEV(Q894*$Q$3,R894*$R$3,S894*$S$3,T894*$T$3,U894*$U$3)</f>
        <v>2.2846475945768797E-5</v>
      </c>
      <c r="AB894" s="11" cm="1">
        <f t="array" aca="1" ref="AB894" ca="1">MMULT(_xlfn.ANCHORARRAY(Q894),TRANSPOSE($Q$6:$U$6))</f>
        <v>-2.2199078099612617E-2</v>
      </c>
      <c r="AD894" s="2" t="s">
        <v>885</v>
      </c>
      <c r="AE894" s="10" cm="1">
        <f t="array" aca="1" ref="AE894:AI894" ca="1">_xlfn.LET(_xlpm.array,_xlfn.RANDARRAY(1,COLUMNS(_xlfn.ANCHORARRAY(Q893)),-1,1,FALSE),_xlpm.array/SUM(_xlpm.array))</f>
        <v>-0.16125381206541761</v>
      </c>
      <c r="AF894" s="10">
        <f ca="1"/>
        <v>-4.0296586508551906</v>
      </c>
      <c r="AG894" s="10">
        <f ca="1"/>
        <v>4.1368431229066331</v>
      </c>
      <c r="AH894" s="10">
        <f ca="1"/>
        <v>10.138261875550006</v>
      </c>
      <c r="AI894" s="10">
        <f ca="1"/>
        <v>-9.0841925355360313</v>
      </c>
      <c r="AJ894" s="1"/>
      <c r="AK894" s="2" cm="1">
        <f t="array" aca="1" ref="AK894" ca="1">MMULT(MMULT(_xlfn.ANCHORARRAY(AE894),$Q$9:$U$13),TRANSPOSE(_xlfn.ANCHORARRAY(AE894)))</f>
        <v>6.2186955445268657E-2</v>
      </c>
      <c r="AL894" s="2">
        <f t="shared" ca="1" si="33"/>
        <v>0.24937312494587033</v>
      </c>
      <c r="AM894" s="2" cm="1">
        <f t="array" aca="1" ref="AM894" ca="1">MMULT(_xlfn.ANCHORARRAY(AE895),TRANSPOSE($Q$3:$U$3))</f>
        <v>-3.9047698867676628E-4</v>
      </c>
    </row>
    <row r="895" spans="1:39" x14ac:dyDescent="0.35">
      <c r="A895" s="3">
        <v>45128</v>
      </c>
      <c r="B895" s="4">
        <v>29.8205966949462</v>
      </c>
      <c r="C895" s="4">
        <v>141.137115478515</v>
      </c>
      <c r="D895" s="4">
        <v>50.932468414306598</v>
      </c>
      <c r="E895" s="4">
        <v>24.138820648193299</v>
      </c>
      <c r="F895" s="4">
        <v>336.55130004882801</v>
      </c>
      <c r="I895" s="5">
        <f>B895/B894-1</f>
        <v>9.1512168585603515E-3</v>
      </c>
      <c r="J895" s="5">
        <f>C895/C894-1</f>
        <v>1.4642032697370411E-2</v>
      </c>
      <c r="K895" s="5">
        <f>D895/D894-1</f>
        <v>-7.4616750929257236E-4</v>
      </c>
      <c r="L895" s="5">
        <f>E895/E894-1</f>
        <v>6.8493826374720346E-3</v>
      </c>
      <c r="M895" s="5">
        <f>F895/F894-1</f>
        <v>-8.9372668570818492E-3</v>
      </c>
      <c r="N895" s="5">
        <f>SUMPRODUCT(I895:M895,$AJ$13:$AN$13)</f>
        <v>-3.2999004632773467E-3</v>
      </c>
      <c r="P895" s="2" t="s">
        <v>886</v>
      </c>
      <c r="Q895" s="10" cm="1">
        <f t="array" aca="1" ref="Q895:U895" ca="1">_xlfn.LET(_xlpm.array,_xlfn.RANDARRAY(1,COLUMNS(_xlfn.ANCHORARRAY(Q894)),0,1,FALSE),_xlpm.array/SUM(_xlpm.array))</f>
        <v>0.37975600191907788</v>
      </c>
      <c r="R895" s="2">
        <f ca="1"/>
        <v>0.32510379936032163</v>
      </c>
      <c r="S895" s="2">
        <f ca="1"/>
        <v>7.0230345584873843E-2</v>
      </c>
      <c r="T895" s="2">
        <f ca="1"/>
        <v>5.2384071209780093E-2</v>
      </c>
      <c r="U895" s="2">
        <f ca="1"/>
        <v>0.17252578192594642</v>
      </c>
      <c r="V895" s="12"/>
      <c r="X895" s="2" cm="1">
        <f t="array" aca="1" ref="X895" ca="1">MMULT(MMULT(_xlfn.ANCHORARRAY(Q895),$Q$9:$U$13),TRANSPOSE(_xlfn.ANCHORARRAY(Q895)))</f>
        <v>2.8641801592835638E-4</v>
      </c>
      <c r="Y895" s="2">
        <f t="shared" ca="1" si="32"/>
        <v>1.6923888912668873E-2</v>
      </c>
      <c r="Z895" s="2" cm="1">
        <f t="array" aca="1" ref="Z895" ca="1">MMULT(_xlfn.ANCHORARRAY(Q895),TRANSPOSE($Q$3:$U$3))</f>
        <v>7.29940655036669E-4</v>
      </c>
      <c r="AA895" s="11">
        <f ca="1">AVEDEV(Q895*$Q$3,R895*$R$3,S895*$S$3,T895*$T$3,U895*$U$3)</f>
        <v>5.5374716068786279E-5</v>
      </c>
      <c r="AB895" s="11" cm="1">
        <f t="array" aca="1" ref="AB895" ca="1">MMULT(_xlfn.ANCHORARRAY(Q895),TRANSPOSE($Q$6:$U$6))</f>
        <v>-2.1600454834557366E-2</v>
      </c>
      <c r="AD895" s="2" t="s">
        <v>886</v>
      </c>
      <c r="AE895" s="10" cm="1">
        <f t="array" aca="1" ref="AE895:AI895" ca="1">_xlfn.LET(_xlpm.array,_xlfn.RANDARRAY(1,COLUMNS(_xlfn.ANCHORARRAY(Q894)),-1,1,FALSE),_xlpm.array/SUM(_xlpm.array))</f>
        <v>-0.84562867691056987</v>
      </c>
      <c r="AF895" s="10">
        <f ca="1"/>
        <v>1.7655703437119028</v>
      </c>
      <c r="AG895" s="10">
        <f ca="1"/>
        <v>-2.6001171478289855</v>
      </c>
      <c r="AH895" s="10">
        <f ca="1"/>
        <v>3.5934729787472848</v>
      </c>
      <c r="AI895" s="10">
        <f ca="1"/>
        <v>-0.91329749771963209</v>
      </c>
      <c r="AJ895" s="1"/>
      <c r="AK895" s="2" cm="1">
        <f t="array" aca="1" ref="AK895" ca="1">MMULT(MMULT(_xlfn.ANCHORARRAY(AE895),$Q$9:$U$13),TRANSPOSE(_xlfn.ANCHORARRAY(AE895)))</f>
        <v>1.3412771746314086E-2</v>
      </c>
      <c r="AL895" s="2">
        <f t="shared" ca="1" si="33"/>
        <v>0.1158135214312823</v>
      </c>
      <c r="AM895" s="2" cm="1">
        <f t="array" aca="1" ref="AM895" ca="1">MMULT(_xlfn.ANCHORARRAY(AE896),TRANSPOSE($Q$3:$U$3))</f>
        <v>9.4053786516792286E-3</v>
      </c>
    </row>
    <row r="896" spans="1:39" x14ac:dyDescent="0.35">
      <c r="A896" s="3">
        <v>45131</v>
      </c>
      <c r="B896" s="4">
        <v>30.445356369018501</v>
      </c>
      <c r="C896" s="4">
        <v>143.92088317871</v>
      </c>
      <c r="D896" s="4">
        <v>51.4495429992675</v>
      </c>
      <c r="E896" s="4">
        <v>24.52197265625</v>
      </c>
      <c r="F896" s="4">
        <v>337.863189697265</v>
      </c>
      <c r="I896" s="5">
        <f>B896/B895-1</f>
        <v>2.0950609421513722E-2</v>
      </c>
      <c r="J896" s="5">
        <f>C896/C895-1</f>
        <v>1.972385287000411E-2</v>
      </c>
      <c r="K896" s="5">
        <f>D896/D895-1</f>
        <v>1.0152160322464576E-2</v>
      </c>
      <c r="L896" s="5">
        <f>E896/E895-1</f>
        <v>1.5872855332945912E-2</v>
      </c>
      <c r="M896" s="5">
        <f>F896/F895-1</f>
        <v>3.8980376787927096E-3</v>
      </c>
      <c r="N896" s="5">
        <f>SUMPRODUCT(I896:M896,$AJ$13:$AN$13)</f>
        <v>7.2993872337184986E-3</v>
      </c>
      <c r="P896" s="2" t="s">
        <v>887</v>
      </c>
      <c r="Q896" s="10" cm="1">
        <f t="array" aca="1" ref="Q896:U896" ca="1">_xlfn.LET(_xlpm.array,_xlfn.RANDARRAY(1,COLUMNS(_xlfn.ANCHORARRAY(Q895)),0,1,FALSE),_xlpm.array/SUM(_xlpm.array))</f>
        <v>0.19418577953916949</v>
      </c>
      <c r="R896" s="2">
        <f ca="1"/>
        <v>0.15050524917804689</v>
      </c>
      <c r="S896" s="2">
        <f ca="1"/>
        <v>5.1564061258924439E-2</v>
      </c>
      <c r="T896" s="2">
        <f ca="1"/>
        <v>0.25348002473276604</v>
      </c>
      <c r="U896" s="2">
        <f ca="1"/>
        <v>0.35026488529109301</v>
      </c>
      <c r="V896" s="12"/>
      <c r="X896" s="2" cm="1">
        <f t="array" aca="1" ref="X896" ca="1">MMULT(MMULT(_xlfn.ANCHORARRAY(Q896),$Q$9:$U$13),TRANSPOSE(_xlfn.ANCHORARRAY(Q896)))</f>
        <v>2.5190741849943389E-4</v>
      </c>
      <c r="Y896" s="2">
        <f t="shared" ca="1" si="32"/>
        <v>1.5871591555336656E-2</v>
      </c>
      <c r="Z896" s="2" cm="1">
        <f t="array" aca="1" ref="Z896" ca="1">MMULT(_xlfn.ANCHORARRAY(Q896),TRANSPOSE($Q$3:$U$3))</f>
        <v>8.1920004852734302E-4</v>
      </c>
      <c r="AA896" s="11">
        <f ca="1">AVEDEV(Q896*$Q$3,R896*$R$3,S896*$S$3,T896*$T$3,U896*$U$3)</f>
        <v>7.9672379993143673E-5</v>
      </c>
      <c r="AB896" s="11" cm="1">
        <f t="array" aca="1" ref="AB896" ca="1">MMULT(_xlfn.ANCHORARRAY(Q896),TRANSPOSE($Q$6:$U$6))</f>
        <v>-2.2125214868354028E-2</v>
      </c>
      <c r="AD896" s="2" t="s">
        <v>887</v>
      </c>
      <c r="AE896" s="10" cm="1">
        <f t="array" aca="1" ref="AE896:AI896" ca="1">_xlfn.LET(_xlpm.array,_xlfn.RANDARRAY(1,COLUMNS(_xlfn.ANCHORARRAY(Q895)),-1,1,FALSE),_xlpm.array/SUM(_xlpm.array))</f>
        <v>-5.0025628821198804</v>
      </c>
      <c r="AF896" s="10">
        <f ca="1"/>
        <v>-2.2957480008536173</v>
      </c>
      <c r="AG896" s="10">
        <f ca="1"/>
        <v>10.421717008924446</v>
      </c>
      <c r="AH896" s="10">
        <f ca="1"/>
        <v>-6.5290632992032771</v>
      </c>
      <c r="AI896" s="10">
        <f ca="1"/>
        <v>4.4056571732523295</v>
      </c>
      <c r="AJ896" s="1"/>
      <c r="AK896" s="2" cm="1">
        <f t="array" aca="1" ref="AK896" ca="1">MMULT(MMULT(_xlfn.ANCHORARRAY(AE896),$Q$9:$U$13),TRANSPOSE(_xlfn.ANCHORARRAY(AE896)))</f>
        <v>0.11585309276870558</v>
      </c>
      <c r="AL896" s="2">
        <f t="shared" ca="1" si="33"/>
        <v>0.34037199175123911</v>
      </c>
      <c r="AM896" s="2" cm="1">
        <f t="array" aca="1" ref="AM896" ca="1">MMULT(_xlfn.ANCHORARRAY(AE897),TRANSPOSE($Q$3:$U$3))</f>
        <v>6.8845930856716649E-4</v>
      </c>
    </row>
    <row r="897" spans="1:39" x14ac:dyDescent="0.35">
      <c r="A897" s="3">
        <v>45132</v>
      </c>
      <c r="B897" s="4">
        <v>29.979118347167901</v>
      </c>
      <c r="C897" s="4">
        <v>144.57904052734301</v>
      </c>
      <c r="D897" s="4">
        <v>52.062385559082003</v>
      </c>
      <c r="E897" s="4">
        <v>24.584529876708899</v>
      </c>
      <c r="F897" s="4">
        <v>343.60992431640602</v>
      </c>
      <c r="I897" s="5">
        <f>B897/B896-1</f>
        <v>-1.5313928869791438E-2</v>
      </c>
      <c r="J897" s="5">
        <f>C897/C896-1</f>
        <v>4.5730496790779007E-3</v>
      </c>
      <c r="K897" s="5">
        <f>D897/D896-1</f>
        <v>1.1911525819057855E-2</v>
      </c>
      <c r="L897" s="5">
        <f>E897/E896-1</f>
        <v>2.5510680293070465E-3</v>
      </c>
      <c r="M897" s="5">
        <f>F897/F896-1</f>
        <v>1.7009058087358531E-2</v>
      </c>
      <c r="N897" s="5">
        <f>SUMPRODUCT(I897:M897,$AJ$13:$AN$13)</f>
        <v>1.7354986847691815E-2</v>
      </c>
      <c r="P897" s="2" t="s">
        <v>888</v>
      </c>
      <c r="Q897" s="10" cm="1">
        <f t="array" aca="1" ref="Q897:U897" ca="1">_xlfn.LET(_xlpm.array,_xlfn.RANDARRAY(1,COLUMNS(_xlfn.ANCHORARRAY(Q896)),0,1,FALSE),_xlpm.array/SUM(_xlpm.array))</f>
        <v>0.20219360291262131</v>
      </c>
      <c r="R897" s="2">
        <f ca="1"/>
        <v>0.1868514794260748</v>
      </c>
      <c r="S897" s="2">
        <f ca="1"/>
        <v>0.22038044865106626</v>
      </c>
      <c r="T897" s="2">
        <f ca="1"/>
        <v>0.24008325052879412</v>
      </c>
      <c r="U897" s="2">
        <f ca="1"/>
        <v>0.1504912184814437</v>
      </c>
      <c r="V897" s="12"/>
      <c r="X897" s="2" cm="1">
        <f t="array" aca="1" ref="X897" ca="1">MMULT(MMULT(_xlfn.ANCHORARRAY(Q897),$Q$9:$U$13),TRANSPOSE(_xlfn.ANCHORARRAY(Q897)))</f>
        <v>2.9182768594858844E-4</v>
      </c>
      <c r="Y897" s="2">
        <f t="shared" ca="1" si="32"/>
        <v>1.7082964788015822E-2</v>
      </c>
      <c r="Z897" s="2" cm="1">
        <f t="array" aca="1" ref="Z897" ca="1">MMULT(_xlfn.ANCHORARRAY(Q897),TRANSPOSE($Q$3:$U$3))</f>
        <v>9.5748534922385654E-4</v>
      </c>
      <c r="AA897" s="11">
        <f ca="1">AVEDEV(Q897*$Q$3,R897*$R$3,S897*$S$3,T897*$T$3,U897*$U$3)</f>
        <v>8.8070815974970564E-5</v>
      </c>
      <c r="AB897" s="11" cm="1">
        <f t="array" aca="1" ref="AB897" ca="1">MMULT(_xlfn.ANCHORARRAY(Q897),TRANSPOSE($Q$6:$U$6))</f>
        <v>-2.3272049244688207E-2</v>
      </c>
      <c r="AD897" s="2" t="s">
        <v>888</v>
      </c>
      <c r="AE897" s="10" cm="1">
        <f t="array" aca="1" ref="AE897:AI897" ca="1">_xlfn.LET(_xlpm.array,_xlfn.RANDARRAY(1,COLUMNS(_xlfn.ANCHORARRAY(Q896)),-1,1,FALSE),_xlpm.array/SUM(_xlpm.array))</f>
        <v>0.54865780571109346</v>
      </c>
      <c r="AF897" s="10">
        <f ca="1"/>
        <v>0.53323765691310843</v>
      </c>
      <c r="AG897" s="10">
        <f ca="1"/>
        <v>0.25685722721819287</v>
      </c>
      <c r="AH897" s="10">
        <f ca="1"/>
        <v>-0.53677828728494614</v>
      </c>
      <c r="AI897" s="10">
        <f ca="1"/>
        <v>0.19802559744255138</v>
      </c>
      <c r="AJ897" s="1"/>
      <c r="AK897" s="2" cm="1">
        <f t="array" aca="1" ref="AK897" ca="1">MMULT(MMULT(_xlfn.ANCHORARRAY(AE897),$Q$9:$U$13),TRANSPOSE(_xlfn.ANCHORARRAY(AE897)))</f>
        <v>4.5412968674433425E-4</v>
      </c>
      <c r="AL897" s="2">
        <f t="shared" ca="1" si="33"/>
        <v>2.1310318785610276E-2</v>
      </c>
      <c r="AM897" s="2" cm="1">
        <f t="array" aca="1" ref="AM897" ca="1">MMULT(_xlfn.ANCHORARRAY(AE898),TRANSPOSE($Q$3:$U$3))</f>
        <v>-1.4240084081379326E-4</v>
      </c>
    </row>
    <row r="898" spans="1:39" x14ac:dyDescent="0.35">
      <c r="A898" s="3">
        <v>45133</v>
      </c>
      <c r="B898" s="4">
        <v>30.221561431884702</v>
      </c>
      <c r="C898" s="4">
        <v>143.49400329589801</v>
      </c>
      <c r="D898" s="4">
        <v>51.631481170654297</v>
      </c>
      <c r="E898" s="4">
        <v>23.935512542724599</v>
      </c>
      <c r="F898" s="4">
        <v>330.67730712890602</v>
      </c>
      <c r="I898" s="5">
        <f>B898/B897-1</f>
        <v>8.0870652001581167E-3</v>
      </c>
      <c r="J898" s="5">
        <f>C898/C897-1</f>
        <v>-7.5048030993108972E-3</v>
      </c>
      <c r="K898" s="5">
        <f>D898/D897-1</f>
        <v>-8.2766931211537553E-3</v>
      </c>
      <c r="L898" s="5">
        <f>E898/E897-1</f>
        <v>-2.6399420173544685E-2</v>
      </c>
      <c r="M898" s="5">
        <f>F898/F897-1</f>
        <v>-3.7637496103259394E-2</v>
      </c>
      <c r="N898" s="5">
        <f>SUMPRODUCT(I898:M898,$AJ$13:$AN$13)</f>
        <v>-3.1310417785825405E-2</v>
      </c>
      <c r="P898" s="2" t="s">
        <v>889</v>
      </c>
      <c r="Q898" s="10" cm="1">
        <f t="array" aca="1" ref="Q898:U898" ca="1">_xlfn.LET(_xlpm.array,_xlfn.RANDARRAY(1,COLUMNS(_xlfn.ANCHORARRAY(Q897)),0,1,FALSE),_xlpm.array/SUM(_xlpm.array))</f>
        <v>0.1603531735387875</v>
      </c>
      <c r="R898" s="2">
        <f ca="1"/>
        <v>9.637156943497395E-2</v>
      </c>
      <c r="S898" s="2">
        <f ca="1"/>
        <v>0.35895000809692096</v>
      </c>
      <c r="T898" s="2">
        <f ca="1"/>
        <v>0.13049963579718418</v>
      </c>
      <c r="U898" s="2">
        <f ca="1"/>
        <v>0.25382561313213331</v>
      </c>
      <c r="V898" s="12"/>
      <c r="X898" s="2" cm="1">
        <f t="array" aca="1" ref="X898" ca="1">MMULT(MMULT(_xlfn.ANCHORARRAY(Q898),$Q$9:$U$13),TRANSPOSE(_xlfn.ANCHORARRAY(Q898)))</f>
        <v>3.1447769926071277E-4</v>
      </c>
      <c r="Y898" s="2">
        <f t="shared" ca="1" si="32"/>
        <v>1.773351908845824E-2</v>
      </c>
      <c r="Z898" s="2" cm="1">
        <f t="array" aca="1" ref="Z898" ca="1">MMULT(_xlfn.ANCHORARRAY(Q898),TRANSPOSE($Q$3:$U$3))</f>
        <v>1.0622684248746909E-3</v>
      </c>
      <c r="AA898" s="11">
        <f ca="1">AVEDEV(Q898*$Q$3,R898*$R$3,S898*$S$3,T898*$T$3,U898*$U$3)</f>
        <v>1.4819256228185227E-4</v>
      </c>
      <c r="AB898" s="11" cm="1">
        <f t="array" aca="1" ref="AB898" ca="1">MMULT(_xlfn.ANCHORARRAY(Q898),TRANSPOSE($Q$6:$U$6))</f>
        <v>-2.3589013862812133E-2</v>
      </c>
      <c r="AD898" s="2" t="s">
        <v>889</v>
      </c>
      <c r="AE898" s="10" cm="1">
        <f t="array" aca="1" ref="AE898:AI898" ca="1">_xlfn.LET(_xlpm.array,_xlfn.RANDARRAY(1,COLUMNS(_xlfn.ANCHORARRAY(Q897)),-1,1,FALSE),_xlpm.array/SUM(_xlpm.array))</f>
        <v>-0.19727343834031222</v>
      </c>
      <c r="AF898" s="10">
        <f ca="1"/>
        <v>0.66432184018384577</v>
      </c>
      <c r="AG898" s="10">
        <f ca="1"/>
        <v>-1.3175903944647986</v>
      </c>
      <c r="AH898" s="10">
        <f ca="1"/>
        <v>0.76772108434559361</v>
      </c>
      <c r="AI898" s="10">
        <f ca="1"/>
        <v>1.0828209082756715</v>
      </c>
      <c r="AJ898" s="1"/>
      <c r="AK898" s="2" cm="1">
        <f t="array" aca="1" ref="AK898" ca="1">MMULT(MMULT(_xlfn.ANCHORARRAY(AE898),$Q$9:$U$13),TRANSPOSE(_xlfn.ANCHORARRAY(AE898)))</f>
        <v>1.6627287963596081E-3</v>
      </c>
      <c r="AL898" s="2">
        <f t="shared" ca="1" si="33"/>
        <v>4.0776571660202238E-2</v>
      </c>
      <c r="AM898" s="2" cm="1">
        <f t="array" aca="1" ref="AM898" ca="1">MMULT(_xlfn.ANCHORARRAY(AE899),TRANSPOSE($Q$3:$U$3))</f>
        <v>1.3970531017959732E-3</v>
      </c>
    </row>
    <row r="899" spans="1:39" x14ac:dyDescent="0.35">
      <c r="A899" s="3">
        <v>45134</v>
      </c>
      <c r="B899" s="4">
        <v>29.7926216125488</v>
      </c>
      <c r="C899" s="4">
        <v>141.99984741210901</v>
      </c>
      <c r="D899" s="4">
        <v>51.430385589599602</v>
      </c>
      <c r="E899" s="4">
        <v>23.5132541656494</v>
      </c>
      <c r="F899" s="4">
        <v>323.775390625</v>
      </c>
      <c r="I899" s="5">
        <f>B899/B898-1</f>
        <v>-1.4193171994196119E-2</v>
      </c>
      <c r="J899" s="5">
        <f>C899/C898-1</f>
        <v>-1.041267125782197E-2</v>
      </c>
      <c r="K899" s="5">
        <f>D899/D898-1</f>
        <v>-3.8948249497244847E-3</v>
      </c>
      <c r="L899" s="5">
        <f>E899/E898-1</f>
        <v>-1.7641501360017742E-2</v>
      </c>
      <c r="M899" s="5">
        <f>F899/F898-1</f>
        <v>-2.0872059724423409E-2</v>
      </c>
      <c r="N899" s="5">
        <f>SUMPRODUCT(I899:M899,$AJ$13:$AN$13)</f>
        <v>-1.2797270103804593E-2</v>
      </c>
      <c r="P899" s="2" t="s">
        <v>890</v>
      </c>
      <c r="Q899" s="10" cm="1">
        <f t="array" aca="1" ref="Q899:U899" ca="1">_xlfn.LET(_xlpm.array,_xlfn.RANDARRAY(1,COLUMNS(_xlfn.ANCHORARRAY(Q898)),0,1,FALSE),_xlpm.array/SUM(_xlpm.array))</f>
        <v>9.9142944608388683E-2</v>
      </c>
      <c r="R899" s="2">
        <f ca="1"/>
        <v>0.23549939755511937</v>
      </c>
      <c r="S899" s="2">
        <f ca="1"/>
        <v>0.34902867017218897</v>
      </c>
      <c r="T899" s="2">
        <f ca="1"/>
        <v>0.17226519728758241</v>
      </c>
      <c r="U899" s="2">
        <f ca="1"/>
        <v>0.14406379037672057</v>
      </c>
      <c r="V899" s="12"/>
      <c r="X899" s="2" cm="1">
        <f t="array" aca="1" ref="X899" ca="1">MMULT(MMULT(_xlfn.ANCHORARRAY(Q899),$Q$9:$U$13),TRANSPOSE(_xlfn.ANCHORARRAY(Q899)))</f>
        <v>3.2367802847128922E-4</v>
      </c>
      <c r="Y899" s="2">
        <f t="shared" ca="1" si="32"/>
        <v>1.7991054123405032E-2</v>
      </c>
      <c r="Z899" s="2" cm="1">
        <f t="array" aca="1" ref="Z899" ca="1">MMULT(_xlfn.ANCHORARRAY(Q899),TRANSPOSE($Q$3:$U$3))</f>
        <v>1.0753595319351183E-3</v>
      </c>
      <c r="AA899" s="11">
        <f ca="1">AVEDEV(Q899*$Q$3,R899*$R$3,S899*$S$3,T899*$T$3,U899*$U$3)</f>
        <v>1.4070036953275103E-4</v>
      </c>
      <c r="AB899" s="11" cm="1">
        <f t="array" aca="1" ref="AB899" ca="1">MMULT(_xlfn.ANCHORARRAY(Q899),TRANSPOSE($Q$6:$U$6))</f>
        <v>-2.3704374452592214E-2</v>
      </c>
      <c r="AD899" s="2" t="s">
        <v>890</v>
      </c>
      <c r="AE899" s="10" cm="1">
        <f t="array" aca="1" ref="AE899:AI899" ca="1">_xlfn.LET(_xlpm.array,_xlfn.RANDARRAY(1,COLUMNS(_xlfn.ANCHORARRAY(Q898)),-1,1,FALSE),_xlpm.array/SUM(_xlpm.array))</f>
        <v>-7.4151778793002623E-2</v>
      </c>
      <c r="AF899" s="10">
        <f ca="1"/>
        <v>1.3327231047913264</v>
      </c>
      <c r="AG899" s="10">
        <f ca="1"/>
        <v>0.91385415569070549</v>
      </c>
      <c r="AH899" s="10">
        <f ca="1"/>
        <v>-0.49006899722151415</v>
      </c>
      <c r="AI899" s="10">
        <f ca="1"/>
        <v>-0.68235648446751496</v>
      </c>
      <c r="AJ899" s="1"/>
      <c r="AK899" s="2" cm="1">
        <f t="array" aca="1" ref="AK899" ca="1">MMULT(MMULT(_xlfn.ANCHORARRAY(AE899),$Q$9:$U$13),TRANSPOSE(_xlfn.ANCHORARRAY(AE899)))</f>
        <v>1.1891369643482667E-3</v>
      </c>
      <c r="AL899" s="2">
        <f t="shared" ca="1" si="33"/>
        <v>3.4483865275636759E-2</v>
      </c>
      <c r="AM899" s="2" cm="1">
        <f t="array" aca="1" ref="AM899" ca="1">MMULT(_xlfn.ANCHORARRAY(AE900),TRANSPOSE($Q$3:$U$3))</f>
        <v>1.1310195516583946E-3</v>
      </c>
    </row>
    <row r="900" spans="1:39" x14ac:dyDescent="0.35">
      <c r="A900" s="3">
        <v>45135</v>
      </c>
      <c r="B900" s="4">
        <v>29.7460002899169</v>
      </c>
      <c r="C900" s="4">
        <v>141.29722595214801</v>
      </c>
      <c r="D900" s="4">
        <v>50.377079010009702</v>
      </c>
      <c r="E900" s="4">
        <v>23.380323410034102</v>
      </c>
      <c r="F900" s="4">
        <v>331.26473999023398</v>
      </c>
      <c r="I900" s="5">
        <f>B900/B899-1</f>
        <v>-1.5648613686370938E-3</v>
      </c>
      <c r="J900" s="5">
        <f>C900/C899-1</f>
        <v>-4.9480437674124245E-3</v>
      </c>
      <c r="K900" s="5">
        <f>D900/D899-1</f>
        <v>-2.0480238822143004E-2</v>
      </c>
      <c r="L900" s="5">
        <f>E900/E899-1</f>
        <v>-5.6534393188968357E-3</v>
      </c>
      <c r="M900" s="5">
        <f>F900/F899-1</f>
        <v>2.3131311341411331E-2</v>
      </c>
      <c r="N900" s="5">
        <f>SUMPRODUCT(I900:M900,$AJ$13:$AN$13)</f>
        <v>-4.9634994203688974E-3</v>
      </c>
      <c r="P900" s="2" t="s">
        <v>891</v>
      </c>
      <c r="Q900" s="10" cm="1">
        <f t="array" aca="1" ref="Q900:U900" ca="1">_xlfn.LET(_xlpm.array,_xlfn.RANDARRAY(1,COLUMNS(_xlfn.ANCHORARRAY(Q899)),0,1,FALSE),_xlpm.array/SUM(_xlpm.array))</f>
        <v>0.1655591743606355</v>
      </c>
      <c r="R900" s="2">
        <f ca="1"/>
        <v>0.29078399104683944</v>
      </c>
      <c r="S900" s="2">
        <f ca="1"/>
        <v>0.25724579364175126</v>
      </c>
      <c r="T900" s="2">
        <f ca="1"/>
        <v>0.25896451593362552</v>
      </c>
      <c r="U900" s="2">
        <f ca="1"/>
        <v>2.7446525017148383E-2</v>
      </c>
      <c r="V900" s="12"/>
      <c r="X900" s="2" cm="1">
        <f t="array" aca="1" ref="X900" ca="1">MMULT(MMULT(_xlfn.ANCHORARRAY(Q900),$Q$9:$U$13),TRANSPOSE(_xlfn.ANCHORARRAY(Q900)))</f>
        <v>3.3254374545560618E-4</v>
      </c>
      <c r="Y900" s="2">
        <f t="shared" ca="1" si="32"/>
        <v>1.8235782008337514E-2</v>
      </c>
      <c r="Z900" s="2" cm="1">
        <f t="array" aca="1" ref="Z900" ca="1">MMULT(_xlfn.ANCHORARRAY(Q900),TRANSPOSE($Q$3:$U$3))</f>
        <v>9.9980918617702296E-4</v>
      </c>
      <c r="AA900" s="11">
        <f ca="1">AVEDEV(Q900*$Q$3,R900*$R$3,S900*$S$3,T900*$T$3,U900*$U$3)</f>
        <v>1.1791450638388968E-4</v>
      </c>
      <c r="AB900" s="11" cm="1">
        <f t="array" aca="1" ref="AB900" ca="1">MMULT(_xlfn.ANCHORARRAY(Q900),TRANSPOSE($Q$6:$U$6))</f>
        <v>-2.3620557668140738E-2</v>
      </c>
      <c r="AD900" s="2" t="s">
        <v>891</v>
      </c>
      <c r="AE900" s="10" cm="1">
        <f t="array" aca="1" ref="AE900:AI900" ca="1">_xlfn.LET(_xlpm.array,_xlfn.RANDARRAY(1,COLUMNS(_xlfn.ANCHORARRAY(Q899)),-1,1,FALSE),_xlpm.array/SUM(_xlpm.array))</f>
        <v>7.0916086798948091E-2</v>
      </c>
      <c r="AF900" s="10">
        <f ca="1"/>
        <v>0.35065821161053967</v>
      </c>
      <c r="AG900" s="10">
        <f ca="1"/>
        <v>0.43952728338939745</v>
      </c>
      <c r="AH900" s="10">
        <f ca="1"/>
        <v>7.3541520306845035E-2</v>
      </c>
      <c r="AI900" s="10">
        <f ca="1"/>
        <v>6.5356897894269642E-2</v>
      </c>
      <c r="AJ900" s="1"/>
      <c r="AK900" s="2" cm="1">
        <f t="array" aca="1" ref="AK900" ca="1">MMULT(MMULT(_xlfn.ANCHORARRAY(AE900),$Q$9:$U$13),TRANSPOSE(_xlfn.ANCHORARRAY(AE900)))</f>
        <v>3.7534533786585706E-4</v>
      </c>
      <c r="AL900" s="2">
        <f t="shared" ca="1" si="33"/>
        <v>1.9373831264513919E-2</v>
      </c>
      <c r="AM900" s="2" cm="1">
        <f t="array" aca="1" ref="AM900" ca="1">MMULT(_xlfn.ANCHORARRAY(AE901),TRANSPOSE($Q$3:$U$3))</f>
        <v>9.5115301413396835E-4</v>
      </c>
    </row>
    <row r="901" spans="1:39" x14ac:dyDescent="0.35">
      <c r="A901" s="3">
        <v>45138</v>
      </c>
      <c r="B901" s="4">
        <v>29.839244842529201</v>
      </c>
      <c r="C901" s="4">
        <v>145.557373046875</v>
      </c>
      <c r="D901" s="4">
        <v>50.673919677734297</v>
      </c>
      <c r="E901" s="4">
        <v>23.990249633788999</v>
      </c>
      <c r="F901" s="4">
        <v>328.866119384765</v>
      </c>
      <c r="I901" s="5">
        <f>B901/B900-1</f>
        <v>3.134692116704807E-3</v>
      </c>
      <c r="J901" s="5">
        <f>C901/C900-1</f>
        <v>3.0150252887269913E-2</v>
      </c>
      <c r="K901" s="5">
        <f>D901/D900-1</f>
        <v>5.892375531848737E-3</v>
      </c>
      <c r="L901" s="5">
        <f>E901/E900-1</f>
        <v>2.6087159405722149E-2</v>
      </c>
      <c r="M901" s="5">
        <f>F901/F900-1</f>
        <v>-7.2407966073892993E-3</v>
      </c>
      <c r="N901" s="5">
        <f>SUMPRODUCT(I901:M901,$AJ$13:$AN$13)</f>
        <v>1.0944265221546727E-2</v>
      </c>
      <c r="P901" s="2" t="s">
        <v>892</v>
      </c>
      <c r="Q901" s="10" cm="1">
        <f t="array" aca="1" ref="Q901:U901" ca="1">_xlfn.LET(_xlpm.array,_xlfn.RANDARRAY(1,COLUMNS(_xlfn.ANCHORARRAY(Q900)),0,1,FALSE),_xlpm.array/SUM(_xlpm.array))</f>
        <v>0.26389838719598852</v>
      </c>
      <c r="R901" s="2">
        <f ca="1"/>
        <v>0.12013936386323984</v>
      </c>
      <c r="S901" s="2">
        <f ca="1"/>
        <v>0.16405701137276346</v>
      </c>
      <c r="T901" s="2">
        <f ca="1"/>
        <v>0.19085137173701217</v>
      </c>
      <c r="U901" s="2">
        <f ca="1"/>
        <v>0.2610538658309961</v>
      </c>
      <c r="V901" s="12"/>
      <c r="X901" s="2" cm="1">
        <f t="array" aca="1" ref="X901" ca="1">MMULT(MMULT(_xlfn.ANCHORARRAY(Q901),$Q$9:$U$13),TRANSPOSE(_xlfn.ANCHORARRAY(Q901)))</f>
        <v>2.6564285363014212E-4</v>
      </c>
      <c r="Y901" s="2">
        <f t="shared" ca="1" si="32"/>
        <v>1.6298553728173005E-2</v>
      </c>
      <c r="Z901" s="2" cm="1">
        <f t="array" aca="1" ref="Z901" ca="1">MMULT(_xlfn.ANCHORARRAY(Q901),TRANSPOSE($Q$3:$U$3))</f>
        <v>8.8292960912319108E-4</v>
      </c>
      <c r="AA901" s="11">
        <f ca="1">AVEDEV(Q901*$Q$3,R901*$R$3,S901*$S$3,T901*$T$3,U901*$U$3)</f>
        <v>5.252640954538856E-5</v>
      </c>
      <c r="AB901" s="11" cm="1">
        <f t="array" aca="1" ref="AB901" ca="1">MMULT(_xlfn.ANCHORARRAY(Q901),TRANSPOSE($Q$6:$U$6))</f>
        <v>-2.2688690889342548E-2</v>
      </c>
      <c r="AD901" s="2" t="s">
        <v>892</v>
      </c>
      <c r="AE901" s="10" cm="1">
        <f t="array" aca="1" ref="AE901:AI901" ca="1">_xlfn.LET(_xlpm.array,_xlfn.RANDARRAY(1,COLUMNS(_xlfn.ANCHORARRAY(Q900)),-1,1,FALSE),_xlpm.array/SUM(_xlpm.array))</f>
        <v>0.22717563140303257</v>
      </c>
      <c r="AF901" s="10">
        <f ca="1"/>
        <v>9.4691697493282823E-2</v>
      </c>
      <c r="AG901" s="10">
        <f ca="1"/>
        <v>0.22675894614554701</v>
      </c>
      <c r="AH901" s="10">
        <f ca="1"/>
        <v>0.20662086170063881</v>
      </c>
      <c r="AI901" s="10">
        <f ca="1"/>
        <v>0.24475286325749873</v>
      </c>
      <c r="AJ901" s="1"/>
      <c r="AK901" s="2" cm="1">
        <f t="array" aca="1" ref="AK901" ca="1">MMULT(MMULT(_xlfn.ANCHORARRAY(AE901),$Q$9:$U$13),TRANSPOSE(_xlfn.ANCHORARRAY(AE901)))</f>
        <v>2.7720454880312564E-4</v>
      </c>
      <c r="AL901" s="2">
        <f t="shared" ca="1" si="33"/>
        <v>1.6649460916291724E-2</v>
      </c>
      <c r="AM901" s="2" cm="1">
        <f t="array" aca="1" ref="AM901" ca="1">MMULT(_xlfn.ANCHORARRAY(AE902),TRANSPOSE($Q$3:$U$3))</f>
        <v>9.3274704503848763E-4</v>
      </c>
    </row>
    <row r="902" spans="1:39" x14ac:dyDescent="0.35">
      <c r="A902" s="3">
        <v>45139</v>
      </c>
      <c r="B902" s="4">
        <v>29.484905242919901</v>
      </c>
      <c r="C902" s="4">
        <v>144.34780883789</v>
      </c>
      <c r="D902" s="4">
        <v>51.104824066162102</v>
      </c>
      <c r="E902" s="4">
        <v>23.8260402679443</v>
      </c>
      <c r="F902" s="4">
        <v>329.27731323242102</v>
      </c>
      <c r="I902" s="5">
        <f>B902/B901-1</f>
        <v>-1.1874951979490733E-2</v>
      </c>
      <c r="J902" s="5">
        <f>C902/C901-1</f>
        <v>-8.3098793531776183E-3</v>
      </c>
      <c r="K902" s="5">
        <f>D902/D901-1</f>
        <v>8.5034745914305265E-3</v>
      </c>
      <c r="L902" s="5">
        <f>E902/E901-1</f>
        <v>-6.8448377299674679E-3</v>
      </c>
      <c r="M902" s="5">
        <f>F902/F901-1</f>
        <v>1.2503381267285896E-3</v>
      </c>
      <c r="N902" s="5">
        <f>SUMPRODUCT(I902:M902,$AJ$13:$AN$13)</f>
        <v>5.3535422871555625E-3</v>
      </c>
      <c r="P902" s="2" t="s">
        <v>893</v>
      </c>
      <c r="Q902" s="10" cm="1">
        <f t="array" aca="1" ref="Q902:U902" ca="1">_xlfn.LET(_xlpm.array,_xlfn.RANDARRAY(1,COLUMNS(_xlfn.ANCHORARRAY(Q901)),0,1,FALSE),_xlpm.array/SUM(_xlpm.array))</f>
        <v>0.2354750675211619</v>
      </c>
      <c r="R902" s="2">
        <f ca="1"/>
        <v>0.15867217320176538</v>
      </c>
      <c r="S902" s="2">
        <f ca="1"/>
        <v>0.26038495653371307</v>
      </c>
      <c r="T902" s="2">
        <f ca="1"/>
        <v>0.23493378995583938</v>
      </c>
      <c r="U902" s="2">
        <f ca="1"/>
        <v>0.1105340127875204</v>
      </c>
      <c r="V902" s="12"/>
      <c r="X902" s="2" cm="1">
        <f t="array" aca="1" ref="X902" ca="1">MMULT(MMULT(_xlfn.ANCHORARRAY(Q902),$Q$9:$U$13),TRANSPOSE(_xlfn.ANCHORARRAY(Q902)))</f>
        <v>3.0603228159764269E-4</v>
      </c>
      <c r="Y902" s="2">
        <f t="shared" ca="1" si="32"/>
        <v>1.7493778368255462E-2</v>
      </c>
      <c r="Z902" s="2" cm="1">
        <f t="array" aca="1" ref="Z902" ca="1">MMULT(_xlfn.ANCHORARRAY(Q902),TRANSPOSE($Q$3:$U$3))</f>
        <v>9.8296805221598249E-4</v>
      </c>
      <c r="AA902" s="11">
        <f ca="1">AVEDEV(Q902*$Q$3,R902*$R$3,S902*$S$3,T902*$T$3,U902*$U$3)</f>
        <v>1.0787621334266593E-4</v>
      </c>
      <c r="AB902" s="11" cm="1">
        <f t="array" aca="1" ref="AB902" ca="1">MMULT(_xlfn.ANCHORARRAY(Q902),TRANSPOSE($Q$6:$U$6))</f>
        <v>-2.3563024159458733E-2</v>
      </c>
      <c r="AD902" s="2" t="s">
        <v>893</v>
      </c>
      <c r="AE902" s="10" cm="1">
        <f t="array" aca="1" ref="AE902:AI902" ca="1">_xlfn.LET(_xlpm.array,_xlfn.RANDARRAY(1,COLUMNS(_xlfn.ANCHORARRAY(Q901)),-1,1,FALSE),_xlpm.array/SUM(_xlpm.array))</f>
        <v>0.50061099191550384</v>
      </c>
      <c r="AF902" s="10">
        <f ca="1"/>
        <v>0.45360760523556543</v>
      </c>
      <c r="AG902" s="10">
        <f ca="1"/>
        <v>0.37342327618329801</v>
      </c>
      <c r="AH902" s="10">
        <f ca="1"/>
        <v>-3.4156557829909333E-2</v>
      </c>
      <c r="AI902" s="10">
        <f ca="1"/>
        <v>-0.29348531550445778</v>
      </c>
      <c r="AJ902" s="1"/>
      <c r="AK902" s="2" cm="1">
        <f t="array" aca="1" ref="AK902" ca="1">MMULT(MMULT(_xlfn.ANCHORARRAY(AE902),$Q$9:$U$13),TRANSPOSE(_xlfn.ANCHORARRAY(AE902)))</f>
        <v>4.8879070296693836E-4</v>
      </c>
      <c r="AL902" s="2">
        <f t="shared" ca="1" si="33"/>
        <v>2.210861151151149E-2</v>
      </c>
      <c r="AM902" s="2" cm="1">
        <f t="array" aca="1" ref="AM902" ca="1">MMULT(_xlfn.ANCHORARRAY(AE903),TRANSPOSE($Q$3:$U$3))</f>
        <v>9.6547917368258285E-4</v>
      </c>
    </row>
    <row r="903" spans="1:39" x14ac:dyDescent="0.35">
      <c r="A903" s="3">
        <v>45140</v>
      </c>
      <c r="B903" s="4">
        <v>29.08394241333</v>
      </c>
      <c r="C903" s="4">
        <v>142.06207275390599</v>
      </c>
      <c r="D903" s="4">
        <v>50.702644348144503</v>
      </c>
      <c r="E903" s="4">
        <v>23.325588226318299</v>
      </c>
      <c r="F903" s="4">
        <v>320.62292480468699</v>
      </c>
      <c r="I903" s="5">
        <f>B903/B902-1</f>
        <v>-1.3598918710657326E-2</v>
      </c>
      <c r="J903" s="5">
        <f>C903/C902-1</f>
        <v>-1.5834920546324405E-2</v>
      </c>
      <c r="K903" s="5">
        <f>D903/D902-1</f>
        <v>-7.8697016449351676E-3</v>
      </c>
      <c r="L903" s="5">
        <f>E903/E902-1</f>
        <v>-2.100441516920093E-2</v>
      </c>
      <c r="M903" s="5">
        <f>F903/F902-1</f>
        <v>-2.6282978146220826E-2</v>
      </c>
      <c r="N903" s="5">
        <f>SUMPRODUCT(I903:M903,$AJ$13:$AN$13)</f>
        <v>-1.8239942002379019E-2</v>
      </c>
      <c r="P903" s="2" t="s">
        <v>894</v>
      </c>
      <c r="Q903" s="10" cm="1">
        <f t="array" aca="1" ref="Q903:U903" ca="1">_xlfn.LET(_xlpm.array,_xlfn.RANDARRAY(1,COLUMNS(_xlfn.ANCHORARRAY(Q902)),0,1,FALSE),_xlpm.array/SUM(_xlpm.array))</f>
        <v>0.29689914536047429</v>
      </c>
      <c r="R903" s="2">
        <f ca="1"/>
        <v>0.20410398995647494</v>
      </c>
      <c r="S903" s="2">
        <f ca="1"/>
        <v>0.3475874093568892</v>
      </c>
      <c r="T903" s="2">
        <f ca="1"/>
        <v>2.5743510263267804E-2</v>
      </c>
      <c r="U903" s="2">
        <f ca="1"/>
        <v>0.12566594506289386</v>
      </c>
      <c r="V903" s="12"/>
      <c r="X903" s="2" cm="1">
        <f t="array" aca="1" ref="X903" ca="1">MMULT(MMULT(_xlfn.ANCHORARRAY(Q903),$Q$9:$U$13),TRANSPOSE(_xlfn.ANCHORARRAY(Q903)))</f>
        <v>3.3080262742374409E-4</v>
      </c>
      <c r="Y903" s="2">
        <f t="shared" ca="1" si="32"/>
        <v>1.8187980300840005E-2</v>
      </c>
      <c r="Z903" s="2" cm="1">
        <f t="array" aca="1" ref="Z903" ca="1">MMULT(_xlfn.ANCHORARRAY(Q903),TRANSPOSE($Q$3:$U$3))</f>
        <v>9.8684089040198728E-4</v>
      </c>
      <c r="AA903" s="11">
        <f ca="1">AVEDEV(Q903*$Q$3,R903*$R$3,S903*$S$3,T903*$T$3,U903*$U$3)</f>
        <v>1.4684561738404568E-4</v>
      </c>
      <c r="AB903" s="11" cm="1">
        <f t="array" aca="1" ref="AB903" ca="1">MMULT(_xlfn.ANCHORARRAY(Q903),TRANSPOSE($Q$6:$U$6))</f>
        <v>-2.3234460338052945E-2</v>
      </c>
      <c r="AD903" s="2" t="s">
        <v>894</v>
      </c>
      <c r="AE903" s="10" cm="1">
        <f t="array" aca="1" ref="AE903:AI903" ca="1">_xlfn.LET(_xlpm.array,_xlfn.RANDARRAY(1,COLUMNS(_xlfn.ANCHORARRAY(Q902)),-1,1,FALSE),_xlpm.array/SUM(_xlpm.array))</f>
        <v>-0.13252156089348813</v>
      </c>
      <c r="AF903" s="10">
        <f ca="1"/>
        <v>0.5737661673312795</v>
      </c>
      <c r="AG903" s="10">
        <f ca="1"/>
        <v>0.28016183316544546</v>
      </c>
      <c r="AH903" s="10">
        <f ca="1"/>
        <v>-0.21116756530879363</v>
      </c>
      <c r="AI903" s="10">
        <f ca="1"/>
        <v>0.48976112570555685</v>
      </c>
      <c r="AJ903" s="1"/>
      <c r="AK903" s="2" cm="1">
        <f t="array" aca="1" ref="AK903" ca="1">MMULT(MMULT(_xlfn.ANCHORARRAY(AE903),$Q$9:$U$13),TRANSPOSE(_xlfn.ANCHORARRAY(AE903)))</f>
        <v>3.333465651597057E-4</v>
      </c>
      <c r="AL903" s="2">
        <f t="shared" ca="1" si="33"/>
        <v>1.8257780948398569E-2</v>
      </c>
      <c r="AM903" s="2" cm="1">
        <f t="array" aca="1" ref="AM903" ca="1">MMULT(_xlfn.ANCHORARRAY(AE904),TRANSPOSE($Q$3:$U$3))</f>
        <v>9.2355886858610224E-4</v>
      </c>
    </row>
    <row r="904" spans="1:39" x14ac:dyDescent="0.35">
      <c r="A904" s="3">
        <v>45141</v>
      </c>
      <c r="B904" s="4">
        <v>29.289085388183501</v>
      </c>
      <c r="C904" s="4">
        <v>142.00872802734301</v>
      </c>
      <c r="D904" s="4">
        <v>51.238880157470703</v>
      </c>
      <c r="E904" s="4">
        <v>23.8729534149169</v>
      </c>
      <c r="F904" s="4">
        <v>319.80062866210898</v>
      </c>
      <c r="I904" s="5">
        <f>B904/B903-1</f>
        <v>7.0534789244898199E-3</v>
      </c>
      <c r="J904" s="5">
        <f>C904/C903-1</f>
        <v>-3.7550294409260943E-4</v>
      </c>
      <c r="K904" s="5">
        <f>D904/D903-1</f>
        <v>1.0576091567220613E-2</v>
      </c>
      <c r="L904" s="5">
        <f>E904/E903-1</f>
        <v>2.3466297324969743E-2</v>
      </c>
      <c r="M904" s="5">
        <f>F904/F903-1</f>
        <v>-2.5646829311376518E-3</v>
      </c>
      <c r="N904" s="5">
        <f>SUMPRODUCT(I904:M904,$AJ$13:$AN$13)</f>
        <v>1.358708072739109E-2</v>
      </c>
      <c r="P904" s="2" t="s">
        <v>895</v>
      </c>
      <c r="Q904" s="10" cm="1">
        <f t="array" aca="1" ref="Q904:U904" ca="1">_xlfn.LET(_xlpm.array,_xlfn.RANDARRAY(1,COLUMNS(_xlfn.ANCHORARRAY(Q903)),0,1,FALSE),_xlpm.array/SUM(_xlpm.array))</f>
        <v>0.28712004777956107</v>
      </c>
      <c r="R904" s="2">
        <f ca="1"/>
        <v>0.21442355234275115</v>
      </c>
      <c r="S904" s="2">
        <f ca="1"/>
        <v>2.4796467509417316E-2</v>
      </c>
      <c r="T904" s="2">
        <f ca="1"/>
        <v>0.13170819891449259</v>
      </c>
      <c r="U904" s="2">
        <f ca="1"/>
        <v>0.34195173345377777</v>
      </c>
      <c r="V904" s="12"/>
      <c r="X904" s="2" cm="1">
        <f t="array" aca="1" ref="X904" ca="1">MMULT(MMULT(_xlfn.ANCHORARRAY(Q904),$Q$9:$U$13),TRANSPOSE(_xlfn.ANCHORARRAY(Q904)))</f>
        <v>2.5271745681256858E-4</v>
      </c>
      <c r="Y904" s="2">
        <f t="shared" ca="1" si="32"/>
        <v>1.5897089570502163E-2</v>
      </c>
      <c r="Z904" s="2" cm="1">
        <f t="array" aca="1" ref="Z904" ca="1">MMULT(_xlfn.ANCHORARRAY(Q904),TRANSPOSE($Q$3:$U$3))</f>
        <v>7.388760608329516E-4</v>
      </c>
      <c r="AA904" s="11">
        <f ca="1">AVEDEV(Q904*$Q$3,R904*$R$3,S904*$S$3,T904*$T$3,U904*$U$3)</f>
        <v>4.9029246215195551E-5</v>
      </c>
      <c r="AB904" s="11" cm="1">
        <f t="array" aca="1" ref="AB904" ca="1">MMULT(_xlfn.ANCHORARRAY(Q904),TRANSPOSE($Q$6:$U$6))</f>
        <v>-2.1491752095662245E-2</v>
      </c>
      <c r="AD904" s="2" t="s">
        <v>895</v>
      </c>
      <c r="AE904" s="10" cm="1">
        <f t="array" aca="1" ref="AE904:AI904" ca="1">_xlfn.LET(_xlpm.array,_xlfn.RANDARRAY(1,COLUMNS(_xlfn.ANCHORARRAY(Q903)),-1,1,FALSE),_xlpm.array/SUM(_xlpm.array))</f>
        <v>0.40349202220502794</v>
      </c>
      <c r="AF904" s="10">
        <f ca="1"/>
        <v>1.5380343903154705</v>
      </c>
      <c r="AG904" s="10">
        <f ca="1"/>
        <v>0.26340991272131503</v>
      </c>
      <c r="AH904" s="10">
        <f ca="1"/>
        <v>0.34730444457043275</v>
      </c>
      <c r="AI904" s="10">
        <f ca="1"/>
        <v>-1.5522407698122462</v>
      </c>
      <c r="AJ904" s="1"/>
      <c r="AK904" s="2" cm="1">
        <f t="array" aca="1" ref="AK904" ca="1">MMULT(MMULT(_xlfn.ANCHORARRAY(AE904),$Q$9:$U$13),TRANSPOSE(_xlfn.ANCHORARRAY(AE904)))</f>
        <v>2.069353512614247E-3</v>
      </c>
      <c r="AL904" s="2">
        <f t="shared" ca="1" si="33"/>
        <v>4.5490147423527291E-2</v>
      </c>
      <c r="AM904" s="2" cm="1">
        <f t="array" aca="1" ref="AM904" ca="1">MMULT(_xlfn.ANCHORARRAY(AE905),TRANSPOSE($Q$3:$U$3))</f>
        <v>1.1020379859919282E-2</v>
      </c>
    </row>
    <row r="905" spans="1:39" x14ac:dyDescent="0.35">
      <c r="A905" s="3">
        <v>45142</v>
      </c>
      <c r="B905" s="4">
        <v>29.1865139007568</v>
      </c>
      <c r="C905" s="4">
        <v>141.688552856445</v>
      </c>
      <c r="D905" s="4">
        <v>50.980350494384702</v>
      </c>
      <c r="E905" s="4">
        <v>24.248287200927699</v>
      </c>
      <c r="F905" s="4">
        <v>320.89706420898398</v>
      </c>
      <c r="I905" s="5">
        <f>B905/B904-1</f>
        <v>-3.5020379116407208E-3</v>
      </c>
      <c r="J905" s="5">
        <f>C905/C904-1</f>
        <v>-2.2546161446946877E-3</v>
      </c>
      <c r="K905" s="5">
        <f>D905/D904-1</f>
        <v>-5.0455759823686552E-3</v>
      </c>
      <c r="L905" s="5">
        <f>E905/E904-1</f>
        <v>1.5722134563219692E-2</v>
      </c>
      <c r="M905" s="5">
        <f>F905/F904-1</f>
        <v>3.4284971591893587E-3</v>
      </c>
      <c r="N905" s="5">
        <f>SUMPRODUCT(I905:M905,$AJ$13:$AN$13)</f>
        <v>6.9511527826036359E-3</v>
      </c>
      <c r="P905" s="2" t="s">
        <v>896</v>
      </c>
      <c r="Q905" s="10" cm="1">
        <f t="array" aca="1" ref="Q905:U905" ca="1">_xlfn.LET(_xlpm.array,_xlfn.RANDARRAY(1,COLUMNS(_xlfn.ANCHORARRAY(Q904)),0,1,FALSE),_xlpm.array/SUM(_xlpm.array))</f>
        <v>0.40065539861338317</v>
      </c>
      <c r="R905" s="2">
        <f ca="1"/>
        <v>0.25017018362491822</v>
      </c>
      <c r="S905" s="2">
        <f ca="1"/>
        <v>0.10449953548996201</v>
      </c>
      <c r="T905" s="2">
        <f ca="1"/>
        <v>0.15819322212892142</v>
      </c>
      <c r="U905" s="2">
        <f ca="1"/>
        <v>8.6481660142815192E-2</v>
      </c>
      <c r="V905" s="12"/>
      <c r="X905" s="2" cm="1">
        <f t="array" aca="1" ref="X905" ca="1">MMULT(MMULT(_xlfn.ANCHORARRAY(Q905),$Q$9:$U$13),TRANSPOSE(_xlfn.ANCHORARRAY(Q905)))</f>
        <v>3.0312307956815147E-4</v>
      </c>
      <c r="Y905" s="2">
        <f t="shared" ca="1" si="32"/>
        <v>1.7410430194804247E-2</v>
      </c>
      <c r="Z905" s="2" cm="1">
        <f t="array" aca="1" ref="Z905" ca="1">MMULT(_xlfn.ANCHORARRAY(Q905),TRANSPOSE($Q$3:$U$3))</f>
        <v>7.8378169927568824E-4</v>
      </c>
      <c r="AA905" s="11">
        <f ca="1">AVEDEV(Q905*$Q$3,R905*$R$3,S905*$S$3,T905*$T$3,U905*$U$3)</f>
        <v>3.6244204766155062E-5</v>
      </c>
      <c r="AB905" s="11" cm="1">
        <f t="array" aca="1" ref="AB905" ca="1">MMULT(_xlfn.ANCHORARRAY(Q905),TRANSPOSE($Q$6:$U$6))</f>
        <v>-2.2369453053385575E-2</v>
      </c>
      <c r="AD905" s="2" t="s">
        <v>896</v>
      </c>
      <c r="AE905" s="10" cm="1">
        <f t="array" aca="1" ref="AE905:AI905" ca="1">_xlfn.LET(_xlpm.array,_xlfn.RANDARRAY(1,COLUMNS(_xlfn.ANCHORARRAY(Q904)),-1,1,FALSE),_xlpm.array/SUM(_xlpm.array))</f>
        <v>-12.241762339821223</v>
      </c>
      <c r="AF905" s="10">
        <f ca="1"/>
        <v>5.9049750678240818</v>
      </c>
      <c r="AG905" s="10">
        <f ca="1"/>
        <v>10.88997356790507</v>
      </c>
      <c r="AH905" s="10">
        <f ca="1"/>
        <v>-7.9352893080017397</v>
      </c>
      <c r="AI905" s="10">
        <f ca="1"/>
        <v>4.3821030120938111</v>
      </c>
      <c r="AJ905" s="1"/>
      <c r="AK905" s="2" cm="1">
        <f t="array" aca="1" ref="AK905" ca="1">MMULT(MMULT(_xlfn.ANCHORARRAY(AE905),$Q$9:$U$13),TRANSPOSE(_xlfn.ANCHORARRAY(AE905)))</f>
        <v>0.13615866131158305</v>
      </c>
      <c r="AL905" s="2">
        <f t="shared" ca="1" si="33"/>
        <v>0.36899683103189795</v>
      </c>
      <c r="AM905" s="2" cm="1">
        <f t="array" aca="1" ref="AM905" ca="1">MMULT(_xlfn.ANCHORARRAY(AE906),TRANSPOSE($Q$3:$U$3))</f>
        <v>5.8621085284459853E-4</v>
      </c>
    </row>
    <row r="906" spans="1:39" x14ac:dyDescent="0.35">
      <c r="A906" s="3">
        <v>45145</v>
      </c>
      <c r="B906" s="4">
        <v>29.727350234985298</v>
      </c>
      <c r="C906" s="4">
        <v>142.20439147949199</v>
      </c>
      <c r="D906" s="4">
        <v>52.253894805908203</v>
      </c>
      <c r="E906" s="4">
        <v>24.162273406982401</v>
      </c>
      <c r="F906" s="4">
        <v>323.17816162109301</v>
      </c>
      <c r="I906" s="5">
        <f>B906/B905-1</f>
        <v>1.8530350560793662E-2</v>
      </c>
      <c r="J906" s="5">
        <f>C906/C905-1</f>
        <v>3.6406513627789128E-3</v>
      </c>
      <c r="K906" s="5">
        <f>D906/D905-1</f>
        <v>2.4981081910446568E-2</v>
      </c>
      <c r="L906" s="5">
        <f>E906/E905-1</f>
        <v>-3.5472111177405896E-3</v>
      </c>
      <c r="M906" s="5">
        <f>F906/F905-1</f>
        <v>7.1085019669219207E-3</v>
      </c>
      <c r="N906" s="5">
        <f>SUMPRODUCT(I906:M906,$AJ$13:$AN$13)</f>
        <v>8.2455757223234612E-3</v>
      </c>
      <c r="P906" s="2" t="s">
        <v>897</v>
      </c>
      <c r="Q906" s="10" cm="1">
        <f t="array" aca="1" ref="Q906:U906" ca="1">_xlfn.LET(_xlpm.array,_xlfn.RANDARRAY(1,COLUMNS(_xlfn.ANCHORARRAY(Q905)),0,1,FALSE),_xlpm.array/SUM(_xlpm.array))</f>
        <v>0.18346676684416524</v>
      </c>
      <c r="R906" s="2">
        <f ca="1"/>
        <v>0.16172655305629496</v>
      </c>
      <c r="S906" s="2">
        <f ca="1"/>
        <v>0.2573520827026185</v>
      </c>
      <c r="T906" s="2">
        <f ca="1"/>
        <v>0.13638056154582492</v>
      </c>
      <c r="U906" s="2">
        <f ca="1"/>
        <v>0.26107403585109645</v>
      </c>
      <c r="V906" s="12"/>
      <c r="X906" s="2" cm="1">
        <f t="array" aca="1" ref="X906" ca="1">MMULT(MMULT(_xlfn.ANCHORARRAY(Q906),$Q$9:$U$13),TRANSPOSE(_xlfn.ANCHORARRAY(Q906)))</f>
        <v>2.8052156301697429E-4</v>
      </c>
      <c r="Y906" s="2">
        <f t="shared" ca="1" si="32"/>
        <v>1.674877795592784E-2</v>
      </c>
      <c r="Z906" s="2" cm="1">
        <f t="array" aca="1" ref="Z906" ca="1">MMULT(_xlfn.ANCHORARRAY(Q906),TRANSPOSE($Q$3:$U$3))</f>
        <v>9.6829751189902741E-4</v>
      </c>
      <c r="AA906" s="11">
        <f ca="1">AVEDEV(Q906*$Q$3,R906*$R$3,S906*$S$3,T906*$T$3,U906*$U$3)</f>
        <v>9.2121779842310459E-5</v>
      </c>
      <c r="AB906" s="11" cm="1">
        <f t="array" aca="1" ref="AB906" ca="1">MMULT(_xlfn.ANCHORARRAY(Q906),TRANSPOSE($Q$6:$U$6))</f>
        <v>-2.2970114168743141E-2</v>
      </c>
      <c r="AD906" s="2" t="s">
        <v>897</v>
      </c>
      <c r="AE906" s="10" cm="1">
        <f t="array" aca="1" ref="AE906:AI906" ca="1">_xlfn.LET(_xlpm.array,_xlfn.RANDARRAY(1,COLUMNS(_xlfn.ANCHORARRAY(Q905)),-1,1,FALSE),_xlpm.array/SUM(_xlpm.array))</f>
        <v>0.19334213605430883</v>
      </c>
      <c r="AF906" s="10">
        <f ca="1"/>
        <v>0.54803872852217905</v>
      </c>
      <c r="AG906" s="10">
        <f ca="1"/>
        <v>-0.11406633092352753</v>
      </c>
      <c r="AH906" s="10">
        <f ca="1"/>
        <v>-4.6969072599457963E-2</v>
      </c>
      <c r="AI906" s="10">
        <f ca="1"/>
        <v>0.41965453894649762</v>
      </c>
      <c r="AJ906" s="1"/>
      <c r="AK906" s="2" cm="1">
        <f t="array" aca="1" ref="AK906" ca="1">MMULT(MMULT(_xlfn.ANCHORARRAY(AE906),$Q$9:$U$13),TRANSPOSE(_xlfn.ANCHORARRAY(AE906)))</f>
        <v>2.8424021016502303E-4</v>
      </c>
      <c r="AL906" s="2">
        <f t="shared" ca="1" si="33"/>
        <v>1.6859424965431739E-2</v>
      </c>
      <c r="AM906" s="2" cm="1">
        <f t="array" aca="1" ref="AM906" ca="1">MMULT(_xlfn.ANCHORARRAY(AE907),TRANSPOSE($Q$3:$U$3))</f>
        <v>1.0015645666888203E-4</v>
      </c>
    </row>
    <row r="907" spans="1:39" x14ac:dyDescent="0.35">
      <c r="A907" s="3">
        <v>45146</v>
      </c>
      <c r="B907" s="4">
        <v>29.158540725708001</v>
      </c>
      <c r="C907" s="4">
        <v>141.99093627929599</v>
      </c>
      <c r="D907" s="4">
        <v>55.136142730712798</v>
      </c>
      <c r="E907" s="4">
        <v>24.130996704101499</v>
      </c>
      <c r="F907" s="4">
        <v>319.20339965820301</v>
      </c>
      <c r="I907" s="5">
        <f>B907/B906-1</f>
        <v>-1.9134214949567907E-2</v>
      </c>
      <c r="J907" s="5">
        <f>C907/C906-1</f>
        <v>-1.5010450660152275E-3</v>
      </c>
      <c r="K907" s="5">
        <f>D907/D906-1</f>
        <v>5.5158528096525883E-2</v>
      </c>
      <c r="L907" s="5">
        <f>E907/E906-1</f>
        <v>-1.2944437120665508E-3</v>
      </c>
      <c r="M907" s="5">
        <f>F907/F906-1</f>
        <v>-1.2298980670451876E-2</v>
      </c>
      <c r="N907" s="5">
        <f>SUMPRODUCT(I907:M907,$AJ$13:$AN$13)</f>
        <v>2.9589319843290343E-2</v>
      </c>
      <c r="P907" s="2" t="s">
        <v>898</v>
      </c>
      <c r="Q907" s="10" cm="1">
        <f t="array" aca="1" ref="Q907:U907" ca="1">_xlfn.LET(_xlpm.array,_xlfn.RANDARRAY(1,COLUMNS(_xlfn.ANCHORARRAY(Q906)),0,1,FALSE),_xlpm.array/SUM(_xlpm.array))</f>
        <v>5.3458330898612669E-2</v>
      </c>
      <c r="R907" s="2">
        <f ca="1"/>
        <v>0.17486153538437355</v>
      </c>
      <c r="S907" s="2">
        <f ca="1"/>
        <v>0.27476321289938876</v>
      </c>
      <c r="T907" s="2">
        <f ca="1"/>
        <v>0.22004402583479368</v>
      </c>
      <c r="U907" s="2">
        <f ca="1"/>
        <v>0.2768728949828313</v>
      </c>
      <c r="V907" s="12"/>
      <c r="X907" s="2" cm="1">
        <f t="array" aca="1" ref="X907" ca="1">MMULT(MMULT(_xlfn.ANCHORARRAY(Q907),$Q$9:$U$13),TRANSPOSE(_xlfn.ANCHORARRAY(Q907)))</f>
        <v>2.8802132044885838E-4</v>
      </c>
      <c r="Y907" s="2">
        <f t="shared" ca="1" si="32"/>
        <v>1.6971190896600579E-2</v>
      </c>
      <c r="Z907" s="2" cm="1">
        <f t="array" aca="1" ref="Z907" ca="1">MMULT(_xlfn.ANCHORARRAY(Q907),TRANSPOSE($Q$3:$U$3))</f>
        <v>1.0376444238700733E-3</v>
      </c>
      <c r="AA907" s="11">
        <f ca="1">AVEDEV(Q907*$Q$3,R907*$R$3,S907*$S$3,T907*$T$3,U907*$U$3)</f>
        <v>1.0407882085536132E-4</v>
      </c>
      <c r="AB907" s="11" cm="1">
        <f t="array" aca="1" ref="AB907" ca="1">MMULT(_xlfn.ANCHORARRAY(Q907),TRANSPOSE($Q$6:$U$6))</f>
        <v>-2.3327378725191895E-2</v>
      </c>
      <c r="AD907" s="2" t="s">
        <v>898</v>
      </c>
      <c r="AE907" s="10" cm="1">
        <f t="array" aca="1" ref="AE907:AI907" ca="1">_xlfn.LET(_xlpm.array,_xlfn.RANDARRAY(1,COLUMNS(_xlfn.ANCHORARRAY(Q906)),-1,1,FALSE),_xlpm.array/SUM(_xlpm.array))</f>
        <v>0.49961534272200175</v>
      </c>
      <c r="AF907" s="10">
        <f ca="1"/>
        <v>0.5783244411730053</v>
      </c>
      <c r="AG907" s="10">
        <f ca="1"/>
        <v>-0.52231503821355552</v>
      </c>
      <c r="AH907" s="10">
        <f ca="1"/>
        <v>-0.26377733102882245</v>
      </c>
      <c r="AI907" s="10">
        <f ca="1"/>
        <v>0.70815258534737091</v>
      </c>
      <c r="AJ907" s="1"/>
      <c r="AK907" s="2" cm="1">
        <f t="array" aca="1" ref="AK907" ca="1">MMULT(MMULT(_xlfn.ANCHORARRAY(AE907),$Q$9:$U$13),TRANSPOSE(_xlfn.ANCHORARRAY(AE907)))</f>
        <v>5.1299785301159317E-4</v>
      </c>
      <c r="AL907" s="2">
        <f t="shared" ca="1" si="33"/>
        <v>2.264945590983574E-2</v>
      </c>
      <c r="AM907" s="2" cm="1">
        <f t="array" aca="1" ref="AM907" ca="1">MMULT(_xlfn.ANCHORARRAY(AE908),TRANSPOSE($Q$3:$U$3))</f>
        <v>1.2937909885519017E-2</v>
      </c>
    </row>
    <row r="908" spans="1:39" x14ac:dyDescent="0.35">
      <c r="A908" s="3">
        <v>45147</v>
      </c>
      <c r="B908" s="4">
        <v>28.7762241363525</v>
      </c>
      <c r="C908" s="4">
        <v>142.17771911621</v>
      </c>
      <c r="D908" s="4">
        <v>54.1690063476562</v>
      </c>
      <c r="E908" s="4">
        <v>25.452495574951101</v>
      </c>
      <c r="F908" s="4">
        <v>315.463623046875</v>
      </c>
      <c r="I908" s="5">
        <f>B908/B907-1</f>
        <v>-1.3111650303488154E-2</v>
      </c>
      <c r="J908" s="5">
        <f>C908/C907-1</f>
        <v>1.3154560552133265E-3</v>
      </c>
      <c r="K908" s="5">
        <f>D908/D907-1</f>
        <v>-1.7540878544589744E-2</v>
      </c>
      <c r="L908" s="5">
        <f>E908/E907-1</f>
        <v>5.4763542801569809E-2</v>
      </c>
      <c r="M908" s="5">
        <f>F908/F907-1</f>
        <v>-1.1715967359158697E-2</v>
      </c>
      <c r="N908" s="5">
        <f>SUMPRODUCT(I908:M908,$AJ$13:$AN$13)</f>
        <v>1.6290861130593665E-2</v>
      </c>
      <c r="P908" s="2" t="s">
        <v>899</v>
      </c>
      <c r="Q908" s="10" cm="1">
        <f t="array" aca="1" ref="Q908:U908" ca="1">_xlfn.LET(_xlpm.array,_xlfn.RANDARRAY(1,COLUMNS(_xlfn.ANCHORARRAY(Q907)),0,1,FALSE),_xlpm.array/SUM(_xlpm.array))</f>
        <v>2.6379339160329803E-2</v>
      </c>
      <c r="R908" s="2">
        <f ca="1"/>
        <v>0.21902475140321773</v>
      </c>
      <c r="S908" s="2">
        <f ca="1"/>
        <v>0.22735137248023229</v>
      </c>
      <c r="T908" s="2">
        <f ca="1"/>
        <v>0.21430886095710336</v>
      </c>
      <c r="U908" s="2">
        <f ca="1"/>
        <v>0.31293567599911687</v>
      </c>
      <c r="V908" s="12"/>
      <c r="X908" s="2" cm="1">
        <f t="array" aca="1" ref="X908" ca="1">MMULT(MMULT(_xlfn.ANCHORARRAY(Q908),$Q$9:$U$13),TRANSPOSE(_xlfn.ANCHORARRAY(Q908)))</f>
        <v>2.7556944102517209E-4</v>
      </c>
      <c r="Y908" s="2">
        <f t="shared" ca="1" si="32"/>
        <v>1.6600284365792414E-2</v>
      </c>
      <c r="Z908" s="2" cm="1">
        <f t="array" aca="1" ref="Z908" ca="1">MMULT(_xlfn.ANCHORARRAY(Q908),TRANSPOSE($Q$3:$U$3))</f>
        <v>1.0008580803991182E-3</v>
      </c>
      <c r="AA908" s="11">
        <f ca="1">AVEDEV(Q908*$Q$3,R908*$R$3,S908*$S$3,T908*$T$3,U908*$U$3)</f>
        <v>9.0798242321165216E-5</v>
      </c>
      <c r="AB908" s="11" cm="1">
        <f t="array" aca="1" ref="AB908" ca="1">MMULT(_xlfn.ANCHORARRAY(Q908),TRANSPOSE($Q$6:$U$6))</f>
        <v>-2.294627936151545E-2</v>
      </c>
      <c r="AD908" s="2" t="s">
        <v>899</v>
      </c>
      <c r="AE908" s="10" cm="1">
        <f t="array" aca="1" ref="AE908:AI908" ca="1">_xlfn.LET(_xlpm.array,_xlfn.RANDARRAY(1,COLUMNS(_xlfn.ANCHORARRAY(Q907)),-1,1,FALSE),_xlpm.array/SUM(_xlpm.array))</f>
        <v>-3.0067220165257398</v>
      </c>
      <c r="AF908" s="10">
        <f ca="1"/>
        <v>-14.955488824107755</v>
      </c>
      <c r="AG908" s="10">
        <f ca="1"/>
        <v>15.176325663793694</v>
      </c>
      <c r="AH908" s="10">
        <f ca="1"/>
        <v>-8.3924231437551455</v>
      </c>
      <c r="AI908" s="10">
        <f ca="1"/>
        <v>12.178308320594947</v>
      </c>
      <c r="AJ908" s="1"/>
      <c r="AK908" s="2" cm="1">
        <f t="array" aca="1" ref="AK908" ca="1">MMULT(MMULT(_xlfn.ANCHORARRAY(AE908),$Q$9:$U$13),TRANSPOSE(_xlfn.ANCHORARRAY(AE908)))</f>
        <v>0.36505624605158282</v>
      </c>
      <c r="AL908" s="2">
        <f t="shared" ca="1" si="33"/>
        <v>0.60419884645005972</v>
      </c>
      <c r="AM908" s="2" cm="1">
        <f t="array" aca="1" ref="AM908" ca="1">MMULT(_xlfn.ANCHORARRAY(AE909),TRANSPOSE($Q$3:$U$3))</f>
        <v>9.3381402563280256E-5</v>
      </c>
    </row>
    <row r="909" spans="1:39" x14ac:dyDescent="0.35">
      <c r="A909" s="3">
        <v>45148</v>
      </c>
      <c r="B909" s="4">
        <v>28.850822448730401</v>
      </c>
      <c r="C909" s="4">
        <v>143.040435791015</v>
      </c>
      <c r="D909" s="4">
        <v>53.623203277587798</v>
      </c>
      <c r="E909" s="4">
        <v>24.795654296875</v>
      </c>
      <c r="F909" s="4">
        <v>316.14892578125</v>
      </c>
      <c r="I909" s="5">
        <f>B909/B908-1</f>
        <v>2.5923593041403681E-3</v>
      </c>
      <c r="J909" s="5">
        <f>C909/C908-1</f>
        <v>6.0678753335454694E-3</v>
      </c>
      <c r="K909" s="5">
        <f>D909/D908-1</f>
        <v>-1.0075929149695684E-2</v>
      </c>
      <c r="L909" s="5">
        <f>E909/E908-1</f>
        <v>-2.580655700899237E-2</v>
      </c>
      <c r="M909" s="5">
        <f>F909/F908-1</f>
        <v>2.1723669047990501E-3</v>
      </c>
      <c r="N909" s="5">
        <f>SUMPRODUCT(I909:M909,$AJ$13:$AN$13)</f>
        <v>-1.7527409844559198E-2</v>
      </c>
      <c r="P909" s="2" t="s">
        <v>900</v>
      </c>
      <c r="Q909" s="10" cm="1">
        <f t="array" aca="1" ref="Q909:U909" ca="1">_xlfn.LET(_xlpm.array,_xlfn.RANDARRAY(1,COLUMNS(_xlfn.ANCHORARRAY(Q908)),0,1,FALSE),_xlpm.array/SUM(_xlpm.array))</f>
        <v>9.1070777040160644E-2</v>
      </c>
      <c r="R909" s="2">
        <f ca="1"/>
        <v>0.26411800425478865</v>
      </c>
      <c r="S909" s="2">
        <f ca="1"/>
        <v>8.8098045292366853E-2</v>
      </c>
      <c r="T909" s="2">
        <f ca="1"/>
        <v>0.23679464963624267</v>
      </c>
      <c r="U909" s="2">
        <f ca="1"/>
        <v>0.31991852377644114</v>
      </c>
      <c r="V909" s="12"/>
      <c r="X909" s="2" cm="1">
        <f t="array" aca="1" ref="X909" ca="1">MMULT(MMULT(_xlfn.ANCHORARRAY(Q909),$Q$9:$U$13),TRANSPOSE(_xlfn.ANCHORARRAY(Q909)))</f>
        <v>2.5921878990672632E-4</v>
      </c>
      <c r="Y909" s="2">
        <f t="shared" ca="1" si="32"/>
        <v>1.61002729761556E-2</v>
      </c>
      <c r="Z909" s="2" cm="1">
        <f t="array" aca="1" ref="Z909" ca="1">MMULT(_xlfn.ANCHORARRAY(Q909),TRANSPOSE($Q$3:$U$3))</f>
        <v>8.6883132860808153E-4</v>
      </c>
      <c r="AA909" s="11">
        <f ca="1">AVEDEV(Q909*$Q$3,R909*$R$3,S909*$S$3,T909*$T$3,U909*$U$3)</f>
        <v>6.3269942844202797E-5</v>
      </c>
      <c r="AB909" s="11" cm="1">
        <f t="array" aca="1" ref="AB909" ca="1">MMULT(_xlfn.ANCHORARRAY(Q909),TRANSPOSE($Q$6:$U$6))</f>
        <v>-2.2198557901126303E-2</v>
      </c>
      <c r="AD909" s="2" t="s">
        <v>900</v>
      </c>
      <c r="AE909" s="10" cm="1">
        <f t="array" aca="1" ref="AE909:AI909" ca="1">_xlfn.LET(_xlpm.array,_xlfn.RANDARRAY(1,COLUMNS(_xlfn.ANCHORARRAY(Q908)),-1,1,FALSE),_xlpm.array/SUM(_xlpm.array))</f>
        <v>1.3584684812230212</v>
      </c>
      <c r="AF909" s="10">
        <f ca="1"/>
        <v>0.11635166871521255</v>
      </c>
      <c r="AG909" s="10">
        <f ca="1"/>
        <v>-0.96838460503502544</v>
      </c>
      <c r="AH909" s="10">
        <f ca="1"/>
        <v>1.9984672050531731</v>
      </c>
      <c r="AI909" s="10">
        <f ca="1"/>
        <v>-1.5049027499563814</v>
      </c>
      <c r="AJ909" s="1"/>
      <c r="AK909" s="2" cm="1">
        <f t="array" aca="1" ref="AK909" ca="1">MMULT(MMULT(_xlfn.ANCHORARRAY(AE909),$Q$9:$U$13),TRANSPOSE(_xlfn.ANCHORARRAY(AE909)))</f>
        <v>4.2211059454299463E-3</v>
      </c>
      <c r="AL909" s="2">
        <f t="shared" ca="1" si="33"/>
        <v>6.4970038828909019E-2</v>
      </c>
      <c r="AM909" s="2" cm="1">
        <f t="array" aca="1" ref="AM909" ca="1">MMULT(_xlfn.ANCHORARRAY(AE910),TRANSPOSE($Q$3:$U$3))</f>
        <v>1.5237316051709276E-3</v>
      </c>
    </row>
    <row r="910" spans="1:39" x14ac:dyDescent="0.35">
      <c r="A910" s="3">
        <v>45149</v>
      </c>
      <c r="B910" s="4">
        <v>29.177183151245099</v>
      </c>
      <c r="C910" s="4">
        <v>145.99317932128901</v>
      </c>
      <c r="D910" s="4">
        <v>54.4275512695312</v>
      </c>
      <c r="E910" s="4">
        <v>24.819114685058501</v>
      </c>
      <c r="F910" s="4">
        <v>314.26922607421801</v>
      </c>
      <c r="I910" s="5">
        <f>B910/B909-1</f>
        <v>1.1312006896672111E-2</v>
      </c>
      <c r="J910" s="5">
        <f>C910/C909-1</f>
        <v>2.0642719060140591E-2</v>
      </c>
      <c r="K910" s="5">
        <f>D910/D909-1</f>
        <v>1.4999998932916814E-2</v>
      </c>
      <c r="L910" s="5">
        <f>E910/E909-1</f>
        <v>9.4614918818480831E-4</v>
      </c>
      <c r="M910" s="5">
        <f>F910/F909-1</f>
        <v>-5.9456147206161658E-3</v>
      </c>
      <c r="N910" s="5">
        <f>SUMPRODUCT(I910:M910,$AJ$13:$AN$13)</f>
        <v>2.3182003027561061E-3</v>
      </c>
      <c r="P910" s="2" t="s">
        <v>901</v>
      </c>
      <c r="Q910" s="10" cm="1">
        <f t="array" aca="1" ref="Q910:U910" ca="1">_xlfn.LET(_xlpm.array,_xlfn.RANDARRAY(1,COLUMNS(_xlfn.ANCHORARRAY(Q909)),0,1,FALSE),_xlpm.array/SUM(_xlpm.array))</f>
        <v>0.11609976288565434</v>
      </c>
      <c r="R910" s="2">
        <f ca="1"/>
        <v>0.36956207234215704</v>
      </c>
      <c r="S910" s="2">
        <f ca="1"/>
        <v>5.4301520809398256E-2</v>
      </c>
      <c r="T910" s="2">
        <f ca="1"/>
        <v>0.31845815914458814</v>
      </c>
      <c r="U910" s="2">
        <f ca="1"/>
        <v>0.14157848481820223</v>
      </c>
      <c r="V910" s="12"/>
      <c r="X910" s="2" cm="1">
        <f t="array" aca="1" ref="X910" ca="1">MMULT(MMULT(_xlfn.ANCHORARRAY(Q910),$Q$9:$U$13),TRANSPOSE(_xlfn.ANCHORARRAY(Q910)))</f>
        <v>3.1090063263864765E-4</v>
      </c>
      <c r="Y910" s="2">
        <f t="shared" ca="1" si="32"/>
        <v>1.7632374560411529E-2</v>
      </c>
      <c r="Z910" s="2" cm="1">
        <f t="array" aca="1" ref="Z910" ca="1">MMULT(_xlfn.ANCHORARRAY(Q910),TRANSPOSE($Q$3:$U$3))</f>
        <v>8.5069079114657195E-4</v>
      </c>
      <c r="AA910" s="11">
        <f ca="1">AVEDEV(Q910*$Q$3,R910*$R$3,S910*$S$3,T910*$T$3,U910*$U$3)</f>
        <v>1.0197385978820365E-4</v>
      </c>
      <c r="AB910" s="11" cm="1">
        <f t="array" aca="1" ref="AB910" ca="1">MMULT(_xlfn.ANCHORARRAY(Q910),TRANSPOSE($Q$6:$U$6))</f>
        <v>-2.2458876745926962E-2</v>
      </c>
      <c r="AD910" s="2" t="s">
        <v>901</v>
      </c>
      <c r="AE910" s="10" cm="1">
        <f t="array" aca="1" ref="AE910:AI910" ca="1">_xlfn.LET(_xlpm.array,_xlfn.RANDARRAY(1,COLUMNS(_xlfn.ANCHORARRAY(Q909)),-1,1,FALSE),_xlpm.array/SUM(_xlpm.array))</f>
        <v>-0.45307727677301951</v>
      </c>
      <c r="AF910" s="10">
        <f ca="1"/>
        <v>1.3131114830437893</v>
      </c>
      <c r="AG910" s="10">
        <f ca="1"/>
        <v>1.3607569613644968</v>
      </c>
      <c r="AH910" s="10">
        <f ca="1"/>
        <v>-1.873407940994253</v>
      </c>
      <c r="AI910" s="10">
        <f ca="1"/>
        <v>0.65261677335898638</v>
      </c>
      <c r="AJ910" s="1"/>
      <c r="AK910" s="2" cm="1">
        <f t="array" aca="1" ref="AK910" ca="1">MMULT(MMULT(_xlfn.ANCHORARRAY(AE910),$Q$9:$U$13),TRANSPOSE(_xlfn.ANCHORARRAY(AE910)))</f>
        <v>2.6773569520135549E-3</v>
      </c>
      <c r="AL910" s="2">
        <f t="shared" ca="1" si="33"/>
        <v>5.1743182662197684E-2</v>
      </c>
      <c r="AM910" s="2" cm="1">
        <f t="array" aca="1" ref="AM910" ca="1">MMULT(_xlfn.ANCHORARRAY(AE911),TRANSPOSE($Q$3:$U$3))</f>
        <v>-3.9605072737931481E-3</v>
      </c>
    </row>
    <row r="911" spans="1:39" x14ac:dyDescent="0.35">
      <c r="A911" s="3">
        <v>45152</v>
      </c>
      <c r="B911" s="4">
        <v>28.841495513916001</v>
      </c>
      <c r="C911" s="4">
        <v>145.886474609375</v>
      </c>
      <c r="D911" s="4">
        <v>54.350944519042898</v>
      </c>
      <c r="E911" s="4">
        <v>24.6662082672119</v>
      </c>
      <c r="F911" s="4">
        <v>317.23562622070301</v>
      </c>
      <c r="I911" s="5">
        <f>B911/B910-1</f>
        <v>-1.1505142069027086E-2</v>
      </c>
      <c r="J911" s="5">
        <f>C911/C910-1</f>
        <v>-7.3088833608569992E-4</v>
      </c>
      <c r="K911" s="5">
        <f>D911/D910-1</f>
        <v>-1.4074994869590629E-3</v>
      </c>
      <c r="L911" s="5">
        <f>E911/E910-1</f>
        <v>-6.1608328817084335E-3</v>
      </c>
      <c r="M911" s="5">
        <f>F911/F910-1</f>
        <v>9.4390411162448284E-3</v>
      </c>
      <c r="N911" s="5">
        <f>SUMPRODUCT(I911:M911,$AJ$13:$AN$13)</f>
        <v>2.8929236251804555E-3</v>
      </c>
      <c r="P911" s="2" t="s">
        <v>902</v>
      </c>
      <c r="Q911" s="10" cm="1">
        <f t="array" aca="1" ref="Q911:U911" ca="1">_xlfn.LET(_xlpm.array,_xlfn.RANDARRAY(1,COLUMNS(_xlfn.ANCHORARRAY(Q910)),0,1,FALSE),_xlpm.array/SUM(_xlpm.array))</f>
        <v>0.19096872424128578</v>
      </c>
      <c r="R911" s="2">
        <f ca="1"/>
        <v>0.29712951221717393</v>
      </c>
      <c r="S911" s="2">
        <f ca="1"/>
        <v>0.25416110354848415</v>
      </c>
      <c r="T911" s="2">
        <f ca="1"/>
        <v>0.21824429565553793</v>
      </c>
      <c r="U911" s="2">
        <f ca="1"/>
        <v>3.9496364337518401E-2</v>
      </c>
      <c r="V911" s="12"/>
      <c r="X911" s="2" cm="1">
        <f t="array" aca="1" ref="X911" ca="1">MMULT(MMULT(_xlfn.ANCHORARRAY(Q911),$Q$9:$U$13),TRANSPOSE(_xlfn.ANCHORARRAY(Q911)))</f>
        <v>3.2514134174514378E-4</v>
      </c>
      <c r="Y911" s="2">
        <f t="shared" ca="1" si="32"/>
        <v>1.8031676065888711E-2</v>
      </c>
      <c r="Z911" s="2" cm="1">
        <f t="array" aca="1" ref="Z911" ca="1">MMULT(_xlfn.ANCHORARRAY(Q911),TRANSPOSE($Q$3:$U$3))</f>
        <v>9.7996359395913181E-4</v>
      </c>
      <c r="AA911" s="11">
        <f ca="1">AVEDEV(Q911*$Q$3,R911*$R$3,S911*$S$3,T911*$T$3,U911*$U$3)</f>
        <v>1.0588694203699885E-4</v>
      </c>
      <c r="AB911" s="11" cm="1">
        <f t="array" aca="1" ref="AB911" ca="1">MMULT(_xlfn.ANCHORARRAY(Q911),TRANSPOSE($Q$6:$U$6))</f>
        <v>-2.3434480336596612E-2</v>
      </c>
      <c r="AD911" s="2" t="s">
        <v>902</v>
      </c>
      <c r="AE911" s="10" cm="1">
        <f t="array" aca="1" ref="AE911:AI911" ca="1">_xlfn.LET(_xlpm.array,_xlfn.RANDARRAY(1,COLUMNS(_xlfn.ANCHORARRAY(Q910)),-1,1,FALSE),_xlpm.array/SUM(_xlpm.array))</f>
        <v>5.4781697312987703</v>
      </c>
      <c r="AF911" s="10">
        <f ca="1"/>
        <v>2.5353657320585223</v>
      </c>
      <c r="AG911" s="10">
        <f ca="1"/>
        <v>-3.5179121627151648</v>
      </c>
      <c r="AH911" s="10">
        <f ca="1"/>
        <v>-0.81575768823698602</v>
      </c>
      <c r="AI911" s="10">
        <f ca="1"/>
        <v>-2.6798656124051417</v>
      </c>
      <c r="AJ911" s="1"/>
      <c r="AK911" s="2" cm="1">
        <f t="array" aca="1" ref="AK911" ca="1">MMULT(MMULT(_xlfn.ANCHORARRAY(AE911),$Q$9:$U$13),TRANSPOSE(_xlfn.ANCHORARRAY(AE911)))</f>
        <v>2.1026476547308451E-2</v>
      </c>
      <c r="AL911" s="2">
        <f t="shared" ca="1" si="33"/>
        <v>0.14500509145305365</v>
      </c>
      <c r="AM911" s="2" cm="1">
        <f t="array" aca="1" ref="AM911" ca="1">MMULT(_xlfn.ANCHORARRAY(AE912),TRANSPOSE($Q$3:$U$3))</f>
        <v>1.4747830230876064E-3</v>
      </c>
    </row>
    <row r="912" spans="1:39" x14ac:dyDescent="0.35">
      <c r="A912" s="3">
        <v>45153</v>
      </c>
      <c r="B912" s="4">
        <v>27.9183444976806</v>
      </c>
      <c r="C912" s="4">
        <v>141.62629699707</v>
      </c>
      <c r="D912" s="4">
        <v>53.364662170410099</v>
      </c>
      <c r="E912" s="4">
        <v>24.577684402465799</v>
      </c>
      <c r="F912" s="4">
        <v>315.10134887695301</v>
      </c>
      <c r="I912" s="5">
        <f>B912/B911-1</f>
        <v>-3.2007737455569285E-2</v>
      </c>
      <c r="J912" s="5">
        <f>C912/C911-1</f>
        <v>-2.9202005351846583E-2</v>
      </c>
      <c r="K912" s="5">
        <f>D912/D911-1</f>
        <v>-1.8146553980993518E-2</v>
      </c>
      <c r="L912" s="5">
        <f>E912/E911-1</f>
        <v>-3.5888720222869708E-3</v>
      </c>
      <c r="M912" s="5">
        <f>F912/F911-1</f>
        <v>-6.7277353718940835E-3</v>
      </c>
      <c r="N912" s="5">
        <f>SUMPRODUCT(I912:M912,$AJ$13:$AN$13)</f>
        <v>-3.1589379507678452E-3</v>
      </c>
      <c r="P912" s="2" t="s">
        <v>903</v>
      </c>
      <c r="Q912" s="10" cm="1">
        <f t="array" aca="1" ref="Q912:U912" ca="1">_xlfn.LET(_xlpm.array,_xlfn.RANDARRAY(1,COLUMNS(_xlfn.ANCHORARRAY(Q911)),0,1,FALSE),_xlpm.array/SUM(_xlpm.array))</f>
        <v>0.37589092760556336</v>
      </c>
      <c r="R912" s="2">
        <f ca="1"/>
        <v>0.12074166250958121</v>
      </c>
      <c r="S912" s="2">
        <f ca="1"/>
        <v>0.30258087457367794</v>
      </c>
      <c r="T912" s="2">
        <f ca="1"/>
        <v>0.18694975190546609</v>
      </c>
      <c r="U912" s="2">
        <f ca="1"/>
        <v>1.3836783405711279E-2</v>
      </c>
      <c r="V912" s="12"/>
      <c r="X912" s="2" cm="1">
        <f t="array" aca="1" ref="X912" ca="1">MMULT(MMULT(_xlfn.ANCHORARRAY(Q912),$Q$9:$U$13),TRANSPOSE(_xlfn.ANCHORARRAY(Q912)))</f>
        <v>3.4012429467617574E-4</v>
      </c>
      <c r="Y912" s="2">
        <f t="shared" ca="1" si="32"/>
        <v>1.8442459019235361E-2</v>
      </c>
      <c r="Z912" s="2" cm="1">
        <f t="array" aca="1" ref="Z912" ca="1">MMULT(_xlfn.ANCHORARRAY(Q912),TRANSPOSE($Q$3:$U$3))</f>
        <v>9.7218118944694361E-4</v>
      </c>
      <c r="AA912" s="11">
        <f ca="1">AVEDEV(Q912*$Q$3,R912*$R$3,S912*$S$3,T912*$T$3,U912*$U$3)</f>
        <v>1.1878213454615445E-4</v>
      </c>
      <c r="AB912" s="11" cm="1">
        <f t="array" aca="1" ref="AB912" ca="1">MMULT(_xlfn.ANCHORARRAY(Q912),TRANSPOSE($Q$6:$U$6))</f>
        <v>-2.3807659531497417E-2</v>
      </c>
      <c r="AD912" s="2" t="s">
        <v>903</v>
      </c>
      <c r="AE912" s="10" cm="1">
        <f t="array" aca="1" ref="AE912:AI912" ca="1">_xlfn.LET(_xlpm.array,_xlfn.RANDARRAY(1,COLUMNS(_xlfn.ANCHORARRAY(Q911)),-1,1,FALSE),_xlpm.array/SUM(_xlpm.array))</f>
        <v>-0.4510889327591921</v>
      </c>
      <c r="AF912" s="10">
        <f ca="1"/>
        <v>-0.61699751921434709</v>
      </c>
      <c r="AG912" s="10">
        <f ca="1"/>
        <v>0.64470540454379288</v>
      </c>
      <c r="AH912" s="10">
        <f ca="1"/>
        <v>7.3696114509681415E-2</v>
      </c>
      <c r="AI912" s="10">
        <f ca="1"/>
        <v>1.3496849329200649</v>
      </c>
      <c r="AJ912" s="1"/>
      <c r="AK912" s="2" cm="1">
        <f t="array" aca="1" ref="AK912" ca="1">MMULT(MMULT(_xlfn.ANCHORARRAY(AE912),$Q$9:$U$13),TRANSPOSE(_xlfn.ANCHORARRAY(AE912)))</f>
        <v>1.1055867848741967E-3</v>
      </c>
      <c r="AL912" s="2">
        <f t="shared" ca="1" si="33"/>
        <v>3.325036518407274E-2</v>
      </c>
      <c r="AM912" s="2" cm="1">
        <f t="array" aca="1" ref="AM912" ca="1">MMULT(_xlfn.ANCHORARRAY(AE913),TRANSPOSE($Q$3:$U$3))</f>
        <v>-1.0832350281792633E-3</v>
      </c>
    </row>
    <row r="913" spans="1:39" x14ac:dyDescent="0.35">
      <c r="A913" s="3">
        <v>45154</v>
      </c>
      <c r="B913" s="4">
        <v>27.312236785888601</v>
      </c>
      <c r="C913" s="4">
        <v>141.08375549316401</v>
      </c>
      <c r="D913" s="4">
        <v>52.876308441162102</v>
      </c>
      <c r="E913" s="4">
        <v>24.0706787109375</v>
      </c>
      <c r="F913" s="4">
        <v>314.33615112304602</v>
      </c>
      <c r="I913" s="5">
        <f>B913/B912-1</f>
        <v>-2.1710016216840988E-2</v>
      </c>
      <c r="J913" s="5">
        <f>C913/C912-1</f>
        <v>-3.8307963662794764E-3</v>
      </c>
      <c r="K913" s="5">
        <f>D913/D912-1</f>
        <v>-9.1512568315064158E-3</v>
      </c>
      <c r="L913" s="5">
        <f>E913/E912-1</f>
        <v>-2.0628700540944123E-2</v>
      </c>
      <c r="M913" s="5">
        <f>F913/F912-1</f>
        <v>-2.4284178935894962E-3</v>
      </c>
      <c r="N913" s="5">
        <f>SUMPRODUCT(I913:M913,$AJ$13:$AN$13)</f>
        <v>-8.8105763835941708E-3</v>
      </c>
      <c r="P913" s="2" t="s">
        <v>904</v>
      </c>
      <c r="Q913" s="10" cm="1">
        <f t="array" aca="1" ref="Q913:U913" ca="1">_xlfn.LET(_xlpm.array,_xlfn.RANDARRAY(1,COLUMNS(_xlfn.ANCHORARRAY(Q912)),0,1,FALSE),_xlpm.array/SUM(_xlpm.array))</f>
        <v>0.26987875906656017</v>
      </c>
      <c r="R913" s="2">
        <f ca="1"/>
        <v>0.29348495123878771</v>
      </c>
      <c r="S913" s="2">
        <f ca="1"/>
        <v>3.9971411523646568E-4</v>
      </c>
      <c r="T913" s="2">
        <f ca="1"/>
        <v>0.18534205827922934</v>
      </c>
      <c r="U913" s="2">
        <f ca="1"/>
        <v>0.25089451730018619</v>
      </c>
      <c r="V913" s="12"/>
      <c r="X913" s="2" cm="1">
        <f t="array" aca="1" ref="X913" ca="1">MMULT(MMULT(_xlfn.ANCHORARRAY(Q913),$Q$9:$U$13),TRANSPOSE(_xlfn.ANCHORARRAY(Q913)))</f>
        <v>2.7083476790973164E-4</v>
      </c>
      <c r="Y913" s="2">
        <f t="shared" ca="1" si="32"/>
        <v>1.6457058300611675E-2</v>
      </c>
      <c r="Z913" s="2" cm="1">
        <f t="array" aca="1" ref="Z913" ca="1">MMULT(_xlfn.ANCHORARRAY(Q913),TRANSPOSE($Q$3:$U$3))</f>
        <v>7.3337442481921135E-4</v>
      </c>
      <c r="AA913" s="11">
        <f ca="1">AVEDEV(Q913*$Q$3,R913*$R$3,S913*$S$3,T913*$T$3,U913*$U$3)</f>
        <v>6.2214306957153053E-5</v>
      </c>
      <c r="AB913" s="11" cm="1">
        <f t="array" aca="1" ref="AB913" ca="1">MMULT(_xlfn.ANCHORARRAY(Q913),TRANSPOSE($Q$6:$U$6))</f>
        <v>-2.1602055832836024E-2</v>
      </c>
      <c r="AD913" s="2" t="s">
        <v>904</v>
      </c>
      <c r="AE913" s="10" cm="1">
        <f t="array" aca="1" ref="AE913:AI913" ca="1">_xlfn.LET(_xlpm.array,_xlfn.RANDARRAY(1,COLUMNS(_xlfn.ANCHORARRAY(Q912)),-1,1,FALSE),_xlpm.array/SUM(_xlpm.array))</f>
        <v>0.70025068618705177</v>
      </c>
      <c r="AF913" s="10">
        <f ca="1"/>
        <v>5.1434097020035487</v>
      </c>
      <c r="AG913" s="10">
        <f ca="1"/>
        <v>-0.64206322006556393</v>
      </c>
      <c r="AH913" s="10">
        <f ca="1"/>
        <v>-3.6560310141133749</v>
      </c>
      <c r="AI913" s="10">
        <f ca="1"/>
        <v>-0.54556615401166153</v>
      </c>
      <c r="AJ913" s="1"/>
      <c r="AK913" s="2" cm="1">
        <f t="array" aca="1" ref="AK913" ca="1">MMULT(MMULT(_xlfn.ANCHORARRAY(AE913),$Q$9:$U$13),TRANSPOSE(_xlfn.ANCHORARRAY(AE913)))</f>
        <v>6.656903006319311E-3</v>
      </c>
      <c r="AL913" s="2">
        <f t="shared" ca="1" si="33"/>
        <v>8.1589846220711262E-2</v>
      </c>
      <c r="AM913" s="2" cm="1">
        <f t="array" aca="1" ref="AM913" ca="1">MMULT(_xlfn.ANCHORARRAY(AE914),TRANSPOSE($Q$3:$U$3))</f>
        <v>-2.649058959298152E-2</v>
      </c>
    </row>
    <row r="914" spans="1:39" x14ac:dyDescent="0.35">
      <c r="A914" s="3">
        <v>45155</v>
      </c>
      <c r="B914" s="4">
        <v>27.302909851074201</v>
      </c>
      <c r="C914" s="4">
        <v>143.44532775878901</v>
      </c>
      <c r="D914" s="4">
        <v>52.531585693359297</v>
      </c>
      <c r="E914" s="4">
        <v>24.505254745483398</v>
      </c>
      <c r="F914" s="4">
        <v>310.88275146484301</v>
      </c>
      <c r="I914" s="5">
        <f>B914/B913-1</f>
        <v>-3.4149289519991299E-4</v>
      </c>
      <c r="J914" s="5">
        <f>C914/C913-1</f>
        <v>1.6738796450165516E-2</v>
      </c>
      <c r="K914" s="5">
        <f>D914/D913-1</f>
        <v>-6.5194178255918445E-3</v>
      </c>
      <c r="L914" s="5">
        <f>E914/E913-1</f>
        <v>1.8054166222925438E-2</v>
      </c>
      <c r="M914" s="5">
        <f>F914/F913-1</f>
        <v>-1.0986326726546869E-2</v>
      </c>
      <c r="N914" s="5">
        <f>SUMPRODUCT(I914:M914,$AJ$13:$AN$13)</f>
        <v>9.2187842277389022E-4</v>
      </c>
      <c r="P914" s="2" t="s">
        <v>905</v>
      </c>
      <c r="Q914" s="10" cm="1">
        <f t="array" aca="1" ref="Q914:U914" ca="1">_xlfn.LET(_xlpm.array,_xlfn.RANDARRAY(1,COLUMNS(_xlfn.ANCHORARRAY(Q913)),0,1,FALSE),_xlpm.array/SUM(_xlpm.array))</f>
        <v>0.27886403849710145</v>
      </c>
      <c r="R914" s="2">
        <f ca="1"/>
        <v>2.7763473273782809E-3</v>
      </c>
      <c r="S914" s="2">
        <f ca="1"/>
        <v>0.26332133178277689</v>
      </c>
      <c r="T914" s="2">
        <f ca="1"/>
        <v>0.25257135712245088</v>
      </c>
      <c r="U914" s="2">
        <f ca="1"/>
        <v>0.20246692527029259</v>
      </c>
      <c r="V914" s="12"/>
      <c r="X914" s="2" cm="1">
        <f t="array" aca="1" ref="X914" ca="1">MMULT(MMULT(_xlfn.ANCHORARRAY(Q914),$Q$9:$U$13),TRANSPOSE(_xlfn.ANCHORARRAY(Q914)))</f>
        <v>2.9536809348159173E-4</v>
      </c>
      <c r="Y914" s="2">
        <f t="shared" ca="1" si="32"/>
        <v>1.7186276312267056E-2</v>
      </c>
      <c r="Z914" s="2" cm="1">
        <f t="array" aca="1" ref="Z914" ca="1">MMULT(_xlfn.ANCHORARRAY(Q914),TRANSPOSE($Q$3:$U$3))</f>
        <v>9.8428186969281022E-4</v>
      </c>
      <c r="AA914" s="11">
        <f ca="1">AVEDEV(Q914*$Q$3,R914*$R$3,S914*$S$3,T914*$T$3,U914*$U$3)</f>
        <v>1.1678100909410326E-4</v>
      </c>
      <c r="AB914" s="11" cm="1">
        <f t="array" aca="1" ref="AB914" ca="1">MMULT(_xlfn.ANCHORARRAY(Q914),TRANSPOSE($Q$6:$U$6))</f>
        <v>-2.3663416550981003E-2</v>
      </c>
      <c r="AD914" s="2" t="s">
        <v>905</v>
      </c>
      <c r="AE914" s="10" cm="1">
        <f t="array" aca="1" ref="AE914:AI914" ca="1">_xlfn.LET(_xlpm.array,_xlfn.RANDARRAY(1,COLUMNS(_xlfn.ANCHORARRAY(Q913)),-1,1,FALSE),_xlpm.array/SUM(_xlpm.array))</f>
        <v>-21.154768624869597</v>
      </c>
      <c r="AF914" s="10">
        <f ca="1"/>
        <v>38.000826091500421</v>
      </c>
      <c r="AG914" s="10">
        <f ca="1"/>
        <v>-46.586763391979247</v>
      </c>
      <c r="AH914" s="10">
        <f ca="1"/>
        <v>33.71333920649851</v>
      </c>
      <c r="AI914" s="10">
        <f ca="1"/>
        <v>-2.9726332811500829</v>
      </c>
      <c r="AJ914" s="1"/>
      <c r="AK914" s="2" cm="1">
        <f t="array" aca="1" ref="AK914" ca="1">MMULT(MMULT(_xlfn.ANCHORARRAY(AE914),$Q$9:$U$13),TRANSPOSE(_xlfn.ANCHORARRAY(AE914)))</f>
        <v>2.679848906530482</v>
      </c>
      <c r="AL914" s="2">
        <f t="shared" ca="1" si="33"/>
        <v>1.6370244062110015</v>
      </c>
      <c r="AM914" s="2" cm="1">
        <f t="array" aca="1" ref="AM914" ca="1">MMULT(_xlfn.ANCHORARRAY(AE915),TRANSPOSE($Q$3:$U$3))</f>
        <v>9.4300063985177989E-4</v>
      </c>
    </row>
    <row r="915" spans="1:39" x14ac:dyDescent="0.35">
      <c r="A915" s="3">
        <v>45156</v>
      </c>
      <c r="B915" s="4">
        <v>27.144390106201101</v>
      </c>
      <c r="C915" s="4">
        <v>144.47795104980401</v>
      </c>
      <c r="D915" s="4">
        <v>52.598617553710902</v>
      </c>
      <c r="E915" s="4">
        <v>24.456966400146399</v>
      </c>
      <c r="F915" s="4">
        <v>310.49038696289</v>
      </c>
      <c r="I915" s="5">
        <f>B915/B914-1</f>
        <v>-5.8059652153472641E-3</v>
      </c>
      <c r="J915" s="5">
        <f>C915/C914-1</f>
        <v>7.1987237726656161E-3</v>
      </c>
      <c r="K915" s="5">
        <f>D915/D914-1</f>
        <v>1.2760296394418447E-3</v>
      </c>
      <c r="L915" s="5">
        <f>E915/E914-1</f>
        <v>-1.9705302327411856E-3</v>
      </c>
      <c r="M915" s="5">
        <f>F915/F914-1</f>
        <v>-1.262098009954693E-3</v>
      </c>
      <c r="N915" s="5">
        <f>SUMPRODUCT(I915:M915,$AJ$13:$AN$13)</f>
        <v>7.6537192901388127E-4</v>
      </c>
      <c r="P915" s="2" t="s">
        <v>906</v>
      </c>
      <c r="Q915" s="10" cm="1">
        <f t="array" aca="1" ref="Q915:U915" ca="1">_xlfn.LET(_xlpm.array,_xlfn.RANDARRAY(1,COLUMNS(_xlfn.ANCHORARRAY(Q914)),0,1,FALSE),_xlpm.array/SUM(_xlpm.array))</f>
        <v>0.34026209084371739</v>
      </c>
      <c r="R915" s="2">
        <f ca="1"/>
        <v>0.14908727161864546</v>
      </c>
      <c r="S915" s="2">
        <f ca="1"/>
        <v>0.21339577651568481</v>
      </c>
      <c r="T915" s="2">
        <f ca="1"/>
        <v>0.20275531018042003</v>
      </c>
      <c r="U915" s="2">
        <f ca="1"/>
        <v>9.4499550841532401E-2</v>
      </c>
      <c r="V915" s="12"/>
      <c r="X915" s="2" cm="1">
        <f t="array" aca="1" ref="X915" ca="1">MMULT(MMULT(_xlfn.ANCHORARRAY(Q915),$Q$9:$U$13),TRANSPOSE(_xlfn.ANCHORARRAY(Q915)))</f>
        <v>3.0314671213703198E-4</v>
      </c>
      <c r="Y915" s="2">
        <f t="shared" ca="1" si="32"/>
        <v>1.7411108871551863E-2</v>
      </c>
      <c r="Z915" s="2" cm="1">
        <f t="array" aca="1" ref="Z915" ca="1">MMULT(_xlfn.ANCHORARRAY(Q915),TRANSPOSE($Q$3:$U$3))</f>
        <v>9.0777782398472357E-4</v>
      </c>
      <c r="AA915" s="11">
        <f ca="1">AVEDEV(Q915*$Q$3,R915*$R$3,S915*$S$3,T915*$T$3,U915*$U$3)</f>
        <v>7.6232829565004687E-5</v>
      </c>
      <c r="AB915" s="11" cm="1">
        <f t="array" aca="1" ref="AB915" ca="1">MMULT(_xlfn.ANCHORARRAY(Q915),TRANSPOSE($Q$6:$U$6))</f>
        <v>-2.3221606055481139E-2</v>
      </c>
      <c r="AD915" s="2" t="s">
        <v>906</v>
      </c>
      <c r="AE915" s="10" cm="1">
        <f t="array" aca="1" ref="AE915:AI915" ca="1">_xlfn.LET(_xlpm.array,_xlfn.RANDARRAY(1,COLUMNS(_xlfn.ANCHORARRAY(Q914)),-1,1,FALSE),_xlpm.array/SUM(_xlpm.array))</f>
        <v>0.11081363827297475</v>
      </c>
      <c r="AF915" s="10">
        <f ca="1"/>
        <v>0.19977303457090473</v>
      </c>
      <c r="AG915" s="10">
        <f ca="1"/>
        <v>0.18734049672917216</v>
      </c>
      <c r="AH915" s="10">
        <f ca="1"/>
        <v>0.20464185742250282</v>
      </c>
      <c r="AI915" s="10">
        <f ca="1"/>
        <v>0.29743097300444543</v>
      </c>
      <c r="AJ915" s="1"/>
      <c r="AK915" s="2" cm="1">
        <f t="array" aca="1" ref="AK915" ca="1">MMULT(MMULT(_xlfn.ANCHORARRAY(AE915),$Q$9:$U$13),TRANSPOSE(_xlfn.ANCHORARRAY(AE915)))</f>
        <v>2.6530602654898684E-4</v>
      </c>
      <c r="AL915" s="2">
        <f t="shared" ca="1" si="33"/>
        <v>1.628821741471383E-2</v>
      </c>
      <c r="AM915" s="2" cm="1">
        <f t="array" aca="1" ref="AM915" ca="1">MMULT(_xlfn.ANCHORARRAY(AE916),TRANSPOSE($Q$3:$U$3))</f>
        <v>7.4171914889734232E-4</v>
      </c>
    </row>
    <row r="916" spans="1:39" x14ac:dyDescent="0.35">
      <c r="A916" s="3">
        <v>45159</v>
      </c>
      <c r="B916" s="4">
        <v>27.181688308715799</v>
      </c>
      <c r="C916" s="4">
        <v>143.993072509765</v>
      </c>
      <c r="D916" s="4">
        <v>53.671077728271399</v>
      </c>
      <c r="E916" s="4">
        <v>24.770826339721602</v>
      </c>
      <c r="F916" s="4">
        <v>315.7880859375</v>
      </c>
      <c r="I916" s="5">
        <f>B916/B915-1</f>
        <v>1.3740666991879369E-3</v>
      </c>
      <c r="J916" s="5">
        <f>C916/C915-1</f>
        <v>-3.3560729268085066E-3</v>
      </c>
      <c r="K916" s="5">
        <f>D916/D915-1</f>
        <v>2.0389512584914504E-2</v>
      </c>
      <c r="L916" s="5">
        <f>E916/E915-1</f>
        <v>1.2833150867530563E-2</v>
      </c>
      <c r="M916" s="5">
        <f>F916/F915-1</f>
        <v>1.706236069473932E-2</v>
      </c>
      <c r="N916" s="5">
        <f>SUMPRODUCT(I916:M916,$AJ$13:$AN$13)</f>
        <v>2.2024798581285504E-2</v>
      </c>
      <c r="P916" s="2" t="s">
        <v>907</v>
      </c>
      <c r="Q916" s="10" cm="1">
        <f t="array" aca="1" ref="Q916:U916" ca="1">_xlfn.LET(_xlpm.array,_xlfn.RANDARRAY(1,COLUMNS(_xlfn.ANCHORARRAY(Q915)),0,1,FALSE),_xlpm.array/SUM(_xlpm.array))</f>
        <v>8.333986054811407E-2</v>
      </c>
      <c r="R916" s="2">
        <f ca="1"/>
        <v>0.35349461541612542</v>
      </c>
      <c r="S916" s="2">
        <f ca="1"/>
        <v>3.981398127774495E-2</v>
      </c>
      <c r="T916" s="2">
        <f ca="1"/>
        <v>0.21319583470249226</v>
      </c>
      <c r="U916" s="2">
        <f ca="1"/>
        <v>0.31015570805552334</v>
      </c>
      <c r="V916" s="12"/>
      <c r="X916" s="2" cm="1">
        <f t="array" aca="1" ref="X916" ca="1">MMULT(MMULT(_xlfn.ANCHORARRAY(Q916),$Q$9:$U$13),TRANSPOSE(_xlfn.ANCHORARRAY(Q916)))</f>
        <v>2.651471191318909E-4</v>
      </c>
      <c r="Y916" s="2">
        <f t="shared" ca="1" si="32"/>
        <v>1.6283338697327735E-2</v>
      </c>
      <c r="Z916" s="2" cm="1">
        <f t="array" aca="1" ref="Z916" ca="1">MMULT(_xlfn.ANCHORARRAY(Q916),TRANSPOSE($Q$3:$U$3))</f>
        <v>8.2017897319126029E-4</v>
      </c>
      <c r="AA916" s="11">
        <f ca="1">AVEDEV(Q916*$Q$3,R916*$R$3,S916*$S$3,T916*$T$3,U916*$U$3)</f>
        <v>8.8422592612060052E-5</v>
      </c>
      <c r="AB916" s="11" cm="1">
        <f t="array" aca="1" ref="AB916" ca="1">MMULT(_xlfn.ANCHORARRAY(Q916),TRANSPOSE($Q$6:$U$6))</f>
        <v>-2.1771258478447721E-2</v>
      </c>
      <c r="AD916" s="2" t="s">
        <v>907</v>
      </c>
      <c r="AE916" s="10" cm="1">
        <f t="array" aca="1" ref="AE916:AI916" ca="1">_xlfn.LET(_xlpm.array,_xlfn.RANDARRAY(1,COLUMNS(_xlfn.ANCHORARRAY(Q915)),-1,1,FALSE),_xlpm.array/SUM(_xlpm.array))</f>
        <v>0.54341000611550616</v>
      </c>
      <c r="AF916" s="10">
        <f ca="1"/>
        <v>3.8832470575263039E-2</v>
      </c>
      <c r="AG916" s="10">
        <f ca="1"/>
        <v>0.14250076896846822</v>
      </c>
      <c r="AH916" s="10">
        <f ca="1"/>
        <v>-1.8602627748765144E-2</v>
      </c>
      <c r="AI916" s="10">
        <f ca="1"/>
        <v>0.29385938208952772</v>
      </c>
      <c r="AJ916" s="1"/>
      <c r="AK916" s="2" cm="1">
        <f t="array" aca="1" ref="AK916" ca="1">MMULT(MMULT(_xlfn.ANCHORARRAY(AE916),$Q$9:$U$13),TRANSPOSE(_xlfn.ANCHORARRAY(AE916)))</f>
        <v>3.0282761210165195E-4</v>
      </c>
      <c r="AL916" s="2">
        <f t="shared" ca="1" si="33"/>
        <v>1.7401942768025987E-2</v>
      </c>
      <c r="AM916" s="2" cm="1">
        <f t="array" aca="1" ref="AM916" ca="1">MMULT(_xlfn.ANCHORARRAY(AE917),TRANSPOSE($Q$3:$U$3))</f>
        <v>1.3736202167022465E-3</v>
      </c>
    </row>
    <row r="917" spans="1:39" x14ac:dyDescent="0.35">
      <c r="A917" s="3">
        <v>45160</v>
      </c>
      <c r="B917" s="4">
        <v>26.5196323394775</v>
      </c>
      <c r="C917" s="4">
        <v>142.80780029296801</v>
      </c>
      <c r="D917" s="4">
        <v>53.431690216064403</v>
      </c>
      <c r="E917" s="4">
        <v>24.609874725341701</v>
      </c>
      <c r="F917" s="4">
        <v>316.35714721679602</v>
      </c>
      <c r="I917" s="5">
        <f>B917/B916-1</f>
        <v>-2.4356690493945954E-2</v>
      </c>
      <c r="J917" s="5">
        <f>C917/C916-1</f>
        <v>-8.2314530563031285E-3</v>
      </c>
      <c r="K917" s="5">
        <f>D917/D916-1</f>
        <v>-4.460270267330535E-3</v>
      </c>
      <c r="L917" s="5">
        <f>E917/E916-1</f>
        <v>-6.4976279827130279E-3</v>
      </c>
      <c r="M917" s="5">
        <f>F917/F916-1</f>
        <v>1.8020353035379522E-3</v>
      </c>
      <c r="N917" s="5">
        <f>SUMPRODUCT(I917:M917,$AJ$13:$AN$13)</f>
        <v>2.5575194033990636E-3</v>
      </c>
      <c r="P917" s="2" t="s">
        <v>908</v>
      </c>
      <c r="Q917" s="10" cm="1">
        <f t="array" aca="1" ref="Q917:U917" ca="1">_xlfn.LET(_xlpm.array,_xlfn.RANDARRAY(1,COLUMNS(_xlfn.ANCHORARRAY(Q916)),0,1,FALSE),_xlpm.array/SUM(_xlpm.array))</f>
        <v>0.10124354471661308</v>
      </c>
      <c r="R917" s="2">
        <f ca="1"/>
        <v>0.2310663631391458</v>
      </c>
      <c r="S917" s="2">
        <f ca="1"/>
        <v>0.18925013714692626</v>
      </c>
      <c r="T917" s="2">
        <f ca="1"/>
        <v>0.24372579678433534</v>
      </c>
      <c r="U917" s="2">
        <f ca="1"/>
        <v>0.23471415821297947</v>
      </c>
      <c r="V917" s="12"/>
      <c r="X917" s="2" cm="1">
        <f t="array" aca="1" ref="X917" ca="1">MMULT(MMULT(_xlfn.ANCHORARRAY(Q917),$Q$9:$U$13),TRANSPOSE(_xlfn.ANCHORARRAY(Q917)))</f>
        <v>2.7683119236003801E-4</v>
      </c>
      <c r="Y917" s="2">
        <f t="shared" ca="1" si="32"/>
        <v>1.6638244870179005E-2</v>
      </c>
      <c r="Z917" s="2" cm="1">
        <f t="array" aca="1" ref="Z917" ca="1">MMULT(_xlfn.ANCHORARRAY(Q917),TRANSPOSE($Q$3:$U$3))</f>
        <v>9.5604917033088128E-4</v>
      </c>
      <c r="AA917" s="11">
        <f ca="1">AVEDEV(Q917*$Q$3,R917*$R$3,S917*$S$3,T917*$T$3,U917*$U$3)</f>
        <v>6.9566859673216827E-5</v>
      </c>
      <c r="AB917" s="11" cm="1">
        <f t="array" aca="1" ref="AB917" ca="1">MMULT(_xlfn.ANCHORARRAY(Q917),TRANSPOSE($Q$6:$U$6))</f>
        <v>-2.2943229147609098E-2</v>
      </c>
      <c r="AD917" s="2" t="s">
        <v>908</v>
      </c>
      <c r="AE917" s="10" cm="1">
        <f t="array" aca="1" ref="AE917:AI917" ca="1">_xlfn.LET(_xlpm.array,_xlfn.RANDARRAY(1,COLUMNS(_xlfn.ANCHORARRAY(Q916)),-1,1,FALSE),_xlpm.array/SUM(_xlpm.array))</f>
        <v>5.0583844700729713E-2</v>
      </c>
      <c r="AF917" s="10">
        <f ca="1"/>
        <v>0.32459524007476515</v>
      </c>
      <c r="AG917" s="10">
        <f ca="1"/>
        <v>0.51761795224289109</v>
      </c>
      <c r="AH917" s="10">
        <f ca="1"/>
        <v>0.733253121396369</v>
      </c>
      <c r="AI917" s="10">
        <f ca="1"/>
        <v>-0.62605015841475509</v>
      </c>
      <c r="AJ917" s="1"/>
      <c r="AK917" s="2" cm="1">
        <f t="array" aca="1" ref="AK917" ca="1">MMULT(MMULT(_xlfn.ANCHORARRAY(AE917),$Q$9:$U$13),TRANSPOSE(_xlfn.ANCHORARRAY(AE917)))</f>
        <v>8.4689094705027608E-4</v>
      </c>
      <c r="AL917" s="2">
        <f t="shared" ca="1" si="33"/>
        <v>2.9101390809551975E-2</v>
      </c>
      <c r="AM917" s="2" cm="1">
        <f t="array" aca="1" ref="AM917" ca="1">MMULT(_xlfn.ANCHORARRAY(AE918),TRANSPOSE($Q$3:$U$3))</f>
        <v>9.7357785718784609E-4</v>
      </c>
    </row>
    <row r="918" spans="1:39" x14ac:dyDescent="0.35">
      <c r="A918" s="3">
        <v>45161</v>
      </c>
      <c r="B918" s="4">
        <v>26.528955459594702</v>
      </c>
      <c r="C918" s="4">
        <v>142.99635314941401</v>
      </c>
      <c r="D918" s="4">
        <v>54.41796875</v>
      </c>
      <c r="E918" s="4">
        <v>24.2074871063232</v>
      </c>
      <c r="F918" s="4">
        <v>320.81124877929602</v>
      </c>
      <c r="I918" s="5">
        <f>B918/B917-1</f>
        <v>3.5155540611797598E-4</v>
      </c>
      <c r="J918" s="5">
        <f>C918/C917-1</f>
        <v>1.3203260330261202E-3</v>
      </c>
      <c r="K918" s="5">
        <f>D918/D917-1</f>
        <v>1.8458681167436986E-2</v>
      </c>
      <c r="L918" s="5">
        <f>E918/E917-1</f>
        <v>-1.6350656941952924E-2</v>
      </c>
      <c r="M918" s="5">
        <f>F918/F917-1</f>
        <v>1.4079345453977155E-2</v>
      </c>
      <c r="N918" s="5">
        <f>SUMPRODUCT(I918:M918,$AJ$13:$AN$13)</f>
        <v>6.5291971002543105E-3</v>
      </c>
      <c r="P918" s="2" t="s">
        <v>909</v>
      </c>
      <c r="Q918" s="10" cm="1">
        <f t="array" aca="1" ref="Q918:U918" ca="1">_xlfn.LET(_xlpm.array,_xlfn.RANDARRAY(1,COLUMNS(_xlfn.ANCHORARRAY(Q917)),0,1,FALSE),_xlpm.array/SUM(_xlpm.array))</f>
        <v>0.11807049540108688</v>
      </c>
      <c r="R918" s="2">
        <f ca="1"/>
        <v>0.31878402071616496</v>
      </c>
      <c r="S918" s="2">
        <f ca="1"/>
        <v>0.12239786761993203</v>
      </c>
      <c r="T918" s="2">
        <f ca="1"/>
        <v>0.21476055853155498</v>
      </c>
      <c r="U918" s="2">
        <f ca="1"/>
        <v>0.22598705773126113</v>
      </c>
      <c r="V918" s="12"/>
      <c r="X918" s="2" cm="1">
        <f t="array" aca="1" ref="X918" ca="1">MMULT(MMULT(_xlfn.ANCHORARRAY(Q918),$Q$9:$U$13),TRANSPOSE(_xlfn.ANCHORARRAY(Q918)))</f>
        <v>2.7409657095595454E-4</v>
      </c>
      <c r="Y918" s="2">
        <f t="shared" ca="1" si="32"/>
        <v>1.6555862132669338E-2</v>
      </c>
      <c r="Z918" s="2" cm="1">
        <f t="array" aca="1" ref="Z918" ca="1">MMULT(_xlfn.ANCHORARRAY(Q918),TRANSPOSE($Q$3:$U$3))</f>
        <v>8.838217867318173E-4</v>
      </c>
      <c r="AA918" s="11">
        <f ca="1">AVEDEV(Q918*$Q$3,R918*$R$3,S918*$S$3,T918*$T$3,U918*$U$3)</f>
        <v>4.8269105836686848E-5</v>
      </c>
      <c r="AB918" s="11" cm="1">
        <f t="array" aca="1" ref="AB918" ca="1">MMULT(_xlfn.ANCHORARRAY(Q918),TRANSPOSE($Q$6:$U$6))</f>
        <v>-2.2394085237851559E-2</v>
      </c>
      <c r="AD918" s="2" t="s">
        <v>909</v>
      </c>
      <c r="AE918" s="10" cm="1">
        <f t="array" aca="1" ref="AE918:AI918" ca="1">_xlfn.LET(_xlpm.array,_xlfn.RANDARRAY(1,COLUMNS(_xlfn.ANCHORARRAY(Q917)),-1,1,FALSE),_xlpm.array/SUM(_xlpm.array))</f>
        <v>0.25163738903051713</v>
      </c>
      <c r="AF918" s="10">
        <f ca="1"/>
        <v>-0.10907679705295205</v>
      </c>
      <c r="AG918" s="10">
        <f ca="1"/>
        <v>0.26968481747214074</v>
      </c>
      <c r="AH918" s="10">
        <f ca="1"/>
        <v>0.14730118802811981</v>
      </c>
      <c r="AI918" s="10">
        <f ca="1"/>
        <v>0.44045340252217446</v>
      </c>
      <c r="AJ918" s="1"/>
      <c r="AK918" s="2" cm="1">
        <f t="array" aca="1" ref="AK918" ca="1">MMULT(MMULT(_xlfn.ANCHORARRAY(AE918),$Q$9:$U$13),TRANSPOSE(_xlfn.ANCHORARRAY(AE918)))</f>
        <v>2.9667429875539182E-4</v>
      </c>
      <c r="AL918" s="2">
        <f t="shared" ca="1" si="33"/>
        <v>1.7224235795976314E-2</v>
      </c>
      <c r="AM918" s="2" cm="1">
        <f t="array" aca="1" ref="AM918" ca="1">MMULT(_xlfn.ANCHORARRAY(AE919),TRANSPOSE($Q$3:$U$3))</f>
        <v>6.879038155578487E-4</v>
      </c>
    </row>
    <row r="919" spans="1:39" x14ac:dyDescent="0.35">
      <c r="A919" s="3">
        <v>45162</v>
      </c>
      <c r="B919" s="4">
        <v>26.687479019165</v>
      </c>
      <c r="C919" s="4">
        <v>141.820068359375</v>
      </c>
      <c r="D919" s="4">
        <v>54.303062438964801</v>
      </c>
      <c r="E919" s="4">
        <v>23.780961990356399</v>
      </c>
      <c r="F919" s="4">
        <v>313.91427612304602</v>
      </c>
      <c r="I919" s="5">
        <f>B919/B918-1</f>
        <v>5.9754919416914465E-3</v>
      </c>
      <c r="J919" s="5">
        <f>C919/C918-1</f>
        <v>-8.2259775451051231E-3</v>
      </c>
      <c r="K919" s="5">
        <f>D919/D918-1</f>
        <v>-2.1115509026639057E-3</v>
      </c>
      <c r="L919" s="5">
        <f>E919/E918-1</f>
        <v>-1.7619553574207525E-2</v>
      </c>
      <c r="M919" s="5">
        <f>F919/F918-1</f>
        <v>-2.149853748113062E-2</v>
      </c>
      <c r="N919" s="5">
        <f>SUMPRODUCT(I919:M919,$AJ$13:$AN$13)</f>
        <v>-1.7972471604291218E-2</v>
      </c>
      <c r="P919" s="2" t="s">
        <v>910</v>
      </c>
      <c r="Q919" s="10" cm="1">
        <f t="array" aca="1" ref="Q919:U919" ca="1">_xlfn.LET(_xlpm.array,_xlfn.RANDARRAY(1,COLUMNS(_xlfn.ANCHORARRAY(Q918)),0,1,FALSE),_xlpm.array/SUM(_xlpm.array))</f>
        <v>0.17773653210512777</v>
      </c>
      <c r="R919" s="2">
        <f ca="1"/>
        <v>0.13508603627166754</v>
      </c>
      <c r="S919" s="2">
        <f ca="1"/>
        <v>0.20780431771181293</v>
      </c>
      <c r="T919" s="2">
        <f ca="1"/>
        <v>0.36161824728694081</v>
      </c>
      <c r="U919" s="2">
        <f ca="1"/>
        <v>0.1177548666244508</v>
      </c>
      <c r="V919" s="12"/>
      <c r="X919" s="2" cm="1">
        <f t="array" aca="1" ref="X919" ca="1">MMULT(MMULT(_xlfn.ANCHORARRAY(Q919),$Q$9:$U$13),TRANSPOSE(_xlfn.ANCHORARRAY(Q919)))</f>
        <v>3.080763723369273E-4</v>
      </c>
      <c r="Y919" s="2">
        <f t="shared" ca="1" si="32"/>
        <v>1.7552104498803765E-2</v>
      </c>
      <c r="Z919" s="2" cm="1">
        <f t="array" aca="1" ref="Z919" ca="1">MMULT(_xlfn.ANCHORARRAY(Q919),TRANSPOSE($Q$3:$U$3))</f>
        <v>9.8595405091170978E-4</v>
      </c>
      <c r="AA919" s="11">
        <f ca="1">AVEDEV(Q919*$Q$3,R919*$R$3,S919*$S$3,T919*$T$3,U919*$U$3)</f>
        <v>1.2501125884043356E-4</v>
      </c>
      <c r="AB919" s="11" cm="1">
        <f t="array" aca="1" ref="AB919" ca="1">MMULT(_xlfn.ANCHORARRAY(Q919),TRANSPOSE($Q$6:$U$6))</f>
        <v>-2.3735065381219816E-2</v>
      </c>
      <c r="AD919" s="2" t="s">
        <v>910</v>
      </c>
      <c r="AE919" s="10" cm="1">
        <f t="array" aca="1" ref="AE919:AI919" ca="1">_xlfn.LET(_xlpm.array,_xlfn.RANDARRAY(1,COLUMNS(_xlfn.ANCHORARRAY(Q918)),-1,1,FALSE),_xlpm.array/SUM(_xlpm.array))</f>
        <v>0.48486304709144401</v>
      </c>
      <c r="AF919" s="10">
        <f ca="1"/>
        <v>0.14031315307218478</v>
      </c>
      <c r="AG919" s="10">
        <f ca="1"/>
        <v>0.13882655638020397</v>
      </c>
      <c r="AH919" s="10">
        <f ca="1"/>
        <v>-0.26073031958878407</v>
      </c>
      <c r="AI919" s="10">
        <f ca="1"/>
        <v>0.4967275630449513</v>
      </c>
      <c r="AJ919" s="1"/>
      <c r="AK919" s="2" cm="1">
        <f t="array" aca="1" ref="AK919" ca="1">MMULT(MMULT(_xlfn.ANCHORARRAY(AE919),$Q$9:$U$13),TRANSPOSE(_xlfn.ANCHORARRAY(AE919)))</f>
        <v>3.3869366851653634E-4</v>
      </c>
      <c r="AL919" s="2">
        <f t="shared" ca="1" si="33"/>
        <v>1.8403631938194599E-2</v>
      </c>
      <c r="AM919" s="2" cm="1">
        <f t="array" aca="1" ref="AM919" ca="1">MMULT(_xlfn.ANCHORARRAY(AE920),TRANSPOSE($Q$3:$U$3))</f>
        <v>9.0247405263945172E-4</v>
      </c>
    </row>
    <row r="920" spans="1:39" x14ac:dyDescent="0.35">
      <c r="A920" s="3">
        <v>45163</v>
      </c>
      <c r="B920" s="4">
        <v>26.575574874877901</v>
      </c>
      <c r="C920" s="4">
        <v>142.879638671875</v>
      </c>
      <c r="D920" s="4">
        <v>53.824287414550703</v>
      </c>
      <c r="E920" s="4">
        <v>24.159204483032202</v>
      </c>
      <c r="F920" s="4">
        <v>316.86734008789</v>
      </c>
      <c r="I920" s="5">
        <f>B920/B919-1</f>
        <v>-4.193132824825363E-3</v>
      </c>
      <c r="J920" s="5">
        <f>C920/C919-1</f>
        <v>7.4712297403145556E-3</v>
      </c>
      <c r="K920" s="5">
        <f>D920/D919-1</f>
        <v>-8.81672235248665E-3</v>
      </c>
      <c r="L920" s="5">
        <f>E920/E919-1</f>
        <v>1.5905264590607704E-2</v>
      </c>
      <c r="M920" s="5">
        <f>F920/F919-1</f>
        <v>9.407230538589717E-3</v>
      </c>
      <c r="N920" s="5">
        <f>SUMPRODUCT(I920:M920,$AJ$13:$AN$13)</f>
        <v>6.9515990065980235E-3</v>
      </c>
      <c r="P920" s="2" t="s">
        <v>911</v>
      </c>
      <c r="Q920" s="10" cm="1">
        <f t="array" aca="1" ref="Q920:U920" ca="1">_xlfn.LET(_xlpm.array,_xlfn.RANDARRAY(1,COLUMNS(_xlfn.ANCHORARRAY(Q919)),0,1,FALSE),_xlpm.array/SUM(_xlpm.array))</f>
        <v>0.26937138610927452</v>
      </c>
      <c r="R920" s="2">
        <f ca="1"/>
        <v>0.22241506242246284</v>
      </c>
      <c r="S920" s="2">
        <f ca="1"/>
        <v>0.36944072151561497</v>
      </c>
      <c r="T920" s="2">
        <f ca="1"/>
        <v>2.8382311310871069E-2</v>
      </c>
      <c r="U920" s="2">
        <f ca="1"/>
        <v>0.11039051864177661</v>
      </c>
      <c r="V920" s="12"/>
      <c r="X920" s="2" cm="1">
        <f t="array" aca="1" ref="X920" ca="1">MMULT(MMULT(_xlfn.ANCHORARRAY(Q920),$Q$9:$U$13),TRANSPOSE(_xlfn.ANCHORARRAY(Q920)))</f>
        <v>3.3914688737745425E-4</v>
      </c>
      <c r="Y920" s="2">
        <f t="shared" ca="1" si="32"/>
        <v>1.8415941121144318E-2</v>
      </c>
      <c r="Z920" s="2" cm="1">
        <f t="array" aca="1" ref="Z920" ca="1">MMULT(_xlfn.ANCHORARRAY(Q920),TRANSPOSE($Q$3:$U$3))</f>
        <v>1.0127236421844407E-3</v>
      </c>
      <c r="AA920" s="11">
        <f ca="1">AVEDEV(Q920*$Q$3,R920*$R$3,S920*$S$3,T920*$T$3,U920*$U$3)</f>
        <v>1.5897091557830708E-4</v>
      </c>
      <c r="AB920" s="11" cm="1">
        <f t="array" aca="1" ref="AB920" ca="1">MMULT(_xlfn.ANCHORARRAY(Q920),TRANSPOSE($Q$6:$U$6))</f>
        <v>-2.3369066047940392E-2</v>
      </c>
      <c r="AD920" s="2" t="s">
        <v>911</v>
      </c>
      <c r="AE920" s="10" cm="1">
        <f t="array" aca="1" ref="AE920:AI920" ca="1">_xlfn.LET(_xlpm.array,_xlfn.RANDARRAY(1,COLUMNS(_xlfn.ANCHORARRAY(Q919)),-1,1,FALSE),_xlpm.array/SUM(_xlpm.array))</f>
        <v>-0.14418375165041553</v>
      </c>
      <c r="AF920" s="10">
        <f ca="1"/>
        <v>0.63935006084792612</v>
      </c>
      <c r="AG920" s="10">
        <f ca="1"/>
        <v>0.10502978560234405</v>
      </c>
      <c r="AH920" s="10">
        <f ca="1"/>
        <v>0.12664008170403138</v>
      </c>
      <c r="AI920" s="10">
        <f ca="1"/>
        <v>0.27316382349611401</v>
      </c>
      <c r="AJ920" s="1"/>
      <c r="AK920" s="2" cm="1">
        <f t="array" aca="1" ref="AK920" ca="1">MMULT(MMULT(_xlfn.ANCHORARRAY(AE920),$Q$9:$U$13),TRANSPOSE(_xlfn.ANCHORARRAY(AE920)))</f>
        <v>3.1356300471730597E-4</v>
      </c>
      <c r="AL920" s="2">
        <f t="shared" ca="1" si="33"/>
        <v>1.7707710318313488E-2</v>
      </c>
      <c r="AM920" s="2" cm="1">
        <f t="array" aca="1" ref="AM920" ca="1">MMULT(_xlfn.ANCHORARRAY(AE921),TRANSPOSE($Q$3:$U$3))</f>
        <v>7.9131883077541889E-4</v>
      </c>
    </row>
    <row r="921" spans="1:39" x14ac:dyDescent="0.35">
      <c r="A921" s="3">
        <v>45166</v>
      </c>
      <c r="B921" s="4">
        <v>26.8180236816406</v>
      </c>
      <c r="C921" s="4">
        <v>143.8583984375</v>
      </c>
      <c r="D921" s="4">
        <v>54.762687683105398</v>
      </c>
      <c r="E921" s="4">
        <v>24.384534835815401</v>
      </c>
      <c r="F921" s="4">
        <v>317.57373046875</v>
      </c>
      <c r="I921" s="5">
        <f>B921/B920-1</f>
        <v>9.1229938732910743E-3</v>
      </c>
      <c r="J921" s="5">
        <f>C921/C920-1</f>
        <v>6.8502396473211213E-3</v>
      </c>
      <c r="K921" s="5">
        <f>D921/D920-1</f>
        <v>1.7434513555696585E-2</v>
      </c>
      <c r="L921" s="5">
        <f>E921/E920-1</f>
        <v>9.3268945565427863E-3</v>
      </c>
      <c r="M921" s="5">
        <f>F921/F920-1</f>
        <v>2.2292937500723031E-3</v>
      </c>
      <c r="N921" s="5">
        <f>SUMPRODUCT(I921:M921,$AJ$13:$AN$13)</f>
        <v>1.1317495138016458E-2</v>
      </c>
      <c r="P921" s="2" t="s">
        <v>912</v>
      </c>
      <c r="Q921" s="10" cm="1">
        <f t="array" aca="1" ref="Q921:U921" ca="1">_xlfn.LET(_xlpm.array,_xlfn.RANDARRAY(1,COLUMNS(_xlfn.ANCHORARRAY(Q920)),0,1,FALSE),_xlpm.array/SUM(_xlpm.array))</f>
        <v>0.26282464251569904</v>
      </c>
      <c r="R921" s="2">
        <f ca="1"/>
        <v>1.6013747416449103E-2</v>
      </c>
      <c r="S921" s="2">
        <f ca="1"/>
        <v>0.15361684670910986</v>
      </c>
      <c r="T921" s="2">
        <f ca="1"/>
        <v>0.28145979676964039</v>
      </c>
      <c r="U921" s="2">
        <f ca="1"/>
        <v>0.28608496658910171</v>
      </c>
      <c r="V921" s="12"/>
      <c r="X921" s="2" cm="1">
        <f t="array" aca="1" ref="X921" ca="1">MMULT(MMULT(_xlfn.ANCHORARRAY(Q921),$Q$9:$U$13),TRANSPOSE(_xlfn.ANCHORARRAY(Q921)))</f>
        <v>2.6690295900375647E-4</v>
      </c>
      <c r="Y921" s="2">
        <f t="shared" ca="1" si="32"/>
        <v>1.6337164962249615E-2</v>
      </c>
      <c r="Z921" s="2" cm="1">
        <f t="array" aca="1" ref="Z921" ca="1">MMULT(_xlfn.ANCHORARRAY(Q921),TRANSPOSE($Q$3:$U$3))</f>
        <v>9.0110470761532485E-4</v>
      </c>
      <c r="AA921" s="11">
        <f ca="1">AVEDEV(Q921*$Q$3,R921*$R$3,S921*$S$3,T921*$T$3,U921*$U$3)</f>
        <v>8.6067352447961767E-5</v>
      </c>
      <c r="AB921" s="11" cm="1">
        <f t="array" aca="1" ref="AB921" ca="1">MMULT(_xlfn.ANCHORARRAY(Q921),TRANSPOSE($Q$6:$U$6))</f>
        <v>-2.302102718671372E-2</v>
      </c>
      <c r="AD921" s="2" t="s">
        <v>912</v>
      </c>
      <c r="AE921" s="10" cm="1">
        <f t="array" aca="1" ref="AE921:AI921" ca="1">_xlfn.LET(_xlpm.array,_xlfn.RANDARRAY(1,COLUMNS(_xlfn.ANCHORARRAY(Q920)),-1,1,FALSE),_xlpm.array/SUM(_xlpm.array))</f>
        <v>0.58650009589937169</v>
      </c>
      <c r="AF921" s="10">
        <f ca="1"/>
        <v>0.39554876267842909</v>
      </c>
      <c r="AG921" s="10">
        <f ca="1"/>
        <v>0.42727972458406654</v>
      </c>
      <c r="AH921" s="10">
        <f ca="1"/>
        <v>-0.68716542293270599</v>
      </c>
      <c r="AI921" s="10">
        <f ca="1"/>
        <v>0.27783683977083862</v>
      </c>
      <c r="AJ921" s="1"/>
      <c r="AK921" s="2" cm="1">
        <f t="array" aca="1" ref="AK921" ca="1">MMULT(MMULT(_xlfn.ANCHORARRAY(AE921),$Q$9:$U$13),TRANSPOSE(_xlfn.ANCHORARRAY(AE921)))</f>
        <v>5.9986091369177005E-4</v>
      </c>
      <c r="AL921" s="2">
        <f t="shared" ca="1" si="33"/>
        <v>2.4492058175902044E-2</v>
      </c>
      <c r="AM921" s="2" cm="1">
        <f t="array" aca="1" ref="AM921" ca="1">MMULT(_xlfn.ANCHORARRAY(AE922),TRANSPOSE($Q$3:$U$3))</f>
        <v>8.3380532818762461E-4</v>
      </c>
    </row>
    <row r="922" spans="1:39" x14ac:dyDescent="0.35">
      <c r="A922" s="3">
        <v>45167</v>
      </c>
      <c r="B922" s="4">
        <v>27.2003364562988</v>
      </c>
      <c r="C922" s="4">
        <v>143.63391113281199</v>
      </c>
      <c r="D922" s="4">
        <v>54.101974487304602</v>
      </c>
      <c r="E922" s="4">
        <v>24.819114685058501</v>
      </c>
      <c r="F922" s="4">
        <v>322.19451904296801</v>
      </c>
      <c r="I922" s="5">
        <f>B922/B921-1</f>
        <v>1.4255814641551234E-2</v>
      </c>
      <c r="J922" s="5">
        <f>C922/C921-1</f>
        <v>-1.560474099018605E-3</v>
      </c>
      <c r="K922" s="5">
        <f>D922/D921-1</f>
        <v>-1.2065024997022333E-2</v>
      </c>
      <c r="L922" s="5">
        <f>E922/E921-1</f>
        <v>1.7821945432594521E-2</v>
      </c>
      <c r="M922" s="5">
        <f>F922/F921-1</f>
        <v>1.455028590493801E-2</v>
      </c>
      <c r="N922" s="5">
        <f>SUMPRODUCT(I922:M922,$AJ$13:$AN$13)</f>
        <v>2.8341077209567966E-3</v>
      </c>
      <c r="P922" s="2" t="s">
        <v>913</v>
      </c>
      <c r="Q922" s="10" cm="1">
        <f t="array" aca="1" ref="Q922:U922" ca="1">_xlfn.LET(_xlpm.array,_xlfn.RANDARRAY(1,COLUMNS(_xlfn.ANCHORARRAY(Q921)),0,1,FALSE),_xlpm.array/SUM(_xlpm.array))</f>
        <v>0.27396103446620523</v>
      </c>
      <c r="R922" s="2">
        <f ca="1"/>
        <v>0.2959255141429234</v>
      </c>
      <c r="S922" s="2">
        <f ca="1"/>
        <v>0.28181247608640198</v>
      </c>
      <c r="T922" s="2">
        <f ca="1"/>
        <v>8.8182411647616879E-2</v>
      </c>
      <c r="U922" s="2">
        <f ca="1"/>
        <v>6.0118563656852482E-2</v>
      </c>
      <c r="V922" s="12"/>
      <c r="X922" s="2" cm="1">
        <f t="array" aca="1" ref="X922" ca="1">MMULT(MMULT(_xlfn.ANCHORARRAY(Q922),$Q$9:$U$13),TRANSPOSE(_xlfn.ANCHORARRAY(Q922)))</f>
        <v>3.2217250965349775E-4</v>
      </c>
      <c r="Y922" s="2">
        <f t="shared" ref="Y922:Y985" ca="1" si="34">SQRT(X922)</f>
        <v>1.7949164594863398E-2</v>
      </c>
      <c r="Z922" s="2" cm="1">
        <f t="array" aca="1" ref="Z922" ca="1">MMULT(_xlfn.ANCHORARRAY(Q922),TRANSPOSE($Q$3:$U$3))</f>
        <v>9.4907028777357243E-4</v>
      </c>
      <c r="AA922" s="11">
        <f ca="1">AVEDEV(Q922*$Q$3,R922*$R$3,S922*$S$3,T922*$T$3,U922*$U$3)</f>
        <v>1.1765277201488509E-4</v>
      </c>
      <c r="AB922" s="11" cm="1">
        <f t="array" aca="1" ref="AB922" ca="1">MMULT(_xlfn.ANCHORARRAY(Q922),TRANSPOSE($Q$6:$U$6))</f>
        <v>-2.3096111161996672E-2</v>
      </c>
      <c r="AD922" s="2" t="s">
        <v>913</v>
      </c>
      <c r="AE922" s="10" cm="1">
        <f t="array" aca="1" ref="AE922:AI922" ca="1">_xlfn.LET(_xlpm.array,_xlfn.RANDARRAY(1,COLUMNS(_xlfn.ANCHORARRAY(Q921)),-1,1,FALSE),_xlpm.array/SUM(_xlpm.array))</f>
        <v>0.24111414891186392</v>
      </c>
      <c r="AF922" s="10">
        <f ca="1"/>
        <v>0.11181300390235091</v>
      </c>
      <c r="AG922" s="10">
        <f ca="1"/>
        <v>4.6350956825030126E-2</v>
      </c>
      <c r="AH922" s="10">
        <f ca="1"/>
        <v>0.36948941220747766</v>
      </c>
      <c r="AI922" s="10">
        <f ca="1"/>
        <v>0.23123247815327741</v>
      </c>
      <c r="AJ922" s="1"/>
      <c r="AK922" s="2" cm="1">
        <f t="array" aca="1" ref="AK922" ca="1">MMULT(MMULT(_xlfn.ANCHORARRAY(AE922),$Q$9:$U$13),TRANSPOSE(_xlfn.ANCHORARRAY(AE922)))</f>
        <v>2.8005700051810206E-4</v>
      </c>
      <c r="AL922" s="2">
        <f t="shared" ref="AL922:AL985" ca="1" si="35">SQRT(AK922)</f>
        <v>1.6734903660257566E-2</v>
      </c>
      <c r="AM922" s="2" cm="1">
        <f t="array" aca="1" ref="AM922" ca="1">MMULT(_xlfn.ANCHORARRAY(AE923),TRANSPOSE($Q$3:$U$3))</f>
        <v>1.029585983246111E-3</v>
      </c>
    </row>
    <row r="923" spans="1:39" x14ac:dyDescent="0.35">
      <c r="A923" s="3">
        <v>45168</v>
      </c>
      <c r="B923" s="4">
        <v>27.079116821288999</v>
      </c>
      <c r="C923" s="4">
        <v>143.83143615722599</v>
      </c>
      <c r="D923" s="4">
        <v>53.326358795166001</v>
      </c>
      <c r="E923" s="4">
        <v>24.8673992156982</v>
      </c>
      <c r="F923" s="4">
        <v>322.56735229492102</v>
      </c>
      <c r="I923" s="5">
        <f>B923/B922-1</f>
        <v>-4.4565491020509551E-3</v>
      </c>
      <c r="J923" s="5">
        <f>C923/C922-1</f>
        <v>1.3751977012681493E-3</v>
      </c>
      <c r="K923" s="5">
        <f>D923/D922-1</f>
        <v>-1.4336180878585236E-2</v>
      </c>
      <c r="L923" s="5">
        <f>E923/E922-1</f>
        <v>1.9454574126596125E-3</v>
      </c>
      <c r="M923" s="5">
        <f>F923/F922-1</f>
        <v>1.1571682009379192E-3</v>
      </c>
      <c r="N923" s="5">
        <f>SUMPRODUCT(I923:M923,$AJ$13:$AN$13)</f>
        <v>-4.92504223502775E-3</v>
      </c>
      <c r="P923" s="2" t="s">
        <v>914</v>
      </c>
      <c r="Q923" s="10" cm="1">
        <f t="array" aca="1" ref="Q923:U923" ca="1">_xlfn.LET(_xlpm.array,_xlfn.RANDARRAY(1,COLUMNS(_xlfn.ANCHORARRAY(Q922)),0,1,FALSE),_xlpm.array/SUM(_xlpm.array))</f>
        <v>3.0287628114990781E-2</v>
      </c>
      <c r="R923" s="2">
        <f ca="1"/>
        <v>0.27444410835155802</v>
      </c>
      <c r="S923" s="2">
        <f ca="1"/>
        <v>0.32477552791746211</v>
      </c>
      <c r="T923" s="2">
        <f ca="1"/>
        <v>0.20114656108173498</v>
      </c>
      <c r="U923" s="2">
        <f ca="1"/>
        <v>0.16934617453425407</v>
      </c>
      <c r="V923" s="12"/>
      <c r="X923" s="2" cm="1">
        <f t="array" aca="1" ref="X923" ca="1">MMULT(MMULT(_xlfn.ANCHORARRAY(Q923),$Q$9:$U$13),TRANSPOSE(_xlfn.ANCHORARRAY(Q923)))</f>
        <v>3.1801156959408087E-4</v>
      </c>
      <c r="Y923" s="2">
        <f t="shared" ca="1" si="34"/>
        <v>1.7832878892486231E-2</v>
      </c>
      <c r="Z923" s="2" cm="1">
        <f t="array" aca="1" ref="Z923" ca="1">MMULT(_xlfn.ANCHORARRAY(Q923),TRANSPOSE($Q$3:$U$3))</f>
        <v>1.0782589264864216E-3</v>
      </c>
      <c r="AA923" s="11">
        <f ca="1">AVEDEV(Q923*$Q$3,R923*$R$3,S923*$S$3,T923*$T$3,U923*$U$3)</f>
        <v>1.2471356925923405E-4</v>
      </c>
      <c r="AB923" s="11" cm="1">
        <f t="array" aca="1" ref="AB923" ca="1">MMULT(_xlfn.ANCHORARRAY(Q923),TRANSPOSE($Q$6:$U$6))</f>
        <v>-2.3595896801023579E-2</v>
      </c>
      <c r="AD923" s="2" t="s">
        <v>914</v>
      </c>
      <c r="AE923" s="10" cm="1">
        <f t="array" aca="1" ref="AE923:AI923" ca="1">_xlfn.LET(_xlpm.array,_xlfn.RANDARRAY(1,COLUMNS(_xlfn.ANCHORARRAY(Q922)),-1,1,FALSE),_xlpm.array/SUM(_xlpm.array))</f>
        <v>-1.6509290896572354E-2</v>
      </c>
      <c r="AF923" s="10">
        <f ca="1"/>
        <v>0.45197506949202487</v>
      </c>
      <c r="AG923" s="10">
        <f ca="1"/>
        <v>0.18967873222315776</v>
      </c>
      <c r="AH923" s="10">
        <f ca="1"/>
        <v>0.44079064081711744</v>
      </c>
      <c r="AI923" s="10">
        <f ca="1"/>
        <v>-6.5935151635727815E-2</v>
      </c>
      <c r="AJ923" s="1"/>
      <c r="AK923" s="2" cm="1">
        <f t="array" aca="1" ref="AK923" ca="1">MMULT(MMULT(_xlfn.ANCHORARRAY(AE923),$Q$9:$U$13),TRANSPOSE(_xlfn.ANCHORARRAY(AE923)))</f>
        <v>4.2057368698317389E-4</v>
      </c>
      <c r="AL923" s="2">
        <f t="shared" ca="1" si="35"/>
        <v>2.0507893284859219E-2</v>
      </c>
      <c r="AM923" s="2" cm="1">
        <f t="array" aca="1" ref="AM923" ca="1">MMULT(_xlfn.ANCHORARRAY(AE924),TRANSPOSE($Q$3:$U$3))</f>
        <v>-5.6106094086364553E-3</v>
      </c>
    </row>
    <row r="924" spans="1:39" x14ac:dyDescent="0.35">
      <c r="A924" s="3">
        <v>45169</v>
      </c>
      <c r="B924" s="4">
        <v>26.956884384155199</v>
      </c>
      <c r="C924" s="4">
        <v>144.65756225585901</v>
      </c>
      <c r="D924" s="4">
        <v>53.853015899658203</v>
      </c>
      <c r="E924" s="4">
        <v>24.6018257141113</v>
      </c>
      <c r="F924" s="4">
        <v>321.556884765625</v>
      </c>
      <c r="I924" s="5">
        <f>B924/B923-1</f>
        <v>-4.5139004325910337E-3</v>
      </c>
      <c r="J924" s="5">
        <f>C924/C923-1</f>
        <v>5.7437102813180374E-3</v>
      </c>
      <c r="K924" s="5">
        <f>D924/D923-1</f>
        <v>9.8761122340109697E-3</v>
      </c>
      <c r="L924" s="5">
        <f>E924/E923-1</f>
        <v>-1.0679584916916007E-2</v>
      </c>
      <c r="M924" s="5">
        <f>F924/F923-1</f>
        <v>-3.1325784277516089E-3</v>
      </c>
      <c r="N924" s="5">
        <f>SUMPRODUCT(I924:M924,$AJ$13:$AN$13)</f>
        <v>2.2299712708034988E-4</v>
      </c>
      <c r="P924" s="2" t="s">
        <v>915</v>
      </c>
      <c r="Q924" s="10" cm="1">
        <f t="array" aca="1" ref="Q924:U924" ca="1">_xlfn.LET(_xlpm.array,_xlfn.RANDARRAY(1,COLUMNS(_xlfn.ANCHORARRAY(Q923)),0,1,FALSE),_xlpm.array/SUM(_xlpm.array))</f>
        <v>0.25723095950299818</v>
      </c>
      <c r="R924" s="2">
        <f ca="1"/>
        <v>0.25568248651859127</v>
      </c>
      <c r="S924" s="2">
        <f ca="1"/>
        <v>0.17100080438825629</v>
      </c>
      <c r="T924" s="2">
        <f ca="1"/>
        <v>0.24771610819837989</v>
      </c>
      <c r="U924" s="2">
        <f ca="1"/>
        <v>6.8369641391774316E-2</v>
      </c>
      <c r="V924" s="12"/>
      <c r="X924" s="2" cm="1">
        <f t="array" aca="1" ref="X924" ca="1">MMULT(MMULT(_xlfn.ANCHORARRAY(Q924),$Q$9:$U$13),TRANSPOSE(_xlfn.ANCHORARRAY(Q924)))</f>
        <v>3.0832555295114481E-4</v>
      </c>
      <c r="Y924" s="2">
        <f t="shared" ca="1" si="34"/>
        <v>1.755920137566469E-2</v>
      </c>
      <c r="Z924" s="2" cm="1">
        <f t="array" aca="1" ref="Z924" ca="1">MMULT(_xlfn.ANCHORARRAY(Q924),TRANSPOSE($Q$3:$U$3))</f>
        <v>9.0051524423628946E-4</v>
      </c>
      <c r="AA924" s="11">
        <f ca="1">AVEDEV(Q924*$Q$3,R924*$R$3,S924*$S$3,T924*$T$3,U924*$U$3)</f>
        <v>7.0870658643163708E-5</v>
      </c>
      <c r="AB924" s="11" cm="1">
        <f t="array" aca="1" ref="AB924" ca="1">MMULT(_xlfn.ANCHORARRAY(Q924),TRANSPOSE($Q$6:$U$6))</f>
        <v>-2.3077480684932459E-2</v>
      </c>
      <c r="AD924" s="2" t="s">
        <v>915</v>
      </c>
      <c r="AE924" s="10" cm="1">
        <f t="array" aca="1" ref="AE924:AI924" ca="1">_xlfn.LET(_xlpm.array,_xlfn.RANDARRAY(1,COLUMNS(_xlfn.ANCHORARRAY(Q923)),-1,1,FALSE),_xlpm.array/SUM(_xlpm.array))</f>
        <v>20.36226862070825</v>
      </c>
      <c r="AF924" s="10">
        <f ca="1"/>
        <v>-23.538800561823056</v>
      </c>
      <c r="AG924" s="10">
        <f ca="1"/>
        <v>-8.9952624864936261</v>
      </c>
      <c r="AH924" s="10">
        <f ca="1"/>
        <v>22.445229113517193</v>
      </c>
      <c r="AI924" s="10">
        <f ca="1"/>
        <v>-9.2734346859087609</v>
      </c>
      <c r="AJ924" s="1"/>
      <c r="AK924" s="2" cm="1">
        <f t="array" aca="1" ref="AK924" ca="1">MMULT(MMULT(_xlfn.ANCHORARRAY(AE924),$Q$9:$U$13),TRANSPOSE(_xlfn.ANCHORARRAY(AE924)))</f>
        <v>0.31282037042616051</v>
      </c>
      <c r="AL924" s="2">
        <f t="shared" ca="1" si="35"/>
        <v>0.5593034689917098</v>
      </c>
      <c r="AM924" s="2" cm="1">
        <f t="array" aca="1" ref="AM924" ca="1">MMULT(_xlfn.ANCHORARRAY(AE925),TRANSPOSE($Q$3:$U$3))</f>
        <v>9.3188620603881181E-4</v>
      </c>
    </row>
    <row r="925" spans="1:39" x14ac:dyDescent="0.35">
      <c r="A925" s="3">
        <v>45170</v>
      </c>
      <c r="B925" s="4">
        <v>27.2483596801757</v>
      </c>
      <c r="C925" s="4">
        <v>147.53092956542901</v>
      </c>
      <c r="D925" s="4">
        <v>65.295829772949205</v>
      </c>
      <c r="E925" s="4">
        <v>25.430740356445298</v>
      </c>
      <c r="F925" s="4">
        <v>322.43981933593699</v>
      </c>
      <c r="I925" s="5">
        <f>B925/B924-1</f>
        <v>1.0812647777345807E-2</v>
      </c>
      <c r="J925" s="5">
        <f>C925/C924-1</f>
        <v>1.9863236078095925E-2</v>
      </c>
      <c r="K925" s="5">
        <f>D925/D924-1</f>
        <v>0.21248232215279939</v>
      </c>
      <c r="L925" s="5">
        <f>E925/E924-1</f>
        <v>3.3693216591585973E-2</v>
      </c>
      <c r="M925" s="5">
        <f>F925/F924-1</f>
        <v>2.7458114322620464E-3</v>
      </c>
      <c r="N925" s="5">
        <f>SUMPRODUCT(I925:M925,$AJ$13:$AN$13)</f>
        <v>0.12351641120748587</v>
      </c>
      <c r="P925" s="2" t="s">
        <v>916</v>
      </c>
      <c r="Q925" s="10" cm="1">
        <f t="array" aca="1" ref="Q925:U925" ca="1">_xlfn.LET(_xlpm.array,_xlfn.RANDARRAY(1,COLUMNS(_xlfn.ANCHORARRAY(Q924)),0,1,FALSE),_xlpm.array/SUM(_xlpm.array))</f>
        <v>0.22282630367056683</v>
      </c>
      <c r="R925" s="2">
        <f ca="1"/>
        <v>5.3149139317906137E-2</v>
      </c>
      <c r="S925" s="2">
        <f ca="1"/>
        <v>0.28992671222163935</v>
      </c>
      <c r="T925" s="2">
        <f ca="1"/>
        <v>0.25529050961552385</v>
      </c>
      <c r="U925" s="2">
        <f ca="1"/>
        <v>0.17880733517436398</v>
      </c>
      <c r="V925" s="12"/>
      <c r="X925" s="2" cm="1">
        <f t="array" aca="1" ref="X925" ca="1">MMULT(MMULT(_xlfn.ANCHORARRAY(Q925),$Q$9:$U$13),TRANSPOSE(_xlfn.ANCHORARRAY(Q925)))</f>
        <v>3.0262655752213324E-4</v>
      </c>
      <c r="Y925" s="2">
        <f t="shared" ca="1" si="34"/>
        <v>1.7396165023422065E-2</v>
      </c>
      <c r="Z925" s="2" cm="1">
        <f t="array" aca="1" ref="Z925" ca="1">MMULT(_xlfn.ANCHORARRAY(Q925),TRANSPOSE($Q$3:$U$3))</f>
        <v>1.0204740443402764E-3</v>
      </c>
      <c r="AA925" s="11">
        <f ca="1">AVEDEV(Q925*$Q$3,R925*$R$3,S925*$S$3,T925*$T$3,U925*$U$3)</f>
        <v>1.2938429761485661E-4</v>
      </c>
      <c r="AB925" s="11" cm="1">
        <f t="array" aca="1" ref="AB925" ca="1">MMULT(_xlfn.ANCHORARRAY(Q925),TRANSPOSE($Q$6:$U$6))</f>
        <v>-2.380467384365691E-2</v>
      </c>
      <c r="AD925" s="2" t="s">
        <v>916</v>
      </c>
      <c r="AE925" s="10" cm="1">
        <f t="array" aca="1" ref="AE925:AI925" ca="1">_xlfn.LET(_xlpm.array,_xlfn.RANDARRAY(1,COLUMNS(_xlfn.ANCHORARRAY(Q924)),-1,1,FALSE),_xlpm.array/SUM(_xlpm.array))</f>
        <v>0.57264579430204099</v>
      </c>
      <c r="AF925" s="10">
        <f ca="1"/>
        <v>0.43435523167432549</v>
      </c>
      <c r="AG925" s="10">
        <f ca="1"/>
        <v>0.41410826089986796</v>
      </c>
      <c r="AH925" s="10">
        <f ca="1"/>
        <v>-0.10424819446544845</v>
      </c>
      <c r="AI925" s="10">
        <f ca="1"/>
        <v>-0.31686109241078586</v>
      </c>
      <c r="AJ925" s="1"/>
      <c r="AK925" s="2" cm="1">
        <f t="array" aca="1" ref="AK925" ca="1">MMULT(MMULT(_xlfn.ANCHORARRAY(AE925),$Q$9:$U$13),TRANSPOSE(_xlfn.ANCHORARRAY(AE925)))</f>
        <v>5.2393018794848808E-4</v>
      </c>
      <c r="AL925" s="2">
        <f t="shared" ca="1" si="35"/>
        <v>2.2889521356911073E-2</v>
      </c>
      <c r="AM925" s="2" cm="1">
        <f t="array" aca="1" ref="AM925" ca="1">MMULT(_xlfn.ANCHORARRAY(AE926),TRANSPOSE($Q$3:$U$3))</f>
        <v>2.1095458623965535E-3</v>
      </c>
    </row>
    <row r="926" spans="1:39" x14ac:dyDescent="0.35">
      <c r="A926" s="3">
        <v>45174</v>
      </c>
      <c r="B926" s="4">
        <v>26.9380798339843</v>
      </c>
      <c r="C926" s="4">
        <v>149.47047424316401</v>
      </c>
      <c r="D926" s="4">
        <v>65.209648132324205</v>
      </c>
      <c r="E926" s="4">
        <v>25.446836471557599</v>
      </c>
      <c r="F926" s="4">
        <v>327.23727416992102</v>
      </c>
      <c r="I926" s="5">
        <f>B926/B925-1</f>
        <v>-1.1387101823128853E-2</v>
      </c>
      <c r="J926" s="5">
        <f>C926/C925-1</f>
        <v>1.3146698685137848E-2</v>
      </c>
      <c r="K926" s="5">
        <f>D926/D925-1</f>
        <v>-1.3198643914117403E-3</v>
      </c>
      <c r="L926" s="5">
        <f>E926/E925-1</f>
        <v>6.329393044282039E-4</v>
      </c>
      <c r="M926" s="5">
        <f>F926/F925-1</f>
        <v>1.4878605390191479E-2</v>
      </c>
      <c r="N926" s="5">
        <f>SUMPRODUCT(I926:M926,$AJ$13:$AN$13)</f>
        <v>7.4412589604732245E-3</v>
      </c>
      <c r="P926" s="2" t="s">
        <v>917</v>
      </c>
      <c r="Q926" s="10" cm="1">
        <f t="array" aca="1" ref="Q926:U926" ca="1">_xlfn.LET(_xlpm.array,_xlfn.RANDARRAY(1,COLUMNS(_xlfn.ANCHORARRAY(Q925)),0,1,FALSE),_xlpm.array/SUM(_xlpm.array))</f>
        <v>0.3952749030957376</v>
      </c>
      <c r="R926" s="2">
        <f ca="1"/>
        <v>0.27502922269740321</v>
      </c>
      <c r="S926" s="2">
        <f ca="1"/>
        <v>0.13921250818670267</v>
      </c>
      <c r="T926" s="2">
        <f ca="1"/>
        <v>0.13154478141529297</v>
      </c>
      <c r="U926" s="2">
        <f ca="1"/>
        <v>5.8938584604863557E-2</v>
      </c>
      <c r="V926" s="12"/>
      <c r="X926" s="2" cm="1">
        <f t="array" aca="1" ref="X926" ca="1">MMULT(MMULT(_xlfn.ANCHORARRAY(Q926),$Q$9:$U$13),TRANSPOSE(_xlfn.ANCHORARRAY(Q926)))</f>
        <v>3.1053142236533646E-4</v>
      </c>
      <c r="Y926" s="2">
        <f t="shared" ca="1" si="34"/>
        <v>1.7621901780606328E-2</v>
      </c>
      <c r="Z926" s="2" cm="1">
        <f t="array" aca="1" ref="Z926" ca="1">MMULT(_xlfn.ANCHORARRAY(Q926),TRANSPOSE($Q$3:$U$3))</f>
        <v>8.0728308825555608E-4</v>
      </c>
      <c r="AA926" s="11">
        <f ca="1">AVEDEV(Q926*$Q$3,R926*$R$3,S926*$S$3,T926*$T$3,U926*$U$3)</f>
        <v>5.737817287785204E-5</v>
      </c>
      <c r="AB926" s="11" cm="1">
        <f t="array" aca="1" ref="AB926" ca="1">MMULT(_xlfn.ANCHORARRAY(Q926),TRANSPOSE($Q$6:$U$6))</f>
        <v>-2.248275901285323E-2</v>
      </c>
      <c r="AD926" s="2" t="s">
        <v>917</v>
      </c>
      <c r="AE926" s="10" cm="1">
        <f t="array" aca="1" ref="AE926:AI926" ca="1">_xlfn.LET(_xlpm.array,_xlfn.RANDARRAY(1,COLUMNS(_xlfn.ANCHORARRAY(Q925)),-1,1,FALSE),_xlpm.array/SUM(_xlpm.array))</f>
        <v>-1.2297740567896454</v>
      </c>
      <c r="AF926" s="10">
        <f ca="1"/>
        <v>-0.86717626067231757</v>
      </c>
      <c r="AG926" s="10">
        <f ca="1"/>
        <v>0.9410836463065122</v>
      </c>
      <c r="AH926" s="10">
        <f ca="1"/>
        <v>0.74222620431456943</v>
      </c>
      <c r="AI926" s="10">
        <f ca="1"/>
        <v>1.4136404668408813</v>
      </c>
      <c r="AJ926" s="1"/>
      <c r="AK926" s="2" cm="1">
        <f t="array" aca="1" ref="AK926" ca="1">MMULT(MMULT(_xlfn.ANCHORARRAY(AE926),$Q$9:$U$13),TRANSPOSE(_xlfn.ANCHORARRAY(AE926)))</f>
        <v>1.8627524304823937E-3</v>
      </c>
      <c r="AL926" s="2">
        <f t="shared" ca="1" si="35"/>
        <v>4.3159615736037243E-2</v>
      </c>
      <c r="AM926" s="2" cm="1">
        <f t="array" aca="1" ref="AM926" ca="1">MMULT(_xlfn.ANCHORARRAY(AE927),TRANSPOSE($Q$3:$U$3))</f>
        <v>9.0620383715412365E-4</v>
      </c>
    </row>
    <row r="927" spans="1:39" x14ac:dyDescent="0.35">
      <c r="A927" s="3">
        <v>45175</v>
      </c>
      <c r="B927" s="4">
        <v>26.693614959716701</v>
      </c>
      <c r="C927" s="4">
        <v>149.62315368652301</v>
      </c>
      <c r="D927" s="4">
        <v>67.479042053222599</v>
      </c>
      <c r="E927" s="4">
        <v>25.567552566528299</v>
      </c>
      <c r="F927" s="4">
        <v>326.58001708984301</v>
      </c>
      <c r="I927" s="5">
        <f>B927/B926-1</f>
        <v>-9.0750668115249233E-3</v>
      </c>
      <c r="J927" s="5">
        <f>C927/C926-1</f>
        <v>1.0214689164003143E-3</v>
      </c>
      <c r="K927" s="5">
        <f>D927/D926-1</f>
        <v>3.4801505389099985E-2</v>
      </c>
      <c r="L927" s="5">
        <f>E927/E926-1</f>
        <v>4.743854706875883E-3</v>
      </c>
      <c r="M927" s="5">
        <f>F927/F926-1</f>
        <v>-2.00850310144296E-3</v>
      </c>
      <c r="N927" s="5">
        <f>SUMPRODUCT(I927:M927,$AJ$13:$AN$13)</f>
        <v>2.2257020485869115E-2</v>
      </c>
      <c r="P927" s="2" t="s">
        <v>918</v>
      </c>
      <c r="Q927" s="10" cm="1">
        <f t="array" aca="1" ref="Q927:U927" ca="1">_xlfn.LET(_xlpm.array,_xlfn.RANDARRAY(1,COLUMNS(_xlfn.ANCHORARRAY(Q926)),0,1,FALSE),_xlpm.array/SUM(_xlpm.array))</f>
        <v>0.21739690873825776</v>
      </c>
      <c r="R927" s="2">
        <f ca="1"/>
        <v>4.3638970441371154E-2</v>
      </c>
      <c r="S927" s="2">
        <f ca="1"/>
        <v>0.34230249321917156</v>
      </c>
      <c r="T927" s="2">
        <f ca="1"/>
        <v>0.11786006882697138</v>
      </c>
      <c r="U927" s="2">
        <f ca="1"/>
        <v>0.27880155877422819</v>
      </c>
      <c r="V927" s="12"/>
      <c r="X927" s="2" cm="1">
        <f t="array" aca="1" ref="X927" ca="1">MMULT(MMULT(_xlfn.ANCHORARRAY(Q927),$Q$9:$U$13),TRANSPOSE(_xlfn.ANCHORARRAY(Q927)))</f>
        <v>3.1027126805849878E-4</v>
      </c>
      <c r="Y927" s="2">
        <f t="shared" ca="1" si="34"/>
        <v>1.7614518672348069E-2</v>
      </c>
      <c r="Z927" s="2" cm="1">
        <f t="array" aca="1" ref="Z927" ca="1">MMULT(_xlfn.ANCHORARRAY(Q927),TRANSPOSE($Q$3:$U$3))</f>
        <v>1.031907858518842E-3</v>
      </c>
      <c r="AA927" s="11">
        <f ca="1">AVEDEV(Q927*$Q$3,R927*$R$3,S927*$S$3,T927*$T$3,U927*$U$3)</f>
        <v>1.4255152276317567E-4</v>
      </c>
      <c r="AB927" s="11" cm="1">
        <f t="array" aca="1" ref="AB927" ca="1">MMULT(_xlfn.ANCHORARRAY(Q927),TRANSPOSE($Q$6:$U$6))</f>
        <v>-2.3468117828854457E-2</v>
      </c>
      <c r="AD927" s="2" t="s">
        <v>918</v>
      </c>
      <c r="AE927" s="10" cm="1">
        <f t="array" aca="1" ref="AE927:AI927" ca="1">_xlfn.LET(_xlpm.array,_xlfn.RANDARRAY(1,COLUMNS(_xlfn.ANCHORARRAY(Q926)),-1,1,FALSE),_xlpm.array/SUM(_xlpm.array))</f>
        <v>0.59290083523701054</v>
      </c>
      <c r="AF927" s="10">
        <f ca="1"/>
        <v>0.42588376376528325</v>
      </c>
      <c r="AG927" s="10">
        <f ca="1"/>
        <v>0.46876565141275522</v>
      </c>
      <c r="AH927" s="10">
        <f ca="1"/>
        <v>-0.36805824132660031</v>
      </c>
      <c r="AI927" s="10">
        <f ca="1"/>
        <v>-0.11949200908844886</v>
      </c>
      <c r="AJ927" s="1"/>
      <c r="AK927" s="2" cm="1">
        <f t="array" aca="1" ref="AK927" ca="1">MMULT(MMULT(_xlfn.ANCHORARRAY(AE927),$Q$9:$U$13),TRANSPOSE(_xlfn.ANCHORARRAY(AE927)))</f>
        <v>5.344833035093975E-4</v>
      </c>
      <c r="AL927" s="2">
        <f t="shared" ca="1" si="35"/>
        <v>2.3118894945680202E-2</v>
      </c>
      <c r="AM927" s="2" cm="1">
        <f t="array" aca="1" ref="AM927" ca="1">MMULT(_xlfn.ANCHORARRAY(AE928),TRANSPOSE($Q$3:$U$3))</f>
        <v>1.7558943510929783E-3</v>
      </c>
    </row>
    <row r="928" spans="1:39" x14ac:dyDescent="0.35">
      <c r="A928" s="3">
        <v>45176</v>
      </c>
      <c r="B928" s="4">
        <v>26.449151992797798</v>
      </c>
      <c r="C928" s="4">
        <v>149.63209533691401</v>
      </c>
      <c r="D928" s="4">
        <v>66.052322387695298</v>
      </c>
      <c r="E928" s="4">
        <v>25.704360961913999</v>
      </c>
      <c r="F928" s="4">
        <v>323.66619873046801</v>
      </c>
      <c r="I928" s="5">
        <f>B928/B927-1</f>
        <v>-9.1581064343597696E-3</v>
      </c>
      <c r="J928" s="5">
        <f>C928/C927-1</f>
        <v>5.9761141044667454E-5</v>
      </c>
      <c r="K928" s="5">
        <f>D928/D927-1</f>
        <v>-2.1143152334646476E-2</v>
      </c>
      <c r="L928" s="5">
        <f>E928/E927-1</f>
        <v>5.3508600414418073E-3</v>
      </c>
      <c r="M928" s="5">
        <f>F928/F927-1</f>
        <v>-8.9222187730285674E-3</v>
      </c>
      <c r="N928" s="5">
        <f>SUMPRODUCT(I928:M928,$AJ$13:$AN$13)</f>
        <v>-8.8421788393536205E-3</v>
      </c>
      <c r="P928" s="2" t="s">
        <v>919</v>
      </c>
      <c r="Q928" s="10" cm="1">
        <f t="array" aca="1" ref="Q928:U928" ca="1">_xlfn.LET(_xlpm.array,_xlfn.RANDARRAY(1,COLUMNS(_xlfn.ANCHORARRAY(Q927)),0,1,FALSE),_xlpm.array/SUM(_xlpm.array))</f>
        <v>8.2434447198576274E-2</v>
      </c>
      <c r="R928" s="2">
        <f ca="1"/>
        <v>0.50269536391291336</v>
      </c>
      <c r="S928" s="2">
        <f ca="1"/>
        <v>0.11920054421612584</v>
      </c>
      <c r="T928" s="2">
        <f ca="1"/>
        <v>0.19975767521734267</v>
      </c>
      <c r="U928" s="2">
        <f ca="1"/>
        <v>9.5911969455041907E-2</v>
      </c>
      <c r="V928" s="12"/>
      <c r="X928" s="2" cm="1">
        <f t="array" aca="1" ref="X928" ca="1">MMULT(MMULT(_xlfn.ANCHORARRAY(Q928),$Q$9:$U$13),TRANSPOSE(_xlfn.ANCHORARRAY(Q928)))</f>
        <v>3.2073761832621952E-4</v>
      </c>
      <c r="Y928" s="2">
        <f t="shared" ca="1" si="34"/>
        <v>1.7909149011782206E-2</v>
      </c>
      <c r="Z928" s="2" cm="1">
        <f t="array" aca="1" ref="Z928" ca="1">MMULT(_xlfn.ANCHORARRAY(Q928),TRANSPOSE($Q$3:$U$3))</f>
        <v>8.8000105725641862E-4</v>
      </c>
      <c r="AA928" s="11">
        <f ca="1">AVEDEV(Q928*$Q$3,R928*$R$3,S928*$S$3,T928*$T$3,U928*$U$3)</f>
        <v>9.4697915380046127E-5</v>
      </c>
      <c r="AB928" s="11" cm="1">
        <f t="array" aca="1" ref="AB928" ca="1">MMULT(_xlfn.ANCHORARRAY(Q928),TRANSPOSE($Q$6:$U$6))</f>
        <v>-2.2329745993055334E-2</v>
      </c>
      <c r="AD928" s="2" t="s">
        <v>919</v>
      </c>
      <c r="AE928" s="10" cm="1">
        <f t="array" aca="1" ref="AE928:AI928" ca="1">_xlfn.LET(_xlpm.array,_xlfn.RANDARRAY(1,COLUMNS(_xlfn.ANCHORARRAY(Q927)),-1,1,FALSE),_xlpm.array/SUM(_xlpm.array))</f>
        <v>-0.34929517207203858</v>
      </c>
      <c r="AF928" s="10">
        <f ca="1"/>
        <v>0.26192969887648143</v>
      </c>
      <c r="AG928" s="10">
        <f ca="1"/>
        <v>0.80719700867120237</v>
      </c>
      <c r="AH928" s="10">
        <f ca="1"/>
        <v>0.8450371359865847</v>
      </c>
      <c r="AI928" s="10">
        <f ca="1"/>
        <v>-0.56486867146222985</v>
      </c>
      <c r="AJ928" s="1"/>
      <c r="AK928" s="2" cm="1">
        <f t="array" aca="1" ref="AK928" ca="1">MMULT(MMULT(_xlfn.ANCHORARRAY(AE928),$Q$9:$U$13),TRANSPOSE(_xlfn.ANCHORARRAY(AE928)))</f>
        <v>1.0767591892962506E-3</v>
      </c>
      <c r="AL928" s="2">
        <f t="shared" ca="1" si="35"/>
        <v>3.2814009040290255E-2</v>
      </c>
      <c r="AM928" s="2" cm="1">
        <f t="array" aca="1" ref="AM928" ca="1">MMULT(_xlfn.ANCHORARRAY(AE929),TRANSPOSE($Q$3:$U$3))</f>
        <v>-5.5432160735443912E-3</v>
      </c>
    </row>
    <row r="929" spans="1:39" x14ac:dyDescent="0.35">
      <c r="A929" s="3">
        <v>45177</v>
      </c>
      <c r="B929" s="4">
        <v>26.665409088134702</v>
      </c>
      <c r="C929" s="4">
        <v>150.14392089843699</v>
      </c>
      <c r="D929" s="4">
        <v>67.507789611816406</v>
      </c>
      <c r="E929" s="4">
        <v>26.018222808837798</v>
      </c>
      <c r="F929" s="4">
        <v>327.94366455078102</v>
      </c>
      <c r="I929" s="5">
        <f>B929/B928-1</f>
        <v>8.1763337968563388E-3</v>
      </c>
      <c r="J929" s="5">
        <f>C929/C928-1</f>
        <v>3.4205600100067901E-3</v>
      </c>
      <c r="K929" s="5">
        <f>D929/D928-1</f>
        <v>2.2035065104572871E-2</v>
      </c>
      <c r="L929" s="5">
        <f>E929/E928-1</f>
        <v>1.2210451268905187E-2</v>
      </c>
      <c r="M929" s="5">
        <f>F929/F928-1</f>
        <v>1.3215670456447892E-2</v>
      </c>
      <c r="N929" s="5">
        <f>SUMPRODUCT(I929:M929,$AJ$13:$AN$13)</f>
        <v>1.9116340509594387E-2</v>
      </c>
      <c r="P929" s="2" t="s">
        <v>920</v>
      </c>
      <c r="Q929" s="10" cm="1">
        <f t="array" aca="1" ref="Q929:U929" ca="1">_xlfn.LET(_xlpm.array,_xlfn.RANDARRAY(1,COLUMNS(_xlfn.ANCHORARRAY(Q928)),0,1,FALSE),_xlpm.array/SUM(_xlpm.array))</f>
        <v>9.0068572892339147E-2</v>
      </c>
      <c r="R929" s="2">
        <f ca="1"/>
        <v>4.3851371549423146E-2</v>
      </c>
      <c r="S929" s="2">
        <f ca="1"/>
        <v>0.3763135636637876</v>
      </c>
      <c r="T929" s="2">
        <f ca="1"/>
        <v>0.4571434080218858</v>
      </c>
      <c r="U929" s="2">
        <f ca="1"/>
        <v>3.2623083872564233E-2</v>
      </c>
      <c r="V929" s="12"/>
      <c r="X929" s="2" cm="1">
        <f t="array" aca="1" ref="X929" ca="1">MMULT(MMULT(_xlfn.ANCHORARRAY(Q929),$Q$9:$U$13),TRANSPOSE(_xlfn.ANCHORARRAY(Q929)))</f>
        <v>3.8257641920932863E-4</v>
      </c>
      <c r="Y929" s="2">
        <f t="shared" ca="1" si="34"/>
        <v>1.9559560813303775E-2</v>
      </c>
      <c r="Z929" s="2" cm="1">
        <f t="array" aca="1" ref="Z929" ca="1">MMULT(_xlfn.ANCHORARRAY(Q929),TRANSPOSE($Q$3:$U$3))</f>
        <v>1.1809099417224732E-3</v>
      </c>
      <c r="AA929" s="11">
        <f ca="1">AVEDEV(Q929*$Q$3,R929*$R$3,S929*$S$3,T929*$T$3,U929*$U$3)</f>
        <v>2.4231803069902505E-4</v>
      </c>
      <c r="AB929" s="11" cm="1">
        <f t="array" aca="1" ref="AB929" ca="1">MMULT(_xlfn.ANCHORARRAY(Q929),TRANSPOSE($Q$6:$U$6))</f>
        <v>-2.522662196678661E-2</v>
      </c>
      <c r="AD929" s="2" t="s">
        <v>920</v>
      </c>
      <c r="AE929" s="10" cm="1">
        <f t="array" aca="1" ref="AE929:AI929" ca="1">_xlfn.LET(_xlpm.array,_xlfn.RANDARRAY(1,COLUMNS(_xlfn.ANCHORARRAY(Q928)),-1,1,FALSE),_xlpm.array/SUM(_xlpm.array))</f>
        <v>6.8138902358685884</v>
      </c>
      <c r="AF929" s="10">
        <f ca="1"/>
        <v>-3.808409225557341</v>
      </c>
      <c r="AG929" s="10">
        <f ca="1"/>
        <v>-6.0557908735156998</v>
      </c>
      <c r="AH929" s="10">
        <f ca="1"/>
        <v>1.9917682832469781</v>
      </c>
      <c r="AI929" s="10">
        <f ca="1"/>
        <v>2.0585415799574744</v>
      </c>
      <c r="AJ929" s="1"/>
      <c r="AK929" s="2" cm="1">
        <f t="array" aca="1" ref="AK929" ca="1">MMULT(MMULT(_xlfn.ANCHORARRAY(AE929),$Q$9:$U$13),TRANSPOSE(_xlfn.ANCHORARRAY(AE929)))</f>
        <v>3.311265714250524E-2</v>
      </c>
      <c r="AL929" s="2">
        <f t="shared" ca="1" si="35"/>
        <v>0.18196883563540556</v>
      </c>
      <c r="AM929" s="2" cm="1">
        <f t="array" aca="1" ref="AM929" ca="1">MMULT(_xlfn.ANCHORARRAY(AE930),TRANSPOSE($Q$3:$U$3))</f>
        <v>2.018290718006123E-4</v>
      </c>
    </row>
    <row r="930" spans="1:39" x14ac:dyDescent="0.35">
      <c r="A930" s="3">
        <v>45180</v>
      </c>
      <c r="B930" s="4">
        <v>26.778234481811499</v>
      </c>
      <c r="C930" s="4">
        <v>147.04605102539</v>
      </c>
      <c r="D930" s="4">
        <v>69.097335815429602</v>
      </c>
      <c r="E930" s="4">
        <v>26.074558258056602</v>
      </c>
      <c r="F930" s="4">
        <v>331.54421997070301</v>
      </c>
      <c r="I930" s="5">
        <f>B930/B929-1</f>
        <v>4.2311518005924142E-3</v>
      </c>
      <c r="J930" s="5">
        <f>C930/C929-1</f>
        <v>-2.0632669338257803E-2</v>
      </c>
      <c r="K930" s="5">
        <f>D930/D929-1</f>
        <v>2.3546115385400856E-2</v>
      </c>
      <c r="L930" s="5">
        <f>E930/E929-1</f>
        <v>2.1652304860602101E-3</v>
      </c>
      <c r="M930" s="5">
        <f>F930/F929-1</f>
        <v>1.0979188833710296E-2</v>
      </c>
      <c r="N930" s="5">
        <f>SUMPRODUCT(I930:M930,$AJ$13:$AN$13)</f>
        <v>1.6391345174182989E-2</v>
      </c>
      <c r="P930" s="2" t="s">
        <v>921</v>
      </c>
      <c r="Q930" s="10" cm="1">
        <f t="array" aca="1" ref="Q930:U930" ca="1">_xlfn.LET(_xlpm.array,_xlfn.RANDARRAY(1,COLUMNS(_xlfn.ANCHORARRAY(Q929)),0,1,FALSE),_xlpm.array/SUM(_xlpm.array))</f>
        <v>0.16396021033899136</v>
      </c>
      <c r="R930" s="2">
        <f ca="1"/>
        <v>0.25719278508811455</v>
      </c>
      <c r="S930" s="2">
        <f ca="1"/>
        <v>0.22162465839734435</v>
      </c>
      <c r="T930" s="2">
        <f ca="1"/>
        <v>1.849585012634629E-3</v>
      </c>
      <c r="U930" s="2">
        <f ca="1"/>
        <v>0.35537276116291516</v>
      </c>
      <c r="V930" s="12"/>
      <c r="X930" s="2" cm="1">
        <f t="array" aca="1" ref="X930" ca="1">MMULT(MMULT(_xlfn.ANCHORARRAY(Q930),$Q$9:$U$13),TRANSPOSE(_xlfn.ANCHORARRAY(Q930)))</f>
        <v>2.7143837392962548E-4</v>
      </c>
      <c r="Y930" s="2">
        <f t="shared" ca="1" si="34"/>
        <v>1.6475386912896021E-2</v>
      </c>
      <c r="Z930" s="2" cm="1">
        <f t="array" aca="1" ref="Z930" ca="1">MMULT(_xlfn.ANCHORARRAY(Q930),TRANSPOSE($Q$3:$U$3))</f>
        <v>9.047607739291108E-4</v>
      </c>
      <c r="AA930" s="11">
        <f ca="1">AVEDEV(Q930*$Q$3,R930*$R$3,S930*$S$3,T930*$T$3,U930*$U$3)</f>
        <v>1.1067303209810141E-4</v>
      </c>
      <c r="AB930" s="11" cm="1">
        <f t="array" aca="1" ref="AB930" ca="1">MMULT(_xlfn.ANCHORARRAY(Q930),TRANSPOSE($Q$6:$U$6))</f>
        <v>-2.2057992713048237E-2</v>
      </c>
      <c r="AD930" s="2" t="s">
        <v>921</v>
      </c>
      <c r="AE930" s="10" cm="1">
        <f t="array" aca="1" ref="AE930:AI930" ca="1">_xlfn.LET(_xlpm.array,_xlfn.RANDARRAY(1,COLUMNS(_xlfn.ANCHORARRAY(Q929)),-1,1,FALSE),_xlpm.array/SUM(_xlpm.array))</f>
        <v>0.82898284513356901</v>
      </c>
      <c r="AF930" s="10">
        <f ca="1"/>
        <v>1.0707450771446445</v>
      </c>
      <c r="AG930" s="10">
        <f ca="1"/>
        <v>-0.12548883538736819</v>
      </c>
      <c r="AH930" s="10">
        <f ca="1"/>
        <v>-0.80005406101437182</v>
      </c>
      <c r="AI930" s="10">
        <f ca="1"/>
        <v>2.5814974123526589E-2</v>
      </c>
      <c r="AJ930" s="1"/>
      <c r="AK930" s="2" cm="1">
        <f t="array" aca="1" ref="AK930" ca="1">MMULT(MMULT(_xlfn.ANCHORARRAY(AE930),$Q$9:$U$13),TRANSPOSE(_xlfn.ANCHORARRAY(AE930)))</f>
        <v>7.2069273366833517E-4</v>
      </c>
      <c r="AL930" s="2">
        <f t="shared" ca="1" si="35"/>
        <v>2.6845720956389589E-2</v>
      </c>
      <c r="AM930" s="2" cm="1">
        <f t="array" aca="1" ref="AM930" ca="1">MMULT(_xlfn.ANCHORARRAY(AE931),TRANSPOSE($Q$3:$U$3))</f>
        <v>2.6591671213747232E-3</v>
      </c>
    </row>
    <row r="931" spans="1:39" x14ac:dyDescent="0.35">
      <c r="A931" s="3">
        <v>45181</v>
      </c>
      <c r="B931" s="4">
        <v>27.238958358764599</v>
      </c>
      <c r="C931" s="4">
        <v>149.784744262695</v>
      </c>
      <c r="D931" s="4">
        <v>67.72802734375</v>
      </c>
      <c r="E931" s="4">
        <v>26.235507965087798</v>
      </c>
      <c r="F931" s="4">
        <v>325.490966796875</v>
      </c>
      <c r="I931" s="5">
        <f>B931/B930-1</f>
        <v>1.7205162545948838E-2</v>
      </c>
      <c r="J931" s="5">
        <f>C931/C930-1</f>
        <v>1.8624731627999491E-2</v>
      </c>
      <c r="K931" s="5">
        <f>D931/D930-1</f>
        <v>-1.9817095051786859E-2</v>
      </c>
      <c r="L931" s="5">
        <f>E931/E930-1</f>
        <v>6.1726724356476748E-3</v>
      </c>
      <c r="M931" s="5">
        <f>F931/F930-1</f>
        <v>-1.8257755102359829E-2</v>
      </c>
      <c r="N931" s="5">
        <f>SUMPRODUCT(I931:M931,$AJ$13:$AN$13)</f>
        <v>-1.9119067289659928E-2</v>
      </c>
      <c r="P931" s="2" t="s">
        <v>922</v>
      </c>
      <c r="Q931" s="10" cm="1">
        <f t="array" aca="1" ref="Q931:U931" ca="1">_xlfn.LET(_xlpm.array,_xlfn.RANDARRAY(1,COLUMNS(_xlfn.ANCHORARRAY(Q930)),0,1,FALSE),_xlpm.array/SUM(_xlpm.array))</f>
        <v>0.27887736682645597</v>
      </c>
      <c r="R931" s="2">
        <f ca="1"/>
        <v>0.13954351516053728</v>
      </c>
      <c r="S931" s="2">
        <f ca="1"/>
        <v>0.15562030333781271</v>
      </c>
      <c r="T931" s="2">
        <f ca="1"/>
        <v>0.15015720038890976</v>
      </c>
      <c r="U931" s="2">
        <f ca="1"/>
        <v>0.2758016142862843</v>
      </c>
      <c r="V931" s="12"/>
      <c r="X931" s="2" cm="1">
        <f t="array" aca="1" ref="X931" ca="1">MMULT(MMULT(_xlfn.ANCHORARRAY(Q931),$Q$9:$U$13),TRANSPOSE(_xlfn.ANCHORARRAY(Q931)))</f>
        <v>2.6314863787239233E-4</v>
      </c>
      <c r="Y931" s="2">
        <f t="shared" ca="1" si="34"/>
        <v>1.6221856794842948E-2</v>
      </c>
      <c r="Z931" s="2" cm="1">
        <f t="array" aca="1" ref="Z931" ca="1">MMULT(_xlfn.ANCHORARRAY(Q931),TRANSPOSE($Q$3:$U$3))</f>
        <v>8.6071707722734268E-4</v>
      </c>
      <c r="AA931" s="11">
        <f ca="1">AVEDEV(Q931*$Q$3,R931*$R$3,S931*$S$3,T931*$T$3,U931*$U$3)</f>
        <v>4.7755431889839497E-5</v>
      </c>
      <c r="AB931" s="11" cm="1">
        <f t="array" aca="1" ref="AB931" ca="1">MMULT(_xlfn.ANCHORARRAY(Q931),TRANSPOSE($Q$6:$U$6))</f>
        <v>-2.2455866677399204E-2</v>
      </c>
      <c r="AD931" s="2" t="s">
        <v>922</v>
      </c>
      <c r="AE931" s="10" cm="1">
        <f t="array" aca="1" ref="AE931:AI931" ca="1">_xlfn.LET(_xlpm.array,_xlfn.RANDARRAY(1,COLUMNS(_xlfn.ANCHORARRAY(Q930)),-1,1,FALSE),_xlpm.array/SUM(_xlpm.array))</f>
        <v>-2.0823627504502351</v>
      </c>
      <c r="AF931" s="10">
        <f ca="1"/>
        <v>0.48197697623178565</v>
      </c>
      <c r="AG931" s="10">
        <f ca="1"/>
        <v>1.7626449761573535</v>
      </c>
      <c r="AH931" s="10">
        <f ca="1"/>
        <v>-0.53638616310925147</v>
      </c>
      <c r="AI931" s="10">
        <f ca="1"/>
        <v>1.3741269611703475</v>
      </c>
      <c r="AJ931" s="1"/>
      <c r="AK931" s="2" cm="1">
        <f t="array" aca="1" ref="AK931" ca="1">MMULT(MMULT(_xlfn.ANCHORARRAY(AE931),$Q$9:$U$13),TRANSPOSE(_xlfn.ANCHORARRAY(AE931)))</f>
        <v>3.8401233787868669E-3</v>
      </c>
      <c r="AL931" s="2">
        <f t="shared" ca="1" si="35"/>
        <v>6.1968729039628259E-2</v>
      </c>
      <c r="AM931" s="2" cm="1">
        <f t="array" aca="1" ref="AM931" ca="1">MMULT(_xlfn.ANCHORARRAY(AE932),TRANSPOSE($Q$3:$U$3))</f>
        <v>8.8957214675601916E-4</v>
      </c>
    </row>
    <row r="932" spans="1:39" x14ac:dyDescent="0.35">
      <c r="A932" s="3">
        <v>45182</v>
      </c>
      <c r="B932" s="4">
        <v>27.154335021972599</v>
      </c>
      <c r="C932" s="4">
        <v>149.23701477050699</v>
      </c>
      <c r="D932" s="4">
        <v>67.459892272949205</v>
      </c>
      <c r="E932" s="4">
        <v>26.146984100341701</v>
      </c>
      <c r="F932" s="4">
        <v>329.69979858398398</v>
      </c>
      <c r="I932" s="5">
        <f>B932/B931-1</f>
        <v>-3.1067023811052197E-3</v>
      </c>
      <c r="J932" s="5">
        <f>C932/C931-1</f>
        <v>-3.6567775635908406E-3</v>
      </c>
      <c r="K932" s="5">
        <f>D932/D931-1</f>
        <v>-3.958997202736958E-3</v>
      </c>
      <c r="L932" s="5">
        <f>E932/E931-1</f>
        <v>-3.3742005248725837E-3</v>
      </c>
      <c r="M932" s="5">
        <f>F932/F931-1</f>
        <v>1.2930717643342637E-2</v>
      </c>
      <c r="N932" s="5">
        <f>SUMPRODUCT(I932:M932,$AJ$13:$AN$13)</f>
        <v>1.6997975189775938E-3</v>
      </c>
      <c r="P932" s="2" t="s">
        <v>923</v>
      </c>
      <c r="Q932" s="10" cm="1">
        <f t="array" aca="1" ref="Q932:U932" ca="1">_xlfn.LET(_xlpm.array,_xlfn.RANDARRAY(1,COLUMNS(_xlfn.ANCHORARRAY(Q931)),0,1,FALSE),_xlpm.array/SUM(_xlpm.array))</f>
        <v>0.18704635790166216</v>
      </c>
      <c r="R932" s="2">
        <f ca="1"/>
        <v>0.24517407497645086</v>
      </c>
      <c r="S932" s="2">
        <f ca="1"/>
        <v>0.2210917166708106</v>
      </c>
      <c r="T932" s="2">
        <f ca="1"/>
        <v>0.18588868561191516</v>
      </c>
      <c r="U932" s="2">
        <f ca="1"/>
        <v>0.16079916483916126</v>
      </c>
      <c r="V932" s="12"/>
      <c r="X932" s="2" cm="1">
        <f t="array" aca="1" ref="X932" ca="1">MMULT(MMULT(_xlfn.ANCHORARRAY(Q932),$Q$9:$U$13),TRANSPOSE(_xlfn.ANCHORARRAY(Q932)))</f>
        <v>2.8877737258680981E-4</v>
      </c>
      <c r="Y932" s="2">
        <f t="shared" ca="1" si="34"/>
        <v>1.6993450873404432E-2</v>
      </c>
      <c r="Z932" s="2" cm="1">
        <f t="array" aca="1" ref="Z932" ca="1">MMULT(_xlfn.ANCHORARRAY(Q932),TRANSPOSE($Q$3:$U$3))</f>
        <v>9.4604933175068413E-4</v>
      </c>
      <c r="AA932" s="11">
        <f ca="1">AVEDEV(Q932*$Q$3,R932*$R$3,S932*$S$3,T932*$T$3,U932*$U$3)</f>
        <v>6.821618041436468E-5</v>
      </c>
      <c r="AB932" s="11" cm="1">
        <f t="array" aca="1" ref="AB932" ca="1">MMULT(_xlfn.ANCHORARRAY(Q932),TRANSPOSE($Q$6:$U$6))</f>
        <v>-2.3009206340303005E-2</v>
      </c>
      <c r="AD932" s="2" t="s">
        <v>923</v>
      </c>
      <c r="AE932" s="10" cm="1">
        <f t="array" aca="1" ref="AE932:AI932" ca="1">_xlfn.LET(_xlpm.array,_xlfn.RANDARRAY(1,COLUMNS(_xlfn.ANCHORARRAY(Q931)),-1,1,FALSE),_xlpm.array/SUM(_xlpm.array))</f>
        <v>0.55469538136309615</v>
      </c>
      <c r="AF932" s="10">
        <f ca="1"/>
        <v>-0.60300989619438383</v>
      </c>
      <c r="AG932" s="10">
        <f ca="1"/>
        <v>0.20490061934485662</v>
      </c>
      <c r="AH932" s="10">
        <f ca="1"/>
        <v>0.27318767657737109</v>
      </c>
      <c r="AI932" s="10">
        <f ca="1"/>
        <v>0.57022621890906</v>
      </c>
      <c r="AJ932" s="1"/>
      <c r="AK932" s="2" cm="1">
        <f t="array" aca="1" ref="AK932" ca="1">MMULT(MMULT(_xlfn.ANCHORARRAY(AE932),$Q$9:$U$13),TRANSPOSE(_xlfn.ANCHORARRAY(AE932)))</f>
        <v>3.9787490435830628E-4</v>
      </c>
      <c r="AL932" s="2">
        <f t="shared" ca="1" si="35"/>
        <v>1.9946801857899585E-2</v>
      </c>
      <c r="AM932" s="2" cm="1">
        <f t="array" aca="1" ref="AM932" ca="1">MMULT(_xlfn.ANCHORARRAY(AE933),TRANSPOSE($Q$3:$U$3))</f>
        <v>1.5791834262012376E-3</v>
      </c>
    </row>
    <row r="933" spans="1:39" x14ac:dyDescent="0.35">
      <c r="A933" s="3">
        <v>45183</v>
      </c>
      <c r="B933" s="4">
        <v>27.455217361450099</v>
      </c>
      <c r="C933" s="4">
        <v>150.16188049316401</v>
      </c>
      <c r="D933" s="4">
        <v>68.139778137207003</v>
      </c>
      <c r="E933" s="4">
        <v>26.621803283691399</v>
      </c>
      <c r="F933" s="4">
        <v>332.28982543945301</v>
      </c>
      <c r="I933" s="5">
        <f>B933/B932-1</f>
        <v>1.1080453240119192E-2</v>
      </c>
      <c r="J933" s="5">
        <f>C933/C932-1</f>
        <v>6.1972944452102219E-3</v>
      </c>
      <c r="K933" s="5">
        <f>D933/D932-1</f>
        <v>1.0078371627202154E-2</v>
      </c>
      <c r="L933" s="5">
        <f>E933/E932-1</f>
        <v>1.8159615714284039E-2</v>
      </c>
      <c r="M933" s="5">
        <f>F933/F932-1</f>
        <v>7.8557125803317973E-3</v>
      </c>
      <c r="N933" s="5">
        <f>SUMPRODUCT(I933:M933,$AJ$13:$AN$13)</f>
        <v>1.2949250413542114E-2</v>
      </c>
      <c r="P933" s="2" t="s">
        <v>924</v>
      </c>
      <c r="Q933" s="10" cm="1">
        <f t="array" aca="1" ref="Q933:U933" ca="1">_xlfn.LET(_xlpm.array,_xlfn.RANDARRAY(1,COLUMNS(_xlfn.ANCHORARRAY(Q932)),0,1,FALSE),_xlpm.array/SUM(_xlpm.array))</f>
        <v>8.9922755520415468E-2</v>
      </c>
      <c r="R933" s="2">
        <f ca="1"/>
        <v>1.2558688630087546E-3</v>
      </c>
      <c r="S933" s="2">
        <f ca="1"/>
        <v>0.45998001368067098</v>
      </c>
      <c r="T933" s="2">
        <f ca="1"/>
        <v>0.2887368079737373</v>
      </c>
      <c r="U933" s="2">
        <f ca="1"/>
        <v>0.16010455396216741</v>
      </c>
      <c r="V933" s="12"/>
      <c r="X933" s="2" cm="1">
        <f t="array" aca="1" ref="X933" ca="1">MMULT(MMULT(_xlfn.ANCHORARRAY(Q933),$Q$9:$U$13),TRANSPOSE(_xlfn.ANCHORARRAY(Q933)))</f>
        <v>3.7439416128995492E-4</v>
      </c>
      <c r="Y933" s="2">
        <f t="shared" ca="1" si="34"/>
        <v>1.934926771973438E-2</v>
      </c>
      <c r="Z933" s="2" cm="1">
        <f t="array" aca="1" ref="Z933" ca="1">MMULT(_xlfn.ANCHORARRAY(Q933),TRANSPOSE($Q$3:$U$3))</f>
        <v>1.2110629329395008E-3</v>
      </c>
      <c r="AA933" s="11">
        <f ca="1">AVEDEV(Q933*$Q$3,R933*$R$3,S933*$S$3,T933*$T$3,U933*$U$3)</f>
        <v>2.2302447715282368E-4</v>
      </c>
      <c r="AB933" s="11" cm="1">
        <f t="array" aca="1" ref="AB933" ca="1">MMULT(_xlfn.ANCHORARRAY(Q933),TRANSPOSE($Q$6:$U$6))</f>
        <v>-2.4946125046939865E-2</v>
      </c>
      <c r="AD933" s="2" t="s">
        <v>924</v>
      </c>
      <c r="AE933" s="10" cm="1">
        <f t="array" aca="1" ref="AE933:AI933" ca="1">_xlfn.LET(_xlpm.array,_xlfn.RANDARRAY(1,COLUMNS(_xlfn.ANCHORARRAY(Q932)),-1,1,FALSE),_xlpm.array/SUM(_xlpm.array))</f>
        <v>-0.45152520066365587</v>
      </c>
      <c r="AF933" s="10">
        <f ca="1"/>
        <v>-0.36354525592401404</v>
      </c>
      <c r="AG933" s="10">
        <f ca="1"/>
        <v>0.64681087858308406</v>
      </c>
      <c r="AH933" s="10">
        <f ca="1"/>
        <v>0.50698517653892339</v>
      </c>
      <c r="AI933" s="10">
        <f ca="1"/>
        <v>0.66127440146566252</v>
      </c>
      <c r="AJ933" s="1"/>
      <c r="AK933" s="2" cm="1">
        <f t="array" aca="1" ref="AK933" ca="1">MMULT(MMULT(_xlfn.ANCHORARRAY(AE933),$Q$9:$U$13),TRANSPOSE(_xlfn.ANCHORARRAY(AE933)))</f>
        <v>6.6748119732136784E-4</v>
      </c>
      <c r="AL933" s="2">
        <f t="shared" ca="1" si="35"/>
        <v>2.5835657478016073E-2</v>
      </c>
      <c r="AM933" s="2" cm="1">
        <f t="array" aca="1" ref="AM933" ca="1">MMULT(_xlfn.ANCHORARRAY(AE934),TRANSPOSE($Q$3:$U$3))</f>
        <v>9.5266401557325675E-4</v>
      </c>
    </row>
    <row r="934" spans="1:39" x14ac:dyDescent="0.35">
      <c r="A934" s="3">
        <v>45184</v>
      </c>
      <c r="B934" s="4">
        <v>27.1167278289794</v>
      </c>
      <c r="C934" s="4">
        <v>149.50637817382801</v>
      </c>
      <c r="D934" s="4">
        <v>66.349136352539006</v>
      </c>
      <c r="E934" s="4">
        <v>26.332082748413001</v>
      </c>
      <c r="F934" s="4">
        <v>323.97033691406199</v>
      </c>
      <c r="I934" s="5">
        <f>B934/B933-1</f>
        <v>-1.2328787203337632E-2</v>
      </c>
      <c r="J934" s="5">
        <f>C934/C933-1</f>
        <v>-4.3653044113671768E-3</v>
      </c>
      <c r="K934" s="5">
        <f>D934/D933-1</f>
        <v>-2.6278949442164912E-2</v>
      </c>
      <c r="L934" s="5">
        <f>E934/E933-1</f>
        <v>-1.0882829092794144E-2</v>
      </c>
      <c r="M934" s="5">
        <f>F934/F933-1</f>
        <v>-2.5036844009257653E-2</v>
      </c>
      <c r="N934" s="5">
        <f>SUMPRODUCT(I934:M934,$AJ$13:$AN$13)</f>
        <v>-2.3422593678165238E-2</v>
      </c>
      <c r="P934" s="2" t="s">
        <v>925</v>
      </c>
      <c r="Q934" s="10" cm="1">
        <f t="array" aca="1" ref="Q934:U934" ca="1">_xlfn.LET(_xlpm.array,_xlfn.RANDARRAY(1,COLUMNS(_xlfn.ANCHORARRAY(Q933)),0,1,FALSE),_xlpm.array/SUM(_xlpm.array))</f>
        <v>0.21505505089966406</v>
      </c>
      <c r="R934" s="2">
        <f ca="1"/>
        <v>6.3468250165768056E-2</v>
      </c>
      <c r="S934" s="2">
        <f ca="1"/>
        <v>0.38749499136894833</v>
      </c>
      <c r="T934" s="2">
        <f ca="1"/>
        <v>0.16796255519670547</v>
      </c>
      <c r="U934" s="2">
        <f ca="1"/>
        <v>0.1660191523689141</v>
      </c>
      <c r="V934" s="12"/>
      <c r="X934" s="2" cm="1">
        <f t="array" aca="1" ref="X934" ca="1">MMULT(MMULT(_xlfn.ANCHORARRAY(Q934),$Q$9:$U$13),TRANSPOSE(_xlfn.ANCHORARRAY(Q934)))</f>
        <v>3.3461731490566383E-4</v>
      </c>
      <c r="Y934" s="2">
        <f t="shared" ca="1" si="34"/>
        <v>1.8292548070339022E-2</v>
      </c>
      <c r="Z934" s="2" cm="1">
        <f t="array" aca="1" ref="Z934" ca="1">MMULT(_xlfn.ANCHORARRAY(Q934),TRANSPOSE($Q$3:$U$3))</f>
        <v>1.0835138884143884E-3</v>
      </c>
      <c r="AA934" s="11">
        <f ca="1">AVEDEV(Q934*$Q$3,R934*$R$3,S934*$S$3,T934*$T$3,U934*$U$3)</f>
        <v>1.6503575516026045E-4</v>
      </c>
      <c r="AB934" s="11" cm="1">
        <f t="array" aca="1" ref="AB934" ca="1">MMULT(_xlfn.ANCHORARRAY(Q934),TRANSPOSE($Q$6:$U$6))</f>
        <v>-2.4043502547141379E-2</v>
      </c>
      <c r="AD934" s="2" t="s">
        <v>925</v>
      </c>
      <c r="AE934" s="10" cm="1">
        <f t="array" aca="1" ref="AE934:AI934" ca="1">_xlfn.LET(_xlpm.array,_xlfn.RANDARRAY(1,COLUMNS(_xlfn.ANCHORARRAY(Q933)),-1,1,FALSE),_xlpm.array/SUM(_xlpm.array))</f>
        <v>0.42103899030201131</v>
      </c>
      <c r="AF934" s="10">
        <f ca="1"/>
        <v>0.31196880495720869</v>
      </c>
      <c r="AG934" s="10">
        <f ca="1"/>
        <v>0.29587471953701355</v>
      </c>
      <c r="AH934" s="10">
        <f ca="1"/>
        <v>0.20427705935834126</v>
      </c>
      <c r="AI934" s="10">
        <f ca="1"/>
        <v>-0.23315957415457478</v>
      </c>
      <c r="AJ934" s="1"/>
      <c r="AK934" s="2" cm="1">
        <f t="array" aca="1" ref="AK934" ca="1">MMULT(MMULT(_xlfn.ANCHORARRAY(AE934),$Q$9:$U$13),TRANSPOSE(_xlfn.ANCHORARRAY(AE934)))</f>
        <v>4.3108057258219078E-4</v>
      </c>
      <c r="AL934" s="2">
        <f t="shared" ca="1" si="35"/>
        <v>2.0762479923703496E-2</v>
      </c>
      <c r="AM934" s="2" cm="1">
        <f t="array" aca="1" ref="AM934" ca="1">MMULT(_xlfn.ANCHORARRAY(AE935),TRANSPOSE($Q$3:$U$3))</f>
        <v>-1.7700549106755185E-4</v>
      </c>
    </row>
    <row r="935" spans="1:39" x14ac:dyDescent="0.35">
      <c r="A935" s="3">
        <v>45187</v>
      </c>
      <c r="B935" s="4">
        <v>27.041507720947202</v>
      </c>
      <c r="C935" s="4">
        <v>150.15292358398401</v>
      </c>
      <c r="D935" s="4">
        <v>66.215072631835895</v>
      </c>
      <c r="E935" s="4">
        <v>26.307935714721602</v>
      </c>
      <c r="F935" s="4">
        <v>322.832275390625</v>
      </c>
      <c r="I935" s="5">
        <f>B935/B934-1</f>
        <v>-2.7739374937344463E-3</v>
      </c>
      <c r="J935" s="5">
        <f>C935/C934-1</f>
        <v>4.3245339633890545E-3</v>
      </c>
      <c r="K935" s="5">
        <f>D935/D934-1</f>
        <v>-2.0205797403417547E-3</v>
      </c>
      <c r="L935" s="5">
        <f>E935/E934-1</f>
        <v>-9.1701951274081317E-4</v>
      </c>
      <c r="M935" s="5">
        <f>F935/F934-1</f>
        <v>-3.5128571778436646E-3</v>
      </c>
      <c r="N935" s="5">
        <f>SUMPRODUCT(I935:M935,$AJ$13:$AN$13)</f>
        <v>-1.9934190264291403E-3</v>
      </c>
      <c r="P935" s="2" t="s">
        <v>926</v>
      </c>
      <c r="Q935" s="10" cm="1">
        <f t="array" aca="1" ref="Q935:U935" ca="1">_xlfn.LET(_xlpm.array,_xlfn.RANDARRAY(1,COLUMNS(_xlfn.ANCHORARRAY(Q934)),0,1,FALSE),_xlpm.array/SUM(_xlpm.array))</f>
        <v>6.0800141439076048E-2</v>
      </c>
      <c r="R935" s="2">
        <f ca="1"/>
        <v>0.12473885621796878</v>
      </c>
      <c r="S935" s="2">
        <f ca="1"/>
        <v>0.26239207041475032</v>
      </c>
      <c r="T935" s="2">
        <f ca="1"/>
        <v>0.20162644598093091</v>
      </c>
      <c r="U935" s="2">
        <f ca="1"/>
        <v>0.35044248594727401</v>
      </c>
      <c r="V935" s="12"/>
      <c r="X935" s="2" cm="1">
        <f t="array" aca="1" ref="X935" ca="1">MMULT(MMULT(_xlfn.ANCHORARRAY(Q935),$Q$9:$U$13),TRANSPOSE(_xlfn.ANCHORARRAY(Q935)))</f>
        <v>2.7899102695109974E-4</v>
      </c>
      <c r="Y935" s="2">
        <f t="shared" ca="1" si="34"/>
        <v>1.6703024485137406E-2</v>
      </c>
      <c r="Z935" s="2" cm="1">
        <f t="array" aca="1" ref="Z935" ca="1">MMULT(_xlfn.ANCHORARRAY(Q935),TRANSPOSE($Q$3:$U$3))</f>
        <v>1.0221378565018419E-3</v>
      </c>
      <c r="AA935" s="11">
        <f ca="1">AVEDEV(Q935*$Q$3,R935*$R$3,S935*$S$3,T935*$T$3,U935*$U$3)</f>
        <v>1.147458060462975E-4</v>
      </c>
      <c r="AB935" s="11" cm="1">
        <f t="array" aca="1" ref="AB935" ca="1">MMULT(_xlfn.ANCHORARRAY(Q935),TRANSPOSE($Q$6:$U$6))</f>
        <v>-2.3135126566727397E-2</v>
      </c>
      <c r="AD935" s="2" t="s">
        <v>926</v>
      </c>
      <c r="AE935" s="10" cm="1">
        <f t="array" aca="1" ref="AE935:AI935" ca="1">_xlfn.LET(_xlpm.array,_xlfn.RANDARRAY(1,COLUMNS(_xlfn.ANCHORARRAY(Q934)),-1,1,FALSE),_xlpm.array/SUM(_xlpm.array))</f>
        <v>1.08013977256104</v>
      </c>
      <c r="AF935" s="10">
        <f ca="1"/>
        <v>0.21210740993597249</v>
      </c>
      <c r="AG935" s="10">
        <f ca="1"/>
        <v>-1.0146406158765979</v>
      </c>
      <c r="AH935" s="10">
        <f ca="1"/>
        <v>0.8349330736942544</v>
      </c>
      <c r="AI935" s="10">
        <f ca="1"/>
        <v>-0.11253964031466904</v>
      </c>
      <c r="AJ935" s="1"/>
      <c r="AK935" s="2" cm="1">
        <f t="array" aca="1" ref="AK935" ca="1">MMULT(MMULT(_xlfn.ANCHORARRAY(AE935),$Q$9:$U$13),TRANSPOSE(_xlfn.ANCHORARRAY(AE935)))</f>
        <v>1.5832684196309579E-3</v>
      </c>
      <c r="AL935" s="2">
        <f t="shared" ca="1" si="35"/>
        <v>3.9790305598612304E-2</v>
      </c>
      <c r="AM935" s="2" cm="1">
        <f t="array" aca="1" ref="AM935" ca="1">MMULT(_xlfn.ANCHORARRAY(AE936),TRANSPOSE($Q$3:$U$3))</f>
        <v>9.5402560356932977E-4</v>
      </c>
    </row>
    <row r="936" spans="1:39" x14ac:dyDescent="0.35">
      <c r="A936" s="3">
        <v>45188</v>
      </c>
      <c r="B936" s="4">
        <v>26.9380798339843</v>
      </c>
      <c r="C936" s="4">
        <v>150.13493347167901</v>
      </c>
      <c r="D936" s="4">
        <v>66.933235168457003</v>
      </c>
      <c r="E936" s="4">
        <v>26.517177581787099</v>
      </c>
      <c r="F936" s="4">
        <v>322.43005371093699</v>
      </c>
      <c r="I936" s="5">
        <f>B936/B935-1</f>
        <v>-3.8247825539248215E-3</v>
      </c>
      <c r="J936" s="5">
        <f>C936/C935-1</f>
        <v>-1.198119348967408E-4</v>
      </c>
      <c r="K936" s="5">
        <f>D936/D935-1</f>
        <v>1.0845907254594112E-2</v>
      </c>
      <c r="L936" s="5">
        <f>E936/E935-1</f>
        <v>7.9535646329107479E-3</v>
      </c>
      <c r="M936" s="5">
        <f>F936/F935-1</f>
        <v>-1.2459153261591416E-3</v>
      </c>
      <c r="N936" s="5">
        <f>SUMPRODUCT(I936:M936,$AJ$13:$AN$13)</f>
        <v>1.0057431855297734E-2</v>
      </c>
      <c r="P936" s="2" t="s">
        <v>927</v>
      </c>
      <c r="Q936" s="10" cm="1">
        <f t="array" aca="1" ref="Q936:U936" ca="1">_xlfn.LET(_xlpm.array,_xlfn.RANDARRAY(1,COLUMNS(_xlfn.ANCHORARRAY(Q935)),0,1,FALSE),_xlpm.array/SUM(_xlpm.array))</f>
        <v>0.3582232539443585</v>
      </c>
      <c r="R936" s="2">
        <f ca="1"/>
        <v>0.15885636885389209</v>
      </c>
      <c r="S936" s="2">
        <f ca="1"/>
        <v>0.11218940293455451</v>
      </c>
      <c r="T936" s="2">
        <f ca="1"/>
        <v>3.4424501630416111E-2</v>
      </c>
      <c r="U936" s="2">
        <f ca="1"/>
        <v>0.33630647263677887</v>
      </c>
      <c r="V936" s="12"/>
      <c r="X936" s="2" cm="1">
        <f t="array" aca="1" ref="X936" ca="1">MMULT(MMULT(_xlfn.ANCHORARRAY(Q936),$Q$9:$U$13),TRANSPOSE(_xlfn.ANCHORARRAY(Q936)))</f>
        <v>2.6332031108090528E-4</v>
      </c>
      <c r="Y936" s="2">
        <f t="shared" ca="1" si="34"/>
        <v>1.6227147348838157E-2</v>
      </c>
      <c r="Z936" s="2" cm="1">
        <f t="array" aca="1" ref="Z936" ca="1">MMULT(_xlfn.ANCHORARRAY(Q936),TRANSPOSE($Q$3:$U$3))</f>
        <v>7.7265837538872397E-4</v>
      </c>
      <c r="AA936" s="11">
        <f ca="1">AVEDEV(Q936*$Q$3,R936*$R$3,S936*$S$3,T936*$T$3,U936*$U$3)</f>
        <v>6.3156626378884921E-5</v>
      </c>
      <c r="AB936" s="11" cm="1">
        <f t="array" aca="1" ref="AB936" ca="1">MMULT(_xlfn.ANCHORARRAY(Q936),TRANSPOSE($Q$6:$U$6))</f>
        <v>-2.169475753537195E-2</v>
      </c>
      <c r="AD936" s="2" t="s">
        <v>927</v>
      </c>
      <c r="AE936" s="10" cm="1">
        <f t="array" aca="1" ref="AE936:AI936" ca="1">_xlfn.LET(_xlpm.array,_xlfn.RANDARRAY(1,COLUMNS(_xlfn.ANCHORARRAY(Q935)),-1,1,FALSE),_xlpm.array/SUM(_xlpm.array))</f>
        <v>0.28349164399003729</v>
      </c>
      <c r="AF936" s="10">
        <f ca="1"/>
        <v>-4.2971029443713719E-2</v>
      </c>
      <c r="AG936" s="10">
        <f ca="1"/>
        <v>0.22223377649182585</v>
      </c>
      <c r="AH936" s="10">
        <f ca="1"/>
        <v>0.27067334241377522</v>
      </c>
      <c r="AI936" s="10">
        <f ca="1"/>
        <v>0.26657226654807542</v>
      </c>
      <c r="AJ936" s="1"/>
      <c r="AK936" s="2" cm="1">
        <f t="array" aca="1" ref="AK936" ca="1">MMULT(MMULT(_xlfn.ANCHORARRAY(AE936),$Q$9:$U$13),TRANSPOSE(_xlfn.ANCHORARRAY(AE936)))</f>
        <v>2.8210720261498471E-4</v>
      </c>
      <c r="AL936" s="2">
        <f t="shared" ca="1" si="35"/>
        <v>1.6796047231863356E-2</v>
      </c>
      <c r="AM936" s="2" cm="1">
        <f t="array" aca="1" ref="AM936" ca="1">MMULT(_xlfn.ANCHORARRAY(AE937),TRANSPOSE($Q$3:$U$3))</f>
        <v>8.0256110244199068E-4</v>
      </c>
    </row>
    <row r="937" spans="1:39" x14ac:dyDescent="0.35">
      <c r="A937" s="3">
        <v>45189</v>
      </c>
      <c r="B937" s="4">
        <v>26.844051361083899</v>
      </c>
      <c r="C937" s="4">
        <v>149.676986694335</v>
      </c>
      <c r="D937" s="4">
        <v>66.013999938964801</v>
      </c>
      <c r="E937" s="4">
        <v>26.476940155029201</v>
      </c>
      <c r="F937" s="4">
        <v>314.699127197265</v>
      </c>
      <c r="I937" s="5">
        <f>B937/B936-1</f>
        <v>-3.4905410289035599E-3</v>
      </c>
      <c r="J937" s="5">
        <f>C937/C936-1</f>
        <v>-3.0502346572817141E-3</v>
      </c>
      <c r="K937" s="5">
        <f>D937/D936-1</f>
        <v>-1.3733614207929401E-2</v>
      </c>
      <c r="L937" s="5">
        <f>E937/E936-1</f>
        <v>-1.5174098613547349E-3</v>
      </c>
      <c r="M937" s="5">
        <f>F937/F936-1</f>
        <v>-2.3977065489691807E-2</v>
      </c>
      <c r="N937" s="5">
        <f>SUMPRODUCT(I937:M937,$AJ$13:$AN$13)</f>
        <v>-1.4759736222584925E-2</v>
      </c>
      <c r="P937" s="2" t="s">
        <v>928</v>
      </c>
      <c r="Q937" s="10" cm="1">
        <f t="array" aca="1" ref="Q937:U937" ca="1">_xlfn.LET(_xlpm.array,_xlfn.RANDARRAY(1,COLUMNS(_xlfn.ANCHORARRAY(Q936)),0,1,FALSE),_xlpm.array/SUM(_xlpm.array))</f>
        <v>0.33302777734311279</v>
      </c>
      <c r="R937" s="2">
        <f ca="1"/>
        <v>0.32075517913873935</v>
      </c>
      <c r="S937" s="2">
        <f ca="1"/>
        <v>5.2604714355538117E-2</v>
      </c>
      <c r="T937" s="2">
        <f ca="1"/>
        <v>3.7226358097859666E-2</v>
      </c>
      <c r="U937" s="2">
        <f ca="1"/>
        <v>0.25638597106475008</v>
      </c>
      <c r="V937" s="12"/>
      <c r="X937" s="2" cm="1">
        <f t="array" aca="1" ref="X937" ca="1">MMULT(MMULT(_xlfn.ANCHORARRAY(Q937),$Q$9:$U$13),TRANSPOSE(_xlfn.ANCHORARRAY(Q937)))</f>
        <v>2.6953716172835123E-4</v>
      </c>
      <c r="Y937" s="2">
        <f t="shared" ca="1" si="34"/>
        <v>1.6417586964239027E-2</v>
      </c>
      <c r="Z937" s="2" cm="1">
        <f t="array" aca="1" ref="Z937" ca="1">MMULT(_xlfn.ANCHORARRAY(Q937),TRANSPOSE($Q$3:$U$3))</f>
        <v>7.2304704572981522E-4</v>
      </c>
      <c r="AA937" s="11">
        <f ca="1">AVEDEV(Q937*$Q$3,R937*$R$3,S937*$S$3,T937*$T$3,U937*$U$3)</f>
        <v>6.6303054600236488E-5</v>
      </c>
      <c r="AB937" s="11" cm="1">
        <f t="array" aca="1" ref="AB937" ca="1">MMULT(_xlfn.ANCHORARRAY(Q937),TRANSPOSE($Q$6:$U$6))</f>
        <v>-2.1329225955449775E-2</v>
      </c>
      <c r="AD937" s="2" t="s">
        <v>928</v>
      </c>
      <c r="AE937" s="10" cm="1">
        <f t="array" aca="1" ref="AE937:AI937" ca="1">_xlfn.LET(_xlpm.array,_xlfn.RANDARRAY(1,COLUMNS(_xlfn.ANCHORARRAY(Q936)),-1,1,FALSE),_xlpm.array/SUM(_xlpm.array))</f>
        <v>8.9557826531890358E-2</v>
      </c>
      <c r="AF937" s="10">
        <f ca="1"/>
        <v>0.50535272680247245</v>
      </c>
      <c r="AG937" s="10">
        <f ca="1"/>
        <v>6.8525991075014479E-3</v>
      </c>
      <c r="AH937" s="10">
        <f ca="1"/>
        <v>0.28155805901982989</v>
      </c>
      <c r="AI937" s="10">
        <f ca="1"/>
        <v>0.11667878853830584</v>
      </c>
      <c r="AJ937" s="1"/>
      <c r="AK937" s="2" cm="1">
        <f t="array" aca="1" ref="AK937" ca="1">MMULT(MMULT(_xlfn.ANCHORARRAY(AE937),$Q$9:$U$13),TRANSPOSE(_xlfn.ANCHORARRAY(AE937)))</f>
        <v>3.3617486082060177E-4</v>
      </c>
      <c r="AL937" s="2">
        <f t="shared" ca="1" si="35"/>
        <v>1.8335071879341018E-2</v>
      </c>
      <c r="AM937" s="2" cm="1">
        <f t="array" aca="1" ref="AM937" ca="1">MMULT(_xlfn.ANCHORARRAY(AE938),TRANSPOSE($Q$3:$U$3))</f>
        <v>1.0785952286483298E-3</v>
      </c>
    </row>
    <row r="938" spans="1:39" x14ac:dyDescent="0.35">
      <c r="A938" s="3">
        <v>45190</v>
      </c>
      <c r="B938" s="4">
        <v>26.373928070068299</v>
      </c>
      <c r="C938" s="4">
        <v>148.33010864257801</v>
      </c>
      <c r="D938" s="4">
        <v>65.535202026367102</v>
      </c>
      <c r="E938" s="4">
        <v>25.873363494873001</v>
      </c>
      <c r="F938" s="4">
        <v>313.48263549804602</v>
      </c>
      <c r="I938" s="5">
        <f>B938/B937-1</f>
        <v>-1.7513127384979676E-2</v>
      </c>
      <c r="J938" s="5">
        <f>C938/C937-1</f>
        <v>-8.9985647192880602E-3</v>
      </c>
      <c r="K938" s="5">
        <f>D938/D937-1</f>
        <v>-7.2529753240280215E-3</v>
      </c>
      <c r="L938" s="5">
        <f>E938/E937-1</f>
        <v>-2.279631470336474E-2</v>
      </c>
      <c r="M938" s="5">
        <f>F938/F937-1</f>
        <v>-3.8655706167766146E-3</v>
      </c>
      <c r="N938" s="5">
        <f>SUMPRODUCT(I938:M938,$AJ$13:$AN$13)</f>
        <v>-1.0359591252389753E-2</v>
      </c>
      <c r="P938" s="2" t="s">
        <v>929</v>
      </c>
      <c r="Q938" s="10" cm="1">
        <f t="array" aca="1" ref="Q938:U938" ca="1">_xlfn.LET(_xlpm.array,_xlfn.RANDARRAY(1,COLUMNS(_xlfn.ANCHORARRAY(Q937)),0,1,FALSE),_xlpm.array/SUM(_xlpm.array))</f>
        <v>0.31403259997180177</v>
      </c>
      <c r="R938" s="2">
        <f ca="1"/>
        <v>0.18992166426162399</v>
      </c>
      <c r="S938" s="2">
        <f ca="1"/>
        <v>0.16721836620555056</v>
      </c>
      <c r="T938" s="2">
        <f ca="1"/>
        <v>0.28411234745910247</v>
      </c>
      <c r="U938" s="2">
        <f ca="1"/>
        <v>4.4715022101921187E-2</v>
      </c>
      <c r="V938" s="12"/>
      <c r="X938" s="2" cm="1">
        <f t="array" aca="1" ref="X938" ca="1">MMULT(MMULT(_xlfn.ANCHORARRAY(Q938),$Q$9:$U$13),TRANSPOSE(_xlfn.ANCHORARRAY(Q938)))</f>
        <v>3.1598291869867196E-4</v>
      </c>
      <c r="Y938" s="2">
        <f t="shared" ca="1" si="34"/>
        <v>1.7775908379001955E-2</v>
      </c>
      <c r="Z938" s="2" cm="1">
        <f t="array" aca="1" ref="Z938" ca="1">MMULT(_xlfn.ANCHORARRAY(Q938),TRANSPOSE($Q$3:$U$3))</f>
        <v>8.9431135749478547E-4</v>
      </c>
      <c r="AA938" s="11">
        <f ca="1">AVEDEV(Q938*$Q$3,R938*$R$3,S938*$S$3,T938*$T$3,U938*$U$3)</f>
        <v>8.1636901256275639E-5</v>
      </c>
      <c r="AB938" s="11" cm="1">
        <f t="array" aca="1" ref="AB938" ca="1">MMULT(_xlfn.ANCHORARRAY(Q938),TRANSPOSE($Q$6:$U$6))</f>
        <v>-2.3287288063635381E-2</v>
      </c>
      <c r="AD938" s="2" t="s">
        <v>929</v>
      </c>
      <c r="AE938" s="10" cm="1">
        <f t="array" aca="1" ref="AE938:AI938" ca="1">_xlfn.LET(_xlpm.array,_xlfn.RANDARRAY(1,COLUMNS(_xlfn.ANCHORARRAY(Q937)),-1,1,FALSE),_xlpm.array/SUM(_xlpm.array))</f>
        <v>0.81220791301917472</v>
      </c>
      <c r="AF938" s="10">
        <f ca="1"/>
        <v>0.63915047408309744</v>
      </c>
      <c r="AG938" s="10">
        <f ca="1"/>
        <v>0.79026659910570118</v>
      </c>
      <c r="AH938" s="10">
        <f ca="1"/>
        <v>-0.52449466784575149</v>
      </c>
      <c r="AI938" s="10">
        <f ca="1"/>
        <v>-0.71713031836222207</v>
      </c>
      <c r="AJ938" s="1"/>
      <c r="AK938" s="2" cm="1">
        <f t="array" aca="1" ref="AK938" ca="1">MMULT(MMULT(_xlfn.ANCHORARRAY(AE938),$Q$9:$U$13),TRANSPOSE(_xlfn.ANCHORARRAY(AE938)))</f>
        <v>1.0721040888286206E-3</v>
      </c>
      <c r="AL938" s="2">
        <f t="shared" ca="1" si="35"/>
        <v>3.2743000608200533E-2</v>
      </c>
      <c r="AM938" s="2" cm="1">
        <f t="array" aca="1" ref="AM938" ca="1">MMULT(_xlfn.ANCHORARRAY(AE939),TRANSPOSE($Q$3:$U$3))</f>
        <v>1.3618846202593474E-2</v>
      </c>
    </row>
    <row r="939" spans="1:39" x14ac:dyDescent="0.35">
      <c r="A939" s="3">
        <v>45191</v>
      </c>
      <c r="B939" s="4">
        <v>25.988426208496001</v>
      </c>
      <c r="C939" s="4">
        <v>149.308837890625</v>
      </c>
      <c r="D939" s="4">
        <v>67.076889038085895</v>
      </c>
      <c r="E939" s="4">
        <v>25.849218368530199</v>
      </c>
      <c r="F939" s="4">
        <v>311.01031494140602</v>
      </c>
      <c r="I939" s="5">
        <f>B939/B938-1</f>
        <v>-1.4616778378561013E-2</v>
      </c>
      <c r="J939" s="5">
        <f>C939/C938-1</f>
        <v>6.5983181499946753E-3</v>
      </c>
      <c r="K939" s="5">
        <f>D939/D938-1</f>
        <v>2.3524563349915706E-2</v>
      </c>
      <c r="L939" s="5">
        <f>E939/E938-1</f>
        <v>-9.3320400138874327E-4</v>
      </c>
      <c r="M939" s="5">
        <f>F939/F938-1</f>
        <v>-7.886626806974828E-3</v>
      </c>
      <c r="N939" s="5">
        <f>SUMPRODUCT(I939:M939,$AJ$13:$AN$13)</f>
        <v>1.3189249404842078E-2</v>
      </c>
      <c r="P939" s="2" t="s">
        <v>930</v>
      </c>
      <c r="Q939" s="10" cm="1">
        <f t="array" aca="1" ref="Q939:U939" ca="1">_xlfn.LET(_xlpm.array,_xlfn.RANDARRAY(1,COLUMNS(_xlfn.ANCHORARRAY(Q938)),0,1,FALSE),_xlpm.array/SUM(_xlpm.array))</f>
        <v>0.19148133605809556</v>
      </c>
      <c r="R939" s="2">
        <f ca="1"/>
        <v>0.15437324172085701</v>
      </c>
      <c r="S939" s="2">
        <f ca="1"/>
        <v>0.23483809289300694</v>
      </c>
      <c r="T939" s="2">
        <f ca="1"/>
        <v>0.17833299845487835</v>
      </c>
      <c r="U939" s="2">
        <f ca="1"/>
        <v>0.24097433087316197</v>
      </c>
      <c r="V939" s="12"/>
      <c r="X939" s="2" cm="1">
        <f t="array" aca="1" ref="X939" ca="1">MMULT(MMULT(_xlfn.ANCHORARRAY(Q939),$Q$9:$U$13),TRANSPOSE(_xlfn.ANCHORARRAY(Q939)))</f>
        <v>2.777795810758853E-4</v>
      </c>
      <c r="Y939" s="2">
        <f t="shared" ca="1" si="34"/>
        <v>1.6666720765522093E-2</v>
      </c>
      <c r="Z939" s="2" cm="1">
        <f t="array" aca="1" ref="Z939" ca="1">MMULT(_xlfn.ANCHORARRAY(Q939),TRANSPOSE($Q$3:$U$3))</f>
        <v>9.5792446665962541E-4</v>
      </c>
      <c r="AA939" s="11">
        <f ca="1">AVEDEV(Q939*$Q$3,R939*$R$3,S939*$S$3,T939*$T$3,U939*$U$3)</f>
        <v>7.5916940438641657E-5</v>
      </c>
      <c r="AB939" s="11" cm="1">
        <f t="array" aca="1" ref="AB939" ca="1">MMULT(_xlfn.ANCHORARRAY(Q939),TRANSPOSE($Q$6:$U$6))</f>
        <v>-2.3031620418302923E-2</v>
      </c>
      <c r="AD939" s="2" t="s">
        <v>930</v>
      </c>
      <c r="AE939" s="10" cm="1">
        <f t="array" aca="1" ref="AE939:AI939" ca="1">_xlfn.LET(_xlpm.array,_xlfn.RANDARRAY(1,COLUMNS(_xlfn.ANCHORARRAY(Q938)),-1,1,FALSE),_xlpm.array/SUM(_xlpm.array))</f>
        <v>-3.6931244538117771</v>
      </c>
      <c r="AF939" s="10">
        <f ca="1"/>
        <v>-3.6978275644494794</v>
      </c>
      <c r="AG939" s="10">
        <f ca="1"/>
        <v>10.097567565937061</v>
      </c>
      <c r="AH939" s="10">
        <f ca="1"/>
        <v>12.085117717499118</v>
      </c>
      <c r="AI939" s="10">
        <f ca="1"/>
        <v>-13.791733265174923</v>
      </c>
      <c r="AJ939" s="1"/>
      <c r="AK939" s="2" cm="1">
        <f t="array" aca="1" ref="AK939" ca="1">MMULT(MMULT(_xlfn.ANCHORARRAY(AE939),$Q$9:$U$13),TRANSPOSE(_xlfn.ANCHORARRAY(AE939)))</f>
        <v>0.14899073409313721</v>
      </c>
      <c r="AL939" s="2">
        <f t="shared" ca="1" si="35"/>
        <v>0.38599317881685058</v>
      </c>
      <c r="AM939" s="2" cm="1">
        <f t="array" aca="1" ref="AM939" ca="1">MMULT(_xlfn.ANCHORARRAY(AE940),TRANSPOSE($Q$3:$U$3))</f>
        <v>1.0926458262314554E-3</v>
      </c>
    </row>
    <row r="940" spans="1:39" x14ac:dyDescent="0.35">
      <c r="A940" s="3">
        <v>45194</v>
      </c>
      <c r="B940" s="4">
        <v>25.950820922851499</v>
      </c>
      <c r="C940" s="4">
        <v>151.49084472656199</v>
      </c>
      <c r="D940" s="4">
        <v>67.057731628417898</v>
      </c>
      <c r="E940" s="4">
        <v>26.042364120483398</v>
      </c>
      <c r="F940" s="4">
        <v>311.53030395507801</v>
      </c>
      <c r="I940" s="5">
        <f>B940/B939-1</f>
        <v>-1.4470012667489041E-3</v>
      </c>
      <c r="J940" s="5">
        <f>C940/C939-1</f>
        <v>1.4614050090828501E-2</v>
      </c>
      <c r="K940" s="5">
        <f>D940/D939-1</f>
        <v>-2.8560372943231549E-4</v>
      </c>
      <c r="L940" s="5">
        <f>E940/E939-1</f>
        <v>7.4720151766114462E-3</v>
      </c>
      <c r="M940" s="5">
        <f>F940/F939-1</f>
        <v>1.6719349445690757E-3</v>
      </c>
      <c r="N940" s="5">
        <f>SUMPRODUCT(I940:M940,$AJ$13:$AN$13)</f>
        <v>3.8408552683408489E-3</v>
      </c>
      <c r="P940" s="2" t="s">
        <v>931</v>
      </c>
      <c r="Q940" s="10" cm="1">
        <f t="array" aca="1" ref="Q940:U940" ca="1">_xlfn.LET(_xlpm.array,_xlfn.RANDARRAY(1,COLUMNS(_xlfn.ANCHORARRAY(Q939)),0,1,FALSE),_xlpm.array/SUM(_xlpm.array))</f>
        <v>6.4787602333080604E-2</v>
      </c>
      <c r="R940" s="2">
        <f ca="1"/>
        <v>0.17376973891420167</v>
      </c>
      <c r="S940" s="2">
        <f ca="1"/>
        <v>2.2194607356827725E-2</v>
      </c>
      <c r="T940" s="2">
        <f ca="1"/>
        <v>0.30225118670117473</v>
      </c>
      <c r="U940" s="2">
        <f ca="1"/>
        <v>0.43699686469471538</v>
      </c>
      <c r="V940" s="12"/>
      <c r="X940" s="2" cm="1">
        <f t="array" aca="1" ref="X940" ca="1">MMULT(MMULT(_xlfn.ANCHORARRAY(Q940),$Q$9:$U$13),TRANSPOSE(_xlfn.ANCHORARRAY(Q940)))</f>
        <v>2.5369050541527077E-4</v>
      </c>
      <c r="Y940" s="2">
        <f t="shared" ca="1" si="34"/>
        <v>1.592766478223568E-2</v>
      </c>
      <c r="Z940" s="2" cm="1">
        <f t="array" aca="1" ref="Z940" ca="1">MMULT(_xlfn.ANCHORARRAY(Q940),TRANSPOSE($Q$3:$U$3))</f>
        <v>8.3888927353378048E-4</v>
      </c>
      <c r="AA940" s="11">
        <f ca="1">AVEDEV(Q940*$Q$3,R940*$R$3,S940*$S$3,T940*$T$3,U940*$U$3)</f>
        <v>1.2298719997152937E-4</v>
      </c>
      <c r="AB940" s="11" cm="1">
        <f t="array" aca="1" ref="AB940" ca="1">MMULT(_xlfn.ANCHORARRAY(Q940),TRANSPOSE($Q$6:$U$6))</f>
        <v>-2.1984016285252907E-2</v>
      </c>
      <c r="AD940" s="2" t="s">
        <v>931</v>
      </c>
      <c r="AE940" s="10" cm="1">
        <f t="array" aca="1" ref="AE940:AI940" ca="1">_xlfn.LET(_xlpm.array,_xlfn.RANDARRAY(1,COLUMNS(_xlfn.ANCHORARRAY(Q939)),-1,1,FALSE),_xlpm.array/SUM(_xlpm.array))</f>
        <v>0.11285181161849837</v>
      </c>
      <c r="AF940" s="10">
        <f ca="1"/>
        <v>0.24246558549886527</v>
      </c>
      <c r="AG940" s="10">
        <f ca="1"/>
        <v>0.31953340110050371</v>
      </c>
      <c r="AH940" s="10">
        <f ca="1"/>
        <v>0.35292183837382812</v>
      </c>
      <c r="AI940" s="10">
        <f ca="1"/>
        <v>-2.7772636591695363E-2</v>
      </c>
      <c r="AJ940" s="1"/>
      <c r="AK940" s="2" cm="1">
        <f t="array" aca="1" ref="AK940" ca="1">MMULT(MMULT(_xlfn.ANCHORARRAY(AE940),$Q$9:$U$13),TRANSPOSE(_xlfn.ANCHORARRAY(AE940)))</f>
        <v>3.7153138301236963E-4</v>
      </c>
      <c r="AL940" s="2">
        <f t="shared" ca="1" si="35"/>
        <v>1.9275149364203891E-2</v>
      </c>
      <c r="AM940" s="2" cm="1">
        <f t="array" aca="1" ref="AM940" ca="1">MMULT(_xlfn.ANCHORARRAY(AE941),TRANSPOSE($Q$3:$U$3))</f>
        <v>3.752223859986106E-4</v>
      </c>
    </row>
    <row r="941" spans="1:39" x14ac:dyDescent="0.35">
      <c r="A941" s="3">
        <v>45195</v>
      </c>
      <c r="B941" s="4">
        <v>25.546514511108398</v>
      </c>
      <c r="C941" s="4">
        <v>150.67372131347599</v>
      </c>
      <c r="D941" s="4">
        <v>66.004425048828097</v>
      </c>
      <c r="E941" s="4">
        <v>25.792884826660099</v>
      </c>
      <c r="F941" s="4">
        <v>306.23248291015602</v>
      </c>
      <c r="I941" s="5">
        <f>B941/B940-1</f>
        <v>-1.5579715683949003E-2</v>
      </c>
      <c r="J941" s="5">
        <f>C941/C940-1</f>
        <v>-5.3938798384871589E-3</v>
      </c>
      <c r="K941" s="5">
        <f>D941/D940-1</f>
        <v>-1.5707459140228752E-2</v>
      </c>
      <c r="L941" s="5">
        <f>E941/E940-1</f>
        <v>-9.5797483158248653E-3</v>
      </c>
      <c r="M941" s="5">
        <f>F941/F940-1</f>
        <v>-1.7005796796211281E-2</v>
      </c>
      <c r="N941" s="5">
        <f>SUMPRODUCT(I941:M941,$AJ$13:$AN$13)</f>
        <v>-1.3652786666064912E-2</v>
      </c>
      <c r="P941" s="2" t="s">
        <v>932</v>
      </c>
      <c r="Q941" s="10" cm="1">
        <f t="array" aca="1" ref="Q941:U941" ca="1">_xlfn.LET(_xlpm.array,_xlfn.RANDARRAY(1,COLUMNS(_xlfn.ANCHORARRAY(Q940)),0,1,FALSE),_xlpm.array/SUM(_xlpm.array))</f>
        <v>0.22579780903007871</v>
      </c>
      <c r="R941" s="2">
        <f ca="1"/>
        <v>9.8637346858808941E-2</v>
      </c>
      <c r="S941" s="2">
        <f ca="1"/>
        <v>0.19450338150164767</v>
      </c>
      <c r="T941" s="2">
        <f ca="1"/>
        <v>0.22805978076963157</v>
      </c>
      <c r="U941" s="2">
        <f ca="1"/>
        <v>0.25300168183983313</v>
      </c>
      <c r="V941" s="12"/>
      <c r="X941" s="2" cm="1">
        <f t="array" aca="1" ref="X941" ca="1">MMULT(MMULT(_xlfn.ANCHORARRAY(Q941),$Q$9:$U$13),TRANSPOSE(_xlfn.ANCHORARRAY(Q941)))</f>
        <v>2.7112784378065285E-4</v>
      </c>
      <c r="Y941" s="2">
        <f t="shared" ca="1" si="34"/>
        <v>1.6465960153621558E-2</v>
      </c>
      <c r="Z941" s="2" cm="1">
        <f t="array" aca="1" ref="Z941" ca="1">MMULT(_xlfn.ANCHORARRAY(Q941),TRANSPOSE($Q$3:$U$3))</f>
        <v>9.2916245369347209E-4</v>
      </c>
      <c r="AA941" s="11">
        <f ca="1">AVEDEV(Q941*$Q$3,R941*$R$3,S941*$S$3,T941*$T$3,U941*$U$3)</f>
        <v>7.3950100006275839E-5</v>
      </c>
      <c r="AB941" s="11" cm="1">
        <f t="array" aca="1" ref="AB941" ca="1">MMULT(_xlfn.ANCHORARRAY(Q941),TRANSPOSE($Q$6:$U$6))</f>
        <v>-2.3023323171242602E-2</v>
      </c>
      <c r="AD941" s="2" t="s">
        <v>932</v>
      </c>
      <c r="AE941" s="10" cm="1">
        <f t="array" aca="1" ref="AE941:AI941" ca="1">_xlfn.LET(_xlpm.array,_xlfn.RANDARRAY(1,COLUMNS(_xlfn.ANCHORARRAY(Q940)),-1,1,FALSE),_xlpm.array/SUM(_xlpm.array))</f>
        <v>0.56688571512536823</v>
      </c>
      <c r="AF941" s="10">
        <f ca="1"/>
        <v>0.97547337696364445</v>
      </c>
      <c r="AG941" s="10">
        <f ca="1"/>
        <v>-0.49486888098776655</v>
      </c>
      <c r="AH941" s="10">
        <f ca="1"/>
        <v>0.8364380907096568</v>
      </c>
      <c r="AI941" s="10">
        <f ca="1"/>
        <v>-0.88392830181090298</v>
      </c>
      <c r="AJ941" s="1"/>
      <c r="AK941" s="2" cm="1">
        <f t="array" aca="1" ref="AK941" ca="1">MMULT(MMULT(_xlfn.ANCHORARRAY(AE941),$Q$9:$U$13),TRANSPOSE(_xlfn.ANCHORARRAY(AE941)))</f>
        <v>1.7623100138216216E-3</v>
      </c>
      <c r="AL941" s="2">
        <f t="shared" ca="1" si="35"/>
        <v>4.1979876295930432E-2</v>
      </c>
      <c r="AM941" s="2" cm="1">
        <f t="array" aca="1" ref="AM941" ca="1">MMULT(_xlfn.ANCHORARRAY(AE942),TRANSPOSE($Q$3:$U$3))</f>
        <v>8.6075091341475147E-4</v>
      </c>
    </row>
    <row r="942" spans="1:39" x14ac:dyDescent="0.35">
      <c r="A942" s="3">
        <v>45196</v>
      </c>
      <c r="B942" s="4">
        <v>25.640539169311499</v>
      </c>
      <c r="C942" s="4">
        <v>153.58302307128901</v>
      </c>
      <c r="D942" s="4">
        <v>65.066009521484304</v>
      </c>
      <c r="E942" s="4">
        <v>26.589607238769499</v>
      </c>
      <c r="F942" s="4">
        <v>306.87014770507801</v>
      </c>
      <c r="I942" s="5">
        <f>B942/B941-1</f>
        <v>3.6805278529177254E-3</v>
      </c>
      <c r="J942" s="5">
        <f>C942/C941-1</f>
        <v>1.9308620856056447E-2</v>
      </c>
      <c r="K942" s="5">
        <f>D942/D941-1</f>
        <v>-1.4217463854121593E-2</v>
      </c>
      <c r="L942" s="5">
        <f>E942/E941-1</f>
        <v>3.0889232339218253E-2</v>
      </c>
      <c r="M942" s="5">
        <f>F942/F941-1</f>
        <v>2.0822898631203124E-3</v>
      </c>
      <c r="N942" s="5">
        <f>SUMPRODUCT(I942:M942,$AJ$13:$AN$13)</f>
        <v>6.0290891390694049E-3</v>
      </c>
      <c r="P942" s="2" t="s">
        <v>933</v>
      </c>
      <c r="Q942" s="10" cm="1">
        <f t="array" aca="1" ref="Q942:U942" ca="1">_xlfn.LET(_xlpm.array,_xlfn.RANDARRAY(1,COLUMNS(_xlfn.ANCHORARRAY(Q941)),0,1,FALSE),_xlpm.array/SUM(_xlpm.array))</f>
        <v>0.3641177579645638</v>
      </c>
      <c r="R942" s="2">
        <f ca="1"/>
        <v>1.4276094602520462E-2</v>
      </c>
      <c r="S942" s="2">
        <f ca="1"/>
        <v>0.2444486330890836</v>
      </c>
      <c r="T942" s="2">
        <f ca="1"/>
        <v>0.31625990827931444</v>
      </c>
      <c r="U942" s="2">
        <f ca="1"/>
        <v>6.0897606064517905E-2</v>
      </c>
      <c r="V942" s="12"/>
      <c r="X942" s="2" cm="1">
        <f t="array" aca="1" ref="X942" ca="1">MMULT(MMULT(_xlfn.ANCHORARRAY(Q942),$Q$9:$U$13),TRANSPOSE(_xlfn.ANCHORARRAY(Q942)))</f>
        <v>3.2364740702815092E-4</v>
      </c>
      <c r="Y942" s="2">
        <f t="shared" ca="1" si="34"/>
        <v>1.7990203084683368E-2</v>
      </c>
      <c r="Z942" s="2" cm="1">
        <f t="array" aca="1" ref="Z942" ca="1">MMULT(_xlfn.ANCHORARRAY(Q942),TRANSPOSE($Q$3:$U$3))</f>
        <v>9.6214552027705101E-4</v>
      </c>
      <c r="AA942" s="11">
        <f ca="1">AVEDEV(Q942*$Q$3,R942*$R$3,S942*$S$3,T942*$T$3,U942*$U$3)</f>
        <v>1.3408923995256037E-4</v>
      </c>
      <c r="AB942" s="11" cm="1">
        <f t="array" aca="1" ref="AB942" ca="1">MMULT(_xlfn.ANCHORARRAY(Q942),TRANSPOSE($Q$6:$U$6))</f>
        <v>-2.3983018440584033E-2</v>
      </c>
      <c r="AD942" s="2" t="s">
        <v>933</v>
      </c>
      <c r="AE942" s="10" cm="1">
        <f t="array" aca="1" ref="AE942:AI942" ca="1">_xlfn.LET(_xlpm.array,_xlfn.RANDARRAY(1,COLUMNS(_xlfn.ANCHORARRAY(Q941)),-1,1,FALSE),_xlpm.array/SUM(_xlpm.array))</f>
        <v>0.33353686210849681</v>
      </c>
      <c r="AF942" s="10">
        <f ca="1"/>
        <v>7.5063051147395962E-2</v>
      </c>
      <c r="AG942" s="10">
        <f ca="1"/>
        <v>0.1137953015023994</v>
      </c>
      <c r="AH942" s="10">
        <f ca="1"/>
        <v>0.33617179611505915</v>
      </c>
      <c r="AI942" s="10">
        <f ca="1"/>
        <v>0.14143298912664864</v>
      </c>
      <c r="AJ942" s="1"/>
      <c r="AK942" s="2" cm="1">
        <f t="array" aca="1" ref="AK942" ca="1">MMULT(MMULT(_xlfn.ANCHORARRAY(AE942),$Q$9:$U$13),TRANSPOSE(_xlfn.ANCHORARRAY(AE942)))</f>
        <v>2.9385361015498709E-4</v>
      </c>
      <c r="AL942" s="2">
        <f t="shared" ca="1" si="35"/>
        <v>1.7142158853393791E-2</v>
      </c>
      <c r="AM942" s="2" cm="1">
        <f t="array" aca="1" ref="AM942" ca="1">MMULT(_xlfn.ANCHORARRAY(AE943),TRANSPOSE($Q$3:$U$3))</f>
        <v>6.2359140308153272E-4</v>
      </c>
    </row>
    <row r="943" spans="1:39" x14ac:dyDescent="0.35">
      <c r="A943" s="3">
        <v>45197</v>
      </c>
      <c r="B943" s="4">
        <v>25.913209915161101</v>
      </c>
      <c r="C943" s="4">
        <v>153.178955078125</v>
      </c>
      <c r="D943" s="4">
        <v>65.592658996582003</v>
      </c>
      <c r="E943" s="4">
        <v>26.541318893432599</v>
      </c>
      <c r="F943" s="4">
        <v>307.70416259765602</v>
      </c>
      <c r="I943" s="5">
        <f>B943/B942-1</f>
        <v>1.0634360847448843E-2</v>
      </c>
      <c r="J943" s="5">
        <f>C943/C942-1</f>
        <v>-2.6309417869476714E-3</v>
      </c>
      <c r="K943" s="5">
        <f>D943/D942-1</f>
        <v>8.0940798270994208E-3</v>
      </c>
      <c r="L943" s="5">
        <f>E943/E942-1</f>
        <v>-1.8160608730801719E-3</v>
      </c>
      <c r="M943" s="5">
        <f>F943/F942-1</f>
        <v>2.7178104446299312E-3</v>
      </c>
      <c r="N943" s="5">
        <f>SUMPRODUCT(I943:M943,$AJ$13:$AN$13)</f>
        <v>1.2842683013472415E-3</v>
      </c>
      <c r="P943" s="2" t="s">
        <v>934</v>
      </c>
      <c r="Q943" s="10" cm="1">
        <f t="array" aca="1" ref="Q943:U943" ca="1">_xlfn.LET(_xlpm.array,_xlfn.RANDARRAY(1,COLUMNS(_xlfn.ANCHORARRAY(Q942)),0,1,FALSE),_xlpm.array/SUM(_xlpm.array))</f>
        <v>0.23390286093831991</v>
      </c>
      <c r="R943" s="2">
        <f ca="1"/>
        <v>4.8312744740388984E-2</v>
      </c>
      <c r="S943" s="2">
        <f ca="1"/>
        <v>0.28205807170170893</v>
      </c>
      <c r="T943" s="2">
        <f ca="1"/>
        <v>0.22886460574619791</v>
      </c>
      <c r="U943" s="2">
        <f ca="1"/>
        <v>0.20686171687338425</v>
      </c>
      <c r="V943" s="12"/>
      <c r="X943" s="2" cm="1">
        <f t="array" aca="1" ref="X943" ca="1">MMULT(MMULT(_xlfn.ANCHORARRAY(Q943),$Q$9:$U$13),TRANSPOSE(_xlfn.ANCHORARRAY(Q943)))</f>
        <v>2.96148622212468E-4</v>
      </c>
      <c r="Y943" s="2">
        <f t="shared" ca="1" si="34"/>
        <v>1.7208969237361895E-2</v>
      </c>
      <c r="Z943" s="2" cm="1">
        <f t="array" aca="1" ref="Z943" ca="1">MMULT(_xlfn.ANCHORARRAY(Q943),TRANSPOSE($Q$3:$U$3))</f>
        <v>1.0042536055022309E-3</v>
      </c>
      <c r="AA943" s="11">
        <f ca="1">AVEDEV(Q943*$Q$3,R943*$R$3,S943*$S$3,T943*$T$3,U943*$U$3)</f>
        <v>1.1606923411882806E-4</v>
      </c>
      <c r="AB943" s="11" cm="1">
        <f t="array" aca="1" ref="AB943" ca="1">MMULT(_xlfn.ANCHORARRAY(Q943),TRANSPOSE($Q$6:$U$6))</f>
        <v>-2.3630510327486174E-2</v>
      </c>
      <c r="AD943" s="2" t="s">
        <v>934</v>
      </c>
      <c r="AE943" s="10" cm="1">
        <f t="array" aca="1" ref="AE943:AI943" ca="1">_xlfn.LET(_xlpm.array,_xlfn.RANDARRAY(1,COLUMNS(_xlfn.ANCHORARRAY(Q942)),-1,1,FALSE),_xlpm.array/SUM(_xlpm.array))</f>
        <v>0.78223971324635899</v>
      </c>
      <c r="AF943" s="10">
        <f ca="1"/>
        <v>-0.40103910311933466</v>
      </c>
      <c r="AG943" s="10">
        <f ca="1"/>
        <v>7.5646901147697787E-2</v>
      </c>
      <c r="AH943" s="10">
        <f ca="1"/>
        <v>-7.5585031909566308E-2</v>
      </c>
      <c r="AI943" s="10">
        <f ca="1"/>
        <v>0.61873752063484411</v>
      </c>
      <c r="AJ943" s="1"/>
      <c r="AK943" s="2" cm="1">
        <f t="array" aca="1" ref="AK943" ca="1">MMULT(MMULT(_xlfn.ANCHORARRAY(AE943),$Q$9:$U$13),TRANSPOSE(_xlfn.ANCHORARRAY(AE943)))</f>
        <v>4.4255812250184126E-4</v>
      </c>
      <c r="AL943" s="2">
        <f t="shared" ca="1" si="35"/>
        <v>2.1037065444159297E-2</v>
      </c>
      <c r="AM943" s="2" cm="1">
        <f t="array" aca="1" ref="AM943" ca="1">MMULT(_xlfn.ANCHORARRAY(AE944),TRANSPOSE($Q$3:$U$3))</f>
        <v>-4.3103660876897976E-4</v>
      </c>
    </row>
    <row r="944" spans="1:39" x14ac:dyDescent="0.35">
      <c r="A944" s="3">
        <v>45198</v>
      </c>
      <c r="B944" s="4">
        <v>25.743963241577099</v>
      </c>
      <c r="C944" s="4">
        <v>151.41001892089801</v>
      </c>
      <c r="D944" s="4">
        <v>65.975700378417898</v>
      </c>
      <c r="E944" s="4">
        <v>26.3884162902832</v>
      </c>
      <c r="F944" s="4">
        <v>309.77410888671801</v>
      </c>
      <c r="I944" s="5">
        <f>B944/B943-1</f>
        <v>-6.5312894133189303E-3</v>
      </c>
      <c r="J944" s="5">
        <f>C944/C943-1</f>
        <v>-1.1548167020233202E-2</v>
      </c>
      <c r="K944" s="5">
        <f>D944/D943-1</f>
        <v>5.8396989494793328E-3</v>
      </c>
      <c r="L944" s="5">
        <f>E944/E943-1</f>
        <v>-5.760927094969448E-3</v>
      </c>
      <c r="M944" s="5">
        <f>F944/F943-1</f>
        <v>6.7270662560667827E-3</v>
      </c>
      <c r="N944" s="5">
        <f>SUMPRODUCT(I944:M944,$AJ$13:$AN$13)</f>
        <v>4.8631638217737907E-3</v>
      </c>
      <c r="P944" s="2" t="s">
        <v>935</v>
      </c>
      <c r="Q944" s="10" cm="1">
        <f t="array" aca="1" ref="Q944:U944" ca="1">_xlfn.LET(_xlpm.array,_xlfn.RANDARRAY(1,COLUMNS(_xlfn.ANCHORARRAY(Q943)),0,1,FALSE),_xlpm.array/SUM(_xlpm.array))</f>
        <v>0.26280516647445507</v>
      </c>
      <c r="R944" s="2">
        <f ca="1"/>
        <v>4.6853413083203906E-2</v>
      </c>
      <c r="S944" s="2">
        <f ca="1"/>
        <v>0.26078863281641573</v>
      </c>
      <c r="T944" s="2">
        <f ca="1"/>
        <v>0.20733007280271898</v>
      </c>
      <c r="U944" s="2">
        <f ca="1"/>
        <v>0.22222271482320627</v>
      </c>
      <c r="V944" s="12"/>
      <c r="X944" s="2" cm="1">
        <f t="array" aca="1" ref="X944" ca="1">MMULT(MMULT(_xlfn.ANCHORARRAY(Q944),$Q$9:$U$13),TRANSPOSE(_xlfn.ANCHORARRAY(Q944)))</f>
        <v>2.8926762371252949E-4</v>
      </c>
      <c r="Y944" s="2">
        <f t="shared" ca="1" si="34"/>
        <v>1.7007869464237119E-2</v>
      </c>
      <c r="Z944" s="2" cm="1">
        <f t="array" aca="1" ref="Z944" ca="1">MMULT(_xlfn.ANCHORARRAY(Q944),TRANSPOSE($Q$3:$U$3))</f>
        <v>9.7308471792445722E-4</v>
      </c>
      <c r="AA944" s="11">
        <f ca="1">AVEDEV(Q944*$Q$3,R944*$R$3,S944*$S$3,T944*$T$3,U944*$U$3)</f>
        <v>9.8439602983341911E-5</v>
      </c>
      <c r="AB944" s="11" cm="1">
        <f t="array" aca="1" ref="AB944" ca="1">MMULT(_xlfn.ANCHORARRAY(Q944),TRANSPOSE($Q$6:$U$6))</f>
        <v>-2.3414829262611327E-2</v>
      </c>
      <c r="AD944" s="2" t="s">
        <v>935</v>
      </c>
      <c r="AE944" s="10" cm="1">
        <f t="array" aca="1" ref="AE944:AI944" ca="1">_xlfn.LET(_xlpm.array,_xlfn.RANDARRAY(1,COLUMNS(_xlfn.ANCHORARRAY(Q943)),-1,1,FALSE),_xlpm.array/SUM(_xlpm.array))</f>
        <v>-7.5788849178082289</v>
      </c>
      <c r="AF944" s="10">
        <f ca="1"/>
        <v>1.241222984274458</v>
      </c>
      <c r="AG944" s="10">
        <f ca="1"/>
        <v>-6.4718295078456398</v>
      </c>
      <c r="AH944" s="10">
        <f ca="1"/>
        <v>9.5906521797823245</v>
      </c>
      <c r="AI944" s="10">
        <f ca="1"/>
        <v>4.2188392615970853</v>
      </c>
      <c r="AJ944" s="1"/>
      <c r="AK944" s="2" cm="1">
        <f t="array" aca="1" ref="AK944" ca="1">MMULT(MMULT(_xlfn.ANCHORARRAY(AE944),$Q$9:$U$13),TRANSPOSE(_xlfn.ANCHORARRAY(AE944)))</f>
        <v>7.4160628250073204E-2</v>
      </c>
      <c r="AL944" s="2">
        <f t="shared" ca="1" si="35"/>
        <v>0.27232449072764869</v>
      </c>
      <c r="AM944" s="2" cm="1">
        <f t="array" aca="1" ref="AM944" ca="1">MMULT(_xlfn.ANCHORARRAY(AE945),TRANSPOSE($Q$3:$U$3))</f>
        <v>1.0284989679330819E-3</v>
      </c>
    </row>
    <row r="945" spans="1:39" x14ac:dyDescent="0.35">
      <c r="A945" s="3">
        <v>45201</v>
      </c>
      <c r="B945" s="4">
        <v>25.104598999023398</v>
      </c>
      <c r="C945" s="4">
        <v>149.54228210449199</v>
      </c>
      <c r="D945" s="4">
        <v>64.826614379882798</v>
      </c>
      <c r="E945" s="4">
        <v>25.961887359619102</v>
      </c>
      <c r="F945" s="4">
        <v>315.70968627929602</v>
      </c>
      <c r="I945" s="5">
        <f>B945/B944-1</f>
        <v>-2.4835501688454609E-2</v>
      </c>
      <c r="J945" s="5">
        <f>C945/C944-1</f>
        <v>-1.2335622369757382E-2</v>
      </c>
      <c r="K945" s="5">
        <f>D945/D944-1</f>
        <v>-1.7416806368773186E-2</v>
      </c>
      <c r="L945" s="5">
        <f>E945/E944-1</f>
        <v>-1.6163491055018575E-2</v>
      </c>
      <c r="M945" s="5">
        <f>F945/F944-1</f>
        <v>1.916098609373651E-2</v>
      </c>
      <c r="N945" s="5">
        <f>SUMPRODUCT(I945:M945,$AJ$13:$AN$13)</f>
        <v>-2.633405727626147E-3</v>
      </c>
      <c r="P945" s="2" t="s">
        <v>936</v>
      </c>
      <c r="Q945" s="10" cm="1">
        <f t="array" aca="1" ref="Q945:U945" ca="1">_xlfn.LET(_xlpm.array,_xlfn.RANDARRAY(1,COLUMNS(_xlfn.ANCHORARRAY(Q944)),0,1,FALSE),_xlpm.array/SUM(_xlpm.array))</f>
        <v>8.7986087847780906E-2</v>
      </c>
      <c r="R945" s="2">
        <f ca="1"/>
        <v>0.26116471116154483</v>
      </c>
      <c r="S945" s="2">
        <f ca="1"/>
        <v>0.38450603007726031</v>
      </c>
      <c r="T945" s="2">
        <f ca="1"/>
        <v>3.5565642365122274E-2</v>
      </c>
      <c r="U945" s="2">
        <f ca="1"/>
        <v>0.23077752854829159</v>
      </c>
      <c r="V945" s="12"/>
      <c r="X945" s="2" cm="1">
        <f t="array" aca="1" ref="X945" ca="1">MMULT(MMULT(_xlfn.ANCHORARRAY(Q945),$Q$9:$U$13),TRANSPOSE(_xlfn.ANCHORARRAY(Q945)))</f>
        <v>3.2851628276209108E-4</v>
      </c>
      <c r="Y945" s="2">
        <f t="shared" ca="1" si="34"/>
        <v>1.812501814515205E-2</v>
      </c>
      <c r="Z945" s="2" cm="1">
        <f t="array" aca="1" ref="Z945" ca="1">MMULT(_xlfn.ANCHORARRAY(Q945),TRANSPOSE($Q$3:$U$3))</f>
        <v>1.0727149026336117E-3</v>
      </c>
      <c r="AA945" s="11">
        <f ca="1">AVEDEV(Q945*$Q$3,R945*$R$3,S945*$S$3,T945*$T$3,U945*$U$3)</f>
        <v>1.6395804384324936E-4</v>
      </c>
      <c r="AB945" s="11" cm="1">
        <f t="array" aca="1" ref="AB945" ca="1">MMULT(_xlfn.ANCHORARRAY(Q945),TRANSPOSE($Q$6:$U$6))</f>
        <v>-2.3260886843077894E-2</v>
      </c>
      <c r="AD945" s="2" t="s">
        <v>936</v>
      </c>
      <c r="AE945" s="10" cm="1">
        <f t="array" aca="1" ref="AE945:AI945" ca="1">_xlfn.LET(_xlpm.array,_xlfn.RANDARRAY(1,COLUMNS(_xlfn.ANCHORARRAY(Q944)),-1,1,FALSE),_xlpm.array/SUM(_xlpm.array))</f>
        <v>-0.35321233178038458</v>
      </c>
      <c r="AF945" s="10">
        <f ca="1"/>
        <v>0.37835472121665142</v>
      </c>
      <c r="AG945" s="10">
        <f ca="1"/>
        <v>9.1207725553746913E-2</v>
      </c>
      <c r="AH945" s="10">
        <f ca="1"/>
        <v>0.41962386873646396</v>
      </c>
      <c r="AI945" s="10">
        <f ca="1"/>
        <v>0.46402601627352241</v>
      </c>
      <c r="AJ945" s="1"/>
      <c r="AK945" s="2" cm="1">
        <f t="array" aca="1" ref="AK945" ca="1">MMULT(MMULT(_xlfn.ANCHORARRAY(AE945),$Q$9:$U$13),TRANSPOSE(_xlfn.ANCHORARRAY(AE945)))</f>
        <v>3.4079638296030098E-4</v>
      </c>
      <c r="AL945" s="2">
        <f t="shared" ca="1" si="35"/>
        <v>1.8460671248909152E-2</v>
      </c>
      <c r="AM945" s="2" cm="1">
        <f t="array" aca="1" ref="AM945" ca="1">MMULT(_xlfn.ANCHORARRAY(AE946),TRANSPOSE($Q$3:$U$3))</f>
        <v>1.184607256568047E-3</v>
      </c>
    </row>
    <row r="946" spans="1:39" x14ac:dyDescent="0.35">
      <c r="A946" s="3">
        <v>45202</v>
      </c>
      <c r="B946" s="4">
        <v>24.361803054809499</v>
      </c>
      <c r="C946" s="4">
        <v>149.89250183105401</v>
      </c>
      <c r="D946" s="4">
        <v>64.386138916015597</v>
      </c>
      <c r="E946" s="4">
        <v>25.382450103759702</v>
      </c>
      <c r="F946" s="4">
        <v>307.45886230468699</v>
      </c>
      <c r="I946" s="5">
        <f>B946/B945-1</f>
        <v>-2.958804258306591E-2</v>
      </c>
      <c r="J946" s="5">
        <f>C946/C945-1</f>
        <v>2.3419445098296077E-3</v>
      </c>
      <c r="K946" s="5">
        <f>D946/D945-1</f>
        <v>-6.7946701841626878E-3</v>
      </c>
      <c r="L946" s="5">
        <f>E946/E945-1</f>
        <v>-2.2318764727430884E-2</v>
      </c>
      <c r="M946" s="5">
        <f>F946/F945-1</f>
        <v>-2.6134212326035078E-2</v>
      </c>
      <c r="N946" s="5">
        <f>SUMPRODUCT(I946:M946,$AJ$13:$AN$13)</f>
        <v>-1.4215883795922347E-2</v>
      </c>
      <c r="P946" s="2" t="s">
        <v>937</v>
      </c>
      <c r="Q946" s="10" cm="1">
        <f t="array" aca="1" ref="Q946:U946" ca="1">_xlfn.LET(_xlpm.array,_xlfn.RANDARRAY(1,COLUMNS(_xlfn.ANCHORARRAY(Q945)),0,1,FALSE),_xlpm.array/SUM(_xlpm.array))</f>
        <v>0.22139794955408054</v>
      </c>
      <c r="R946" s="2">
        <f ca="1"/>
        <v>0.43260343615939295</v>
      </c>
      <c r="S946" s="2">
        <f ca="1"/>
        <v>8.9928322738110841E-2</v>
      </c>
      <c r="T946" s="2">
        <f ca="1"/>
        <v>0.21418095208311333</v>
      </c>
      <c r="U946" s="2">
        <f ca="1"/>
        <v>4.1889339465302239E-2</v>
      </c>
      <c r="V946" s="12"/>
      <c r="X946" s="2" cm="1">
        <f t="array" aca="1" ref="X946" ca="1">MMULT(MMULT(_xlfn.ANCHORARRAY(Q946),$Q$9:$U$13),TRANSPOSE(_xlfn.ANCHORARRAY(Q946)))</f>
        <v>3.2693136817153187E-4</v>
      </c>
      <c r="Y946" s="2">
        <f t="shared" ca="1" si="34"/>
        <v>1.8081243546048814E-2</v>
      </c>
      <c r="Z946" s="2" cm="1">
        <f t="array" aca="1" ref="Z946" ca="1">MMULT(_xlfn.ANCHORARRAY(Q946),TRANSPOSE($Q$3:$U$3))</f>
        <v>8.2532241470672726E-4</v>
      </c>
      <c r="AA946" s="11">
        <f ca="1">AVEDEV(Q946*$Q$3,R946*$R$3,S946*$S$3,T946*$T$3,U946*$U$3)</f>
        <v>8.1834353976845478E-5</v>
      </c>
      <c r="AB946" s="11" cm="1">
        <f t="array" aca="1" ref="AB946" ca="1">MMULT(_xlfn.ANCHORARRAY(Q946),TRANSPOSE($Q$6:$U$6))</f>
        <v>-2.2369468143298436E-2</v>
      </c>
      <c r="AD946" s="2" t="s">
        <v>937</v>
      </c>
      <c r="AE946" s="10" cm="1">
        <f t="array" aca="1" ref="AE946:AI946" ca="1">_xlfn.LET(_xlpm.array,_xlfn.RANDARRAY(1,COLUMNS(_xlfn.ANCHORARRAY(Q945)),-1,1,FALSE),_xlpm.array/SUM(_xlpm.array))</f>
        <v>-3.4809995495257415E-2</v>
      </c>
      <c r="AF946" s="10">
        <f ca="1"/>
        <v>0.16739565397911224</v>
      </c>
      <c r="AG946" s="10">
        <f ca="1"/>
        <v>0.37965468571110567</v>
      </c>
      <c r="AH946" s="10">
        <f ca="1"/>
        <v>0.35221591896531279</v>
      </c>
      <c r="AI946" s="10">
        <f ca="1"/>
        <v>0.13554373683972673</v>
      </c>
      <c r="AJ946" s="1"/>
      <c r="AK946" s="2" cm="1">
        <f t="array" aca="1" ref="AK946" ca="1">MMULT(MMULT(_xlfn.ANCHORARRAY(AE946),$Q$9:$U$13),TRANSPOSE(_xlfn.ANCHORARRAY(AE946)))</f>
        <v>3.5810268453135652E-4</v>
      </c>
      <c r="AL946" s="2">
        <f t="shared" ca="1" si="35"/>
        <v>1.892360125693195E-2</v>
      </c>
      <c r="AM946" s="2" cm="1">
        <f t="array" aca="1" ref="AM946" ca="1">MMULT(_xlfn.ANCHORARRAY(AE947),TRANSPOSE($Q$3:$U$3))</f>
        <v>1.0487511023923263E-3</v>
      </c>
    </row>
    <row r="947" spans="1:39" x14ac:dyDescent="0.35">
      <c r="A947" s="3">
        <v>45203</v>
      </c>
      <c r="B947" s="4">
        <v>24.3900146484375</v>
      </c>
      <c r="C947" s="4">
        <v>146.39952087402301</v>
      </c>
      <c r="D947" s="4">
        <v>64.347824096679602</v>
      </c>
      <c r="E947" s="4">
        <v>24.7788791656494</v>
      </c>
      <c r="F947" s="4">
        <v>312.92337036132801</v>
      </c>
      <c r="I947" s="5">
        <f>B947/B946-1</f>
        <v>1.1580256832603997E-3</v>
      </c>
      <c r="J947" s="5">
        <f>C947/C946-1</f>
        <v>-2.33032400844706E-2</v>
      </c>
      <c r="K947" s="5">
        <f>D947/D946-1</f>
        <v>-5.9507869210750908E-4</v>
      </c>
      <c r="L947" s="5">
        <f>E947/E946-1</f>
        <v>-2.3779065284989964E-2</v>
      </c>
      <c r="M947" s="5">
        <f>F947/F946-1</f>
        <v>1.7773135617817237E-2</v>
      </c>
      <c r="N947" s="5">
        <f>SUMPRODUCT(I947:M947,$AJ$13:$AN$13)</f>
        <v>-5.0551817581525943E-3</v>
      </c>
      <c r="P947" s="2" t="s">
        <v>938</v>
      </c>
      <c r="Q947" s="10" cm="1">
        <f t="array" aca="1" ref="Q947:U947" ca="1">_xlfn.LET(_xlpm.array,_xlfn.RANDARRAY(1,COLUMNS(_xlfn.ANCHORARRAY(Q946)),0,1,FALSE),_xlpm.array/SUM(_xlpm.array))</f>
        <v>0.18853212108998726</v>
      </c>
      <c r="R947" s="2">
        <f ca="1"/>
        <v>9.323024960580005E-2</v>
      </c>
      <c r="S947" s="2">
        <f ca="1"/>
        <v>0.22087052342898605</v>
      </c>
      <c r="T947" s="2">
        <f ca="1"/>
        <v>0.24521266421513227</v>
      </c>
      <c r="U947" s="2">
        <f ca="1"/>
        <v>0.25215444166009449</v>
      </c>
      <c r="V947" s="12"/>
      <c r="X947" s="2" cm="1">
        <f t="array" aca="1" ref="X947" ca="1">MMULT(MMULT(_xlfn.ANCHORARRAY(Q947),$Q$9:$U$13),TRANSPOSE(_xlfn.ANCHORARRAY(Q947)))</f>
        <v>2.7631847657377421E-4</v>
      </c>
      <c r="Y947" s="2">
        <f t="shared" ca="1" si="34"/>
        <v>1.6622829980895978E-2</v>
      </c>
      <c r="Z947" s="2" cm="1">
        <f t="array" aca="1" ref="Z947" ca="1">MMULT(_xlfn.ANCHORARRAY(Q947),TRANSPOSE($Q$3:$U$3))</f>
        <v>9.6596975758438727E-4</v>
      </c>
      <c r="AA947" s="11">
        <f ca="1">AVEDEV(Q947*$Q$3,R947*$R$3,S947*$S$3,T947*$T$3,U947*$U$3)</f>
        <v>8.912778211378498E-5</v>
      </c>
      <c r="AB947" s="11" cm="1">
        <f t="array" aca="1" ref="AB947" ca="1">MMULT(_xlfn.ANCHORARRAY(Q947),TRANSPOSE($Q$6:$U$6))</f>
        <v>-2.3237145620621843E-2</v>
      </c>
      <c r="AD947" s="2" t="s">
        <v>938</v>
      </c>
      <c r="AE947" s="10" cm="1">
        <f t="array" aca="1" ref="AE947:AI947" ca="1">_xlfn.LET(_xlpm.array,_xlfn.RANDARRAY(1,COLUMNS(_xlfn.ANCHORARRAY(Q946)),-1,1,FALSE),_xlpm.array/SUM(_xlpm.array))</f>
        <v>0.11534368950613533</v>
      </c>
      <c r="AF947" s="10">
        <f ca="1"/>
        <v>0.23536238432565304</v>
      </c>
      <c r="AG947" s="10">
        <f ca="1"/>
        <v>0.3292413027535443</v>
      </c>
      <c r="AH947" s="10">
        <f ca="1"/>
        <v>0.15101729398134289</v>
      </c>
      <c r="AI947" s="10">
        <f ca="1"/>
        <v>0.16903532943332444</v>
      </c>
      <c r="AJ947" s="1"/>
      <c r="AK947" s="2" cm="1">
        <f t="array" aca="1" ref="AK947" ca="1">MMULT(MMULT(_xlfn.ANCHORARRAY(AE947),$Q$9:$U$13),TRANSPOSE(_xlfn.ANCHORARRAY(AE947)))</f>
        <v>3.1255525101366889E-4</v>
      </c>
      <c r="AL947" s="2">
        <f t="shared" ca="1" si="35"/>
        <v>1.7679232195252963E-2</v>
      </c>
      <c r="AM947" s="2" cm="1">
        <f t="array" aca="1" ref="AM947" ca="1">MMULT(_xlfn.ANCHORARRAY(AE948),TRANSPOSE($Q$3:$U$3))</f>
        <v>9.4602154742982143E-4</v>
      </c>
    </row>
    <row r="948" spans="1:39" x14ac:dyDescent="0.35">
      <c r="A948" s="3">
        <v>45204</v>
      </c>
      <c r="B948" s="4">
        <v>24.502843856811499</v>
      </c>
      <c r="C948" s="4">
        <v>147.17175292968699</v>
      </c>
      <c r="D948" s="4">
        <v>63.380702972412102</v>
      </c>
      <c r="E948" s="4">
        <v>24.963973999023398</v>
      </c>
      <c r="F948" s="4">
        <v>313.31585693359301</v>
      </c>
      <c r="I948" s="5">
        <f>B948/B947-1</f>
        <v>4.6260410254090889E-3</v>
      </c>
      <c r="J948" s="5">
        <f>C948/C947-1</f>
        <v>5.2748263864093037E-3</v>
      </c>
      <c r="K948" s="5">
        <f>D948/D947-1</f>
        <v>-1.5029585504157006E-2</v>
      </c>
      <c r="L948" s="5">
        <f>E948/E947-1</f>
        <v>7.4698630287761691E-3</v>
      </c>
      <c r="M948" s="5">
        <f>F948/F947-1</f>
        <v>1.2542577814236289E-3</v>
      </c>
      <c r="N948" s="5">
        <f>SUMPRODUCT(I948:M948,$AJ$13:$AN$13)</f>
        <v>-5.4268970146786263E-3</v>
      </c>
      <c r="P948" s="2" t="s">
        <v>939</v>
      </c>
      <c r="Q948" s="10" cm="1">
        <f t="array" aca="1" ref="Q948:U948" ca="1">_xlfn.LET(_xlpm.array,_xlfn.RANDARRAY(1,COLUMNS(_xlfn.ANCHORARRAY(Q947)),0,1,FALSE),_xlpm.array/SUM(_xlpm.array))</f>
        <v>0.25776371750851151</v>
      </c>
      <c r="R948" s="2">
        <f ca="1"/>
        <v>6.2895756372025352E-2</v>
      </c>
      <c r="S948" s="2">
        <f ca="1"/>
        <v>1.1755927902086481E-2</v>
      </c>
      <c r="T948" s="2">
        <f ca="1"/>
        <v>4.5240464607959344E-2</v>
      </c>
      <c r="U948" s="2">
        <f ca="1"/>
        <v>0.62234413360941732</v>
      </c>
      <c r="V948" s="12"/>
      <c r="X948" s="2" cm="1">
        <f t="array" aca="1" ref="X948" ca="1">MMULT(MMULT(_xlfn.ANCHORARRAY(Q948),$Q$9:$U$13),TRANSPOSE(_xlfn.ANCHORARRAY(Q948)))</f>
        <v>2.5940976319114531E-4</v>
      </c>
      <c r="Y948" s="2">
        <f t="shared" ca="1" si="34"/>
        <v>1.6106202631009748E-2</v>
      </c>
      <c r="Z948" s="2" cm="1">
        <f t="array" aca="1" ref="Z948" ca="1">MMULT(_xlfn.ANCHORARRAY(Q948),TRANSPOSE($Q$3:$U$3))</f>
        <v>7.1824873555265698E-4</v>
      </c>
      <c r="AA948" s="11">
        <f ca="1">AVEDEV(Q948*$Q$3,R948*$R$3,S948*$S$3,T948*$T$3,U948*$U$3)</f>
        <v>1.32941015814738E-4</v>
      </c>
      <c r="AB948" s="11" cm="1">
        <f t="array" aca="1" ref="AB948" ca="1">MMULT(_xlfn.ANCHORARRAY(Q948),TRANSPOSE($Q$6:$U$6))</f>
        <v>-2.085033885051556E-2</v>
      </c>
      <c r="AD948" s="2" t="s">
        <v>939</v>
      </c>
      <c r="AE948" s="10" cm="1">
        <f t="array" aca="1" ref="AE948:AI948" ca="1">_xlfn.LET(_xlpm.array,_xlfn.RANDARRAY(1,COLUMNS(_xlfn.ANCHORARRAY(Q947)),-1,1,FALSE),_xlpm.array/SUM(_xlpm.array))</f>
        <v>0.45340044745734981</v>
      </c>
      <c r="AF948" s="10">
        <f ca="1"/>
        <v>0.18698127022416605</v>
      </c>
      <c r="AG948" s="10">
        <f ca="1"/>
        <v>0.21455641769215625</v>
      </c>
      <c r="AH948" s="10">
        <f ca="1"/>
        <v>0.46599546397378772</v>
      </c>
      <c r="AI948" s="10">
        <f ca="1"/>
        <v>-0.32093359934745996</v>
      </c>
      <c r="AJ948" s="1"/>
      <c r="AK948" s="2" cm="1">
        <f t="array" aca="1" ref="AK948" ca="1">MMULT(MMULT(_xlfn.ANCHORARRAY(AE948),$Q$9:$U$13),TRANSPOSE(_xlfn.ANCHORARRAY(AE948)))</f>
        <v>4.9616601046244334E-4</v>
      </c>
      <c r="AL948" s="2">
        <f t="shared" ca="1" si="35"/>
        <v>2.227478418441901E-2</v>
      </c>
      <c r="AM948" s="2" cm="1">
        <f t="array" aca="1" ref="AM948" ca="1">MMULT(_xlfn.ANCHORARRAY(AE949),TRANSPOSE($Q$3:$U$3))</f>
        <v>7.6907373441415308E-4</v>
      </c>
    </row>
    <row r="949" spans="1:39" x14ac:dyDescent="0.35">
      <c r="A949" s="3">
        <v>45205</v>
      </c>
      <c r="B949" s="4">
        <v>24.512241363525298</v>
      </c>
      <c r="C949" s="4">
        <v>145.67221069335901</v>
      </c>
      <c r="D949" s="4">
        <v>63.591377258300703</v>
      </c>
      <c r="E949" s="4">
        <v>25.358308792114201</v>
      </c>
      <c r="F949" s="4">
        <v>321.066314697265</v>
      </c>
      <c r="I949" s="5">
        <f>B949/B948-1</f>
        <v>3.8352718438372513E-4</v>
      </c>
      <c r="J949" s="5">
        <f>C949/C948-1</f>
        <v>-1.0189062822703487E-2</v>
      </c>
      <c r="K949" s="5">
        <f>D949/D948-1</f>
        <v>3.3239499722856891E-3</v>
      </c>
      <c r="L949" s="5">
        <f>E949/E948-1</f>
        <v>1.5796154614895475E-2</v>
      </c>
      <c r="M949" s="5">
        <f>F949/F948-1</f>
        <v>2.4736883219143024E-2</v>
      </c>
      <c r="N949" s="5">
        <f>SUMPRODUCT(I949:M949,$AJ$13:$AN$13)</f>
        <v>1.75976911351894E-2</v>
      </c>
      <c r="P949" s="2" t="s">
        <v>940</v>
      </c>
      <c r="Q949" s="10" cm="1">
        <f t="array" aca="1" ref="Q949:U949" ca="1">_xlfn.LET(_xlpm.array,_xlfn.RANDARRAY(1,COLUMNS(_xlfn.ANCHORARRAY(Q948)),0,1,FALSE),_xlpm.array/SUM(_xlpm.array))</f>
        <v>0.35281387231847022</v>
      </c>
      <c r="R949" s="2">
        <f ca="1"/>
        <v>0.38227484232533565</v>
      </c>
      <c r="S949" s="2">
        <f ca="1"/>
        <v>0.12945188375191755</v>
      </c>
      <c r="T949" s="2">
        <f ca="1"/>
        <v>0.1261088094060821</v>
      </c>
      <c r="U949" s="2">
        <f ca="1"/>
        <v>9.3505921981944014E-3</v>
      </c>
      <c r="V949" s="12"/>
      <c r="X949" s="2" cm="1">
        <f t="array" aca="1" ref="X949" ca="1">MMULT(MMULT(_xlfn.ANCHORARRAY(Q949),$Q$9:$U$13),TRANSPOSE(_xlfn.ANCHORARRAY(Q949)))</f>
        <v>3.2810317585232164E-4</v>
      </c>
      <c r="Y949" s="2">
        <f t="shared" ca="1" si="34"/>
        <v>1.8113618519012751E-2</v>
      </c>
      <c r="Z949" s="2" cm="1">
        <f t="array" aca="1" ref="Z949" ca="1">MMULT(_xlfn.ANCHORARRAY(Q949),TRANSPOSE($Q$3:$U$3))</f>
        <v>8.046850589717631E-4</v>
      </c>
      <c r="AA949" s="11">
        <f ca="1">AVEDEV(Q949*$Q$3,R949*$R$3,S949*$S$3,T949*$T$3,U949*$U$3)</f>
        <v>7.4354907160828132E-5</v>
      </c>
      <c r="AB949" s="11" cm="1">
        <f t="array" aca="1" ref="AB949" ca="1">MMULT(_xlfn.ANCHORARRAY(Q949),TRANSPOSE($Q$6:$U$6))</f>
        <v>-2.2374402308102521E-2</v>
      </c>
      <c r="AD949" s="2" t="s">
        <v>940</v>
      </c>
      <c r="AE949" s="10" cm="1">
        <f t="array" aca="1" ref="AE949:AI949" ca="1">_xlfn.LET(_xlpm.array,_xlfn.RANDARRAY(1,COLUMNS(_xlfn.ANCHORARRAY(Q948)),-1,1,FALSE),_xlpm.array/SUM(_xlpm.array))</f>
        <v>-0.31605875971503988</v>
      </c>
      <c r="AF949" s="10">
        <f ca="1"/>
        <v>0.64826055414090034</v>
      </c>
      <c r="AG949" s="10">
        <f ca="1"/>
        <v>-0.28377988443138696</v>
      </c>
      <c r="AH949" s="10">
        <f ca="1"/>
        <v>0.73750747141330153</v>
      </c>
      <c r="AI949" s="10">
        <f ca="1"/>
        <v>0.2140706185922249</v>
      </c>
      <c r="AJ949" s="1"/>
      <c r="AK949" s="2" cm="1">
        <f t="array" aca="1" ref="AK949" ca="1">MMULT(MMULT(_xlfn.ANCHORARRAY(AE949),$Q$9:$U$13),TRANSPOSE(_xlfn.ANCHORARRAY(AE949)))</f>
        <v>6.5834728290580695E-4</v>
      </c>
      <c r="AL949" s="2">
        <f t="shared" ca="1" si="35"/>
        <v>2.5658279032425516E-2</v>
      </c>
      <c r="AM949" s="2" cm="1">
        <f t="array" aca="1" ref="AM949" ca="1">MMULT(_xlfn.ANCHORARRAY(AE950),TRANSPOSE($Q$3:$U$3))</f>
        <v>9.896507145254526E-4</v>
      </c>
    </row>
    <row r="950" spans="1:39" x14ac:dyDescent="0.35">
      <c r="A950" s="3">
        <v>45208</v>
      </c>
      <c r="B950" s="4">
        <v>24.737899780273398</v>
      </c>
      <c r="C950" s="4">
        <v>149.70394897460901</v>
      </c>
      <c r="D950" s="4">
        <v>64.328681945800696</v>
      </c>
      <c r="E950" s="4">
        <v>26.855182647705</v>
      </c>
      <c r="F950" s="4">
        <v>323.577880859375</v>
      </c>
      <c r="I950" s="5">
        <f>B950/B949-1</f>
        <v>9.2059478936057371E-3</v>
      </c>
      <c r="J950" s="5">
        <f>C950/C949-1</f>
        <v>2.7676783801523053E-2</v>
      </c>
      <c r="K950" s="5">
        <f>D950/D949-1</f>
        <v>1.1594412942263377E-2</v>
      </c>
      <c r="L950" s="5">
        <f>E950/E949-1</f>
        <v>5.9028930827448978E-2</v>
      </c>
      <c r="M950" s="5">
        <f>F950/F949-1</f>
        <v>7.8225776020077742E-3</v>
      </c>
      <c r="N950" s="5">
        <f>SUMPRODUCT(I950:M950,$AJ$13:$AN$13)</f>
        <v>3.2662422311132741E-2</v>
      </c>
      <c r="P950" s="2" t="s">
        <v>941</v>
      </c>
      <c r="Q950" s="10" cm="1">
        <f t="array" aca="1" ref="Q950:U950" ca="1">_xlfn.LET(_xlpm.array,_xlfn.RANDARRAY(1,COLUMNS(_xlfn.ANCHORARRAY(Q949)),0,1,FALSE),_xlpm.array/SUM(_xlpm.array))</f>
        <v>0.24970896884422034</v>
      </c>
      <c r="R950" s="2">
        <f ca="1"/>
        <v>0.39479455790167539</v>
      </c>
      <c r="S950" s="2">
        <f ca="1"/>
        <v>9.5902528921356242E-2</v>
      </c>
      <c r="T950" s="2">
        <f ca="1"/>
        <v>5.1368075745512283E-2</v>
      </c>
      <c r="U950" s="2">
        <f ca="1"/>
        <v>0.20822586858723574</v>
      </c>
      <c r="V950" s="12"/>
      <c r="X950" s="2" cm="1">
        <f t="array" aca="1" ref="X950" ca="1">MMULT(MMULT(_xlfn.ANCHORARRAY(Q950),$Q$9:$U$13),TRANSPOSE(_xlfn.ANCHORARRAY(Q950)))</f>
        <v>2.7617005639073465E-4</v>
      </c>
      <c r="Y950" s="2">
        <f t="shared" ca="1" si="34"/>
        <v>1.6618365033622733E-2</v>
      </c>
      <c r="Z950" s="2" cm="1">
        <f t="array" aca="1" ref="Z950" ca="1">MMULT(_xlfn.ANCHORARRAY(Q950),TRANSPOSE($Q$3:$U$3))</f>
        <v>7.8269468657390148E-4</v>
      </c>
      <c r="AA950" s="11">
        <f ca="1">AVEDEV(Q950*$Q$3,R950*$R$3,S950*$S$3,T950*$T$3,U950*$U$3)</f>
        <v>5.3791551421568428E-5</v>
      </c>
      <c r="AB950" s="11" cm="1">
        <f t="array" aca="1" ref="AB950" ca="1">MMULT(_xlfn.ANCHORARRAY(Q950),TRANSPOSE($Q$6:$U$6))</f>
        <v>-2.1615947992113971E-2</v>
      </c>
      <c r="AD950" s="2" t="s">
        <v>941</v>
      </c>
      <c r="AE950" s="10" cm="1">
        <f t="array" aca="1" ref="AE950:AI950" ca="1">_xlfn.LET(_xlpm.array,_xlfn.RANDARRAY(1,COLUMNS(_xlfn.ANCHORARRAY(Q949)),-1,1,FALSE),_xlpm.array/SUM(_xlpm.array))</f>
        <v>0.23241565347758747</v>
      </c>
      <c r="AF950" s="10">
        <f ca="1"/>
        <v>0.23417723351218564</v>
      </c>
      <c r="AG950" s="10">
        <f ca="1"/>
        <v>0.36626940863262852</v>
      </c>
      <c r="AH950" s="10">
        <f ca="1"/>
        <v>-8.6214590824122792E-2</v>
      </c>
      <c r="AI950" s="10">
        <f ca="1"/>
        <v>0.25335229520172114</v>
      </c>
      <c r="AJ950" s="1"/>
      <c r="AK950" s="2" cm="1">
        <f t="array" aca="1" ref="AK950" ca="1">MMULT(MMULT(_xlfn.ANCHORARRAY(AE950),$Q$9:$U$13),TRANSPOSE(_xlfn.ANCHORARRAY(AE950)))</f>
        <v>3.3344843524737609E-4</v>
      </c>
      <c r="AL950" s="2">
        <f t="shared" ca="1" si="35"/>
        <v>1.826057050717135E-2</v>
      </c>
      <c r="AM950" s="2" cm="1">
        <f t="array" aca="1" ref="AM950" ca="1">MMULT(_xlfn.ANCHORARRAY(AE951),TRANSPOSE($Q$3:$U$3))</f>
        <v>9.6716688731813389E-4</v>
      </c>
    </row>
    <row r="951" spans="1:39" x14ac:dyDescent="0.35">
      <c r="A951" s="3">
        <v>45209</v>
      </c>
      <c r="B951" s="4">
        <v>25.396074295043899</v>
      </c>
      <c r="C951" s="4">
        <v>149.54228210449199</v>
      </c>
      <c r="D951" s="4">
        <v>65.094734191894503</v>
      </c>
      <c r="E951" s="4">
        <v>27.273664474487301</v>
      </c>
      <c r="F951" s="4">
        <v>322.17495727539</v>
      </c>
      <c r="I951" s="5">
        <f>B951/B950-1</f>
        <v>2.6605917261227852E-2</v>
      </c>
      <c r="J951" s="5">
        <f>C951/C950-1</f>
        <v>-1.0799105249016394E-3</v>
      </c>
      <c r="K951" s="5">
        <f>D951/D950-1</f>
        <v>1.1908408860906494E-2</v>
      </c>
      <c r="L951" s="5">
        <f>E951/E950-1</f>
        <v>1.5582907488363773E-2</v>
      </c>
      <c r="M951" s="5">
        <f>F951/F950-1</f>
        <v>-4.3356597189494472E-3</v>
      </c>
      <c r="N951" s="5">
        <f>SUMPRODUCT(I951:M951,$AJ$13:$AN$13)</f>
        <v>4.3738809931401206E-3</v>
      </c>
      <c r="P951" s="2" t="s">
        <v>942</v>
      </c>
      <c r="Q951" s="10" cm="1">
        <f t="array" aca="1" ref="Q951:U951" ca="1">_xlfn.LET(_xlpm.array,_xlfn.RANDARRAY(1,COLUMNS(_xlfn.ANCHORARRAY(Q950)),0,1,FALSE),_xlpm.array/SUM(_xlpm.array))</f>
        <v>6.5045883515252007E-2</v>
      </c>
      <c r="R951" s="2">
        <f ca="1"/>
        <v>0.37675379156042527</v>
      </c>
      <c r="S951" s="2">
        <f ca="1"/>
        <v>0.10246648325482742</v>
      </c>
      <c r="T951" s="2">
        <f ca="1"/>
        <v>0.31277530806174492</v>
      </c>
      <c r="U951" s="2">
        <f ca="1"/>
        <v>0.14295853360775043</v>
      </c>
      <c r="V951" s="12"/>
      <c r="X951" s="2" cm="1">
        <f t="array" aca="1" ref="X951" ca="1">MMULT(MMULT(_xlfn.ANCHORARRAY(Q951),$Q$9:$U$13),TRANSPOSE(_xlfn.ANCHORARRAY(Q951)))</f>
        <v>3.1048559825445492E-4</v>
      </c>
      <c r="Y951" s="2">
        <f t="shared" ca="1" si="34"/>
        <v>1.7620601529302424E-2</v>
      </c>
      <c r="Z951" s="2" cm="1">
        <f t="array" aca="1" ref="Z951" ca="1">MMULT(_xlfn.ANCHORARRAY(Q951),TRANSPOSE($Q$3:$U$3))</f>
        <v>9.0346429659521311E-4</v>
      </c>
      <c r="AA951" s="11">
        <f ca="1">AVEDEV(Q951*$Q$3,R951*$R$3,S951*$S$3,T951*$T$3,U951*$U$3)</f>
        <v>9.3308489399776992E-5</v>
      </c>
      <c r="AB951" s="11" cm="1">
        <f t="array" aca="1" ref="AB951" ca="1">MMULT(_xlfn.ANCHORARRAY(Q951),TRANSPOSE($Q$6:$U$6))</f>
        <v>-2.2696319473043021E-2</v>
      </c>
      <c r="AD951" s="2" t="s">
        <v>942</v>
      </c>
      <c r="AE951" s="10" cm="1">
        <f t="array" aca="1" ref="AE951:AI951" ca="1">_xlfn.LET(_xlpm.array,_xlfn.RANDARRAY(1,COLUMNS(_xlfn.ANCHORARRAY(Q950)),-1,1,FALSE),_xlpm.array/SUM(_xlpm.array))</f>
        <v>0.18342520240241419</v>
      </c>
      <c r="AF951" s="10">
        <f ca="1"/>
        <v>0.14571789715227157</v>
      </c>
      <c r="AG951" s="10">
        <f ca="1"/>
        <v>0.25300831175017796</v>
      </c>
      <c r="AH951" s="10">
        <f ca="1"/>
        <v>0.14431203486961711</v>
      </c>
      <c r="AI951" s="10">
        <f ca="1"/>
        <v>0.27353655382551917</v>
      </c>
      <c r="AJ951" s="1"/>
      <c r="AK951" s="2" cm="1">
        <f t="array" aca="1" ref="AK951" ca="1">MMULT(MMULT(_xlfn.ANCHORARRAY(AE951),$Q$9:$U$13),TRANSPOSE(_xlfn.ANCHORARRAY(AE951)))</f>
        <v>2.7844379163262492E-4</v>
      </c>
      <c r="AL951" s="2">
        <f t="shared" ca="1" si="35"/>
        <v>1.6686635120138061E-2</v>
      </c>
      <c r="AM951" s="2" cm="1">
        <f t="array" aca="1" ref="AM951" ca="1">MMULT(_xlfn.ANCHORARRAY(AE952),TRANSPOSE($Q$3:$U$3))</f>
        <v>-4.1040817506169192E-3</v>
      </c>
    </row>
    <row r="952" spans="1:39" x14ac:dyDescent="0.35">
      <c r="A952" s="3">
        <v>45210</v>
      </c>
      <c r="B952" s="4">
        <v>25.4054775238037</v>
      </c>
      <c r="C952" s="4">
        <v>144.65756225585901</v>
      </c>
      <c r="D952" s="4">
        <v>67.354568481445298</v>
      </c>
      <c r="E952" s="4">
        <v>26.9356594085693</v>
      </c>
      <c r="F952" s="4">
        <v>326.12869262695301</v>
      </c>
      <c r="I952" s="5">
        <f>B952/B951-1</f>
        <v>3.7026308281173925E-4</v>
      </c>
      <c r="J952" s="5">
        <f>C952/C951-1</f>
        <v>-3.2664473083404033E-2</v>
      </c>
      <c r="K952" s="5">
        <f>D952/D951-1</f>
        <v>3.4716084451454465E-2</v>
      </c>
      <c r="L952" s="5">
        <f>E952/E951-1</f>
        <v>-1.239309320660531E-2</v>
      </c>
      <c r="M952" s="5">
        <f>F952/F951-1</f>
        <v>1.2272013271917404E-2</v>
      </c>
      <c r="N952" s="5">
        <f>SUMPRODUCT(I952:M952,$AJ$13:$AN$13)</f>
        <v>1.7347436879986418E-2</v>
      </c>
      <c r="P952" s="2" t="s">
        <v>943</v>
      </c>
      <c r="Q952" s="10" cm="1">
        <f t="array" aca="1" ref="Q952:U952" ca="1">_xlfn.LET(_xlpm.array,_xlfn.RANDARRAY(1,COLUMNS(_xlfn.ANCHORARRAY(Q951)),0,1,FALSE),_xlpm.array/SUM(_xlpm.array))</f>
        <v>6.5648222635674422E-2</v>
      </c>
      <c r="R952" s="2">
        <f ca="1"/>
        <v>1.6127804421670701E-2</v>
      </c>
      <c r="S952" s="2">
        <f ca="1"/>
        <v>0.50960058575033063</v>
      </c>
      <c r="T952" s="2">
        <f ca="1"/>
        <v>0.39208551076511616</v>
      </c>
      <c r="U952" s="2">
        <f ca="1"/>
        <v>1.6537876427208099E-2</v>
      </c>
      <c r="V952" s="12"/>
      <c r="X952" s="2" cm="1">
        <f t="array" aca="1" ref="X952" ca="1">MMULT(MMULT(_xlfn.ANCHORARRAY(Q952),$Q$9:$U$13),TRANSPOSE(_xlfn.ANCHORARRAY(Q952)))</f>
        <v>4.3287755866159943E-4</v>
      </c>
      <c r="Y952" s="2">
        <f t="shared" ca="1" si="34"/>
        <v>2.0805709761063173E-2</v>
      </c>
      <c r="Z952" s="2" cm="1">
        <f t="array" aca="1" ref="Z952" ca="1">MMULT(_xlfn.ANCHORARRAY(Q952),TRANSPOSE($Q$3:$U$3))</f>
        <v>1.2859446915649236E-3</v>
      </c>
      <c r="AA952" s="11">
        <f ca="1">AVEDEV(Q952*$Q$3,R952*$R$3,S952*$S$3,T952*$T$3,U952*$U$3)</f>
        <v>2.8551005666174707E-4</v>
      </c>
      <c r="AB952" s="11" cm="1">
        <f t="array" aca="1" ref="AB952" ca="1">MMULT(_xlfn.ANCHORARRAY(Q952),TRANSPOSE($Q$6:$U$6))</f>
        <v>-2.5785870355514218E-2</v>
      </c>
      <c r="AD952" s="2" t="s">
        <v>943</v>
      </c>
      <c r="AE952" s="10" cm="1">
        <f t="array" aca="1" ref="AE952:AI952" ca="1">_xlfn.LET(_xlpm.array,_xlfn.RANDARRAY(1,COLUMNS(_xlfn.ANCHORARRAY(Q951)),-1,1,FALSE),_xlpm.array/SUM(_xlpm.array))</f>
        <v>4.6378364014452726</v>
      </c>
      <c r="AF952" s="10">
        <f ca="1"/>
        <v>-0.68029629924313539</v>
      </c>
      <c r="AG952" s="10">
        <f ca="1"/>
        <v>-3.2729533991346438</v>
      </c>
      <c r="AH952" s="10">
        <f ca="1"/>
        <v>-3.4679097697046828</v>
      </c>
      <c r="AI952" s="10">
        <f ca="1"/>
        <v>3.7833230666371898</v>
      </c>
      <c r="AJ952" s="1"/>
      <c r="AK952" s="2" cm="1">
        <f t="array" aca="1" ref="AK952" ca="1">MMULT(MMULT(_xlfn.ANCHORARRAY(AE952),$Q$9:$U$13),TRANSPOSE(_xlfn.ANCHORARRAY(AE952)))</f>
        <v>1.8526004765445629E-2</v>
      </c>
      <c r="AL952" s="2">
        <f t="shared" ca="1" si="35"/>
        <v>0.1361102669362074</v>
      </c>
      <c r="AM952" s="2" cm="1">
        <f t="array" aca="1" ref="AM952" ca="1">MMULT(_xlfn.ANCHORARRAY(AE953),TRANSPOSE($Q$3:$U$3))</f>
        <v>1.2183363710252379E-3</v>
      </c>
    </row>
    <row r="953" spans="1:39" x14ac:dyDescent="0.35">
      <c r="A953" s="3">
        <v>45211</v>
      </c>
      <c r="B953" s="4">
        <v>25.292644500732401</v>
      </c>
      <c r="C953" s="4">
        <v>144.77426147460901</v>
      </c>
      <c r="D953" s="4">
        <v>66.119323730468693</v>
      </c>
      <c r="E953" s="4">
        <v>27.096612930297798</v>
      </c>
      <c r="F953" s="4">
        <v>324.89245605468699</v>
      </c>
      <c r="I953" s="5">
        <f>B953/B952-1</f>
        <v>-4.4412872368008172E-3</v>
      </c>
      <c r="J953" s="5">
        <f>C953/C952-1</f>
        <v>8.0672739765641488E-4</v>
      </c>
      <c r="K953" s="5">
        <f>D953/D952-1</f>
        <v>-1.8339435302252571E-2</v>
      </c>
      <c r="L953" s="5">
        <f>E953/E952-1</f>
        <v>5.9754810263636937E-3</v>
      </c>
      <c r="M953" s="5">
        <f>F953/F952-1</f>
        <v>-3.7906403214883477E-3</v>
      </c>
      <c r="N953" s="5">
        <f>SUMPRODUCT(I953:M953,$AJ$13:$AN$13)</f>
        <v>-6.7649578281048098E-3</v>
      </c>
      <c r="P953" s="2" t="s">
        <v>944</v>
      </c>
      <c r="Q953" s="10" cm="1">
        <f t="array" aca="1" ref="Q953:U953" ca="1">_xlfn.LET(_xlpm.array,_xlfn.RANDARRAY(1,COLUMNS(_xlfn.ANCHORARRAY(Q952)),0,1,FALSE),_xlpm.array/SUM(_xlpm.array))</f>
        <v>0.2237730731421208</v>
      </c>
      <c r="R953" s="2">
        <f ca="1"/>
        <v>0.16361536560739087</v>
      </c>
      <c r="S953" s="2">
        <f ca="1"/>
        <v>0.11646118535440618</v>
      </c>
      <c r="T953" s="2">
        <f ca="1"/>
        <v>0.22520296613692298</v>
      </c>
      <c r="U953" s="2">
        <f ca="1"/>
        <v>0.2709474097591591</v>
      </c>
      <c r="V953" s="12"/>
      <c r="X953" s="2" cm="1">
        <f t="array" aca="1" ref="X953" ca="1">MMULT(MMULT(_xlfn.ANCHORARRAY(Q953),$Q$9:$U$13),TRANSPOSE(_xlfn.ANCHORARRAY(Q953)))</f>
        <v>2.6076022507773235E-4</v>
      </c>
      <c r="Y953" s="2">
        <f t="shared" ca="1" si="34"/>
        <v>1.6148071868731954E-2</v>
      </c>
      <c r="Z953" s="2" cm="1">
        <f t="array" aca="1" ref="Z953" ca="1">MMULT(_xlfn.ANCHORARRAY(Q953),TRANSPOSE($Q$3:$U$3))</f>
        <v>8.5964957678303039E-4</v>
      </c>
      <c r="AA953" s="11">
        <f ca="1">AVEDEV(Q953*$Q$3,R953*$R$3,S953*$S$3,T953*$T$3,U953*$U$3)</f>
        <v>4.4259870814367621E-5</v>
      </c>
      <c r="AB953" s="11" cm="1">
        <f t="array" aca="1" ref="AB953" ca="1">MMULT(_xlfn.ANCHORARRAY(Q953),TRANSPOSE($Q$6:$U$6))</f>
        <v>-2.2488473821751814E-2</v>
      </c>
      <c r="AD953" s="2" t="s">
        <v>944</v>
      </c>
      <c r="AE953" s="10" cm="1">
        <f t="array" aca="1" ref="AE953:AI953" ca="1">_xlfn.LET(_xlpm.array,_xlfn.RANDARRAY(1,COLUMNS(_xlfn.ANCHORARRAY(Q952)),-1,1,FALSE),_xlpm.array/SUM(_xlpm.array))</f>
        <v>-0.10537605900289976</v>
      </c>
      <c r="AF953" s="10">
        <f ca="1"/>
        <v>-0.95599045901010893</v>
      </c>
      <c r="AG953" s="10">
        <f ca="1"/>
        <v>0.15416250698437101</v>
      </c>
      <c r="AH953" s="10">
        <f ca="1"/>
        <v>1.016121121554578</v>
      </c>
      <c r="AI953" s="10">
        <f ca="1"/>
        <v>0.89108288947405967</v>
      </c>
      <c r="AJ953" s="1"/>
      <c r="AK953" s="2" cm="1">
        <f t="array" aca="1" ref="AK953" ca="1">MMULT(MMULT(_xlfn.ANCHORARRAY(AE953),$Q$9:$U$13),TRANSPOSE(_xlfn.ANCHORARRAY(AE953)))</f>
        <v>6.2372094508216414E-4</v>
      </c>
      <c r="AL953" s="2">
        <f t="shared" ca="1" si="35"/>
        <v>2.49744058003822E-2</v>
      </c>
      <c r="AM953" s="2" cm="1">
        <f t="array" aca="1" ref="AM953" ca="1">MMULT(_xlfn.ANCHORARRAY(AE954),TRANSPOSE($Q$3:$U$3))</f>
        <v>1.4223809104618934E-3</v>
      </c>
    </row>
    <row r="954" spans="1:39" x14ac:dyDescent="0.35">
      <c r="A954" s="3">
        <v>45212</v>
      </c>
      <c r="B954" s="4">
        <v>25.1610107421875</v>
      </c>
      <c r="C954" s="4">
        <v>147.3154296875</v>
      </c>
      <c r="D954" s="4">
        <v>65.152198791503906</v>
      </c>
      <c r="E954" s="4">
        <v>27.716287612915</v>
      </c>
      <c r="F954" s="4">
        <v>321.52743530273398</v>
      </c>
      <c r="I954" s="5">
        <f>B954/B953-1</f>
        <v>-5.2044284472146929E-3</v>
      </c>
      <c r="J954" s="5">
        <f>C954/C953-1</f>
        <v>1.7552624251077065E-2</v>
      </c>
      <c r="K954" s="5">
        <f>D954/D953-1</f>
        <v>-1.4626963562228923E-2</v>
      </c>
      <c r="L954" s="5">
        <f>E954/E953-1</f>
        <v>2.286908272304089E-2</v>
      </c>
      <c r="M954" s="5">
        <f>F954/F953-1</f>
        <v>-1.0357337294980451E-2</v>
      </c>
      <c r="N954" s="5">
        <f>SUMPRODUCT(I954:M954,$AJ$13:$AN$13)</f>
        <v>5.4017711167342721E-4</v>
      </c>
      <c r="P954" s="2" t="s">
        <v>945</v>
      </c>
      <c r="Q954" s="10" cm="1">
        <f t="array" aca="1" ref="Q954:U954" ca="1">_xlfn.LET(_xlpm.array,_xlfn.RANDARRAY(1,COLUMNS(_xlfn.ANCHORARRAY(Q953)),0,1,FALSE),_xlpm.array/SUM(_xlpm.array))</f>
        <v>5.7446007113164506E-2</v>
      </c>
      <c r="R954" s="2">
        <f ca="1"/>
        <v>7.8471467720655691E-2</v>
      </c>
      <c r="S954" s="2">
        <f ca="1"/>
        <v>0.11464428762311968</v>
      </c>
      <c r="T954" s="2">
        <f ca="1"/>
        <v>0.37526078115294415</v>
      </c>
      <c r="U954" s="2">
        <f ca="1"/>
        <v>0.37417745639011601</v>
      </c>
      <c r="V954" s="12"/>
      <c r="X954" s="2" cm="1">
        <f t="array" aca="1" ref="X954" ca="1">MMULT(MMULT(_xlfn.ANCHORARRAY(Q954),$Q$9:$U$13),TRANSPOSE(_xlfn.ANCHORARRAY(Q954)))</f>
        <v>2.6681754047972454E-4</v>
      </c>
      <c r="Y954" s="2">
        <f t="shared" ca="1" si="34"/>
        <v>1.6334550513550244E-2</v>
      </c>
      <c r="Z954" s="2" cm="1">
        <f t="array" aca="1" ref="Z954" ca="1">MMULT(_xlfn.ANCHORARRAY(Q954),TRANSPOSE($Q$3:$U$3))</f>
        <v>9.4224595643641669E-4</v>
      </c>
      <c r="AA954" s="11">
        <f ca="1">AVEDEV(Q954*$Q$3,R954*$R$3,S954*$S$3,T954*$T$3,U954*$U$3)</f>
        <v>1.1706620584317926E-4</v>
      </c>
      <c r="AB954" s="11" cm="1">
        <f t="array" aca="1" ref="AB954" ca="1">MMULT(_xlfn.ANCHORARRAY(Q954),TRANSPOSE($Q$6:$U$6))</f>
        <v>-2.2945085439722023E-2</v>
      </c>
      <c r="AD954" s="2" t="s">
        <v>945</v>
      </c>
      <c r="AE954" s="10" cm="1">
        <f t="array" aca="1" ref="AE954:AI954" ca="1">_xlfn.LET(_xlpm.array,_xlfn.RANDARRAY(1,COLUMNS(_xlfn.ANCHORARRAY(Q953)),-1,1,FALSE),_xlpm.array/SUM(_xlpm.array))</f>
        <v>-0.40845802324892827</v>
      </c>
      <c r="AF954" s="10">
        <f ca="1"/>
        <v>-0.11742201505990812</v>
      </c>
      <c r="AG954" s="10">
        <f ca="1"/>
        <v>0.57798163136092962</v>
      </c>
      <c r="AH954" s="10">
        <f ca="1"/>
        <v>0.20282483899505416</v>
      </c>
      <c r="AI954" s="10">
        <f ca="1"/>
        <v>0.74507356795285262</v>
      </c>
      <c r="AJ954" s="1"/>
      <c r="AK954" s="2" cm="1">
        <f t="array" aca="1" ref="AK954" ca="1">MMULT(MMULT(_xlfn.ANCHORARRAY(AE954),$Q$9:$U$13),TRANSPOSE(_xlfn.ANCHORARRAY(AE954)))</f>
        <v>5.7434683993624869E-4</v>
      </c>
      <c r="AL954" s="2">
        <f t="shared" ca="1" si="35"/>
        <v>2.3965534417914588E-2</v>
      </c>
      <c r="AM954" s="2" cm="1">
        <f t="array" aca="1" ref="AM954" ca="1">MMULT(_xlfn.ANCHORARRAY(AE955),TRANSPOSE($Q$3:$U$3))</f>
        <v>-2.7626570071757161E-3</v>
      </c>
    </row>
    <row r="955" spans="1:39" x14ac:dyDescent="0.35">
      <c r="A955" s="3">
        <v>45215</v>
      </c>
      <c r="B955" s="4">
        <v>25.3772659301757</v>
      </c>
      <c r="C955" s="4">
        <v>148.51869201660099</v>
      </c>
      <c r="D955" s="4">
        <v>64.884063720703097</v>
      </c>
      <c r="E955" s="4">
        <v>27.73237991333</v>
      </c>
      <c r="F955" s="4">
        <v>326.34445190429602</v>
      </c>
      <c r="I955" s="5">
        <f>B955/B954-1</f>
        <v>8.5948529732791101E-3</v>
      </c>
      <c r="J955" s="5">
        <f>C955/C954-1</f>
        <v>8.1679314356510879E-3</v>
      </c>
      <c r="K955" s="5">
        <f>D955/D954-1</f>
        <v>-4.1155183673674545E-3</v>
      </c>
      <c r="L955" s="5">
        <f>E955/E954-1</f>
        <v>5.8060807564652706E-4</v>
      </c>
      <c r="M955" s="5">
        <f>F955/F954-1</f>
        <v>1.4981665863214921E-2</v>
      </c>
      <c r="N955" s="5">
        <f>SUMPRODUCT(I955:M955,$AJ$13:$AN$13)</f>
        <v>3.7967856030487589E-4</v>
      </c>
      <c r="P955" s="2" t="s">
        <v>946</v>
      </c>
      <c r="Q955" s="10" cm="1">
        <f t="array" aca="1" ref="Q955:U955" ca="1">_xlfn.LET(_xlpm.array,_xlfn.RANDARRAY(1,COLUMNS(_xlfn.ANCHORARRAY(Q954)),0,1,FALSE),_xlpm.array/SUM(_xlpm.array))</f>
        <v>0.14680269893117648</v>
      </c>
      <c r="R955" s="2">
        <f ca="1"/>
        <v>0.26722552427491814</v>
      </c>
      <c r="S955" s="2">
        <f ca="1"/>
        <v>2.6167496750497319E-2</v>
      </c>
      <c r="T955" s="2">
        <f ca="1"/>
        <v>0.31569928472367409</v>
      </c>
      <c r="U955" s="2">
        <f ca="1"/>
        <v>0.24410499531973401</v>
      </c>
      <c r="V955" s="12"/>
      <c r="X955" s="2" cm="1">
        <f t="array" aca="1" ref="X955" ca="1">MMULT(MMULT(_xlfn.ANCHORARRAY(Q955),$Q$9:$U$13),TRANSPOSE(_xlfn.ANCHORARRAY(Q955)))</f>
        <v>2.8006518437854409E-4</v>
      </c>
      <c r="Y955" s="2">
        <f t="shared" ca="1" si="34"/>
        <v>1.6735148173187595E-2</v>
      </c>
      <c r="Z955" s="2" cm="1">
        <f t="array" aca="1" ref="Z955" ca="1">MMULT(_xlfn.ANCHORARRAY(Q955),TRANSPOSE($Q$3:$U$3))</f>
        <v>8.2147490241876481E-4</v>
      </c>
      <c r="AA955" s="11">
        <f ca="1">AVEDEV(Q955*$Q$3,R955*$R$3,S955*$S$3,T955*$T$3,U955*$U$3)</f>
        <v>8.4592802079097156E-5</v>
      </c>
      <c r="AB955" s="11" cm="1">
        <f t="array" aca="1" ref="AB955" ca="1">MMULT(_xlfn.ANCHORARRAY(Q955),TRANSPOSE($Q$6:$U$6))</f>
        <v>-2.2244811058419599E-2</v>
      </c>
      <c r="AD955" s="2" t="s">
        <v>946</v>
      </c>
      <c r="AE955" s="10" cm="1">
        <f t="array" aca="1" ref="AE955:AI955" ca="1">_xlfn.LET(_xlpm.array,_xlfn.RANDARRAY(1,COLUMNS(_xlfn.ANCHORARRAY(Q954)),-1,1,FALSE),_xlpm.array/SUM(_xlpm.array))</f>
        <v>3.0268584369576743</v>
      </c>
      <c r="AF955" s="10">
        <f ca="1"/>
        <v>-0.37020168087197852</v>
      </c>
      <c r="AG955" s="10">
        <f ca="1"/>
        <v>-2.7620550059043794</v>
      </c>
      <c r="AH955" s="10">
        <f ca="1"/>
        <v>-1.5212427868490264</v>
      </c>
      <c r="AI955" s="10">
        <f ca="1"/>
        <v>2.62664103666771</v>
      </c>
      <c r="AJ955" s="1"/>
      <c r="AK955" s="2" cm="1">
        <f t="array" aca="1" ref="AK955" ca="1">MMULT(MMULT(_xlfn.ANCHORARRAY(AE955),$Q$9:$U$13),TRANSPOSE(_xlfn.ANCHORARRAY(AE955)))</f>
        <v>8.5004088242955564E-3</v>
      </c>
      <c r="AL955" s="2">
        <f t="shared" ca="1" si="35"/>
        <v>9.2197661707309891E-2</v>
      </c>
      <c r="AM955" s="2" cm="1">
        <f t="array" aca="1" ref="AM955" ca="1">MMULT(_xlfn.ANCHORARRAY(AE956),TRANSPOSE($Q$3:$U$3))</f>
        <v>1.4343146063380696E-2</v>
      </c>
    </row>
    <row r="956" spans="1:39" x14ac:dyDescent="0.35">
      <c r="A956" s="3">
        <v>45216</v>
      </c>
      <c r="B956" s="4">
        <v>25.969629287719702</v>
      </c>
      <c r="C956" s="4">
        <v>150.48516845703099</v>
      </c>
      <c r="D956" s="4">
        <v>65.018119812011705</v>
      </c>
      <c r="E956" s="4">
        <v>27.7887153625488</v>
      </c>
      <c r="F956" s="4">
        <v>325.77548217773398</v>
      </c>
      <c r="I956" s="5">
        <f>B956/B955-1</f>
        <v>2.3342284356946186E-2</v>
      </c>
      <c r="J956" s="5">
        <f>C956/C955-1</f>
        <v>1.3240598969254336E-2</v>
      </c>
      <c r="K956" s="5">
        <f>D956/D955-1</f>
        <v>2.0660865491666236E-3</v>
      </c>
      <c r="L956" s="5">
        <f>E956/E955-1</f>
        <v>2.0313961295375105E-3</v>
      </c>
      <c r="M956" s="5">
        <f>F956/F955-1</f>
        <v>-1.7434637642588235E-3</v>
      </c>
      <c r="N956" s="5">
        <f>SUMPRODUCT(I956:M956,$AJ$13:$AN$13)</f>
        <v>-5.7421439223259135E-3</v>
      </c>
      <c r="P956" s="2" t="s">
        <v>947</v>
      </c>
      <c r="Q956" s="10" cm="1">
        <f t="array" aca="1" ref="Q956:U956" ca="1">_xlfn.LET(_xlpm.array,_xlfn.RANDARRAY(1,COLUMNS(_xlfn.ANCHORARRAY(Q955)),0,1,FALSE),_xlpm.array/SUM(_xlpm.array))</f>
        <v>0.18530179807511757</v>
      </c>
      <c r="R956" s="2">
        <f ca="1"/>
        <v>0.20347064896699832</v>
      </c>
      <c r="S956" s="2">
        <f ca="1"/>
        <v>0.14077706137651572</v>
      </c>
      <c r="T956" s="2">
        <f ca="1"/>
        <v>0.27867412122636653</v>
      </c>
      <c r="U956" s="2">
        <f ca="1"/>
        <v>0.19177637035500186</v>
      </c>
      <c r="V956" s="12"/>
      <c r="X956" s="2" cm="1">
        <f t="array" aca="1" ref="X956" ca="1">MMULT(MMULT(_xlfn.ANCHORARRAY(Q956),$Q$9:$U$13),TRANSPOSE(_xlfn.ANCHORARRAY(Q956)))</f>
        <v>2.7945731988333818E-4</v>
      </c>
      <c r="Y956" s="2">
        <f t="shared" ca="1" si="34"/>
        <v>1.6716976995956482E-2</v>
      </c>
      <c r="Z956" s="2" cm="1">
        <f t="array" aca="1" ref="Z956" ca="1">MMULT(_xlfn.ANCHORARRAY(Q956),TRANSPOSE($Q$3:$U$3))</f>
        <v>9.0276235737077131E-4</v>
      </c>
      <c r="AA956" s="11">
        <f ca="1">AVEDEV(Q956*$Q$3,R956*$R$3,S956*$S$3,T956*$T$3,U956*$U$3)</f>
        <v>6.0886147457943885E-5</v>
      </c>
      <c r="AB956" s="11" cm="1">
        <f t="array" aca="1" ref="AB956" ca="1">MMULT(_xlfn.ANCHORARRAY(Q956),TRANSPOSE($Q$6:$U$6))</f>
        <v>-2.2890186650420995E-2</v>
      </c>
      <c r="AD956" s="2" t="s">
        <v>947</v>
      </c>
      <c r="AE956" s="10" cm="1">
        <f t="array" aca="1" ref="AE956:AI956" ca="1">_xlfn.LET(_xlpm.array,_xlfn.RANDARRAY(1,COLUMNS(_xlfn.ANCHORARRAY(Q955)),-1,1,FALSE),_xlpm.array/SUM(_xlpm.array))</f>
        <v>2.1995536041350072</v>
      </c>
      <c r="AF956" s="10">
        <f ca="1"/>
        <v>7.5011449330016742</v>
      </c>
      <c r="AG956" s="10">
        <f ca="1"/>
        <v>24.014519160484756</v>
      </c>
      <c r="AH956" s="10">
        <f ca="1"/>
        <v>-24.262174739389089</v>
      </c>
      <c r="AI956" s="10">
        <f ca="1"/>
        <v>-8.4530429582323485</v>
      </c>
      <c r="AJ956" s="1"/>
      <c r="AK956" s="2" cm="1">
        <f t="array" aca="1" ref="AK956" ca="1">MMULT(MMULT(_xlfn.ANCHORARRAY(AE956),$Q$9:$U$13),TRANSPOSE(_xlfn.ANCHORARRAY(AE956)))</f>
        <v>0.54232567129002274</v>
      </c>
      <c r="AL956" s="2">
        <f t="shared" ca="1" si="35"/>
        <v>0.73642764158471319</v>
      </c>
      <c r="AM956" s="2" cm="1">
        <f t="array" aca="1" ref="AM956" ca="1">MMULT(_xlfn.ANCHORARRAY(AE957),TRANSPOSE($Q$3:$U$3))</f>
        <v>3.8429694343723524E-4</v>
      </c>
    </row>
    <row r="957" spans="1:39" x14ac:dyDescent="0.35">
      <c r="A957" s="3">
        <v>45217</v>
      </c>
      <c r="B957" s="4">
        <v>25.678146362304599</v>
      </c>
      <c r="C957" s="4">
        <v>151.67939758300699</v>
      </c>
      <c r="D957" s="4">
        <v>64.050987243652301</v>
      </c>
      <c r="E957" s="4">
        <v>27.949670791625898</v>
      </c>
      <c r="F957" s="4">
        <v>323.86236572265602</v>
      </c>
      <c r="I957" s="5">
        <f>B957/B956-1</f>
        <v>-1.1223992540892236E-2</v>
      </c>
      <c r="J957" s="5">
        <f>C957/C956-1</f>
        <v>7.9358593157106139E-3</v>
      </c>
      <c r="K957" s="5">
        <f>D957/D956-1</f>
        <v>-1.4874815992152568E-2</v>
      </c>
      <c r="L957" s="5">
        <f>E957/E956-1</f>
        <v>5.7921147839032905E-3</v>
      </c>
      <c r="M957" s="5">
        <f>F957/F956-1</f>
        <v>-5.8724998035125653E-3</v>
      </c>
      <c r="N957" s="5">
        <f>SUMPRODUCT(I957:M957,$AJ$13:$AN$13)</f>
        <v>-4.0140550425502488E-3</v>
      </c>
      <c r="P957" s="2" t="s">
        <v>948</v>
      </c>
      <c r="Q957" s="10" cm="1">
        <f t="array" aca="1" ref="Q957:U957" ca="1">_xlfn.LET(_xlpm.array,_xlfn.RANDARRAY(1,COLUMNS(_xlfn.ANCHORARRAY(Q956)),0,1,FALSE),_xlpm.array/SUM(_xlpm.array))</f>
        <v>0.25896200962368177</v>
      </c>
      <c r="R957" s="2">
        <f ca="1"/>
        <v>8.5995864458033575E-2</v>
      </c>
      <c r="S957" s="2">
        <f ca="1"/>
        <v>0.20806309249636526</v>
      </c>
      <c r="T957" s="2">
        <f ca="1"/>
        <v>0.26155328891980428</v>
      </c>
      <c r="U957" s="2">
        <f ca="1"/>
        <v>0.18542574450211513</v>
      </c>
      <c r="V957" s="12"/>
      <c r="X957" s="2" cm="1">
        <f t="array" aca="1" ref="X957" ca="1">MMULT(MMULT(_xlfn.ANCHORARRAY(Q957),$Q$9:$U$13),TRANSPOSE(_xlfn.ANCHORARRAY(Q957)))</f>
        <v>2.8491418105017782E-4</v>
      </c>
      <c r="Y957" s="2">
        <f t="shared" ca="1" si="34"/>
        <v>1.6879401086832963E-2</v>
      </c>
      <c r="Z957" s="2" cm="1">
        <f t="array" aca="1" ref="Z957" ca="1">MMULT(_xlfn.ANCHORARRAY(Q957),TRANSPOSE($Q$3:$U$3))</f>
        <v>9.4133953913249388E-4</v>
      </c>
      <c r="AA957" s="11">
        <f ca="1">AVEDEV(Q957*$Q$3,R957*$R$3,S957*$S$3,T957*$T$3,U957*$U$3)</f>
        <v>9.1426450796429809E-5</v>
      </c>
      <c r="AB957" s="11" cm="1">
        <f t="array" aca="1" ref="AB957" ca="1">MMULT(_xlfn.ANCHORARRAY(Q957),TRANSPOSE($Q$6:$U$6))</f>
        <v>-2.3330262734363272E-2</v>
      </c>
      <c r="AD957" s="2" t="s">
        <v>948</v>
      </c>
      <c r="AE957" s="10" cm="1">
        <f t="array" aca="1" ref="AE957:AI957" ca="1">_xlfn.LET(_xlpm.array,_xlfn.RANDARRAY(1,COLUMNS(_xlfn.ANCHORARRAY(Q956)),-1,1,FALSE),_xlpm.array/SUM(_xlpm.array))</f>
        <v>0.92521602346358789</v>
      </c>
      <c r="AF957" s="10">
        <f ca="1"/>
        <v>0.32316609637127702</v>
      </c>
      <c r="AG957" s="10">
        <f ca="1"/>
        <v>-0.26338391709799219</v>
      </c>
      <c r="AH957" s="10">
        <f ca="1"/>
        <v>0.36739038820667619</v>
      </c>
      <c r="AI957" s="10">
        <f ca="1"/>
        <v>-0.35238859094354896</v>
      </c>
      <c r="AJ957" s="1"/>
      <c r="AK957" s="2" cm="1">
        <f t="array" aca="1" ref="AK957" ca="1">MMULT(MMULT(_xlfn.ANCHORARRAY(AE957),$Q$9:$U$13),TRANSPOSE(_xlfn.ANCHORARRAY(AE957)))</f>
        <v>7.2784083205590052E-4</v>
      </c>
      <c r="AL957" s="2">
        <f t="shared" ca="1" si="35"/>
        <v>2.6978525386979559E-2</v>
      </c>
      <c r="AM957" s="2" cm="1">
        <f t="array" aca="1" ref="AM957" ca="1">MMULT(_xlfn.ANCHORARRAY(AE958),TRANSPOSE($Q$3:$U$3))</f>
        <v>7.7720276674437389E-4</v>
      </c>
    </row>
    <row r="958" spans="1:39" x14ac:dyDescent="0.35">
      <c r="A958" s="3">
        <v>45218</v>
      </c>
      <c r="B958" s="4">
        <v>25.349063873291001</v>
      </c>
      <c r="C958" s="4">
        <v>151.84103393554599</v>
      </c>
      <c r="D958" s="4">
        <v>64.18505859375</v>
      </c>
      <c r="E958" s="4">
        <v>27.7565307617187</v>
      </c>
      <c r="F958" s="4">
        <v>325.04949951171801</v>
      </c>
      <c r="I958" s="5">
        <f>B958/B957-1</f>
        <v>-1.2815663730957216E-2</v>
      </c>
      <c r="J958" s="5">
        <f>C958/C957-1</f>
        <v>1.065644742230365E-3</v>
      </c>
      <c r="K958" s="5">
        <f>D958/D957-1</f>
        <v>2.0931972459330428E-3</v>
      </c>
      <c r="L958" s="5">
        <f>E958/E957-1</f>
        <v>-6.9102792425399517E-3</v>
      </c>
      <c r="M958" s="5">
        <f>F958/F957-1</f>
        <v>3.6655502914426652E-3</v>
      </c>
      <c r="N958" s="5">
        <f>SUMPRODUCT(I958:M958,$AJ$13:$AN$13)</f>
        <v>2.7570084376807545E-3</v>
      </c>
      <c r="P958" s="2" t="s">
        <v>949</v>
      </c>
      <c r="Q958" s="10" cm="1">
        <f t="array" aca="1" ref="Q958:U958" ca="1">_xlfn.LET(_xlpm.array,_xlfn.RANDARRAY(1,COLUMNS(_xlfn.ANCHORARRAY(Q957)),0,1,FALSE),_xlpm.array/SUM(_xlpm.array))</f>
        <v>0.13426161382033772</v>
      </c>
      <c r="R958" s="2">
        <f ca="1"/>
        <v>0.13731777711558682</v>
      </c>
      <c r="S958" s="2">
        <f ca="1"/>
        <v>0.22977123945476943</v>
      </c>
      <c r="T958" s="2">
        <f ca="1"/>
        <v>0.29335804201359311</v>
      </c>
      <c r="U958" s="2">
        <f ca="1"/>
        <v>0.20529132759571292</v>
      </c>
      <c r="V958" s="12"/>
      <c r="X958" s="2" cm="1">
        <f t="array" aca="1" ref="X958" ca="1">MMULT(MMULT(_xlfn.ANCHORARRAY(Q958),$Q$9:$U$13),TRANSPOSE(_xlfn.ANCHORARRAY(Q958)))</f>
        <v>2.8840550075107595E-4</v>
      </c>
      <c r="Y958" s="2">
        <f t="shared" ca="1" si="34"/>
        <v>1.6982505726513858E-2</v>
      </c>
      <c r="Z958" s="2" cm="1">
        <f t="array" aca="1" ref="Z958" ca="1">MMULT(_xlfn.ANCHORARRAY(Q958),TRANSPOSE($Q$3:$U$3))</f>
        <v>9.9837889063817808E-4</v>
      </c>
      <c r="AA958" s="11">
        <f ca="1">AVEDEV(Q958*$Q$3,R958*$R$3,S958*$S$3,T958*$T$3,U958*$U$3)</f>
        <v>1.0939868572451893E-4</v>
      </c>
      <c r="AB958" s="11" cm="1">
        <f t="array" aca="1" ref="AB958" ca="1">MMULT(_xlfn.ANCHORARRAY(Q958),TRANSPOSE($Q$6:$U$6))</f>
        <v>-2.3482425338907837E-2</v>
      </c>
      <c r="AD958" s="2" t="s">
        <v>949</v>
      </c>
      <c r="AE958" s="10" cm="1">
        <f t="array" aca="1" ref="AE958:AI958" ca="1">_xlfn.LET(_xlpm.array,_xlfn.RANDARRAY(1,COLUMNS(_xlfn.ANCHORARRAY(Q957)),-1,1,FALSE),_xlpm.array/SUM(_xlpm.array))</f>
        <v>6.3412097200190948E-2</v>
      </c>
      <c r="AF958" s="10">
        <f ca="1"/>
        <v>0.31628748302674581</v>
      </c>
      <c r="AG958" s="10">
        <f ca="1"/>
        <v>-9.8285286967636734E-2</v>
      </c>
      <c r="AH958" s="10">
        <f ca="1"/>
        <v>0.48297670190033848</v>
      </c>
      <c r="AI958" s="10">
        <f ca="1"/>
        <v>0.23560900484036151</v>
      </c>
      <c r="AJ958" s="1"/>
      <c r="AK958" s="2" cm="1">
        <f t="array" aca="1" ref="AK958" ca="1">MMULT(MMULT(_xlfn.ANCHORARRAY(AE958),$Q$9:$U$13),TRANSPOSE(_xlfn.ANCHORARRAY(AE958)))</f>
        <v>3.4697988772735124E-4</v>
      </c>
      <c r="AL958" s="2">
        <f t="shared" ca="1" si="35"/>
        <v>1.8627396160691683E-2</v>
      </c>
      <c r="AM958" s="2" cm="1">
        <f t="array" aca="1" ref="AM958" ca="1">MMULT(_xlfn.ANCHORARRAY(AE959),TRANSPOSE($Q$3:$U$3))</f>
        <v>6.5347720860557126E-4</v>
      </c>
    </row>
    <row r="959" spans="1:39" x14ac:dyDescent="0.35">
      <c r="A959" s="3">
        <v>45219</v>
      </c>
      <c r="B959" s="4">
        <v>24.737899780273398</v>
      </c>
      <c r="C959" s="4">
        <v>149.80271911621</v>
      </c>
      <c r="D959" s="4">
        <v>63.112594604492102</v>
      </c>
      <c r="E959" s="4">
        <v>27.362188339233398</v>
      </c>
      <c r="F959" s="4">
        <v>320.48748779296801</v>
      </c>
      <c r="I959" s="5">
        <f>B959/B958-1</f>
        <v>-2.410992753312502E-2</v>
      </c>
      <c r="J959" s="5">
        <f>C959/C958-1</f>
        <v>-1.3424005135536876E-2</v>
      </c>
      <c r="K959" s="5">
        <f>D959/D958-1</f>
        <v>-1.6708935268656577E-2</v>
      </c>
      <c r="L959" s="5">
        <f>E959/E958-1</f>
        <v>-1.420719418686045E-2</v>
      </c>
      <c r="M959" s="5">
        <f>F959/F958-1</f>
        <v>-1.403482154442004E-2</v>
      </c>
      <c r="N959" s="5">
        <f>SUMPRODUCT(I959:M959,$AJ$13:$AN$13)</f>
        <v>-1.2613857977062257E-2</v>
      </c>
      <c r="P959" s="2" t="s">
        <v>950</v>
      </c>
      <c r="Q959" s="10" cm="1">
        <f t="array" aca="1" ref="Q959:U959" ca="1">_xlfn.LET(_xlpm.array,_xlfn.RANDARRAY(1,COLUMNS(_xlfn.ANCHORARRAY(Q958)),0,1,FALSE),_xlpm.array/SUM(_xlpm.array))</f>
        <v>0.29724352482434035</v>
      </c>
      <c r="R959" s="2">
        <f ca="1"/>
        <v>9.671223405003028E-2</v>
      </c>
      <c r="S959" s="2">
        <f ca="1"/>
        <v>4.5146937757430304E-2</v>
      </c>
      <c r="T959" s="2">
        <f ca="1"/>
        <v>0.25115883515420678</v>
      </c>
      <c r="U959" s="2">
        <f ca="1"/>
        <v>0.3097384682139922</v>
      </c>
      <c r="V959" s="12"/>
      <c r="X959" s="2" cm="1">
        <f t="array" aca="1" ref="X959" ca="1">MMULT(MMULT(_xlfn.ANCHORARRAY(Q959),$Q$9:$U$13),TRANSPOSE(_xlfn.ANCHORARRAY(Q959)))</f>
        <v>2.5817317215553792E-4</v>
      </c>
      <c r="Y959" s="2">
        <f t="shared" ca="1" si="34"/>
        <v>1.6067768113696996E-2</v>
      </c>
      <c r="Z959" s="2" cm="1">
        <f t="array" aca="1" ref="Z959" ca="1">MMULT(_xlfn.ANCHORARRAY(Q959),TRANSPOSE($Q$3:$U$3))</f>
        <v>7.885074352097848E-4</v>
      </c>
      <c r="AA959" s="11">
        <f ca="1">AVEDEV(Q959*$Q$3,R959*$R$3,S959*$S$3,T959*$T$3,U959*$U$3)</f>
        <v>7.1235937381530082E-5</v>
      </c>
      <c r="AB959" s="11" cm="1">
        <f t="array" aca="1" ref="AB959" ca="1">MMULT(_xlfn.ANCHORARRAY(Q959),TRANSPOSE($Q$6:$U$6))</f>
        <v>-2.2195663976324373E-2</v>
      </c>
      <c r="AD959" s="2" t="s">
        <v>950</v>
      </c>
      <c r="AE959" s="10" cm="1">
        <f t="array" aca="1" ref="AE959:AI959" ca="1">_xlfn.LET(_xlpm.array,_xlfn.RANDARRAY(1,COLUMNS(_xlfn.ANCHORARRAY(Q958)),-1,1,FALSE),_xlpm.array/SUM(_xlpm.array))</f>
        <v>-0.25583199079136221</v>
      </c>
      <c r="AF959" s="10">
        <f ca="1"/>
        <v>0.12521742156972562</v>
      </c>
      <c r="AG959" s="10">
        <f ca="1"/>
        <v>-0.41806070344984858</v>
      </c>
      <c r="AH959" s="10">
        <f ca="1"/>
        <v>0.72629114463895283</v>
      </c>
      <c r="AI959" s="10">
        <f ca="1"/>
        <v>0.82238412803253236</v>
      </c>
      <c r="AJ959" s="1"/>
      <c r="AK959" s="2" cm="1">
        <f t="array" aca="1" ref="AK959" ca="1">MMULT(MMULT(_xlfn.ANCHORARRAY(AE959),$Q$9:$U$13),TRANSPOSE(_xlfn.ANCHORARRAY(AE959)))</f>
        <v>5.2180660636603105E-4</v>
      </c>
      <c r="AL959" s="2">
        <f t="shared" ca="1" si="35"/>
        <v>2.2843086620814426E-2</v>
      </c>
      <c r="AM959" s="2" cm="1">
        <f t="array" aca="1" ref="AM959" ca="1">MMULT(_xlfn.ANCHORARRAY(AE960),TRANSPOSE($Q$3:$U$3))</f>
        <v>7.4253555378701018E-5</v>
      </c>
    </row>
    <row r="960" spans="1:39" x14ac:dyDescent="0.35">
      <c r="A960" s="3">
        <v>45222</v>
      </c>
      <c r="B960" s="4">
        <v>24.042119979858398</v>
      </c>
      <c r="C960" s="4">
        <v>144.28039550781199</v>
      </c>
      <c r="D960" s="4">
        <v>63.112590789794901</v>
      </c>
      <c r="E960" s="4">
        <v>26.967847824096602</v>
      </c>
      <c r="F960" s="4">
        <v>323.087310791015</v>
      </c>
      <c r="I960" s="5">
        <f>B960/B959-1</f>
        <v>-2.8126065939107381E-2</v>
      </c>
      <c r="J960" s="5">
        <f>C960/C959-1</f>
        <v>-3.6863974439035663E-2</v>
      </c>
      <c r="K960" s="5">
        <f>D960/D959-1</f>
        <v>-6.0442725047238355E-8</v>
      </c>
      <c r="L960" s="5">
        <f>E960/E959-1</f>
        <v>-1.4411877816489227E-2</v>
      </c>
      <c r="M960" s="5">
        <f>F960/F959-1</f>
        <v>8.1120889178876165E-3</v>
      </c>
      <c r="N960" s="5">
        <f>SUMPRODUCT(I960:M960,$AJ$13:$AN$13)</f>
        <v>5.3178960606265523E-3</v>
      </c>
      <c r="P960" s="2" t="s">
        <v>951</v>
      </c>
      <c r="Q960" s="10" cm="1">
        <f t="array" aca="1" ref="Q960:U960" ca="1">_xlfn.LET(_xlpm.array,_xlfn.RANDARRAY(1,COLUMNS(_xlfn.ANCHORARRAY(Q959)),0,1,FALSE),_xlpm.array/SUM(_xlpm.array))</f>
        <v>0.32941048081912888</v>
      </c>
      <c r="R960" s="2">
        <f ca="1"/>
        <v>5.422070603348246E-2</v>
      </c>
      <c r="S960" s="2">
        <f ca="1"/>
        <v>4.9304080037386823E-2</v>
      </c>
      <c r="T960" s="2">
        <f ca="1"/>
        <v>0.41449778249714303</v>
      </c>
      <c r="U960" s="2">
        <f ca="1"/>
        <v>0.15256695061285888</v>
      </c>
      <c r="V960" s="12"/>
      <c r="X960" s="2" cm="1">
        <f t="array" aca="1" ref="X960" ca="1">MMULT(MMULT(_xlfn.ANCHORARRAY(Q960),$Q$9:$U$13),TRANSPOSE(_xlfn.ANCHORARRAY(Q960)))</f>
        <v>3.0326806873716704E-4</v>
      </c>
      <c r="Y960" s="2">
        <f t="shared" ca="1" si="34"/>
        <v>1.7414593556473464E-2</v>
      </c>
      <c r="Z960" s="2" cm="1">
        <f t="array" aca="1" ref="Z960" ca="1">MMULT(_xlfn.ANCHORARRAY(Q960),TRANSPOSE($Q$3:$U$3))</f>
        <v>8.2723502992960041E-4</v>
      </c>
      <c r="AA960" s="11">
        <f ca="1">AVEDEV(Q960*$Q$3,R960*$R$3,S960*$S$3,T960*$T$3,U960*$U$3)</f>
        <v>1.0399426494797607E-4</v>
      </c>
      <c r="AB960" s="11" cm="1">
        <f t="array" aca="1" ref="AB960" ca="1">MMULT(_xlfn.ANCHORARRAY(Q960),TRANSPOSE($Q$6:$U$6))</f>
        <v>-2.3074730725428025E-2</v>
      </c>
      <c r="AD960" s="2" t="s">
        <v>951</v>
      </c>
      <c r="AE960" s="10" cm="1">
        <f t="array" aca="1" ref="AE960:AI960" ca="1">_xlfn.LET(_xlpm.array,_xlfn.RANDARRAY(1,COLUMNS(_xlfn.ANCHORARRAY(Q959)),-1,1,FALSE),_xlpm.array/SUM(_xlpm.array))</f>
        <v>0.81054801118314845</v>
      </c>
      <c r="AF960" s="10">
        <f ca="1"/>
        <v>0.57375541026543075</v>
      </c>
      <c r="AG960" s="10">
        <f ca="1"/>
        <v>-0.43902583153892588</v>
      </c>
      <c r="AH960" s="10">
        <f ca="1"/>
        <v>-0.33322280175359681</v>
      </c>
      <c r="AI960" s="10">
        <f ca="1"/>
        <v>0.38794521184394343</v>
      </c>
      <c r="AJ960" s="1"/>
      <c r="AK960" s="2" cm="1">
        <f t="array" aca="1" ref="AK960" ca="1">MMULT(MMULT(_xlfn.ANCHORARRAY(AE960),$Q$9:$U$13),TRANSPOSE(_xlfn.ANCHORARRAY(AE960)))</f>
        <v>5.6162744094893425E-4</v>
      </c>
      <c r="AL960" s="2">
        <f t="shared" ca="1" si="35"/>
        <v>2.3698680152045057E-2</v>
      </c>
      <c r="AM960" s="2" cm="1">
        <f t="array" aca="1" ref="AM960" ca="1">MMULT(_xlfn.ANCHORARRAY(AE961),TRANSPOSE($Q$3:$U$3))</f>
        <v>1.1201980735564281E-3</v>
      </c>
    </row>
    <row r="961" spans="1:39" x14ac:dyDescent="0.35">
      <c r="A961" s="3">
        <v>45223</v>
      </c>
      <c r="B961" s="4">
        <v>23.948095321655199</v>
      </c>
      <c r="C961" s="4">
        <v>140.66172790527301</v>
      </c>
      <c r="D961" s="4">
        <v>64.470367431640597</v>
      </c>
      <c r="E961" s="4">
        <v>26.581560134887599</v>
      </c>
      <c r="F961" s="4">
        <v>324.27447509765602</v>
      </c>
      <c r="I961" s="5">
        <f>B961/B960-1</f>
        <v>-3.9108305874011595E-3</v>
      </c>
      <c r="J961" s="5">
        <f>C961/C960-1</f>
        <v>-2.5080799021950595E-2</v>
      </c>
      <c r="K961" s="5">
        <f>D961/D960-1</f>
        <v>2.1513562109467976E-2</v>
      </c>
      <c r="L961" s="5">
        <f>E961/E960-1</f>
        <v>-1.432400878737683E-2</v>
      </c>
      <c r="M961" s="5">
        <f>F961/F960-1</f>
        <v>3.6744380450426384E-3</v>
      </c>
      <c r="N961" s="5">
        <f>SUMPRODUCT(I961:M961,$AJ$13:$AN$13)</f>
        <v>7.6887222104440999E-3</v>
      </c>
      <c r="P961" s="2" t="s">
        <v>952</v>
      </c>
      <c r="Q961" s="10" cm="1">
        <f t="array" aca="1" ref="Q961:U961" ca="1">_xlfn.LET(_xlpm.array,_xlfn.RANDARRAY(1,COLUMNS(_xlfn.ANCHORARRAY(Q960)),0,1,FALSE),_xlpm.array/SUM(_xlpm.array))</f>
        <v>0.32851053325786805</v>
      </c>
      <c r="R961" s="2">
        <f ca="1"/>
        <v>0.22279170621816552</v>
      </c>
      <c r="S961" s="2">
        <f ca="1"/>
        <v>0.26546541922075062</v>
      </c>
      <c r="T961" s="2">
        <f ca="1"/>
        <v>6.8483251242899376E-2</v>
      </c>
      <c r="U961" s="2">
        <f ca="1"/>
        <v>0.11474909006031642</v>
      </c>
      <c r="V961" s="12"/>
      <c r="X961" s="2" cm="1">
        <f t="array" aca="1" ref="X961" ca="1">MMULT(MMULT(_xlfn.ANCHORARRAY(Q961),$Q$9:$U$13),TRANSPOSE(_xlfn.ANCHORARRAY(Q961)))</f>
        <v>3.0898889938881327E-4</v>
      </c>
      <c r="Y961" s="2">
        <f t="shared" ca="1" si="34"/>
        <v>1.7578080082557745E-2</v>
      </c>
      <c r="Z961" s="2" cm="1">
        <f t="array" aca="1" ref="Z961" ca="1">MMULT(_xlfn.ANCHORARRAY(Q961),TRANSPOSE($Q$3:$U$3))</f>
        <v>9.1850143750674769E-4</v>
      </c>
      <c r="AA961" s="11">
        <f ca="1">AVEDEV(Q961*$Q$3,R961*$R$3,S961*$S$3,T961*$T$3,U961*$U$3)</f>
        <v>9.8966303425453153E-5</v>
      </c>
      <c r="AB961" s="11" cm="1">
        <f t="array" aca="1" ref="AB961" ca="1">MMULT(_xlfn.ANCHORARRAY(Q961),TRANSPOSE($Q$6:$U$6))</f>
        <v>-2.2928518573479037E-2</v>
      </c>
      <c r="AD961" s="2" t="s">
        <v>952</v>
      </c>
      <c r="AE961" s="10" cm="1">
        <f t="array" aca="1" ref="AE961:AI961" ca="1">_xlfn.LET(_xlpm.array,_xlfn.RANDARRAY(1,COLUMNS(_xlfn.ANCHORARRAY(Q960)),-1,1,FALSE),_xlpm.array/SUM(_xlpm.array))</f>
        <v>3.2270922971370714E-2</v>
      </c>
      <c r="AF961" s="10">
        <f ca="1"/>
        <v>1.7533192082852603E-2</v>
      </c>
      <c r="AG961" s="10">
        <f ca="1"/>
        <v>0.4244920344192592</v>
      </c>
      <c r="AH961" s="10">
        <f ca="1"/>
        <v>-1.8262450596522456E-3</v>
      </c>
      <c r="AI961" s="10">
        <f ca="1"/>
        <v>0.5275300955861697</v>
      </c>
      <c r="AJ961" s="1"/>
      <c r="AK961" s="2" cm="1">
        <f t="array" aca="1" ref="AK961" ca="1">MMULT(MMULT(_xlfn.ANCHORARRAY(AE961),$Q$9:$U$13),TRANSPOSE(_xlfn.ANCHORARRAY(AE961)))</f>
        <v>3.7372850150234858E-4</v>
      </c>
      <c r="AL961" s="2">
        <f t="shared" ca="1" si="35"/>
        <v>1.9332058904895481E-2</v>
      </c>
      <c r="AM961" s="2" cm="1">
        <f t="array" aca="1" ref="AM961" ca="1">MMULT(_xlfn.ANCHORARRAY(AE962),TRANSPOSE($Q$3:$U$3))</f>
        <v>1.0062208932430105E-3</v>
      </c>
    </row>
    <row r="962" spans="1:39" x14ac:dyDescent="0.35">
      <c r="A962" s="3">
        <v>45224</v>
      </c>
      <c r="B962" s="4">
        <v>24.0233154296875</v>
      </c>
      <c r="C962" s="4">
        <v>139.961334228515</v>
      </c>
      <c r="D962" s="4">
        <v>63.882961273193303</v>
      </c>
      <c r="E962" s="4">
        <v>26.847133636474599</v>
      </c>
      <c r="F962" s="4">
        <v>334.22250366210898</v>
      </c>
      <c r="I962" s="5">
        <f>B962/B961-1</f>
        <v>3.1409641151829426E-3</v>
      </c>
      <c r="J962" s="5">
        <f>C962/C961-1</f>
        <v>-4.9792767882794742E-3</v>
      </c>
      <c r="K962" s="5">
        <f>D962/D961-1</f>
        <v>-9.1112581151353567E-3</v>
      </c>
      <c r="L962" s="5">
        <f>E962/E961-1</f>
        <v>9.9908921914044768E-3</v>
      </c>
      <c r="M962" s="5">
        <f>F962/F961-1</f>
        <v>3.0677803306772944E-2</v>
      </c>
      <c r="N962" s="5">
        <f>SUMPRODUCT(I962:M962,$AJ$13:$AN$13)</f>
        <v>9.4268436413447107E-3</v>
      </c>
      <c r="P962" s="2" t="s">
        <v>953</v>
      </c>
      <c r="Q962" s="10" cm="1">
        <f t="array" aca="1" ref="Q962:U962" ca="1">_xlfn.LET(_xlpm.array,_xlfn.RANDARRAY(1,COLUMNS(_xlfn.ANCHORARRAY(Q961)),0,1,FALSE),_xlpm.array/SUM(_xlpm.array))</f>
        <v>0.31458651162796508</v>
      </c>
      <c r="R962" s="2">
        <f ca="1"/>
        <v>0.10838427341768384</v>
      </c>
      <c r="S962" s="2">
        <f ca="1"/>
        <v>0.34609163512718211</v>
      </c>
      <c r="T962" s="2">
        <f ca="1"/>
        <v>0.22092027144943965</v>
      </c>
      <c r="U962" s="2">
        <f ca="1"/>
        <v>1.0017308377729286E-2</v>
      </c>
      <c r="V962" s="12"/>
      <c r="X962" s="2" cm="1">
        <f t="array" aca="1" ref="X962" ca="1">MMULT(MMULT(_xlfn.ANCHORARRAY(Q962),$Q$9:$U$13),TRANSPOSE(_xlfn.ANCHORARRAY(Q962)))</f>
        <v>3.5040453617578136E-4</v>
      </c>
      <c r="Y962" s="2">
        <f t="shared" ca="1" si="34"/>
        <v>1.8719095495663817E-2</v>
      </c>
      <c r="Z962" s="2" cm="1">
        <f t="array" aca="1" ref="Z962" ca="1">MMULT(_xlfn.ANCHORARRAY(Q962),TRANSPOSE($Q$3:$U$3))</f>
        <v>1.0344446353251365E-3</v>
      </c>
      <c r="AA962" s="11">
        <f ca="1">AVEDEV(Q962*$Q$3,R962*$R$3,S962*$S$3,T962*$T$3,U962*$U$3)</f>
        <v>1.4958846476013709E-4</v>
      </c>
      <c r="AB962" s="11" cm="1">
        <f t="array" aca="1" ref="AB962" ca="1">MMULT(_xlfn.ANCHORARRAY(Q962),TRANSPOSE($Q$6:$U$6))</f>
        <v>-2.4187694420171067E-2</v>
      </c>
      <c r="AD962" s="2" t="s">
        <v>953</v>
      </c>
      <c r="AE962" s="10" cm="1">
        <f t="array" aca="1" ref="AE962:AI962" ca="1">_xlfn.LET(_xlpm.array,_xlfn.RANDARRAY(1,COLUMNS(_xlfn.ANCHORARRAY(Q961)),-1,1,FALSE),_xlpm.array/SUM(_xlpm.array))</f>
        <v>0.23170552987433585</v>
      </c>
      <c r="AF962" s="10">
        <f ca="1"/>
        <v>0.38194358399358469</v>
      </c>
      <c r="AG962" s="10">
        <f ca="1"/>
        <v>0.45750451955170218</v>
      </c>
      <c r="AH962" s="10">
        <f ca="1"/>
        <v>-0.30774746604350872</v>
      </c>
      <c r="AI962" s="10">
        <f ca="1"/>
        <v>0.236593832623886</v>
      </c>
      <c r="AJ962" s="1"/>
      <c r="AK962" s="2" cm="1">
        <f t="array" aca="1" ref="AK962" ca="1">MMULT(MMULT(_xlfn.ANCHORARRAY(AE962),$Q$9:$U$13),TRANSPOSE(_xlfn.ANCHORARRAY(AE962)))</f>
        <v>4.1840886189246213E-4</v>
      </c>
      <c r="AL962" s="2">
        <f t="shared" ca="1" si="35"/>
        <v>2.0455044900768663E-2</v>
      </c>
      <c r="AM962" s="2" cm="1">
        <f t="array" aca="1" ref="AM962" ca="1">MMULT(_xlfn.ANCHORARRAY(AE963),TRANSPOSE($Q$3:$U$3))</f>
        <v>1.520280950448711E-3</v>
      </c>
    </row>
    <row r="963" spans="1:39" x14ac:dyDescent="0.35">
      <c r="A963" s="3">
        <v>45225</v>
      </c>
      <c r="B963" s="4">
        <v>24.559255599975501</v>
      </c>
      <c r="C963" s="4">
        <v>138.955642700195</v>
      </c>
      <c r="D963" s="4">
        <v>62.1207466125488</v>
      </c>
      <c r="E963" s="4">
        <v>26.5252265930175</v>
      </c>
      <c r="F963" s="4">
        <v>321.68441772460898</v>
      </c>
      <c r="I963" s="5">
        <f>B963/B962-1</f>
        <v>2.2309167602474034E-2</v>
      </c>
      <c r="J963" s="5">
        <f>C963/C962-1</f>
        <v>-7.1854954360324186E-3</v>
      </c>
      <c r="K963" s="5">
        <f>D963/D962-1</f>
        <v>-2.7585049683411689E-2</v>
      </c>
      <c r="L963" s="5">
        <f>E963/E962-1</f>
        <v>-1.1990369169979309E-2</v>
      </c>
      <c r="M963" s="5">
        <f>F963/F962-1</f>
        <v>-3.7514188303058416E-2</v>
      </c>
      <c r="N963" s="5">
        <f>SUMPRODUCT(I963:M963,$AJ$13:$AN$13)</f>
        <v>-3.8713520015229604E-2</v>
      </c>
      <c r="P963" s="2" t="s">
        <v>954</v>
      </c>
      <c r="Q963" s="10" cm="1">
        <f t="array" aca="1" ref="Q963:U963" ca="1">_xlfn.LET(_xlpm.array,_xlfn.RANDARRAY(1,COLUMNS(_xlfn.ANCHORARRAY(Q962)),0,1,FALSE),_xlpm.array/SUM(_xlpm.array))</f>
        <v>0.45741440364267771</v>
      </c>
      <c r="R963" s="2">
        <f ca="1"/>
        <v>0.25372712885653259</v>
      </c>
      <c r="S963" s="2">
        <f ca="1"/>
        <v>0.21665907901583698</v>
      </c>
      <c r="T963" s="2">
        <f ca="1"/>
        <v>5.756330655545483E-2</v>
      </c>
      <c r="U963" s="2">
        <f ca="1"/>
        <v>1.4636081929497748E-2</v>
      </c>
      <c r="V963" s="12"/>
      <c r="X963" s="2" cm="1">
        <f t="array" aca="1" ref="X963" ca="1">MMULT(MMULT(_xlfn.ANCHORARRAY(Q963),$Q$9:$U$13),TRANSPOSE(_xlfn.ANCHORARRAY(Q963)))</f>
        <v>3.3394179645589433E-4</v>
      </c>
      <c r="Y963" s="2">
        <f t="shared" ca="1" si="34"/>
        <v>1.8274074434999281E-2</v>
      </c>
      <c r="Z963" s="2" cm="1">
        <f t="array" aca="1" ref="Z963" ca="1">MMULT(_xlfn.ANCHORARRAY(Q963),TRANSPOSE($Q$3:$U$3))</f>
        <v>8.3961724626058665E-4</v>
      </c>
      <c r="AA963" s="11">
        <f ca="1">AVEDEV(Q963*$Q$3,R963*$R$3,S963*$S$3,T963*$T$3,U963*$U$3)</f>
        <v>1.0633791020090348E-4</v>
      </c>
      <c r="AB963" s="11" cm="1">
        <f t="array" aca="1" ref="AB963" ca="1">MMULT(_xlfn.ANCHORARRAY(Q963),TRANSPOSE($Q$6:$U$6))</f>
        <v>-2.2736056322295438E-2</v>
      </c>
      <c r="AD963" s="2" t="s">
        <v>954</v>
      </c>
      <c r="AE963" s="10" cm="1">
        <f t="array" aca="1" ref="AE963:AI963" ca="1">_xlfn.LET(_xlpm.array,_xlfn.RANDARRAY(1,COLUMNS(_xlfn.ANCHORARRAY(Q962)),-1,1,FALSE),_xlpm.array/SUM(_xlpm.array))</f>
        <v>0.56544115587851795</v>
      </c>
      <c r="AF963" s="10">
        <f ca="1"/>
        <v>-4.5308395474892758E-2</v>
      </c>
      <c r="AG963" s="10">
        <f ca="1"/>
        <v>0.81961728799906519</v>
      </c>
      <c r="AH963" s="10">
        <f ca="1"/>
        <v>0.75861141366885521</v>
      </c>
      <c r="AI963" s="10">
        <f ca="1"/>
        <v>-1.0983614620715458</v>
      </c>
      <c r="AJ963" s="1"/>
      <c r="AK963" s="2" cm="1">
        <f t="array" aca="1" ref="AK963" ca="1">MMULT(MMULT(_xlfn.ANCHORARRAY(AE963),$Q$9:$U$13),TRANSPOSE(_xlfn.ANCHORARRAY(AE963)))</f>
        <v>1.3006071167088102E-3</v>
      </c>
      <c r="AL963" s="2">
        <f t="shared" ca="1" si="35"/>
        <v>3.6063930965839125E-2</v>
      </c>
      <c r="AM963" s="2" cm="1">
        <f t="array" aca="1" ref="AM963" ca="1">MMULT(_xlfn.ANCHORARRAY(AE964),TRANSPOSE($Q$3:$U$3))</f>
        <v>9.6328876907922725E-4</v>
      </c>
    </row>
    <row r="964" spans="1:39" x14ac:dyDescent="0.35">
      <c r="A964" s="3">
        <v>45226</v>
      </c>
      <c r="B964" s="4">
        <v>23.666021347045898</v>
      </c>
      <c r="C964" s="4">
        <v>129.61712646484301</v>
      </c>
      <c r="D964" s="4">
        <v>63.517032623291001</v>
      </c>
      <c r="E964" s="4">
        <v>27.032230377197202</v>
      </c>
      <c r="F964" s="4">
        <v>323.56805419921801</v>
      </c>
      <c r="I964" s="5">
        <f>B964/B963-1</f>
        <v>-3.6370575211184031E-2</v>
      </c>
      <c r="J964" s="5">
        <f>C964/C963-1</f>
        <v>-6.7205016319491162E-2</v>
      </c>
      <c r="K964" s="5">
        <f>D964/D963-1</f>
        <v>2.2476967629686317E-2</v>
      </c>
      <c r="L964" s="5">
        <f>E964/E963-1</f>
        <v>1.9114022736121061E-2</v>
      </c>
      <c r="M964" s="5">
        <f>F964/F963-1</f>
        <v>5.8555415519740972E-3</v>
      </c>
      <c r="N964" s="5">
        <f>SUMPRODUCT(I964:M964,$AJ$13:$AN$13)</f>
        <v>3.5310919356048583E-2</v>
      </c>
      <c r="P964" s="2" t="s">
        <v>955</v>
      </c>
      <c r="Q964" s="10" cm="1">
        <f t="array" aca="1" ref="Q964:U964" ca="1">_xlfn.LET(_xlpm.array,_xlfn.RANDARRAY(1,COLUMNS(_xlfn.ANCHORARRAY(Q963)),0,1,FALSE),_xlpm.array/SUM(_xlpm.array))</f>
        <v>0.16458662088232623</v>
      </c>
      <c r="R964" s="2">
        <f ca="1"/>
        <v>0.2970954374571213</v>
      </c>
      <c r="S964" s="2">
        <f ca="1"/>
        <v>0.18843855007060081</v>
      </c>
      <c r="T964" s="2">
        <f ca="1"/>
        <v>0.13147727275969215</v>
      </c>
      <c r="U964" s="2">
        <f ca="1"/>
        <v>0.21840211883025937</v>
      </c>
      <c r="V964" s="12"/>
      <c r="X964" s="2" cm="1">
        <f t="array" aca="1" ref="X964" ca="1">MMULT(MMULT(_xlfn.ANCHORARRAY(Q964),$Q$9:$U$13),TRANSPOSE(_xlfn.ANCHORARRAY(Q964)))</f>
        <v>2.7488241428227564E-4</v>
      </c>
      <c r="Y964" s="2">
        <f t="shared" ca="1" si="34"/>
        <v>1.6579578229927189E-2</v>
      </c>
      <c r="Z964" s="2" cm="1">
        <f t="array" aca="1" ref="Z964" ca="1">MMULT(_xlfn.ANCHORARRAY(Q964),TRANSPOSE($Q$3:$U$3))</f>
        <v>9.0799070127829673E-4</v>
      </c>
      <c r="AA964" s="11">
        <f ca="1">AVEDEV(Q964*$Q$3,R964*$R$3,S964*$S$3,T964*$T$3,U964*$U$3)</f>
        <v>6.3911504112071225E-5</v>
      </c>
      <c r="AB964" s="11" cm="1">
        <f t="array" aca="1" ref="AB964" ca="1">MMULT(_xlfn.ANCHORARRAY(Q964),TRANSPOSE($Q$6:$U$6))</f>
        <v>-2.2497177257538539E-2</v>
      </c>
      <c r="AD964" s="2" t="s">
        <v>955</v>
      </c>
      <c r="AE964" s="10" cm="1">
        <f t="array" aca="1" ref="AE964:AI964" ca="1">_xlfn.LET(_xlpm.array,_xlfn.RANDARRAY(1,COLUMNS(_xlfn.ANCHORARRAY(Q963)),-1,1,FALSE),_xlpm.array/SUM(_xlpm.array))</f>
        <v>0.21938581414121269</v>
      </c>
      <c r="AF964" s="10">
        <f ca="1"/>
        <v>0.16179211456009107</v>
      </c>
      <c r="AG964" s="10">
        <f ca="1"/>
        <v>0.28106660397265687</v>
      </c>
      <c r="AH964" s="10">
        <f ca="1"/>
        <v>7.3429072243154939E-2</v>
      </c>
      <c r="AI964" s="10">
        <f ca="1"/>
        <v>0.26432639508288441</v>
      </c>
      <c r="AJ964" s="1"/>
      <c r="AK964" s="2" cm="1">
        <f t="array" aca="1" ref="AK964" ca="1">MMULT(MMULT(_xlfn.ANCHORARRAY(AE964),$Q$9:$U$13),TRANSPOSE(_xlfn.ANCHORARRAY(AE964)))</f>
        <v>2.8901255061743137E-4</v>
      </c>
      <c r="AL964" s="2">
        <f t="shared" ca="1" si="35"/>
        <v>1.7000369131799208E-2</v>
      </c>
      <c r="AM964" s="2" cm="1">
        <f t="array" aca="1" ref="AM964" ca="1">MMULT(_xlfn.ANCHORARRAY(AE965),TRANSPOSE($Q$3:$U$3))</f>
        <v>7.2366800704938171E-4</v>
      </c>
    </row>
    <row r="965" spans="1:39" x14ac:dyDescent="0.35">
      <c r="A965" s="3">
        <v>45229</v>
      </c>
      <c r="B965" s="4">
        <v>24.1549472808837</v>
      </c>
      <c r="C965" s="4">
        <v>131.17951965332</v>
      </c>
      <c r="D965" s="4">
        <v>63.969635009765597</v>
      </c>
      <c r="E965" s="4">
        <v>27.144899368286101</v>
      </c>
      <c r="F965" s="4">
        <v>330.92611694335898</v>
      </c>
      <c r="I965" s="5">
        <f>B965/B964-1</f>
        <v>2.0659405595391034E-2</v>
      </c>
      <c r="J965" s="5">
        <f>C965/C964-1</f>
        <v>1.2053910089580455E-2</v>
      </c>
      <c r="K965" s="5">
        <f>D965/D964-1</f>
        <v>7.1256853127712461E-3</v>
      </c>
      <c r="L965" s="5">
        <f>E965/E964-1</f>
        <v>4.1679502400193691E-3</v>
      </c>
      <c r="M965" s="5">
        <f>F965/F964-1</f>
        <v>2.2740386909798849E-2</v>
      </c>
      <c r="N965" s="5">
        <f>SUMPRODUCT(I965:M965,$AJ$13:$AN$13)</f>
        <v>6.8841029162632211E-3</v>
      </c>
      <c r="P965" s="2" t="s">
        <v>956</v>
      </c>
      <c r="Q965" s="10" cm="1">
        <f t="array" aca="1" ref="Q965:U965" ca="1">_xlfn.LET(_xlpm.array,_xlfn.RANDARRAY(1,COLUMNS(_xlfn.ANCHORARRAY(Q964)),0,1,FALSE),_xlpm.array/SUM(_xlpm.array))</f>
        <v>9.4385802561400001E-2</v>
      </c>
      <c r="R965" s="2">
        <f ca="1"/>
        <v>0.30324663895141352</v>
      </c>
      <c r="S965" s="2">
        <f ca="1"/>
        <v>0.15068835356147287</v>
      </c>
      <c r="T965" s="2">
        <f ca="1"/>
        <v>0.3054818235373718</v>
      </c>
      <c r="U965" s="2">
        <f ca="1"/>
        <v>0.14619738138834182</v>
      </c>
      <c r="V965" s="12"/>
      <c r="X965" s="2" cm="1">
        <f t="array" aca="1" ref="X965" ca="1">MMULT(MMULT(_xlfn.ANCHORARRAY(Q965),$Q$9:$U$13),TRANSPOSE(_xlfn.ANCHORARRAY(Q965)))</f>
        <v>3.009090304735579E-4</v>
      </c>
      <c r="Y965" s="2">
        <f t="shared" ca="1" si="34"/>
        <v>1.7346729676615068E-2</v>
      </c>
      <c r="Z965" s="2" cm="1">
        <f t="array" aca="1" ref="Z965" ca="1">MMULT(_xlfn.ANCHORARRAY(Q965),TRANSPOSE($Q$3:$U$3))</f>
        <v>9.3803685815854764E-4</v>
      </c>
      <c r="AA965" s="11">
        <f ca="1">AVEDEV(Q965*$Q$3,R965*$R$3,S965*$S$3,T965*$T$3,U965*$U$3)</f>
        <v>8.6169555198381201E-5</v>
      </c>
      <c r="AB965" s="11" cm="1">
        <f t="array" aca="1" ref="AB965" ca="1">MMULT(_xlfn.ANCHORARRAY(Q965),TRANSPOSE($Q$6:$U$6))</f>
        <v>-2.3007087546176117E-2</v>
      </c>
      <c r="AD965" s="2" t="s">
        <v>956</v>
      </c>
      <c r="AE965" s="10" cm="1">
        <f t="array" aca="1" ref="AE965:AI965" ca="1">_xlfn.LET(_xlpm.array,_xlfn.RANDARRAY(1,COLUMNS(_xlfn.ANCHORARRAY(Q964)),-1,1,FALSE),_xlpm.array/SUM(_xlpm.array))</f>
        <v>-0.62795602895058544</v>
      </c>
      <c r="AF965" s="10">
        <f ca="1"/>
        <v>0.68786131092571901</v>
      </c>
      <c r="AG965" s="10">
        <f ca="1"/>
        <v>-0.47185428916594474</v>
      </c>
      <c r="AH965" s="10">
        <f ca="1"/>
        <v>0.88360854576440817</v>
      </c>
      <c r="AI965" s="10">
        <f ca="1"/>
        <v>0.52834046142640301</v>
      </c>
      <c r="AJ965" s="1"/>
      <c r="AK965" s="2" cm="1">
        <f t="array" aca="1" ref="AK965" ca="1">MMULT(MMULT(_xlfn.ANCHORARRAY(AE965),$Q$9:$U$13),TRANSPOSE(_xlfn.ANCHORARRAY(AE965)))</f>
        <v>8.792485938745768E-4</v>
      </c>
      <c r="AL965" s="2">
        <f t="shared" ca="1" si="35"/>
        <v>2.9652126296010828E-2</v>
      </c>
      <c r="AM965" s="2" cm="1">
        <f t="array" aca="1" ref="AM965" ca="1">MMULT(_xlfn.ANCHORARRAY(AE966),TRANSPOSE($Q$3:$U$3))</f>
        <v>9.3499087767267013E-4</v>
      </c>
    </row>
    <row r="966" spans="1:39" x14ac:dyDescent="0.35">
      <c r="A966" s="3">
        <v>45230</v>
      </c>
      <c r="B966" s="4">
        <v>24.766109466552699</v>
      </c>
      <c r="C966" s="4">
        <v>130.85624694824199</v>
      </c>
      <c r="D966" s="4">
        <v>64.431861877441406</v>
      </c>
      <c r="E966" s="4">
        <v>26.855182647705</v>
      </c>
      <c r="F966" s="4">
        <v>331.71099853515602</v>
      </c>
      <c r="I966" s="5">
        <f>B966/B965-1</f>
        <v>2.5301739579977278E-2</v>
      </c>
      <c r="J966" s="5">
        <f>C966/C965-1</f>
        <v>-2.4643534747829099E-3</v>
      </c>
      <c r="K966" s="5">
        <f>D966/D965-1</f>
        <v>7.2257230732244437E-3</v>
      </c>
      <c r="L966" s="5">
        <f>E966/E965-1</f>
        <v>-1.0672970883052302E-2</v>
      </c>
      <c r="M966" s="5">
        <f>F966/F965-1</f>
        <v>2.3717728870924493E-3</v>
      </c>
      <c r="N966" s="5">
        <f>SUMPRODUCT(I966:M966,$AJ$13:$AN$13)</f>
        <v>-7.6693615151494409E-3</v>
      </c>
      <c r="P966" s="2" t="s">
        <v>957</v>
      </c>
      <c r="Q966" s="10" cm="1">
        <f t="array" aca="1" ref="Q966:U966" ca="1">_xlfn.LET(_xlpm.array,_xlfn.RANDARRAY(1,COLUMNS(_xlfn.ANCHORARRAY(Q965)),0,1,FALSE),_xlpm.array/SUM(_xlpm.array))</f>
        <v>0.35150889375274363</v>
      </c>
      <c r="R966" s="2">
        <f ca="1"/>
        <v>4.8465464541981369E-2</v>
      </c>
      <c r="S966" s="2">
        <f ca="1"/>
        <v>0.16059109015276488</v>
      </c>
      <c r="T966" s="2">
        <f ca="1"/>
        <v>0.24312525513307306</v>
      </c>
      <c r="U966" s="2">
        <f ca="1"/>
        <v>0.19630929641943698</v>
      </c>
      <c r="V966" s="12"/>
      <c r="X966" s="2" cm="1">
        <f t="array" aca="1" ref="X966" ca="1">MMULT(MMULT(_xlfn.ANCHORARRAY(Q966),$Q$9:$U$13),TRANSPOSE(_xlfn.ANCHORARRAY(Q966)))</f>
        <v>2.8054672524095676E-4</v>
      </c>
      <c r="Y966" s="2">
        <f t="shared" ca="1" si="34"/>
        <v>1.6749529105051186E-2</v>
      </c>
      <c r="Z966" s="2" cm="1">
        <f t="array" aca="1" ref="Z966" ca="1">MMULT(_xlfn.ANCHORARRAY(Q966),TRANSPOSE($Q$3:$U$3))</f>
        <v>8.7337334492620673E-4</v>
      </c>
      <c r="AA966" s="11">
        <f ca="1">AVEDEV(Q966*$Q$3,R966*$R$3,S966*$S$3,T966*$T$3,U966*$U$3)</f>
        <v>6.5524019345657283E-5</v>
      </c>
      <c r="AB966" s="11" cm="1">
        <f t="array" aca="1" ref="AB966" ca="1">MMULT(_xlfn.ANCHORARRAY(Q966),TRANSPOSE($Q$6:$U$6))</f>
        <v>-2.3023446467090748E-2</v>
      </c>
      <c r="AD966" s="2" t="s">
        <v>957</v>
      </c>
      <c r="AE966" s="10" cm="1">
        <f t="array" aca="1" ref="AE966:AI966" ca="1">_xlfn.LET(_xlpm.array,_xlfn.RANDARRAY(1,COLUMNS(_xlfn.ANCHORARRAY(Q965)),-1,1,FALSE),_xlpm.array/SUM(_xlpm.array))</f>
        <v>-0.84563914178061084</v>
      </c>
      <c r="AF966" s="10">
        <f ca="1"/>
        <v>-0.71109598444843047</v>
      </c>
      <c r="AG966" s="10">
        <f ca="1"/>
        <v>-0.63137606094080601</v>
      </c>
      <c r="AH966" s="10">
        <f ca="1"/>
        <v>1.8342576013507232</v>
      </c>
      <c r="AI966" s="10">
        <f ca="1"/>
        <v>1.3538535858191241</v>
      </c>
      <c r="AJ966" s="1"/>
      <c r="AK966" s="2" cm="1">
        <f t="array" aca="1" ref="AK966" ca="1">MMULT(MMULT(_xlfn.ANCHORARRAY(AE966),$Q$9:$U$13),TRANSPOSE(_xlfn.ANCHORARRAY(AE966)))</f>
        <v>1.6531164072861814E-3</v>
      </c>
      <c r="AL966" s="2">
        <f t="shared" ca="1" si="35"/>
        <v>4.0658534249111603E-2</v>
      </c>
      <c r="AM966" s="2" cm="1">
        <f t="array" aca="1" ref="AM966" ca="1">MMULT(_xlfn.ANCHORARRAY(AE967),TRANSPOSE($Q$3:$U$3))</f>
        <v>3.3100018001086274E-4</v>
      </c>
    </row>
    <row r="967" spans="1:39" x14ac:dyDescent="0.35">
      <c r="A967" s="3">
        <v>45231</v>
      </c>
      <c r="B967" s="4">
        <v>24.822525024413999</v>
      </c>
      <c r="C967" s="4">
        <v>129.28485107421801</v>
      </c>
      <c r="D967" s="4">
        <v>66.126678466796804</v>
      </c>
      <c r="E967" s="4">
        <v>26.7344646453857</v>
      </c>
      <c r="F967" s="4">
        <v>339.52029418945301</v>
      </c>
      <c r="I967" s="5">
        <f>B967/B966-1</f>
        <v>2.2779338005225469E-3</v>
      </c>
      <c r="J967" s="5">
        <f>C967/C966-1</f>
        <v>-1.20085659696898E-2</v>
      </c>
      <c r="K967" s="5">
        <f>D967/D966-1</f>
        <v>2.6304013883367006E-2</v>
      </c>
      <c r="L967" s="5">
        <f>E967/E966-1</f>
        <v>-4.4951473204601911E-3</v>
      </c>
      <c r="M967" s="5">
        <f>F967/F966-1</f>
        <v>2.3542468259367455E-2</v>
      </c>
      <c r="N967" s="5">
        <f>SUMPRODUCT(I967:M967,$AJ$13:$AN$13)</f>
        <v>1.9194271646763746E-2</v>
      </c>
      <c r="P967" s="2" t="s">
        <v>958</v>
      </c>
      <c r="Q967" s="10" cm="1">
        <f t="array" aca="1" ref="Q967:U967" ca="1">_xlfn.LET(_xlpm.array,_xlfn.RANDARRAY(1,COLUMNS(_xlfn.ANCHORARRAY(Q966)),0,1,FALSE),_xlpm.array/SUM(_xlpm.array))</f>
        <v>0.37814438370462505</v>
      </c>
      <c r="R967" s="2">
        <f ca="1"/>
        <v>0.1382083931806192</v>
      </c>
      <c r="S967" s="2">
        <f ca="1"/>
        <v>0.37510396338833535</v>
      </c>
      <c r="T967" s="2">
        <f ca="1"/>
        <v>3.5569395974045875E-2</v>
      </c>
      <c r="U967" s="2">
        <f ca="1"/>
        <v>7.2973863752374496E-2</v>
      </c>
      <c r="V967" s="12"/>
      <c r="X967" s="2" cm="1">
        <f t="array" aca="1" ref="X967" ca="1">MMULT(MMULT(_xlfn.ANCHORARRAY(Q967),$Q$9:$U$13),TRANSPOSE(_xlfn.ANCHORARRAY(Q967)))</f>
        <v>3.5485397594514683E-4</v>
      </c>
      <c r="Y967" s="2">
        <f t="shared" ca="1" si="34"/>
        <v>1.8837568206781542E-2</v>
      </c>
      <c r="Z967" s="2" cm="1">
        <f t="array" aca="1" ref="Z967" ca="1">MMULT(_xlfn.ANCHORARRAY(Q967),TRANSPOSE($Q$3:$U$3))</f>
        <v>9.9443739854434415E-4</v>
      </c>
      <c r="AA967" s="11">
        <f ca="1">AVEDEV(Q967*$Q$3,R967*$R$3,S967*$S$3,T967*$T$3,U967*$U$3)</f>
        <v>1.6411265874149847E-4</v>
      </c>
      <c r="AB967" s="11" cm="1">
        <f t="array" aca="1" ref="AB967" ca="1">MMULT(_xlfn.ANCHORARRAY(Q967),TRANSPOSE($Q$6:$U$6))</f>
        <v>-2.3566377654255528E-2</v>
      </c>
      <c r="AD967" s="2" t="s">
        <v>958</v>
      </c>
      <c r="AE967" s="10" cm="1">
        <f t="array" aca="1" ref="AE967:AI967" ca="1">_xlfn.LET(_xlpm.array,_xlfn.RANDARRAY(1,COLUMNS(_xlfn.ANCHORARRAY(Q966)),-1,1,FALSE),_xlpm.array/SUM(_xlpm.array))</f>
        <v>0.30484496429789976</v>
      </c>
      <c r="AF967" s="10">
        <f ca="1"/>
        <v>1.1787047129452442E-2</v>
      </c>
      <c r="AG967" s="10">
        <f ca="1"/>
        <v>-0.51270195235030458</v>
      </c>
      <c r="AH967" s="10">
        <f ca="1"/>
        <v>0.33208099466847785</v>
      </c>
      <c r="AI967" s="10">
        <f ca="1"/>
        <v>0.86398894625447453</v>
      </c>
      <c r="AJ967" s="1"/>
      <c r="AK967" s="2" cm="1">
        <f t="array" aca="1" ref="AK967" ca="1">MMULT(MMULT(_xlfn.ANCHORARRAY(AE967),$Q$9:$U$13),TRANSPOSE(_xlfn.ANCHORARRAY(AE967)))</f>
        <v>4.471154734209899E-4</v>
      </c>
      <c r="AL967" s="2">
        <f t="shared" ca="1" si="35"/>
        <v>2.11451051882224E-2</v>
      </c>
      <c r="AM967" s="2" cm="1">
        <f t="array" aca="1" ref="AM967" ca="1">MMULT(_xlfn.ANCHORARRAY(AE968),TRANSPOSE($Q$3:$U$3))</f>
        <v>7.603805454958314E-4</v>
      </c>
    </row>
    <row r="968" spans="1:39" x14ac:dyDescent="0.35">
      <c r="A968" s="3">
        <v>45232</v>
      </c>
      <c r="B968" s="4">
        <v>25.969629287719702</v>
      </c>
      <c r="C968" s="4">
        <v>133.57698059082</v>
      </c>
      <c r="D968" s="4">
        <v>66.107414245605398</v>
      </c>
      <c r="E968" s="4">
        <v>27.169042587280199</v>
      </c>
      <c r="F968" s="4">
        <v>341.727783203125</v>
      </c>
      <c r="I968" s="5">
        <f>B968/B967-1</f>
        <v>4.6212231115790203E-2</v>
      </c>
      <c r="J968" s="5">
        <f>C968/C967-1</f>
        <v>3.3199013503430574E-2</v>
      </c>
      <c r="K968" s="5">
        <f>D968/D967-1</f>
        <v>-2.9132298246437038E-4</v>
      </c>
      <c r="L968" s="5">
        <f>E968/E967-1</f>
        <v>1.6255344838913999E-2</v>
      </c>
      <c r="M968" s="5">
        <f>F968/F967-1</f>
        <v>6.5017881153230928E-3</v>
      </c>
      <c r="N968" s="5">
        <f>SUMPRODUCT(I968:M968,$AJ$13:$AN$13)</f>
        <v>-4.8372226781607189E-3</v>
      </c>
      <c r="P968" s="2" t="s">
        <v>959</v>
      </c>
      <c r="Q968" s="10" cm="1">
        <f t="array" aca="1" ref="Q968:U968" ca="1">_xlfn.LET(_xlpm.array,_xlfn.RANDARRAY(1,COLUMNS(_xlfn.ANCHORARRAY(Q967)),0,1,FALSE),_xlpm.array/SUM(_xlpm.array))</f>
        <v>0.24669277287084665</v>
      </c>
      <c r="R968" s="2">
        <f ca="1"/>
        <v>0.30414331409309686</v>
      </c>
      <c r="S968" s="2">
        <f ca="1"/>
        <v>0.31017057473179876</v>
      </c>
      <c r="T968" s="2">
        <f ca="1"/>
        <v>0.1353643550690494</v>
      </c>
      <c r="U968" s="2">
        <f ca="1"/>
        <v>3.6289832352082627E-3</v>
      </c>
      <c r="V968" s="12"/>
      <c r="X968" s="2" cm="1">
        <f t="array" aca="1" ref="X968" ca="1">MMULT(MMULT(_xlfn.ANCHORARRAY(Q968),$Q$9:$U$13),TRANSPOSE(_xlfn.ANCHORARRAY(Q968)))</f>
        <v>3.4221472982337727E-4</v>
      </c>
      <c r="Y968" s="2">
        <f t="shared" ca="1" si="34"/>
        <v>1.8499046727422936E-2</v>
      </c>
      <c r="Z968" s="2" cm="1">
        <f t="array" aca="1" ref="Z968" ca="1">MMULT(_xlfn.ANCHORARRAY(Q968),TRANSPOSE($Q$3:$U$3))</f>
        <v>9.9226143892012803E-4</v>
      </c>
      <c r="AA968" s="11">
        <f ca="1">AVEDEV(Q968*$Q$3,R968*$R$3,S968*$S$3,T968*$T$3,U968*$U$3)</f>
        <v>1.3156400085073783E-4</v>
      </c>
      <c r="AB968" s="11" cm="1">
        <f t="array" aca="1" ref="AB968" ca="1">MMULT(_xlfn.ANCHORARRAY(Q968),TRANSPOSE($Q$6:$U$6))</f>
        <v>-2.3496264872375178E-2</v>
      </c>
      <c r="AD968" s="2" t="s">
        <v>959</v>
      </c>
      <c r="AE968" s="10" cm="1">
        <f t="array" aca="1" ref="AE968:AI968" ca="1">_xlfn.LET(_xlpm.array,_xlfn.RANDARRAY(1,COLUMNS(_xlfn.ANCHORARRAY(Q967)),-1,1,FALSE),_xlpm.array/SUM(_xlpm.array))</f>
        <v>0.43751177573195527</v>
      </c>
      <c r="AF968" s="10">
        <f ca="1"/>
        <v>4.6664373345578908E-3</v>
      </c>
      <c r="AG968" s="10">
        <f ca="1"/>
        <v>8.6397548491599988E-2</v>
      </c>
      <c r="AH968" s="10">
        <f ca="1"/>
        <v>0.13136183105771454</v>
      </c>
      <c r="AI968" s="10">
        <f ca="1"/>
        <v>0.34006240738417232</v>
      </c>
      <c r="AJ968" s="1"/>
      <c r="AK968" s="2" cm="1">
        <f t="array" aca="1" ref="AK968" ca="1">MMULT(MMULT(_xlfn.ANCHORARRAY(AE968),$Q$9:$U$13),TRANSPOSE(_xlfn.ANCHORARRAY(AE968)))</f>
        <v>2.686352440990496E-4</v>
      </c>
      <c r="AL968" s="2">
        <f t="shared" ca="1" si="35"/>
        <v>1.6390095914882549E-2</v>
      </c>
      <c r="AM968" s="2" cm="1">
        <f t="array" aca="1" ref="AM968" ca="1">MMULT(_xlfn.ANCHORARRAY(AE969),TRANSPOSE($Q$3:$U$3))</f>
        <v>1.0004111156323421E-3</v>
      </c>
    </row>
    <row r="969" spans="1:39" x14ac:dyDescent="0.35">
      <c r="A969" s="3">
        <v>45233</v>
      </c>
      <c r="B969" s="4">
        <v>26.721824645996001</v>
      </c>
      <c r="C969" s="4">
        <v>132.54437255859301</v>
      </c>
      <c r="D969" s="4">
        <v>66.935554504394503</v>
      </c>
      <c r="E969" s="4">
        <v>26.670085906982401</v>
      </c>
      <c r="F969" s="4">
        <v>346.122955322265</v>
      </c>
      <c r="I969" s="5">
        <f>B969/B968-1</f>
        <v>2.8964424171891823E-2</v>
      </c>
      <c r="J969" s="5">
        <f>C969/C968-1</f>
        <v>-7.7304339988798487E-3</v>
      </c>
      <c r="K969" s="5">
        <f>D969/D968-1</f>
        <v>1.2527191817129024E-2</v>
      </c>
      <c r="L969" s="5">
        <f>E969/E968-1</f>
        <v>-1.8364897426727755E-2</v>
      </c>
      <c r="M969" s="5">
        <f>F969/F968-1</f>
        <v>1.2861617741298792E-2</v>
      </c>
      <c r="N969" s="5">
        <f>SUMPRODUCT(I969:M969,$AJ$13:$AN$13)</f>
        <v>-5.8858155779698195E-3</v>
      </c>
      <c r="P969" s="2" t="s">
        <v>960</v>
      </c>
      <c r="Q969" s="10" cm="1">
        <f t="array" aca="1" ref="Q969:U969" ca="1">_xlfn.LET(_xlpm.array,_xlfn.RANDARRAY(1,COLUMNS(_xlfn.ANCHORARRAY(Q968)),0,1,FALSE),_xlpm.array/SUM(_xlpm.array))</f>
        <v>8.9895928511094972E-2</v>
      </c>
      <c r="R969" s="2">
        <f ca="1"/>
        <v>0.44749801064991762</v>
      </c>
      <c r="S969" s="2">
        <f ca="1"/>
        <v>0.19307400414867443</v>
      </c>
      <c r="T969" s="2">
        <f ca="1"/>
        <v>0.26719317738381321</v>
      </c>
      <c r="U969" s="2">
        <f ca="1"/>
        <v>2.3388793064997582E-3</v>
      </c>
      <c r="V969" s="12"/>
      <c r="X969" s="2" cm="1">
        <f t="array" aca="1" ref="X969" ca="1">MMULT(MMULT(_xlfn.ANCHORARRAY(Q969),$Q$9:$U$13),TRANSPOSE(_xlfn.ANCHORARRAY(Q969)))</f>
        <v>3.5145378084984263E-4</v>
      </c>
      <c r="Y969" s="2">
        <f t="shared" ca="1" si="34"/>
        <v>1.8747100598488359E-2</v>
      </c>
      <c r="Z969" s="2" cm="1">
        <f t="array" aca="1" ref="Z969" ca="1">MMULT(_xlfn.ANCHORARRAY(Q969),TRANSPOSE($Q$3:$U$3))</f>
        <v>9.6078014913373775E-4</v>
      </c>
      <c r="AA969" s="11">
        <f ca="1">AVEDEV(Q969*$Q$3,R969*$R$3,S969*$S$3,T969*$T$3,U969*$U$3)</f>
        <v>1.3473355623171138E-4</v>
      </c>
      <c r="AB969" s="11" cm="1">
        <f t="array" aca="1" ref="AB969" ca="1">MMULT(_xlfn.ANCHORARRAY(Q969),TRANSPOSE($Q$6:$U$6))</f>
        <v>-2.317304624335487E-2</v>
      </c>
      <c r="AD969" s="2" t="s">
        <v>960</v>
      </c>
      <c r="AE969" s="10" cm="1">
        <f t="array" aca="1" ref="AE969:AI969" ca="1">_xlfn.LET(_xlpm.array,_xlfn.RANDARRAY(1,COLUMNS(_xlfn.ANCHORARRAY(Q968)),-1,1,FALSE),_xlpm.array/SUM(_xlpm.array))</f>
        <v>0.31366701979497141</v>
      </c>
      <c r="AF969" s="10">
        <f ca="1"/>
        <v>0.24354111657446254</v>
      </c>
      <c r="AG969" s="10">
        <f ca="1"/>
        <v>0.36533442261232468</v>
      </c>
      <c r="AH969" s="10">
        <f ca="1"/>
        <v>4.1286242524590171E-2</v>
      </c>
      <c r="AI969" s="10">
        <f ca="1"/>
        <v>3.6171198493651149E-2</v>
      </c>
      <c r="AJ969" s="1"/>
      <c r="AK969" s="2" cm="1">
        <f t="array" aca="1" ref="AK969" ca="1">MMULT(MMULT(_xlfn.ANCHORARRAY(AE969),$Q$9:$U$13),TRANSPOSE(_xlfn.ANCHORARRAY(AE969)))</f>
        <v>3.5257926727947709E-4</v>
      </c>
      <c r="AL969" s="2">
        <f t="shared" ca="1" si="35"/>
        <v>1.8777094218208445E-2</v>
      </c>
      <c r="AM969" s="2" cm="1">
        <f t="array" aca="1" ref="AM969" ca="1">MMULT(_xlfn.ANCHORARRAY(AE970),TRANSPOSE($Q$3:$U$3))</f>
        <v>1.8334363955717057E-3</v>
      </c>
    </row>
    <row r="970" spans="1:39" x14ac:dyDescent="0.35">
      <c r="A970" s="3">
        <v>45236</v>
      </c>
      <c r="B970" s="4">
        <v>26.637199401855401</v>
      </c>
      <c r="C970" s="4">
        <v>131.99664306640599</v>
      </c>
      <c r="D970" s="4">
        <v>69.304443359375</v>
      </c>
      <c r="E970" s="4">
        <v>26.7264194488525</v>
      </c>
      <c r="F970" s="4">
        <v>349.78237915039</v>
      </c>
      <c r="I970" s="5">
        <f>B970/B969-1</f>
        <v>-3.1668961705157983E-3</v>
      </c>
      <c r="J970" s="5">
        <f>C970/C969-1</f>
        <v>-4.1324235922945984E-3</v>
      </c>
      <c r="K970" s="5">
        <f>D970/D969-1</f>
        <v>3.5390591331023735E-2</v>
      </c>
      <c r="L970" s="5">
        <f>E970/E969-1</f>
        <v>2.1122369859090107E-3</v>
      </c>
      <c r="M970" s="5">
        <f>F970/F969-1</f>
        <v>1.0572612338634935E-2</v>
      </c>
      <c r="N970" s="5">
        <f>SUMPRODUCT(I970:M970,$AJ$13:$AN$13)</f>
        <v>2.3996900352775075E-2</v>
      </c>
      <c r="P970" s="2" t="s">
        <v>961</v>
      </c>
      <c r="Q970" s="10" cm="1">
        <f t="array" aca="1" ref="Q970:U970" ca="1">_xlfn.LET(_xlpm.array,_xlfn.RANDARRAY(1,COLUMNS(_xlfn.ANCHORARRAY(Q969)),0,1,FALSE),_xlpm.array/SUM(_xlpm.array))</f>
        <v>0.43044669942092206</v>
      </c>
      <c r="R970" s="2">
        <f ca="1"/>
        <v>0.29975115350017761</v>
      </c>
      <c r="S970" s="2">
        <f ca="1"/>
        <v>0.19851522950458939</v>
      </c>
      <c r="T970" s="2">
        <f ca="1"/>
        <v>1.0737754089267413E-2</v>
      </c>
      <c r="U970" s="2">
        <f ca="1"/>
        <v>6.0549163485043536E-2</v>
      </c>
      <c r="V970" s="12"/>
      <c r="X970" s="2" cm="1">
        <f t="array" aca="1" ref="X970" ca="1">MMULT(MMULT(_xlfn.ANCHORARRAY(Q970),$Q$9:$U$13),TRANSPOSE(_xlfn.ANCHORARRAY(Q970)))</f>
        <v>3.2142082451064351E-4</v>
      </c>
      <c r="Y970" s="2">
        <f t="shared" ca="1" si="34"/>
        <v>1.7928213087495461E-2</v>
      </c>
      <c r="Z970" s="2" cm="1">
        <f t="array" aca="1" ref="Z970" ca="1">MMULT(_xlfn.ANCHORARRAY(Q970),TRANSPOSE($Q$3:$U$3))</f>
        <v>8.1733293549997158E-4</v>
      </c>
      <c r="AA970" s="11">
        <f ca="1">AVEDEV(Q970*$Q$3,R970*$R$3,S970*$S$3,T970*$T$3,U970*$U$3)</f>
        <v>1.0786081674191005E-4</v>
      </c>
      <c r="AB970" s="11" cm="1">
        <f t="array" aca="1" ref="AB970" ca="1">MMULT(_xlfn.ANCHORARRAY(Q970),TRANSPOSE($Q$6:$U$6))</f>
        <v>-2.2354655612896721E-2</v>
      </c>
      <c r="AD970" s="2" t="s">
        <v>961</v>
      </c>
      <c r="AE970" s="10" cm="1">
        <f t="array" aca="1" ref="AE970:AI970" ca="1">_xlfn.LET(_xlpm.array,_xlfn.RANDARRAY(1,COLUMNS(_xlfn.ANCHORARRAY(Q969)),-1,1,FALSE),_xlpm.array/SUM(_xlpm.array))</f>
        <v>-0.93196598865128033</v>
      </c>
      <c r="AF970" s="10">
        <f ca="1"/>
        <v>1.3373307792226929</v>
      </c>
      <c r="AG970" s="10">
        <f ca="1"/>
        <v>0.55368694633957294</v>
      </c>
      <c r="AH970" s="10">
        <f ca="1"/>
        <v>1.5579562062787415</v>
      </c>
      <c r="AI970" s="10">
        <f ca="1"/>
        <v>-1.5170079431897272</v>
      </c>
      <c r="AJ970" s="1"/>
      <c r="AK970" s="2" cm="1">
        <f t="array" aca="1" ref="AK970" ca="1">MMULT(MMULT(_xlfn.ANCHORARRAY(AE970),$Q$9:$U$13),TRANSPOSE(_xlfn.ANCHORARRAY(AE970)))</f>
        <v>3.2971278496436497E-3</v>
      </c>
      <c r="AL970" s="2">
        <f t="shared" ca="1" si="35"/>
        <v>5.7420622163501932E-2</v>
      </c>
      <c r="AM970" s="2" cm="1">
        <f t="array" aca="1" ref="AM970" ca="1">MMULT(_xlfn.ANCHORARRAY(AE971),TRANSPOSE($Q$3:$U$3))</f>
        <v>1.0370990529605364E-3</v>
      </c>
    </row>
    <row r="971" spans="1:39" x14ac:dyDescent="0.35">
      <c r="A971" s="3">
        <v>45237</v>
      </c>
      <c r="B971" s="4">
        <v>26.4773559570312</v>
      </c>
      <c r="C971" s="4">
        <v>129.67100524902301</v>
      </c>
      <c r="D971" s="4">
        <v>68.957771301269503</v>
      </c>
      <c r="E971" s="4">
        <v>25.873363494873001</v>
      </c>
      <c r="F971" s="4">
        <v>353.70669555664</v>
      </c>
      <c r="I971" s="5">
        <f>B971/B970-1</f>
        <v>-6.0007601554789014E-3</v>
      </c>
      <c r="J971" s="5">
        <f>C971/C970-1</f>
        <v>-1.7618916385721883E-2</v>
      </c>
      <c r="K971" s="5">
        <f>D971/D970-1</f>
        <v>-5.0021620736183658E-3</v>
      </c>
      <c r="L971" s="5">
        <f>E971/E970-1</f>
        <v>-3.1918078499517222E-2</v>
      </c>
      <c r="M971" s="5">
        <f>F971/F970-1</f>
        <v>1.1219308461970057E-2</v>
      </c>
      <c r="N971" s="5">
        <f>SUMPRODUCT(I971:M971,$AJ$13:$AN$13)</f>
        <v>-1.1457927393818696E-2</v>
      </c>
      <c r="P971" s="2" t="s">
        <v>962</v>
      </c>
      <c r="Q971" s="10" cm="1">
        <f t="array" aca="1" ref="Q971:U971" ca="1">_xlfn.LET(_xlpm.array,_xlfn.RANDARRAY(1,COLUMNS(_xlfn.ANCHORARRAY(Q970)),0,1,FALSE),_xlpm.array/SUM(_xlpm.array))</f>
        <v>2.1124171970877344E-2</v>
      </c>
      <c r="R971" s="2">
        <f ca="1"/>
        <v>0.35794559402577419</v>
      </c>
      <c r="S971" s="2">
        <f ca="1"/>
        <v>0.20477979109279348</v>
      </c>
      <c r="T971" s="2">
        <f ca="1"/>
        <v>6.5695484652805988E-2</v>
      </c>
      <c r="U971" s="2">
        <f ca="1"/>
        <v>0.35045495825774897</v>
      </c>
      <c r="V971" s="12"/>
      <c r="X971" s="2" cm="1">
        <f t="array" aca="1" ref="X971" ca="1">MMULT(MMULT(_xlfn.ANCHORARRAY(Q971),$Q$9:$U$13),TRANSPOSE(_xlfn.ANCHORARRAY(Q971)))</f>
        <v>2.7000119716413448E-4</v>
      </c>
      <c r="Y971" s="2">
        <f t="shared" ca="1" si="34"/>
        <v>1.6431713153659131E-2</v>
      </c>
      <c r="Z971" s="2" cm="1">
        <f t="array" aca="1" ref="Z971" ca="1">MMULT(_xlfn.ANCHORARRAY(Q971),TRANSPOSE($Q$3:$U$3))</f>
        <v>9.3984711556730611E-4</v>
      </c>
      <c r="AA971" s="11">
        <f ca="1">AVEDEV(Q971*$Q$3,R971*$R$3,S971*$S$3,T971*$T$3,U971*$U$3)</f>
        <v>1.1923477312584421E-4</v>
      </c>
      <c r="AB971" s="11" cm="1">
        <f t="array" aca="1" ref="AB971" ca="1">MMULT(_xlfn.ANCHORARRAY(Q971),TRANSPOSE($Q$6:$U$6))</f>
        <v>-2.2097127023622102E-2</v>
      </c>
      <c r="AD971" s="2" t="s">
        <v>962</v>
      </c>
      <c r="AE971" s="10" cm="1">
        <f t="array" aca="1" ref="AE971:AI971" ca="1">_xlfn.LET(_xlpm.array,_xlfn.RANDARRAY(1,COLUMNS(_xlfn.ANCHORARRAY(Q970)),-1,1,FALSE),_xlpm.array/SUM(_xlpm.array))</f>
        <v>0.17954939558520197</v>
      </c>
      <c r="AF971" s="10">
        <f ca="1"/>
        <v>0.1313723642659492</v>
      </c>
      <c r="AG971" s="10">
        <f ca="1"/>
        <v>0.33807729404326914</v>
      </c>
      <c r="AH971" s="10">
        <f ca="1"/>
        <v>0.12621863915071907</v>
      </c>
      <c r="AI971" s="10">
        <f ca="1"/>
        <v>0.22478230695486073</v>
      </c>
      <c r="AJ971" s="1"/>
      <c r="AK971" s="2" cm="1">
        <f t="array" aca="1" ref="AK971" ca="1">MMULT(MMULT(_xlfn.ANCHORARRAY(AE971),$Q$9:$U$13),TRANSPOSE(_xlfn.ANCHORARRAY(AE971)))</f>
        <v>3.0836268965945239E-4</v>
      </c>
      <c r="AL971" s="2">
        <f t="shared" ca="1" si="35"/>
        <v>1.7560258815275256E-2</v>
      </c>
      <c r="AM971" s="2" cm="1">
        <f t="array" aca="1" ref="AM971" ca="1">MMULT(_xlfn.ANCHORARRAY(AE972),TRANSPOSE($Q$3:$U$3))</f>
        <v>1.110976361789182E-3</v>
      </c>
    </row>
    <row r="972" spans="1:39" x14ac:dyDescent="0.35">
      <c r="A972" s="3">
        <v>45238</v>
      </c>
      <c r="B972" s="4">
        <v>26.223491668701101</v>
      </c>
      <c r="C972" s="4">
        <v>127.86613464355401</v>
      </c>
      <c r="D972" s="4">
        <v>69.795570373535099</v>
      </c>
      <c r="E972" s="4">
        <v>25.543407440185501</v>
      </c>
      <c r="F972" s="4">
        <v>356.326171875</v>
      </c>
      <c r="I972" s="5">
        <f>B972/B971-1</f>
        <v>-9.5879773169981197E-3</v>
      </c>
      <c r="J972" s="5">
        <f>C972/C971-1</f>
        <v>-1.3918844864377333E-2</v>
      </c>
      <c r="K972" s="5">
        <f>D972/D971-1</f>
        <v>1.2149451127202671E-2</v>
      </c>
      <c r="L972" s="5">
        <f>E972/E971-1</f>
        <v>-1.27527313854221E-2</v>
      </c>
      <c r="M972" s="5">
        <f>F972/F971-1</f>
        <v>7.405786634142375E-3</v>
      </c>
      <c r="N972" s="5">
        <f>SUMPRODUCT(I972:M972,$AJ$13:$AN$13)</f>
        <v>6.0699392800350775E-3</v>
      </c>
      <c r="P972" s="2" t="s">
        <v>963</v>
      </c>
      <c r="Q972" s="10" cm="1">
        <f t="array" aca="1" ref="Q972:U972" ca="1">_xlfn.LET(_xlpm.array,_xlfn.RANDARRAY(1,COLUMNS(_xlfn.ANCHORARRAY(Q971)),0,1,FALSE),_xlpm.array/SUM(_xlpm.array))</f>
        <v>0.22569484335830847</v>
      </c>
      <c r="R972" s="2">
        <f ca="1"/>
        <v>0.27087879768374556</v>
      </c>
      <c r="S972" s="2">
        <f ca="1"/>
        <v>0.20939093095028627</v>
      </c>
      <c r="T972" s="2">
        <f ca="1"/>
        <v>0.17898341198744561</v>
      </c>
      <c r="U972" s="2">
        <f ca="1"/>
        <v>0.11505201602021416</v>
      </c>
      <c r="V972" s="12"/>
      <c r="X972" s="2" cm="1">
        <f t="array" aca="1" ref="X972" ca="1">MMULT(MMULT(_xlfn.ANCHORARRAY(Q972),$Q$9:$U$13),TRANSPOSE(_xlfn.ANCHORARRAY(Q972)))</f>
        <v>2.9689037901551636E-4</v>
      </c>
      <c r="Y972" s="2">
        <f t="shared" ca="1" si="34"/>
        <v>1.7230507218753497E-2</v>
      </c>
      <c r="Z972" s="2" cm="1">
        <f t="array" aca="1" ref="Z972" ca="1">MMULT(_xlfn.ANCHORARRAY(Q972),TRANSPOSE($Q$3:$U$3))</f>
        <v>9.2341635942533523E-4</v>
      </c>
      <c r="AA972" s="11">
        <f ca="1">AVEDEV(Q972*$Q$3,R972*$R$3,S972*$S$3,T972*$T$3,U972*$U$3)</f>
        <v>6.7396306266986723E-5</v>
      </c>
      <c r="AB972" s="11" cm="1">
        <f t="array" aca="1" ref="AB972" ca="1">MMULT(_xlfn.ANCHORARRAY(Q972),TRANSPOSE($Q$6:$U$6))</f>
        <v>-2.2961527192293663E-2</v>
      </c>
      <c r="AD972" s="2" t="s">
        <v>963</v>
      </c>
      <c r="AE972" s="10" cm="1">
        <f t="array" aca="1" ref="AE972:AI972" ca="1">_xlfn.LET(_xlpm.array,_xlfn.RANDARRAY(1,COLUMNS(_xlfn.ANCHORARRAY(Q971)),-1,1,FALSE),_xlpm.array/SUM(_xlpm.array))</f>
        <v>-8.9026401484085138E-2</v>
      </c>
      <c r="AF972" s="10">
        <f ca="1"/>
        <v>-2.013312936720316</v>
      </c>
      <c r="AG972" s="10">
        <f ca="1"/>
        <v>-0.32240269053446408</v>
      </c>
      <c r="AH972" s="10">
        <f ca="1"/>
        <v>2.0664113797635792</v>
      </c>
      <c r="AI972" s="10">
        <f ca="1"/>
        <v>1.3583306489752862</v>
      </c>
      <c r="AJ972" s="1"/>
      <c r="AK972" s="2" cm="1">
        <f t="array" aca="1" ref="AK972" ca="1">MMULT(MMULT(_xlfn.ANCHORARRAY(AE972),$Q$9:$U$13),TRANSPOSE(_xlfn.ANCHORARRAY(AE972)))</f>
        <v>1.7530722738663658E-3</v>
      </c>
      <c r="AL972" s="2">
        <f t="shared" ca="1" si="35"/>
        <v>4.1869705920466717E-2</v>
      </c>
      <c r="AM972" s="2" cm="1">
        <f t="array" aca="1" ref="AM972" ca="1">MMULT(_xlfn.ANCHORARRAY(AE973),TRANSPOSE($Q$3:$U$3))</f>
        <v>1.0898634777042017E-3</v>
      </c>
    </row>
    <row r="973" spans="1:39" x14ac:dyDescent="0.35">
      <c r="A973" s="3">
        <v>45239</v>
      </c>
      <c r="B973" s="4">
        <v>25.885005950927699</v>
      </c>
      <c r="C973" s="4">
        <v>127.45309448242099</v>
      </c>
      <c r="D973" s="4">
        <v>69.564445495605398</v>
      </c>
      <c r="E973" s="4">
        <v>25.9216499328613</v>
      </c>
      <c r="F973" s="4">
        <v>353.86364746093699</v>
      </c>
      <c r="I973" s="5">
        <f>B973/B972-1</f>
        <v>-1.2907728766623383E-2</v>
      </c>
      <c r="J973" s="5">
        <f>C973/C972-1</f>
        <v>-3.2302545336528876E-3</v>
      </c>
      <c r="K973" s="5">
        <f>D973/D972-1</f>
        <v>-3.3114548200230409E-3</v>
      </c>
      <c r="L973" s="5">
        <f>E973/E972-1</f>
        <v>1.480783225814819E-2</v>
      </c>
      <c r="M973" s="5">
        <f>F973/F972-1</f>
        <v>-6.9108715789949482E-3</v>
      </c>
      <c r="N973" s="5">
        <f>SUMPRODUCT(I973:M973,$AJ$13:$AN$13)</f>
        <v>6.7252389684384541E-3</v>
      </c>
      <c r="P973" s="2" t="s">
        <v>964</v>
      </c>
      <c r="Q973" s="10" cm="1">
        <f t="array" aca="1" ref="Q973:U973" ca="1">_xlfn.LET(_xlpm.array,_xlfn.RANDARRAY(1,COLUMNS(_xlfn.ANCHORARRAY(Q972)),0,1,FALSE),_xlpm.array/SUM(_xlpm.array))</f>
        <v>0.22223707358026701</v>
      </c>
      <c r="R973" s="2">
        <f ca="1"/>
        <v>0.23430300876902596</v>
      </c>
      <c r="S973" s="2">
        <f ca="1"/>
        <v>0.23421826980712993</v>
      </c>
      <c r="T973" s="2">
        <f ca="1"/>
        <v>0.29635696111676624</v>
      </c>
      <c r="U973" s="2">
        <f ca="1"/>
        <v>1.2884686726810901E-2</v>
      </c>
      <c r="V973" s="12"/>
      <c r="X973" s="2" cm="1">
        <f t="array" aca="1" ref="X973" ca="1">MMULT(MMULT(_xlfn.ANCHORARRAY(Q973),$Q$9:$U$13),TRANSPOSE(_xlfn.ANCHORARRAY(Q973)))</f>
        <v>3.3312614758170304E-4</v>
      </c>
      <c r="Y973" s="2">
        <f t="shared" ca="1" si="34"/>
        <v>1.8251743686061972E-2</v>
      </c>
      <c r="Z973" s="2" cm="1">
        <f t="array" aca="1" ref="Z973" ca="1">MMULT(_xlfn.ANCHORARRAY(Q973),TRANSPOSE($Q$3:$U$3))</f>
        <v>9.7703726525018319E-4</v>
      </c>
      <c r="AA973" s="11">
        <f ca="1">AVEDEV(Q973*$Q$3,R973*$R$3,S973*$S$3,T973*$T$3,U973*$U$3)</f>
        <v>1.1692763692603303E-4</v>
      </c>
      <c r="AB973" s="11" cm="1">
        <f t="array" aca="1" ref="AB973" ca="1">MMULT(_xlfn.ANCHORARRAY(Q973),TRANSPOSE($Q$6:$U$6))</f>
        <v>-2.3704422523112532E-2</v>
      </c>
      <c r="AD973" s="2" t="s">
        <v>964</v>
      </c>
      <c r="AE973" s="10" cm="1">
        <f t="array" aca="1" ref="AE973:AI973" ca="1">_xlfn.LET(_xlpm.array,_xlfn.RANDARRAY(1,COLUMNS(_xlfn.ANCHORARRAY(Q972)),-1,1,FALSE),_xlpm.array/SUM(_xlpm.array))</f>
        <v>-5.4630777734979652E-2</v>
      </c>
      <c r="AF973" s="10">
        <f ca="1"/>
        <v>0.31027382911367457</v>
      </c>
      <c r="AG973" s="10">
        <f ca="1"/>
        <v>0.4987281013481174</v>
      </c>
      <c r="AH973" s="10">
        <f ca="1"/>
        <v>-0.41575131874522281</v>
      </c>
      <c r="AI973" s="10">
        <f ca="1"/>
        <v>0.66138016601841054</v>
      </c>
      <c r="AJ973" s="1"/>
      <c r="AK973" s="2" cm="1">
        <f t="array" aca="1" ref="AK973" ca="1">MMULT(MMULT(_xlfn.ANCHORARRAY(AE973),$Q$9:$U$13),TRANSPOSE(_xlfn.ANCHORARRAY(AE973)))</f>
        <v>5.2522454009059001E-4</v>
      </c>
      <c r="AL973" s="2">
        <f t="shared" ca="1" si="35"/>
        <v>2.2917777817462799E-2</v>
      </c>
      <c r="AM973" s="2" cm="1">
        <f t="array" aca="1" ref="AM973" ca="1">MMULT(_xlfn.ANCHORARRAY(AE974),TRANSPOSE($Q$3:$U$3))</f>
        <v>1.1196844381615248E-3</v>
      </c>
    </row>
    <row r="974" spans="1:39" x14ac:dyDescent="0.35">
      <c r="A974" s="3">
        <v>45240</v>
      </c>
      <c r="B974" s="4">
        <v>26.026039123535099</v>
      </c>
      <c r="C974" s="4">
        <v>128.36001586914</v>
      </c>
      <c r="D974" s="4">
        <v>70.777778625488196</v>
      </c>
      <c r="E974" s="4">
        <v>26.605705261230401</v>
      </c>
      <c r="F974" s="4">
        <v>362.67367553710898</v>
      </c>
      <c r="I974" s="5">
        <f>B974/B973-1</f>
        <v>5.4484504610416984E-3</v>
      </c>
      <c r="J974" s="5">
        <f>C974/C973-1</f>
        <v>7.1157266946084707E-3</v>
      </c>
      <c r="K974" s="5">
        <f>D974/D973-1</f>
        <v>1.7441857276925266E-2</v>
      </c>
      <c r="L974" s="5">
        <f>E974/E973-1</f>
        <v>2.6389343662183817E-2</v>
      </c>
      <c r="M974" s="5">
        <f>F974/F973-1</f>
        <v>2.4896674578997358E-2</v>
      </c>
      <c r="N974" s="5">
        <f>SUMPRODUCT(I974:M974,$AJ$13:$AN$13)</f>
        <v>2.7919834753577698E-2</v>
      </c>
      <c r="P974" s="2" t="s">
        <v>965</v>
      </c>
      <c r="Q974" s="10" cm="1">
        <f t="array" aca="1" ref="Q974:U974" ca="1">_xlfn.LET(_xlpm.array,_xlfn.RANDARRAY(1,COLUMNS(_xlfn.ANCHORARRAY(Q973)),0,1,FALSE),_xlpm.array/SUM(_xlpm.array))</f>
        <v>0.17880483799192851</v>
      </c>
      <c r="R974" s="2">
        <f ca="1"/>
        <v>0.24514315117963906</v>
      </c>
      <c r="S974" s="2">
        <f ca="1"/>
        <v>6.1998644888258528E-2</v>
      </c>
      <c r="T974" s="2">
        <f ca="1"/>
        <v>0.23365378319739316</v>
      </c>
      <c r="U974" s="2">
        <f ca="1"/>
        <v>0.28039958274278082</v>
      </c>
      <c r="V974" s="12"/>
      <c r="X974" s="2" cm="1">
        <f t="array" aca="1" ref="X974" ca="1">MMULT(MMULT(_xlfn.ANCHORARRAY(Q974),$Q$9:$U$13),TRANSPOSE(_xlfn.ANCHORARRAY(Q974)))</f>
        <v>2.6144565306414206E-4</v>
      </c>
      <c r="Y974" s="2">
        <f t="shared" ca="1" si="34"/>
        <v>1.6169281154836231E-2</v>
      </c>
      <c r="Z974" s="2" cm="1">
        <f t="array" aca="1" ref="Z974" ca="1">MMULT(_xlfn.ANCHORARRAY(Q974),TRANSPOSE($Q$3:$U$3))</f>
        <v>8.2374523485964797E-4</v>
      </c>
      <c r="AA974" s="11">
        <f ca="1">AVEDEV(Q974*$Q$3,R974*$R$3,S974*$S$3,T974*$T$3,U974*$U$3)</f>
        <v>5.5174143525508533E-5</v>
      </c>
      <c r="AB974" s="11" cm="1">
        <f t="array" aca="1" ref="AB974" ca="1">MMULT(_xlfn.ANCHORARRAY(Q974),TRANSPOSE($Q$6:$U$6))</f>
        <v>-2.2120359679559196E-2</v>
      </c>
      <c r="AD974" s="2" t="s">
        <v>965</v>
      </c>
      <c r="AE974" s="10" cm="1">
        <f t="array" aca="1" ref="AE974:AI974" ca="1">_xlfn.LET(_xlpm.array,_xlfn.RANDARRAY(1,COLUMNS(_xlfn.ANCHORARRAY(Q973)),-1,1,FALSE),_xlpm.array/SUM(_xlpm.array))</f>
        <v>-1.4064437923580702</v>
      </c>
      <c r="AF974" s="10">
        <f ca="1"/>
        <v>1.6387637426737147</v>
      </c>
      <c r="AG974" s="10">
        <f ca="1"/>
        <v>8.1415778044273787E-2</v>
      </c>
      <c r="AH974" s="10">
        <f ca="1"/>
        <v>-7.5151682054431873E-2</v>
      </c>
      <c r="AI974" s="10">
        <f ca="1"/>
        <v>0.76141595369451354</v>
      </c>
      <c r="AJ974" s="1"/>
      <c r="AK974" s="2" cm="1">
        <f t="array" aca="1" ref="AK974" ca="1">MMULT(MMULT(_xlfn.ANCHORARRAY(AE974),$Q$9:$U$13),TRANSPOSE(_xlfn.ANCHORARRAY(AE974)))</f>
        <v>9.9451570247375502E-4</v>
      </c>
      <c r="AL974" s="2">
        <f t="shared" ca="1" si="35"/>
        <v>3.1535943024963674E-2</v>
      </c>
      <c r="AM974" s="2" cm="1">
        <f t="array" aca="1" ref="AM974" ca="1">MMULT(_xlfn.ANCHORARRAY(AE975),TRANSPOSE($Q$3:$U$3))</f>
        <v>7.9635627483442151E-4</v>
      </c>
    </row>
    <row r="975" spans="1:39" x14ac:dyDescent="0.35">
      <c r="A975" s="3">
        <v>45243</v>
      </c>
      <c r="B975" s="4">
        <v>26.044845581054599</v>
      </c>
      <c r="C975" s="4">
        <v>129.30282592773401</v>
      </c>
      <c r="D975" s="4">
        <v>71.037773132324205</v>
      </c>
      <c r="E975" s="4">
        <v>26.9356594085693</v>
      </c>
      <c r="F975" s="4">
        <v>359.74029541015602</v>
      </c>
      <c r="I975" s="5">
        <f>B975/B974-1</f>
        <v>7.2260160027548537E-4</v>
      </c>
      <c r="J975" s="5">
        <f>C975/C974-1</f>
        <v>7.3450447338303526E-3</v>
      </c>
      <c r="K975" s="5">
        <f>D975/D974-1</f>
        <v>3.6733917323363841E-3</v>
      </c>
      <c r="L975" s="5">
        <f>E975/E974-1</f>
        <v>1.2401631307992655E-2</v>
      </c>
      <c r="M975" s="5">
        <f>F975/F974-1</f>
        <v>-8.088208008504405E-3</v>
      </c>
      <c r="N975" s="5">
        <f>SUMPRODUCT(I975:M975,$AJ$13:$AN$13)</f>
        <v>4.5559215929637711E-3</v>
      </c>
      <c r="P975" s="2" t="s">
        <v>966</v>
      </c>
      <c r="Q975" s="10" cm="1">
        <f t="array" aca="1" ref="Q975:U975" ca="1">_xlfn.LET(_xlpm.array,_xlfn.RANDARRAY(1,COLUMNS(_xlfn.ANCHORARRAY(Q974)),0,1,FALSE),_xlpm.array/SUM(_xlpm.array))</f>
        <v>0.12916182997518258</v>
      </c>
      <c r="R975" s="2">
        <f ca="1"/>
        <v>0.24821204560611404</v>
      </c>
      <c r="S975" s="2">
        <f ca="1"/>
        <v>0.23971083982801075</v>
      </c>
      <c r="T975" s="2">
        <f ca="1"/>
        <v>0.23846210706288351</v>
      </c>
      <c r="U975" s="2">
        <f ca="1"/>
        <v>0.14445317752780915</v>
      </c>
      <c r="V975" s="12"/>
      <c r="X975" s="2" cm="1">
        <f t="array" aca="1" ref="X975" ca="1">MMULT(MMULT(_xlfn.ANCHORARRAY(Q975),$Q$9:$U$13),TRANSPOSE(_xlfn.ANCHORARRAY(Q975)))</f>
        <v>2.9924228957274986E-4</v>
      </c>
      <c r="Y975" s="2">
        <f t="shared" ca="1" si="34"/>
        <v>1.7298621030959371E-2</v>
      </c>
      <c r="Z975" s="2" cm="1">
        <f t="array" aca="1" ref="Z975" ca="1">MMULT(_xlfn.ANCHORARRAY(Q975),TRANSPOSE($Q$3:$U$3))</f>
        <v>9.902932698188443E-4</v>
      </c>
      <c r="AA975" s="11">
        <f ca="1">AVEDEV(Q975*$Q$3,R975*$R$3,S975*$S$3,T975*$T$3,U975*$U$3)</f>
        <v>9.4716101594620011E-5</v>
      </c>
      <c r="AB975" s="11" cm="1">
        <f t="array" aca="1" ref="AB975" ca="1">MMULT(_xlfn.ANCHORARRAY(Q975),TRANSPOSE($Q$6:$U$6))</f>
        <v>-2.3320395834155995E-2</v>
      </c>
      <c r="AD975" s="2" t="s">
        <v>966</v>
      </c>
      <c r="AE975" s="10" cm="1">
        <f t="array" aca="1" ref="AE975:AI975" ca="1">_xlfn.LET(_xlpm.array,_xlfn.RANDARRAY(1,COLUMNS(_xlfn.ANCHORARRAY(Q974)),-1,1,FALSE),_xlpm.array/SUM(_xlpm.array))</f>
        <v>0.34369872217937542</v>
      </c>
      <c r="AF975" s="10">
        <f ca="1"/>
        <v>5.1710830286438768E-2</v>
      </c>
      <c r="AG975" s="10">
        <f ca="1"/>
        <v>4.9985748184061228E-2</v>
      </c>
      <c r="AH975" s="10">
        <f ca="1"/>
        <v>0.30589653343252837</v>
      </c>
      <c r="AI975" s="10">
        <f ca="1"/>
        <v>0.24870816591759617</v>
      </c>
      <c r="AJ975" s="1"/>
      <c r="AK975" s="2" cm="1">
        <f t="array" aca="1" ref="AK975" ca="1">MMULT(MMULT(_xlfn.ANCHORARRAY(AE975),$Q$9:$U$13),TRANSPOSE(_xlfn.ANCHORARRAY(AE975)))</f>
        <v>2.7236136261593179E-4</v>
      </c>
      <c r="AL975" s="2">
        <f t="shared" ca="1" si="35"/>
        <v>1.6503374279702068E-2</v>
      </c>
      <c r="AM975" s="2" cm="1">
        <f t="array" aca="1" ref="AM975" ca="1">MMULT(_xlfn.ANCHORARRAY(AE976),TRANSPOSE($Q$3:$U$3))</f>
        <v>1.4269037487832834E-3</v>
      </c>
    </row>
    <row r="976" spans="1:39" x14ac:dyDescent="0.35">
      <c r="A976" s="3">
        <v>45244</v>
      </c>
      <c r="B976" s="4">
        <v>27.4740180969238</v>
      </c>
      <c r="C976" s="4">
        <v>130.24563598632801</v>
      </c>
      <c r="D976" s="4">
        <v>71.153335571289006</v>
      </c>
      <c r="E976" s="4">
        <v>26.985280990600501</v>
      </c>
      <c r="F976" s="4">
        <v>363.26232910156199</v>
      </c>
      <c r="I976" s="5">
        <f>B976/B975-1</f>
        <v>5.4873526180888588E-2</v>
      </c>
      <c r="J976" s="5">
        <f>C976/C975-1</f>
        <v>7.2914884251713552E-3</v>
      </c>
      <c r="K976" s="5">
        <f>D976/D975-1</f>
        <v>1.6267745154332491E-3</v>
      </c>
      <c r="L976" s="5">
        <f>E976/E975-1</f>
        <v>1.842226369086486E-3</v>
      </c>
      <c r="M976" s="5">
        <f>F976/F975-1</f>
        <v>9.7904897959522064E-3</v>
      </c>
      <c r="N976" s="5">
        <f>SUMPRODUCT(I976:M976,$AJ$13:$AN$13)</f>
        <v>-1.1130754360711117E-2</v>
      </c>
      <c r="P976" s="2" t="s">
        <v>967</v>
      </c>
      <c r="Q976" s="10" cm="1">
        <f t="array" aca="1" ref="Q976:U976" ca="1">_xlfn.LET(_xlpm.array,_xlfn.RANDARRAY(1,COLUMNS(_xlfn.ANCHORARRAY(Q975)),0,1,FALSE),_xlpm.array/SUM(_xlpm.array))</f>
        <v>0.34382289007118894</v>
      </c>
      <c r="R976" s="2">
        <f ca="1"/>
        <v>2.8283115141749623E-2</v>
      </c>
      <c r="S976" s="2">
        <f ca="1"/>
        <v>0.15005332639711197</v>
      </c>
      <c r="T976" s="2">
        <f ca="1"/>
        <v>0.16480030978924723</v>
      </c>
      <c r="U976" s="2">
        <f ca="1"/>
        <v>0.31304035860070228</v>
      </c>
      <c r="V976" s="12"/>
      <c r="X976" s="2" cm="1">
        <f t="array" aca="1" ref="X976" ca="1">MMULT(MMULT(_xlfn.ANCHORARRAY(Q976),$Q$9:$U$13),TRANSPOSE(_xlfn.ANCHORARRAY(Q976)))</f>
        <v>2.6545182575335793E-4</v>
      </c>
      <c r="Y976" s="2">
        <f t="shared" ca="1" si="34"/>
        <v>1.6292692403447565E-2</v>
      </c>
      <c r="Z976" s="2" cm="1">
        <f t="array" aca="1" ref="Z976" ca="1">MMULT(_xlfn.ANCHORARRAY(Q976),TRANSPOSE($Q$3:$U$3))</f>
        <v>8.4687977922532352E-4</v>
      </c>
      <c r="AA976" s="11">
        <f ca="1">AVEDEV(Q976*$Q$3,R976*$R$3,S976*$S$3,T976*$T$3,U976*$U$3)</f>
        <v>5.9894263031195118E-5</v>
      </c>
      <c r="AB976" s="11" cm="1">
        <f t="array" aca="1" ref="AB976" ca="1">MMULT(_xlfn.ANCHORARRAY(Q976),TRANSPOSE($Q$6:$U$6))</f>
        <v>-2.2534322916581074E-2</v>
      </c>
      <c r="AD976" s="2" t="s">
        <v>967</v>
      </c>
      <c r="AE976" s="10" cm="1">
        <f t="array" aca="1" ref="AE976:AI976" ca="1">_xlfn.LET(_xlpm.array,_xlfn.RANDARRAY(1,COLUMNS(_xlfn.ANCHORARRAY(Q975)),-1,1,FALSE),_xlpm.array/SUM(_xlpm.array))</f>
        <v>-1.7438277909253628</v>
      </c>
      <c r="AF976" s="10">
        <f ca="1"/>
        <v>1.2565482304130466</v>
      </c>
      <c r="AG976" s="10">
        <f ca="1"/>
        <v>-0.23983738073715655</v>
      </c>
      <c r="AH976" s="10">
        <f ca="1"/>
        <v>1.8075838066537289</v>
      </c>
      <c r="AI976" s="10">
        <f ca="1"/>
        <v>-8.0466865404256072E-2</v>
      </c>
      <c r="AJ976" s="1"/>
      <c r="AK976" s="2" cm="1">
        <f t="array" aca="1" ref="AK976" ca="1">MMULT(MMULT(_xlfn.ANCHORARRAY(AE976),$Q$9:$U$13),TRANSPOSE(_xlfn.ANCHORARRAY(AE976)))</f>
        <v>2.9116824174405006E-3</v>
      </c>
      <c r="AL976" s="2">
        <f t="shared" ca="1" si="35"/>
        <v>5.3960007574503734E-2</v>
      </c>
      <c r="AM976" s="2" cm="1">
        <f t="array" aca="1" ref="AM976" ca="1">MMULT(_xlfn.ANCHORARRAY(AE977),TRANSPOSE($Q$3:$U$3))</f>
        <v>6.6698537825007388E-4</v>
      </c>
    </row>
    <row r="977" spans="1:39" x14ac:dyDescent="0.35">
      <c r="A977" s="3">
        <v>45245</v>
      </c>
      <c r="B977" s="4">
        <v>27.850118637084901</v>
      </c>
      <c r="C977" s="4">
        <v>130.70359802246</v>
      </c>
      <c r="D977" s="4">
        <v>70.238525390625</v>
      </c>
      <c r="E977" s="4">
        <v>26.9770107269287</v>
      </c>
      <c r="F977" s="4">
        <v>363.40982055664</v>
      </c>
      <c r="I977" s="5">
        <f>B977/B976-1</f>
        <v>1.3689316896941639E-2</v>
      </c>
      <c r="J977" s="5">
        <f>C977/C976-1</f>
        <v>3.5161411180031354E-3</v>
      </c>
      <c r="K977" s="5">
        <f>D977/D976-1</f>
        <v>-1.2856883986098633E-2</v>
      </c>
      <c r="L977" s="5">
        <f>E977/E976-1</f>
        <v>-3.0647313528742171E-4</v>
      </c>
      <c r="M977" s="5">
        <f>F977/F976-1</f>
        <v>4.0601913070048568E-4</v>
      </c>
      <c r="N977" s="5">
        <f>SUMPRODUCT(I977:M977,$AJ$13:$AN$13)</f>
        <v>-1.0776127658884036E-2</v>
      </c>
      <c r="P977" s="2" t="s">
        <v>968</v>
      </c>
      <c r="Q977" s="10" cm="1">
        <f t="array" aca="1" ref="Q977:U977" ca="1">_xlfn.LET(_xlpm.array,_xlfn.RANDARRAY(1,COLUMNS(_xlfn.ANCHORARRAY(Q976)),0,1,FALSE),_xlpm.array/SUM(_xlpm.array))</f>
        <v>0.39346599278216637</v>
      </c>
      <c r="R977" s="2">
        <f ca="1"/>
        <v>0.10072315260514242</v>
      </c>
      <c r="S977" s="2">
        <f ca="1"/>
        <v>2.1242889846655295E-2</v>
      </c>
      <c r="T977" s="2">
        <f ca="1"/>
        <v>0.15127618287083849</v>
      </c>
      <c r="U977" s="2">
        <f ca="1"/>
        <v>0.33329178189519743</v>
      </c>
      <c r="V977" s="12"/>
      <c r="X977" s="2" cm="1">
        <f t="array" aca="1" ref="X977" ca="1">MMULT(MMULT(_xlfn.ANCHORARRAY(Q977),$Q$9:$U$13),TRANSPOSE(_xlfn.ANCHORARRAY(Q977)))</f>
        <v>2.6068743499180181E-4</v>
      </c>
      <c r="Y977" s="2">
        <f t="shared" ca="1" si="34"/>
        <v>1.6145817879308619E-2</v>
      </c>
      <c r="Z977" s="2" cm="1">
        <f t="array" aca="1" ref="Z977" ca="1">MMULT(_xlfn.ANCHORARRAY(Q977),TRANSPOSE($Q$3:$U$3))</f>
        <v>7.1749389415096869E-4</v>
      </c>
      <c r="AA977" s="11">
        <f ca="1">AVEDEV(Q977*$Q$3,R977*$R$3,S977*$S$3,T977*$T$3,U977*$U$3)</f>
        <v>7.1578843572182754E-5</v>
      </c>
      <c r="AB977" s="11" cm="1">
        <f t="array" aca="1" ref="AB977" ca="1">MMULT(_xlfn.ANCHORARRAY(Q977),TRANSPOSE($Q$6:$U$6))</f>
        <v>-2.1669233772661271E-2</v>
      </c>
      <c r="AD977" s="2" t="s">
        <v>968</v>
      </c>
      <c r="AE977" s="10" cm="1">
        <f t="array" aca="1" ref="AE977:AI977" ca="1">_xlfn.LET(_xlpm.array,_xlfn.RANDARRAY(1,COLUMNS(_xlfn.ANCHORARRAY(Q976)),-1,1,FALSE),_xlpm.array/SUM(_xlpm.array))</f>
        <v>0.40527954453195453</v>
      </c>
      <c r="AF977" s="10">
        <f ca="1"/>
        <v>0.1512500100303471</v>
      </c>
      <c r="AG977" s="10">
        <f ca="1"/>
        <v>-0.12824055961729394</v>
      </c>
      <c r="AH977" s="10">
        <f ca="1"/>
        <v>0.47336331123319358</v>
      </c>
      <c r="AI977" s="10">
        <f ca="1"/>
        <v>9.834769382179874E-2</v>
      </c>
      <c r="AJ977" s="1"/>
      <c r="AK977" s="2" cm="1">
        <f t="array" aca="1" ref="AK977" ca="1">MMULT(MMULT(_xlfn.ANCHORARRAY(AE977),$Q$9:$U$13),TRANSPOSE(_xlfn.ANCHORARRAY(AE977)))</f>
        <v>3.7360436943024202E-4</v>
      </c>
      <c r="AL977" s="2">
        <f t="shared" ca="1" si="35"/>
        <v>1.9328848114418044E-2</v>
      </c>
      <c r="AM977" s="2" cm="1">
        <f t="array" aca="1" ref="AM977" ca="1">MMULT(_xlfn.ANCHORARRAY(AE978),TRANSPOSE($Q$3:$U$3))</f>
        <v>5.582192014478586E-4</v>
      </c>
    </row>
    <row r="978" spans="1:39" x14ac:dyDescent="0.35">
      <c r="A978" s="3">
        <v>45246</v>
      </c>
      <c r="B978" s="4">
        <v>27.7749004364013</v>
      </c>
      <c r="C978" s="4">
        <v>128.63487243652301</v>
      </c>
      <c r="D978" s="4">
        <v>69.853332519531193</v>
      </c>
      <c r="E978" s="4">
        <v>26.1251907348632</v>
      </c>
      <c r="F978" s="4">
        <v>369.79968261718699</v>
      </c>
      <c r="I978" s="5">
        <f>B978/B977-1</f>
        <v>-2.7008215535370139E-3</v>
      </c>
      <c r="J978" s="5">
        <f>C978/C977-1</f>
        <v>-1.5827610082941201E-2</v>
      </c>
      <c r="K978" s="5">
        <f>D978/D977-1</f>
        <v>-5.484068307977652E-3</v>
      </c>
      <c r="L978" s="5">
        <f>E978/E977-1</f>
        <v>-3.1575773931661222E-2</v>
      </c>
      <c r="M978" s="5">
        <f>F978/F977-1</f>
        <v>1.7583074807278276E-2</v>
      </c>
      <c r="N978" s="5">
        <f>SUMPRODUCT(I978:M978,$AJ$13:$AN$13)</f>
        <v>-1.0436180839490699E-2</v>
      </c>
      <c r="P978" s="2" t="s">
        <v>969</v>
      </c>
      <c r="Q978" s="10" cm="1">
        <f t="array" aca="1" ref="Q978:U978" ca="1">_xlfn.LET(_xlpm.array,_xlfn.RANDARRAY(1,COLUMNS(_xlfn.ANCHORARRAY(Q977)),0,1,FALSE),_xlpm.array/SUM(_xlpm.array))</f>
        <v>0.41964879622114748</v>
      </c>
      <c r="R978" s="2">
        <f ca="1"/>
        <v>0.14510325751555617</v>
      </c>
      <c r="S978" s="2">
        <f ca="1"/>
        <v>0.36451646982113939</v>
      </c>
      <c r="T978" s="2">
        <f ca="1"/>
        <v>2.2232222626412942E-2</v>
      </c>
      <c r="U978" s="2">
        <f ca="1"/>
        <v>4.8499253815744034E-2</v>
      </c>
      <c r="V978" s="12"/>
      <c r="X978" s="2" cm="1">
        <f t="array" aca="1" ref="X978" ca="1">MMULT(MMULT(_xlfn.ANCHORARRAY(Q978),$Q$9:$U$13),TRANSPOSE(_xlfn.ANCHORARRAY(Q978)))</f>
        <v>3.6016027504044826E-4</v>
      </c>
      <c r="Y978" s="2">
        <f t="shared" ca="1" si="34"/>
        <v>1.8977889109183039E-2</v>
      </c>
      <c r="Z978" s="2" cm="1">
        <f t="array" aca="1" ref="Z978" ca="1">MMULT(_xlfn.ANCHORARRAY(Q978),TRANSPOSE($Q$3:$U$3))</f>
        <v>9.7102767831827022E-4</v>
      </c>
      <c r="AA978" s="11">
        <f ca="1">AVEDEV(Q978*$Q$3,R978*$R$3,S978*$S$3,T978*$T$3,U978*$U$3)</f>
        <v>1.6673955333204767E-4</v>
      </c>
      <c r="AB978" s="11" cm="1">
        <f t="array" aca="1" ref="AB978" ca="1">MMULT(_xlfn.ANCHORARRAY(Q978),TRANSPOSE($Q$6:$U$6))</f>
        <v>-2.3489530615573455E-2</v>
      </c>
      <c r="AD978" s="2" t="s">
        <v>969</v>
      </c>
      <c r="AE978" s="10" cm="1">
        <f t="array" aca="1" ref="AE978:AI978" ca="1">_xlfn.LET(_xlpm.array,_xlfn.RANDARRAY(1,COLUMNS(_xlfn.ANCHORARRAY(Q977)),-1,1,FALSE),_xlpm.array/SUM(_xlpm.array))</f>
        <v>0.56126978079823053</v>
      </c>
      <c r="AF978" s="10">
        <f ca="1"/>
        <v>0.57455291880046122</v>
      </c>
      <c r="AG978" s="10">
        <f ca="1"/>
        <v>-8.8085865096817526E-2</v>
      </c>
      <c r="AH978" s="10">
        <f ca="1"/>
        <v>0.12836015312019555</v>
      </c>
      <c r="AI978" s="10">
        <f ca="1"/>
        <v>-0.17609698762206985</v>
      </c>
      <c r="AJ978" s="1"/>
      <c r="AK978" s="2" cm="1">
        <f t="array" aca="1" ref="AK978" ca="1">MMULT(MMULT(_xlfn.ANCHORARRAY(AE978),$Q$9:$U$13),TRANSPOSE(_xlfn.ANCHORARRAY(AE978)))</f>
        <v>4.8275831087071254E-4</v>
      </c>
      <c r="AL978" s="2">
        <f t="shared" ca="1" si="35"/>
        <v>2.1971761669713982E-2</v>
      </c>
      <c r="AM978" s="2" cm="1">
        <f t="array" aca="1" ref="AM978" ca="1">MMULT(_xlfn.ANCHORARRAY(AE979),TRANSPOSE($Q$3:$U$3))</f>
        <v>1.1553076872839341E-3</v>
      </c>
    </row>
    <row r="979" spans="1:39" x14ac:dyDescent="0.35">
      <c r="A979" s="3">
        <v>45247</v>
      </c>
      <c r="B979" s="4">
        <v>28.188610076904201</v>
      </c>
      <c r="C979" s="4">
        <v>131.07563781738199</v>
      </c>
      <c r="D979" s="4">
        <v>70.874076843261705</v>
      </c>
      <c r="E979" s="4">
        <v>26.803337097167901</v>
      </c>
      <c r="F979" s="4">
        <v>363.58670043945301</v>
      </c>
      <c r="I979" s="5">
        <f>B979/B978-1</f>
        <v>1.4895089955415219E-2</v>
      </c>
      <c r="J979" s="5">
        <f>C979/C978-1</f>
        <v>1.8974367794887037E-2</v>
      </c>
      <c r="K979" s="5">
        <f>D979/D978-1</f>
        <v>1.4612678979132543E-2</v>
      </c>
      <c r="L979" s="5">
        <f>E979/E978-1</f>
        <v>2.5957565982465347E-2</v>
      </c>
      <c r="M979" s="5">
        <f>F979/F978-1</f>
        <v>-1.6800939724346931E-2</v>
      </c>
      <c r="N979" s="5">
        <f>SUMPRODUCT(I979:M979,$AJ$13:$AN$13)</f>
        <v>9.1954852182709948E-3</v>
      </c>
      <c r="P979" s="2" t="s">
        <v>970</v>
      </c>
      <c r="Q979" s="10" cm="1">
        <f t="array" aca="1" ref="Q979:U979" ca="1">_xlfn.LET(_xlpm.array,_xlfn.RANDARRAY(1,COLUMNS(_xlfn.ANCHORARRAY(Q978)),0,1,FALSE),_xlpm.array/SUM(_xlpm.array))</f>
        <v>6.3144964711946222E-2</v>
      </c>
      <c r="R979" s="2">
        <f ca="1"/>
        <v>6.277680442974754E-3</v>
      </c>
      <c r="S979" s="2">
        <f ca="1"/>
        <v>0.37320633514454638</v>
      </c>
      <c r="T979" s="2">
        <f ca="1"/>
        <v>0.1824087126699166</v>
      </c>
      <c r="U979" s="2">
        <f ca="1"/>
        <v>0.374962307030616</v>
      </c>
      <c r="V979" s="12"/>
      <c r="X979" s="2" cm="1">
        <f t="array" aca="1" ref="X979" ca="1">MMULT(MMULT(_xlfn.ANCHORARRAY(Q979),$Q$9:$U$13),TRANSPOSE(_xlfn.ANCHORARRAY(Q979)))</f>
        <v>3.2216149627917846E-4</v>
      </c>
      <c r="Y979" s="2">
        <f t="shared" ca="1" si="34"/>
        <v>1.7948857798734116E-2</v>
      </c>
      <c r="Z979" s="2" cm="1">
        <f t="array" aca="1" ref="Z979" ca="1">MMULT(_xlfn.ANCHORARRAY(Q979),TRANSPOSE($Q$3:$U$3))</f>
        <v>1.1159079926400853E-3</v>
      </c>
      <c r="AA979" s="11">
        <f ca="1">AVEDEV(Q979*$Q$3,R979*$R$3,S979*$S$3,T979*$T$3,U979*$U$3)</f>
        <v>1.7860621275103266E-4</v>
      </c>
      <c r="AB979" s="11" cm="1">
        <f t="array" aca="1" ref="AB979" ca="1">MMULT(_xlfn.ANCHORARRAY(Q979),TRANSPOSE($Q$6:$U$6))</f>
        <v>-2.3764327793761354E-2</v>
      </c>
      <c r="AD979" s="2" t="s">
        <v>970</v>
      </c>
      <c r="AE979" s="10" cm="1">
        <f t="array" aca="1" ref="AE979:AI979" ca="1">_xlfn.LET(_xlpm.array,_xlfn.RANDARRAY(1,COLUMNS(_xlfn.ANCHORARRAY(Q978)),-1,1,FALSE),_xlpm.array/SUM(_xlpm.array))</f>
        <v>0.38394102577181666</v>
      </c>
      <c r="AF979" s="10">
        <f ca="1"/>
        <v>0.26601912076240508</v>
      </c>
      <c r="AG979" s="10">
        <f ca="1"/>
        <v>0.45739642090970117</v>
      </c>
      <c r="AH979" s="10">
        <f ca="1"/>
        <v>0.40976840361953498</v>
      </c>
      <c r="AI979" s="10">
        <f ca="1"/>
        <v>-0.51712497106345778</v>
      </c>
      <c r="AJ979" s="1"/>
      <c r="AK979" s="2" cm="1">
        <f t="array" aca="1" ref="AK979" ca="1">MMULT(MMULT(_xlfn.ANCHORARRAY(AE979),$Q$9:$U$13),TRANSPOSE(_xlfn.ANCHORARRAY(AE979)))</f>
        <v>6.3147295296272772E-4</v>
      </c>
      <c r="AL979" s="2">
        <f t="shared" ca="1" si="35"/>
        <v>2.5129125590890099E-2</v>
      </c>
      <c r="AM979" s="2" cm="1">
        <f t="array" aca="1" ref="AM979" ca="1">MMULT(_xlfn.ANCHORARRAY(AE980),TRANSPOSE($Q$3:$U$3))</f>
        <v>-7.1918625039029266E-2</v>
      </c>
    </row>
    <row r="980" spans="1:39" x14ac:dyDescent="0.35">
      <c r="A980" s="3">
        <v>45250</v>
      </c>
      <c r="B980" s="4">
        <v>28.2168159484863</v>
      </c>
      <c r="C980" s="4">
        <v>131.00305175781199</v>
      </c>
      <c r="D980" s="4">
        <v>70.642967224121094</v>
      </c>
      <c r="E980" s="4">
        <v>27.192033767700099</v>
      </c>
      <c r="F980" s="4">
        <v>371.04821777343699</v>
      </c>
      <c r="I980" s="5">
        <f>B980/B979-1</f>
        <v>1.000612357443309E-3</v>
      </c>
      <c r="J980" s="5">
        <f>C980/C979-1</f>
        <v>-5.5377231634090585E-4</v>
      </c>
      <c r="K980" s="5">
        <f>D980/D979-1</f>
        <v>-3.2608483868045157E-3</v>
      </c>
      <c r="L980" s="5">
        <f>E980/E979-1</f>
        <v>1.4501801366116673E-2</v>
      </c>
      <c r="M980" s="5">
        <f>F980/F979-1</f>
        <v>2.0521975432449935E-2</v>
      </c>
      <c r="N980" s="5">
        <f>SUMPRODUCT(I980:M980,$AJ$13:$AN$13)</f>
        <v>1.1662261210571088E-2</v>
      </c>
      <c r="P980" s="2" t="s">
        <v>971</v>
      </c>
      <c r="Q980" s="10" cm="1">
        <f t="array" aca="1" ref="Q980:U980" ca="1">_xlfn.LET(_xlpm.array,_xlfn.RANDARRAY(1,COLUMNS(_xlfn.ANCHORARRAY(Q979)),0,1,FALSE),_xlpm.array/SUM(_xlpm.array))</f>
        <v>0.39759745378624561</v>
      </c>
      <c r="R980" s="2">
        <f ca="1"/>
        <v>0.31040932613452932</v>
      </c>
      <c r="S980" s="2">
        <f ca="1"/>
        <v>0.11996150373842865</v>
      </c>
      <c r="T980" s="2">
        <f ca="1"/>
        <v>3.8588920451591957E-2</v>
      </c>
      <c r="U980" s="2">
        <f ca="1"/>
        <v>0.13344279588920435</v>
      </c>
      <c r="V980" s="12"/>
      <c r="X980" s="2" cm="1">
        <f t="array" aca="1" ref="X980" ca="1">MMULT(MMULT(_xlfn.ANCHORARRAY(Q980),$Q$9:$U$13),TRANSPOSE(_xlfn.ANCHORARRAY(Q980)))</f>
        <v>2.9560244780758589E-4</v>
      </c>
      <c r="Y980" s="2">
        <f t="shared" ca="1" si="34"/>
        <v>1.7193093026200548E-2</v>
      </c>
      <c r="Z980" s="2" cm="1">
        <f t="array" aca="1" ref="Z980" ca="1">MMULT(_xlfn.ANCHORARRAY(Q980),TRANSPOSE($Q$3:$U$3))</f>
        <v>7.6505533375935788E-4</v>
      </c>
      <c r="AA980" s="11">
        <f ca="1">AVEDEV(Q980*$Q$3,R980*$R$3,S980*$S$3,T980*$T$3,U980*$U$3)</f>
        <v>6.5813919820920835E-5</v>
      </c>
      <c r="AB980" s="11" cm="1">
        <f t="array" aca="1" ref="AB980" ca="1">MMULT(_xlfn.ANCHORARRAY(Q980),TRANSPOSE($Q$6:$U$6))</f>
        <v>-2.1899695869761138E-2</v>
      </c>
      <c r="AD980" s="2" t="s">
        <v>971</v>
      </c>
      <c r="AE980" s="10" cm="1">
        <f t="array" aca="1" ref="AE980:AI980" ca="1">_xlfn.LET(_xlpm.array,_xlfn.RANDARRAY(1,COLUMNS(_xlfn.ANCHORARRAY(Q979)),-1,1,FALSE),_xlpm.array/SUM(_xlpm.array))</f>
        <v>36.981993568100215</v>
      </c>
      <c r="AF980" s="10">
        <f ca="1"/>
        <v>93.869271155417721</v>
      </c>
      <c r="AG980" s="10">
        <f ca="1"/>
        <v>-45.912054777431308</v>
      </c>
      <c r="AH980" s="10">
        <f ca="1"/>
        <v>-79.836773523291313</v>
      </c>
      <c r="AI980" s="10">
        <f ca="1"/>
        <v>-4.1024364227953134</v>
      </c>
      <c r="AJ980" s="1"/>
      <c r="AK980" s="2" cm="1">
        <f t="array" aca="1" ref="AK980" ca="1">MMULT(MMULT(_xlfn.ANCHORARRAY(AE980),$Q$9:$U$13),TRANSPOSE(_xlfn.ANCHORARRAY(AE980)))</f>
        <v>4.0621105244452638</v>
      </c>
      <c r="AL980" s="2">
        <f t="shared" ca="1" si="35"/>
        <v>2.0154678177647152</v>
      </c>
      <c r="AM980" s="2" cm="1">
        <f t="array" aca="1" ref="AM980" ca="1">MMULT(_xlfn.ANCHORARRAY(AE981),TRANSPOSE($Q$3:$U$3))</f>
        <v>5.0553127346359219E-4</v>
      </c>
    </row>
    <row r="981" spans="1:39" x14ac:dyDescent="0.35">
      <c r="A981" s="3">
        <v>45251</v>
      </c>
      <c r="B981" s="4">
        <v>27.887729644775298</v>
      </c>
      <c r="C981" s="4">
        <v>130.69453430175699</v>
      </c>
      <c r="D981" s="4">
        <v>70.893333435058594</v>
      </c>
      <c r="E981" s="4">
        <v>26.952199935913001</v>
      </c>
      <c r="F981" s="4">
        <v>366.752197265625</v>
      </c>
      <c r="I981" s="5">
        <f>B981/B980-1</f>
        <v>-1.1662772451427328E-2</v>
      </c>
      <c r="J981" s="5">
        <f>C981/C980-1</f>
        <v>-2.3550402216993005E-3</v>
      </c>
      <c r="K981" s="5">
        <f>D981/D980-1</f>
        <v>3.5441066644779085E-3</v>
      </c>
      <c r="L981" s="5">
        <f>E981/E980-1</f>
        <v>-8.8200034552761153E-3</v>
      </c>
      <c r="M981" s="5">
        <f>F981/F980-1</f>
        <v>-1.157806533498873E-2</v>
      </c>
      <c r="N981" s="5">
        <f>SUMPRODUCT(I981:M981,$AJ$13:$AN$13)</f>
        <v>-2.6933059517738086E-3</v>
      </c>
      <c r="P981" s="2" t="s">
        <v>972</v>
      </c>
      <c r="Q981" s="10" cm="1">
        <f t="array" aca="1" ref="Q981:U981" ca="1">_xlfn.LET(_xlpm.array,_xlfn.RANDARRAY(1,COLUMNS(_xlfn.ANCHORARRAY(Q980)),0,1,FALSE),_xlpm.array/SUM(_xlpm.array))</f>
        <v>5.6918414756248627E-2</v>
      </c>
      <c r="R981" s="2">
        <f ca="1"/>
        <v>0.247240247564461</v>
      </c>
      <c r="S981" s="2">
        <f ca="1"/>
        <v>0.26142944447677446</v>
      </c>
      <c r="T981" s="2">
        <f ca="1"/>
        <v>0.18183295370563141</v>
      </c>
      <c r="U981" s="2">
        <f ca="1"/>
        <v>0.25257893949688448</v>
      </c>
      <c r="V981" s="12"/>
      <c r="X981" s="2" cm="1">
        <f t="array" aca="1" ref="X981" ca="1">MMULT(MMULT(_xlfn.ANCHORARRAY(Q981),$Q$9:$U$13),TRANSPOSE(_xlfn.ANCHORARRAY(Q981)))</f>
        <v>2.865370465215677E-4</v>
      </c>
      <c r="Y981" s="2">
        <f t="shared" ca="1" si="34"/>
        <v>1.6927405191628386E-2</v>
      </c>
      <c r="Z981" s="2" cm="1">
        <f t="array" aca="1" ref="Z981" ca="1">MMULT(_xlfn.ANCHORARRAY(Q981),TRANSPOSE($Q$3:$U$3))</f>
        <v>1.012984299915008E-3</v>
      </c>
      <c r="AA981" s="11">
        <f ca="1">AVEDEV(Q981*$Q$3,R981*$R$3,S981*$S$3,T981*$T$3,U981*$U$3)</f>
        <v>8.8785903990904049E-5</v>
      </c>
      <c r="AB981" s="11" cm="1">
        <f t="array" aca="1" ref="AB981" ca="1">MMULT(_xlfn.ANCHORARRAY(Q981),TRANSPOSE($Q$6:$U$6))</f>
        <v>-2.3080502360744173E-2</v>
      </c>
      <c r="AD981" s="2" t="s">
        <v>972</v>
      </c>
      <c r="AE981" s="10" cm="1">
        <f t="array" aca="1" ref="AE981:AI981" ca="1">_xlfn.LET(_xlpm.array,_xlfn.RANDARRAY(1,COLUMNS(_xlfn.ANCHORARRAY(Q980)),-1,1,FALSE),_xlpm.array/SUM(_xlpm.array))</f>
        <v>-0.6814194797457358</v>
      </c>
      <c r="AF981" s="10">
        <f ca="1"/>
        <v>0.80630696845419036</v>
      </c>
      <c r="AG981" s="10">
        <f ca="1"/>
        <v>-0.73321914170039337</v>
      </c>
      <c r="AH981" s="10">
        <f ca="1"/>
        <v>0.87112594642207641</v>
      </c>
      <c r="AI981" s="10">
        <f ca="1"/>
        <v>0.73720570656986228</v>
      </c>
      <c r="AJ981" s="1"/>
      <c r="AK981" s="2" cm="1">
        <f t="array" aca="1" ref="AK981" ca="1">MMULT(MMULT(_xlfn.ANCHORARRAY(AE981),$Q$9:$U$13),TRANSPOSE(_xlfn.ANCHORARRAY(AE981)))</f>
        <v>1.1267129923419712E-3</v>
      </c>
      <c r="AL981" s="2">
        <f t="shared" ca="1" si="35"/>
        <v>3.3566545731456655E-2</v>
      </c>
      <c r="AM981" s="2" cm="1">
        <f t="array" aca="1" ref="AM981" ca="1">MMULT(_xlfn.ANCHORARRAY(AE982),TRANSPOSE($Q$3:$U$3))</f>
        <v>5.9779599180134952E-4</v>
      </c>
    </row>
    <row r="982" spans="1:39" x14ac:dyDescent="0.35">
      <c r="A982" s="3">
        <v>45252</v>
      </c>
      <c r="B982" s="4">
        <v>27.859519958496001</v>
      </c>
      <c r="C982" s="4">
        <v>130.95767211914</v>
      </c>
      <c r="D982" s="4">
        <v>71.914070129394503</v>
      </c>
      <c r="E982" s="4">
        <v>26.6296672821044</v>
      </c>
      <c r="F982" s="4">
        <v>371.45129394531199</v>
      </c>
      <c r="I982" s="5">
        <f>B982/B981-1</f>
        <v>-1.0115447416703116E-3</v>
      </c>
      <c r="J982" s="5">
        <f>C982/C981-1</f>
        <v>2.0133804277955303E-3</v>
      </c>
      <c r="K982" s="5">
        <f>D982/D981-1</f>
        <v>1.439820424399918E-2</v>
      </c>
      <c r="L982" s="5">
        <f>E982/E981-1</f>
        <v>-1.1966839611442515E-2</v>
      </c>
      <c r="M982" s="5">
        <f>F982/F981-1</f>
        <v>1.2812729452534422E-2</v>
      </c>
      <c r="N982" s="5">
        <f>SUMPRODUCT(I982:M982,$AJ$13:$AN$13)</f>
        <v>6.4117981569292845E-3</v>
      </c>
      <c r="P982" s="2" t="s">
        <v>973</v>
      </c>
      <c r="Q982" s="10" cm="1">
        <f t="array" aca="1" ref="Q982:U982" ca="1">_xlfn.LET(_xlpm.array,_xlfn.RANDARRAY(1,COLUMNS(_xlfn.ANCHORARRAY(Q981)),0,1,FALSE),_xlpm.array/SUM(_xlpm.array))</f>
        <v>0.33141226996808437</v>
      </c>
      <c r="R982" s="2">
        <f ca="1"/>
        <v>0.4083746573646781</v>
      </c>
      <c r="S982" s="2">
        <f ca="1"/>
        <v>0.10236315547073095</v>
      </c>
      <c r="T982" s="2">
        <f ca="1"/>
        <v>8.4177495347108038E-3</v>
      </c>
      <c r="U982" s="2">
        <f ca="1"/>
        <v>0.14943216766179565</v>
      </c>
      <c r="V982" s="12"/>
      <c r="X982" s="2" cm="1">
        <f t="array" aca="1" ref="X982" ca="1">MMULT(MMULT(_xlfn.ANCHORARRAY(Q982),$Q$9:$U$13),TRANSPOSE(_xlfn.ANCHORARRAY(Q982)))</f>
        <v>2.933564642367146E-4</v>
      </c>
      <c r="Y982" s="2">
        <f t="shared" ca="1" si="34"/>
        <v>1.7127652035136474E-2</v>
      </c>
      <c r="Z982" s="2" cm="1">
        <f t="array" aca="1" ref="Z982" ca="1">MMULT(_xlfn.ANCHORARRAY(Q982),TRANSPOSE($Q$3:$U$3))</f>
        <v>7.5578148870252644E-4</v>
      </c>
      <c r="AA982" s="11">
        <f ca="1">AVEDEV(Q982*$Q$3,R982*$R$3,S982*$S$3,T982*$T$3,U982*$U$3)</f>
        <v>7.1767645772408562E-5</v>
      </c>
      <c r="AB982" s="11" cm="1">
        <f t="array" aca="1" ref="AB982" ca="1">MMULT(_xlfn.ANCHORARRAY(Q982),TRANSPOSE($Q$6:$U$6))</f>
        <v>-2.157233782775201E-2</v>
      </c>
      <c r="AD982" s="2" t="s">
        <v>973</v>
      </c>
      <c r="AE982" s="10" cm="1">
        <f t="array" aca="1" ref="AE982:AI982" ca="1">_xlfn.LET(_xlpm.array,_xlfn.RANDARRAY(1,COLUMNS(_xlfn.ANCHORARRAY(Q981)),-1,1,FALSE),_xlpm.array/SUM(_xlpm.array))</f>
        <v>2.8244599284885108E-4</v>
      </c>
      <c r="AF982" s="10">
        <f ca="1"/>
        <v>0.69105626699412093</v>
      </c>
      <c r="AG982" s="10">
        <f ca="1"/>
        <v>-0.10344718022865444</v>
      </c>
      <c r="AH982" s="10">
        <f ca="1"/>
        <v>-0.2110436487016481</v>
      </c>
      <c r="AI982" s="10">
        <f ca="1"/>
        <v>0.62315211594333275</v>
      </c>
      <c r="AJ982" s="1"/>
      <c r="AK982" s="2" cm="1">
        <f t="array" aca="1" ref="AK982" ca="1">MMULT(MMULT(_xlfn.ANCHORARRAY(AE982),$Q$9:$U$13),TRANSPOSE(_xlfn.ANCHORARRAY(AE982)))</f>
        <v>3.0720552873484742E-4</v>
      </c>
      <c r="AL982" s="2">
        <f t="shared" ca="1" si="35"/>
        <v>1.7527279558871862E-2</v>
      </c>
      <c r="AM982" s="2" cm="1">
        <f t="array" aca="1" ref="AM982" ca="1">MMULT(_xlfn.ANCHORARRAY(AE983),TRANSPOSE($Q$3:$U$3))</f>
        <v>7.283726490473093E-4</v>
      </c>
    </row>
    <row r="983" spans="1:39" x14ac:dyDescent="0.35">
      <c r="A983" s="3">
        <v>45254</v>
      </c>
      <c r="B983" s="4">
        <v>27.953544616699201</v>
      </c>
      <c r="C983" s="4">
        <v>131.474853515625</v>
      </c>
      <c r="D983" s="4">
        <v>71.654083251953097</v>
      </c>
      <c r="E983" s="4">
        <v>27.216840744018501</v>
      </c>
      <c r="F983" s="4">
        <v>371.038330078125</v>
      </c>
      <c r="I983" s="5">
        <f>B983/B982-1</f>
        <v>3.3749561493978675E-3</v>
      </c>
      <c r="J983" s="5">
        <f>C983/C982-1</f>
        <v>3.9492256399800141E-3</v>
      </c>
      <c r="K983" s="5">
        <f>D983/D982-1</f>
        <v>-3.6152435395968574E-3</v>
      </c>
      <c r="L983" s="5">
        <f>E983/E982-1</f>
        <v>2.2049598130303716E-2</v>
      </c>
      <c r="M983" s="5">
        <f>F983/F982-1</f>
        <v>-1.1117577833711367E-3</v>
      </c>
      <c r="N983" s="5">
        <f>SUMPRODUCT(I983:M983,$AJ$13:$AN$13)</f>
        <v>6.9436153888127209E-3</v>
      </c>
      <c r="P983" s="2" t="s">
        <v>974</v>
      </c>
      <c r="Q983" s="10" cm="1">
        <f t="array" aca="1" ref="Q983:U983" ca="1">_xlfn.LET(_xlpm.array,_xlfn.RANDARRAY(1,COLUMNS(_xlfn.ANCHORARRAY(Q982)),0,1,FALSE),_xlpm.array/SUM(_xlpm.array))</f>
        <v>0.22081313425748672</v>
      </c>
      <c r="R983" s="2">
        <f ca="1"/>
        <v>0.33488683533760877</v>
      </c>
      <c r="S983" s="2">
        <f ca="1"/>
        <v>0.16418328203309018</v>
      </c>
      <c r="T983" s="2">
        <f ca="1"/>
        <v>7.4526201886745665E-4</v>
      </c>
      <c r="U983" s="2">
        <f ca="1"/>
        <v>0.27937148635294679</v>
      </c>
      <c r="V983" s="12"/>
      <c r="X983" s="2" cm="1">
        <f t="array" aca="1" ref="X983" ca="1">MMULT(MMULT(_xlfn.ANCHORARRAY(Q983),$Q$9:$U$13),TRANSPOSE(_xlfn.ANCHORARRAY(Q983)))</f>
        <v>2.6895171688603667E-4</v>
      </c>
      <c r="Y983" s="2">
        <f t="shared" ca="1" si="34"/>
        <v>1.6399747464093364E-2</v>
      </c>
      <c r="Z983" s="2" cm="1">
        <f t="array" aca="1" ref="Z983" ca="1">MMULT(_xlfn.ANCHORARRAY(Q983),TRANSPOSE($Q$3:$U$3))</f>
        <v>8.3784838842388483E-4</v>
      </c>
      <c r="AA983" s="11">
        <f ca="1">AVEDEV(Q983*$Q$3,R983*$R$3,S983*$S$3,T983*$T$3,U983*$U$3)</f>
        <v>8.8860214440650349E-5</v>
      </c>
      <c r="AB983" s="11" cm="1">
        <f t="array" aca="1" ref="AB983" ca="1">MMULT(_xlfn.ANCHORARRAY(Q983),TRANSPOSE($Q$6:$U$6))</f>
        <v>-2.1769682169924615E-2</v>
      </c>
      <c r="AD983" s="2" t="s">
        <v>974</v>
      </c>
      <c r="AE983" s="10" cm="1">
        <f t="array" aca="1" ref="AE983:AI983" ca="1">_xlfn.LET(_xlpm.array,_xlfn.RANDARRAY(1,COLUMNS(_xlfn.ANCHORARRAY(Q982)),-1,1,FALSE),_xlpm.array/SUM(_xlpm.array))</f>
        <v>-0.34845479588014272</v>
      </c>
      <c r="AF983" s="10">
        <f ca="1"/>
        <v>1.2708111709736245</v>
      </c>
      <c r="AG983" s="10">
        <f ca="1"/>
        <v>-0.34261903419990275</v>
      </c>
      <c r="AH983" s="10">
        <f ca="1"/>
        <v>0.82742206453637479</v>
      </c>
      <c r="AI983" s="10">
        <f ca="1"/>
        <v>-0.40715940542995377</v>
      </c>
      <c r="AJ983" s="1"/>
      <c r="AK983" s="2" cm="1">
        <f t="array" aca="1" ref="AK983" ca="1">MMULT(MMULT(_xlfn.ANCHORARRAY(AE983),$Q$9:$U$13),TRANSPOSE(_xlfn.ANCHORARRAY(AE983)))</f>
        <v>1.3966643089747669E-3</v>
      </c>
      <c r="AL983" s="2">
        <f t="shared" ca="1" si="35"/>
        <v>3.7371972238226428E-2</v>
      </c>
      <c r="AM983" s="2" cm="1">
        <f t="array" aca="1" ref="AM983" ca="1">MMULT(_xlfn.ANCHORARRAY(AE984),TRANSPOSE($Q$3:$U$3))</f>
        <v>-8.3167581850894479E-4</v>
      </c>
    </row>
    <row r="984" spans="1:39" x14ac:dyDescent="0.35">
      <c r="A984" s="3">
        <v>45257</v>
      </c>
      <c r="B984" s="4">
        <v>27.793704986572202</v>
      </c>
      <c r="C984" s="4">
        <v>130.98490905761699</v>
      </c>
      <c r="D984" s="4">
        <v>71.702224731445298</v>
      </c>
      <c r="E984" s="4">
        <v>27.117601394653299</v>
      </c>
      <c r="F984" s="4">
        <v>372.19836425781199</v>
      </c>
      <c r="I984" s="5">
        <f>B984/B983-1</f>
        <v>-5.7180451466435356E-3</v>
      </c>
      <c r="J984" s="5">
        <f>C984/C983-1</f>
        <v>-3.7265259850606247E-3</v>
      </c>
      <c r="K984" s="5">
        <f>D984/D983-1</f>
        <v>6.718595411083772E-4</v>
      </c>
      <c r="L984" s="5">
        <f>E984/E983-1</f>
        <v>-3.6462479351874189E-3</v>
      </c>
      <c r="M984" s="5">
        <f>F984/F983-1</f>
        <v>3.1264537532893488E-3</v>
      </c>
      <c r="N984" s="5">
        <f>SUMPRODUCT(I984:M984,$AJ$13:$AN$13)</f>
        <v>1.4662873990868976E-3</v>
      </c>
      <c r="P984" s="2" t="s">
        <v>975</v>
      </c>
      <c r="Q984" s="10" cm="1">
        <f t="array" aca="1" ref="Q984:U984" ca="1">_xlfn.LET(_xlpm.array,_xlfn.RANDARRAY(1,COLUMNS(_xlfn.ANCHORARRAY(Q983)),0,1,FALSE),_xlpm.array/SUM(_xlpm.array))</f>
        <v>0.18992514897158785</v>
      </c>
      <c r="R984" s="2">
        <f ca="1"/>
        <v>7.4231106508659578E-2</v>
      </c>
      <c r="S984" s="2">
        <f ca="1"/>
        <v>0.26342349442284058</v>
      </c>
      <c r="T984" s="2">
        <f ca="1"/>
        <v>0.25422431087703179</v>
      </c>
      <c r="U984" s="2">
        <f ca="1"/>
        <v>0.21819593921988029</v>
      </c>
      <c r="V984" s="12"/>
      <c r="X984" s="2" cm="1">
        <f t="array" aca="1" ref="X984" ca="1">MMULT(MMULT(_xlfn.ANCHORARRAY(Q984),$Q$9:$U$13),TRANSPOSE(_xlfn.ANCHORARRAY(Q984)))</f>
        <v>2.901458361942316E-4</v>
      </c>
      <c r="Y984" s="2">
        <f t="shared" ca="1" si="34"/>
        <v>1.7033667725837309E-2</v>
      </c>
      <c r="Z984" s="2" cm="1">
        <f t="array" aca="1" ref="Z984" ca="1">MMULT(_xlfn.ANCHORARRAY(Q984),TRANSPOSE($Q$3:$U$3))</f>
        <v>1.0051430627101854E-3</v>
      </c>
      <c r="AA984" s="11">
        <f ca="1">AVEDEV(Q984*$Q$3,R984*$R$3,S984*$S$3,T984*$T$3,U984*$U$3)</f>
        <v>1.1418505744017552E-4</v>
      </c>
      <c r="AB984" s="11" cm="1">
        <f t="array" aca="1" ref="AB984" ca="1">MMULT(_xlfn.ANCHORARRAY(Q984),TRANSPOSE($Q$6:$U$6))</f>
        <v>-2.357444043760459E-2</v>
      </c>
      <c r="AD984" s="2" t="s">
        <v>975</v>
      </c>
      <c r="AE984" s="10" cm="1">
        <f t="array" aca="1" ref="AE984:AI984" ca="1">_xlfn.LET(_xlpm.array,_xlfn.RANDARRAY(1,COLUMNS(_xlfn.ANCHORARRAY(Q983)),-1,1,FALSE),_xlpm.array/SUM(_xlpm.array))</f>
        <v>2.7886975018142994</v>
      </c>
      <c r="AF984" s="10">
        <f ca="1"/>
        <v>-3.716502763541091</v>
      </c>
      <c r="AG984" s="10">
        <f ca="1"/>
        <v>-2.6343148942170793</v>
      </c>
      <c r="AH984" s="10">
        <f ca="1"/>
        <v>4.8826641036855625</v>
      </c>
      <c r="AI984" s="10">
        <f ca="1"/>
        <v>-0.3205439477416912</v>
      </c>
      <c r="AJ984" s="1"/>
      <c r="AK984" s="2" cm="1">
        <f t="array" aca="1" ref="AK984" ca="1">MMULT(MMULT(_xlfn.ANCHORARRAY(AE984),$Q$9:$U$13),TRANSPOSE(_xlfn.ANCHORARRAY(AE984)))</f>
        <v>1.2931655486563224E-2</v>
      </c>
      <c r="AL984" s="2">
        <f t="shared" ca="1" si="35"/>
        <v>0.11371743703831538</v>
      </c>
      <c r="AM984" s="2" cm="1">
        <f t="array" aca="1" ref="AM984" ca="1">MMULT(_xlfn.ANCHORARRAY(AE985),TRANSPOSE($Q$3:$U$3))</f>
        <v>-1.9015513400055884E-3</v>
      </c>
    </row>
    <row r="985" spans="1:39" x14ac:dyDescent="0.35">
      <c r="A985" s="3">
        <v>45258</v>
      </c>
      <c r="B985" s="4">
        <v>27.765499114990199</v>
      </c>
      <c r="C985" s="4">
        <v>132.0283203125</v>
      </c>
      <c r="D985" s="4">
        <v>71.288139343261705</v>
      </c>
      <c r="E985" s="4">
        <v>26.9025783538818</v>
      </c>
      <c r="F985" s="4">
        <v>376.219146728515</v>
      </c>
      <c r="I985" s="5">
        <f>B985/B984-1</f>
        <v>-1.0148294945071523E-3</v>
      </c>
      <c r="J985" s="5">
        <f>C985/C984-1</f>
        <v>7.9658890660758708E-3</v>
      </c>
      <c r="K985" s="5">
        <f>D985/D984-1</f>
        <v>-5.7750702957197753E-3</v>
      </c>
      <c r="L985" s="5">
        <f>E985/E984-1</f>
        <v>-7.9292794979239911E-3</v>
      </c>
      <c r="M985" s="5">
        <f>F985/F984-1</f>
        <v>1.0802794576275865E-2</v>
      </c>
      <c r="N985" s="5">
        <f>SUMPRODUCT(I985:M985,$AJ$13:$AN$13)</f>
        <v>-3.0707723017099463E-3</v>
      </c>
      <c r="P985" s="2" t="s">
        <v>976</v>
      </c>
      <c r="Q985" s="10" cm="1">
        <f t="array" aca="1" ref="Q985:U985" ca="1">_xlfn.LET(_xlpm.array,_xlfn.RANDARRAY(1,COLUMNS(_xlfn.ANCHORARRAY(Q984)),0,1,FALSE),_xlpm.array/SUM(_xlpm.array))</f>
        <v>0.25784569794935053</v>
      </c>
      <c r="R985" s="2">
        <f ca="1"/>
        <v>0.12365082494134509</v>
      </c>
      <c r="S985" s="2">
        <f ca="1"/>
        <v>0.15859774253795514</v>
      </c>
      <c r="T985" s="2">
        <f ca="1"/>
        <v>0.22639158067721854</v>
      </c>
      <c r="U985" s="2">
        <f ca="1"/>
        <v>0.23351415389413055</v>
      </c>
      <c r="V985" s="12"/>
      <c r="X985" s="2" cm="1">
        <f t="array" aca="1" ref="X985" ca="1">MMULT(MMULT(_xlfn.ANCHORARRAY(Q985),$Q$9:$U$13),TRANSPOSE(_xlfn.ANCHORARRAY(Q985)))</f>
        <v>2.6946375395932456E-4</v>
      </c>
      <c r="Y985" s="2">
        <f t="shared" ca="1" si="34"/>
        <v>1.6415351167712634E-2</v>
      </c>
      <c r="Z985" s="2" cm="1">
        <f t="array" aca="1" ref="Z985" ca="1">MMULT(_xlfn.ANCHORARRAY(Q985),TRANSPOSE($Q$3:$U$3))</f>
        <v>8.8879633404665521E-4</v>
      </c>
      <c r="AA985" s="11">
        <f ca="1">AVEDEV(Q985*$Q$3,R985*$R$3,S985*$S$3,T985*$T$3,U985*$U$3)</f>
        <v>5.3669905771599913E-5</v>
      </c>
      <c r="AB985" s="11" cm="1">
        <f t="array" aca="1" ref="AB985" ca="1">MMULT(_xlfn.ANCHORARRAY(Q985),TRANSPOSE($Q$6:$U$6))</f>
        <v>-2.2821961778228619E-2</v>
      </c>
      <c r="AD985" s="2" t="s">
        <v>976</v>
      </c>
      <c r="AE985" s="10" cm="1">
        <f t="array" aca="1" ref="AE985:AI985" ca="1">_xlfn.LET(_xlpm.array,_xlfn.RANDARRAY(1,COLUMNS(_xlfn.ANCHORARRAY(Q984)),-1,1,FALSE),_xlpm.array/SUM(_xlpm.array))</f>
        <v>2.2358732244216264</v>
      </c>
      <c r="AF985" s="10">
        <f ca="1"/>
        <v>-0.22988876676653228</v>
      </c>
      <c r="AG985" s="10">
        <f ca="1"/>
        <v>-2.519426062521819</v>
      </c>
      <c r="AH985" s="10">
        <f ca="1"/>
        <v>0.24900957592826525</v>
      </c>
      <c r="AI985" s="10">
        <f ca="1"/>
        <v>1.2644320289384596</v>
      </c>
      <c r="AJ985" s="1"/>
      <c r="AK985" s="2" cm="1">
        <f t="array" aca="1" ref="AK985" ca="1">MMULT(MMULT(_xlfn.ANCHORARRAY(AE985),$Q$9:$U$13),TRANSPOSE(_xlfn.ANCHORARRAY(AE985)))</f>
        <v>5.0999774338073333E-3</v>
      </c>
      <c r="AL985" s="2">
        <f t="shared" ca="1" si="35"/>
        <v>7.1414126290302915E-2</v>
      </c>
      <c r="AM985" s="2" cm="1">
        <f t="array" aca="1" ref="AM985" ca="1">MMULT(_xlfn.ANCHORARRAY(AE986),TRANSPOSE($Q$3:$U$3))</f>
        <v>9.3883658839385498E-4</v>
      </c>
    </row>
    <row r="986" spans="1:39" x14ac:dyDescent="0.35">
      <c r="A986" s="3">
        <v>45259</v>
      </c>
      <c r="B986" s="4">
        <v>28.498893737792901</v>
      </c>
      <c r="C986" s="4">
        <v>130.57658386230401</v>
      </c>
      <c r="D986" s="4">
        <v>72.279983520507798</v>
      </c>
      <c r="E986" s="4">
        <v>26.538698196411101</v>
      </c>
      <c r="F986" s="4">
        <v>372.43429565429602</v>
      </c>
      <c r="I986" s="5">
        <f>B986/B985-1</f>
        <v>2.6413882198384586E-2</v>
      </c>
      <c r="J986" s="5">
        <f>C986/C985-1</f>
        <v>-1.099564431903588E-2</v>
      </c>
      <c r="K986" s="5">
        <f>D986/D985-1</f>
        <v>1.3913172462956869E-2</v>
      </c>
      <c r="L986" s="5">
        <f>E986/E985-1</f>
        <v>-1.3525846953557741E-2</v>
      </c>
      <c r="M986" s="5">
        <f>F986/F985-1</f>
        <v>-1.0060229807894894E-2</v>
      </c>
      <c r="N986" s="5">
        <f>SUMPRODUCT(I986:M986,$AJ$13:$AN$13)</f>
        <v>-9.7154215666174961E-3</v>
      </c>
      <c r="P986" s="2" t="s">
        <v>977</v>
      </c>
      <c r="Q986" s="10" cm="1">
        <f t="array" aca="1" ref="Q986:U986" ca="1">_xlfn.LET(_xlpm.array,_xlfn.RANDARRAY(1,COLUMNS(_xlfn.ANCHORARRAY(Q985)),0,1,FALSE),_xlpm.array/SUM(_xlpm.array))</f>
        <v>0.19658673645794339</v>
      </c>
      <c r="R986" s="2">
        <f ca="1"/>
        <v>0.26702082472540517</v>
      </c>
      <c r="S986" s="2">
        <f ca="1"/>
        <v>0.28926008032427497</v>
      </c>
      <c r="T986" s="2">
        <f ca="1"/>
        <v>9.2720767116910879E-2</v>
      </c>
      <c r="U986" s="2">
        <f ca="1"/>
        <v>0.15441159137546545</v>
      </c>
      <c r="V986" s="12"/>
      <c r="X986" s="2" cm="1">
        <f t="array" aca="1" ref="X986" ca="1">MMULT(MMULT(_xlfn.ANCHORARRAY(Q986),$Q$9:$U$13),TRANSPOSE(_xlfn.ANCHORARRAY(Q986)))</f>
        <v>3.0337788860911394E-4</v>
      </c>
      <c r="Y986" s="2">
        <f t="shared" ref="Y986:Y1023" ca="1" si="36">SQRT(X986)</f>
        <v>1.7417746369984662E-2</v>
      </c>
      <c r="Z986" s="2" cm="1">
        <f t="array" aca="1" ref="Z986" ca="1">MMULT(_xlfn.ANCHORARRAY(Q986),TRANSPOSE($Q$3:$U$3))</f>
        <v>9.7748951722936113E-4</v>
      </c>
      <c r="AA986" s="11">
        <f ca="1">AVEDEV(Q986*$Q$3,R986*$R$3,S986*$S$3,T986*$T$3,U986*$U$3)</f>
        <v>1.0970427625944175E-4</v>
      </c>
      <c r="AB986" s="11" cm="1">
        <f t="array" aca="1" ref="AB986" ca="1">MMULT(_xlfn.ANCHORARRAY(Q986),TRANSPOSE($Q$6:$U$6))</f>
        <v>-2.3043223053591824E-2</v>
      </c>
      <c r="AD986" s="2" t="s">
        <v>977</v>
      </c>
      <c r="AE986" s="10" cm="1">
        <f t="array" aca="1" ref="AE986:AI986" ca="1">_xlfn.LET(_xlpm.array,_xlfn.RANDARRAY(1,COLUMNS(_xlfn.ANCHORARRAY(Q985)),-1,1,FALSE),_xlpm.array/SUM(_xlpm.array))</f>
        <v>0.37661985081871363</v>
      </c>
      <c r="AF986" s="10">
        <f ca="1"/>
        <v>0.41943127796246377</v>
      </c>
      <c r="AG986" s="10">
        <f ca="1"/>
        <v>0.30709507555411147</v>
      </c>
      <c r="AH986" s="10">
        <f ca="1"/>
        <v>8.2975223672513046E-2</v>
      </c>
      <c r="AI986" s="10">
        <f ca="1"/>
        <v>-0.18612142800780179</v>
      </c>
      <c r="AJ986" s="1"/>
      <c r="AK986" s="2" cm="1">
        <f t="array" aca="1" ref="AK986" ca="1">MMULT(MMULT(_xlfn.ANCHORARRAY(AE986),$Q$9:$U$13),TRANSPOSE(_xlfn.ANCHORARRAY(AE986)))</f>
        <v>4.1456650965507167E-4</v>
      </c>
      <c r="AL986" s="2">
        <f t="shared" ref="AL986:AL1023" ca="1" si="37">SQRT(AK986)</f>
        <v>2.0360906405537837E-2</v>
      </c>
      <c r="AM986" s="2" cm="1">
        <f t="array" aca="1" ref="AM986" ca="1">MMULT(_xlfn.ANCHORARRAY(AE987),TRANSPOSE($Q$3:$U$3))</f>
        <v>1.152758539866744E-3</v>
      </c>
    </row>
    <row r="987" spans="1:39" x14ac:dyDescent="0.35">
      <c r="A987" s="3">
        <v>45260</v>
      </c>
      <c r="B987" s="4">
        <v>28.896945953369102</v>
      </c>
      <c r="C987" s="4">
        <v>130.29528808593699</v>
      </c>
      <c r="D987" s="4">
        <v>73.060005187988196</v>
      </c>
      <c r="E987" s="4">
        <v>26.356752395629801</v>
      </c>
      <c r="F987" s="4">
        <v>372.49331665039</v>
      </c>
      <c r="I987" s="5">
        <f>B987/B986-1</f>
        <v>1.3967286563419723E-2</v>
      </c>
      <c r="J987" s="5">
        <f>C987/C986-1</f>
        <v>-2.1542589647133292E-3</v>
      </c>
      <c r="K987" s="5">
        <f>D987/D986-1</f>
        <v>1.0791669138373372E-2</v>
      </c>
      <c r="L987" s="5">
        <f>E987/E986-1</f>
        <v>-6.8558675875783903E-3</v>
      </c>
      <c r="M987" s="5">
        <f>F987/F986-1</f>
        <v>1.5847357985743216E-4</v>
      </c>
      <c r="N987" s="5">
        <f>SUMPRODUCT(I987:M987,$AJ$13:$AN$13)</f>
        <v>-1.5005327981315022E-3</v>
      </c>
      <c r="P987" s="2" t="s">
        <v>978</v>
      </c>
      <c r="Q987" s="10" cm="1">
        <f t="array" aca="1" ref="Q987:U987" ca="1">_xlfn.LET(_xlpm.array,_xlfn.RANDARRAY(1,COLUMNS(_xlfn.ANCHORARRAY(Q986)),0,1,FALSE),_xlpm.array/SUM(_xlpm.array))</f>
        <v>0.35841192697186852</v>
      </c>
      <c r="R987" s="2">
        <f ca="1"/>
        <v>0.3732532294635893</v>
      </c>
      <c r="S987" s="2">
        <f ca="1"/>
        <v>2.328340123959112E-2</v>
      </c>
      <c r="T987" s="2">
        <f ca="1"/>
        <v>0.23194179718650393</v>
      </c>
      <c r="U987" s="2">
        <f ca="1"/>
        <v>1.3109645138447116E-2</v>
      </c>
      <c r="V987" s="12"/>
      <c r="X987" s="2" cm="1">
        <f t="array" aca="1" ref="X987" ca="1">MMULT(MMULT(_xlfn.ANCHORARRAY(Q987),$Q$9:$U$13),TRANSPOSE(_xlfn.ANCHORARRAY(Q987)))</f>
        <v>3.4211987510691217E-4</v>
      </c>
      <c r="Y987" s="2">
        <f t="shared" ca="1" si="36"/>
        <v>1.8496482776650055E-2</v>
      </c>
      <c r="Z987" s="2" cm="1">
        <f t="array" aca="1" ref="Z987" ca="1">MMULT(_xlfn.ANCHORARRAY(Q987),TRANSPOSE($Q$3:$U$3))</f>
        <v>7.3952053645799361E-4</v>
      </c>
      <c r="AA987" s="11">
        <f ca="1">AVEDEV(Q987*$Q$3,R987*$R$3,S987*$S$3,T987*$T$3,U987*$U$3)</f>
        <v>9.9187596332954951E-5</v>
      </c>
      <c r="AB987" s="11" cm="1">
        <f t="array" aca="1" ref="AB987" ca="1">MMULT(_xlfn.ANCHORARRAY(Q987),TRANSPOSE($Q$6:$U$6))</f>
        <v>-2.2165734709519463E-2</v>
      </c>
      <c r="AD987" s="2" t="s">
        <v>978</v>
      </c>
      <c r="AE987" s="10" cm="1">
        <f t="array" aca="1" ref="AE987:AI987" ca="1">_xlfn.LET(_xlpm.array,_xlfn.RANDARRAY(1,COLUMNS(_xlfn.ANCHORARRAY(Q986)),-1,1,FALSE),_xlpm.array/SUM(_xlpm.array))</f>
        <v>-0.11440351188426084</v>
      </c>
      <c r="AF987" s="10">
        <f ca="1"/>
        <v>0.18147065913501303</v>
      </c>
      <c r="AG987" s="10">
        <f ca="1"/>
        <v>0.37814285928239955</v>
      </c>
      <c r="AH987" s="10">
        <f ca="1"/>
        <v>0.15558762476005633</v>
      </c>
      <c r="AI987" s="10">
        <f ca="1"/>
        <v>0.39920236870679193</v>
      </c>
      <c r="AJ987" s="1"/>
      <c r="AK987" s="2" cm="1">
        <f t="array" aca="1" ref="AK987" ca="1">MMULT(MMULT(_xlfn.ANCHORARRAY(AE987),$Q$9:$U$13),TRANSPOSE(_xlfn.ANCHORARRAY(AE987)))</f>
        <v>3.3042419542511452E-4</v>
      </c>
      <c r="AL987" s="2">
        <f t="shared" ca="1" si="37"/>
        <v>1.8177573969732994E-2</v>
      </c>
      <c r="AM987" s="2" cm="1">
        <f t="array" aca="1" ref="AM987" ca="1">MMULT(_xlfn.ANCHORARRAY(AE988),TRANSPOSE($Q$3:$U$3))</f>
        <v>8.4456215822002268E-4</v>
      </c>
    </row>
    <row r="988" spans="1:39" x14ac:dyDescent="0.35">
      <c r="A988" s="3">
        <v>45261</v>
      </c>
      <c r="B988" s="4">
        <v>29.342388153076101</v>
      </c>
      <c r="C988" s="4">
        <v>131.39318847656199</v>
      </c>
      <c r="D988" s="4">
        <v>69.265930175781193</v>
      </c>
      <c r="E988" s="4">
        <v>26.224431991577099</v>
      </c>
      <c r="F988" s="4">
        <v>368.16784667968699</v>
      </c>
      <c r="I988" s="5">
        <f>B988/B987-1</f>
        <v>1.5414853888912949E-2</v>
      </c>
      <c r="J988" s="5">
        <f>C988/C987-1</f>
        <v>8.4262478463601465E-3</v>
      </c>
      <c r="K988" s="5">
        <f>D988/D987-1</f>
        <v>-5.1930943646179561E-2</v>
      </c>
      <c r="L988" s="5">
        <f>E988/E987-1</f>
        <v>-5.0203607055413491E-3</v>
      </c>
      <c r="M988" s="5">
        <f>F988/F987-1</f>
        <v>-1.1612208266176149E-2</v>
      </c>
      <c r="N988" s="5">
        <f>SUMPRODUCT(I988:M988,$AJ$13:$AN$13)</f>
        <v>-3.799806699194009E-2</v>
      </c>
      <c r="P988" s="2" t="s">
        <v>979</v>
      </c>
      <c r="Q988" s="10" cm="1">
        <f t="array" aca="1" ref="Q988:U988" ca="1">_xlfn.LET(_xlpm.array,_xlfn.RANDARRAY(1,COLUMNS(_xlfn.ANCHORARRAY(Q987)),0,1,FALSE),_xlpm.array/SUM(_xlpm.array))</f>
        <v>0.32741968632986895</v>
      </c>
      <c r="R988" s="2">
        <f ca="1"/>
        <v>0.28272677911641092</v>
      </c>
      <c r="S988" s="2">
        <f ca="1"/>
        <v>0.24470612356774493</v>
      </c>
      <c r="T988" s="2">
        <f ca="1"/>
        <v>8.7585060563699885E-2</v>
      </c>
      <c r="U988" s="2">
        <f ca="1"/>
        <v>5.7562350422275414E-2</v>
      </c>
      <c r="V988" s="12"/>
      <c r="X988" s="2" cm="1">
        <f t="array" aca="1" ref="X988" ca="1">MMULT(MMULT(_xlfn.ANCHORARRAY(Q988),$Q$9:$U$13),TRANSPOSE(_xlfn.ANCHORARRAY(Q988)))</f>
        <v>3.1736815873143479E-4</v>
      </c>
      <c r="Y988" s="2">
        <f t="shared" ca="1" si="36"/>
        <v>1.7814829741859304E-2</v>
      </c>
      <c r="Z988" s="2" cm="1">
        <f t="array" aca="1" ref="Z988" ca="1">MMULT(_xlfn.ANCHORARRAY(Q988),TRANSPOSE($Q$3:$U$3))</f>
        <v>9.0377607651847105E-4</v>
      </c>
      <c r="AA988" s="11">
        <f ca="1">AVEDEV(Q988*$Q$3,R988*$R$3,S988*$S$3,T988*$T$3,U988*$U$3)</f>
        <v>9.6940255056983973E-5</v>
      </c>
      <c r="AB988" s="11" cm="1">
        <f t="array" aca="1" ref="AB988" ca="1">MMULT(_xlfn.ANCHORARRAY(Q988),TRANSPOSE($Q$6:$U$6))</f>
        <v>-2.2905440135919913E-2</v>
      </c>
      <c r="AD988" s="2" t="s">
        <v>979</v>
      </c>
      <c r="AE988" s="10" cm="1">
        <f t="array" aca="1" ref="AE988:AI988" ca="1">_xlfn.LET(_xlpm.array,_xlfn.RANDARRAY(1,COLUMNS(_xlfn.ANCHORARRAY(Q987)),-1,1,FALSE),_xlpm.array/SUM(_xlpm.array))</f>
        <v>1.8287480405471637</v>
      </c>
      <c r="AF988" s="10">
        <f ca="1"/>
        <v>-1.7038517331806371</v>
      </c>
      <c r="AG988" s="10">
        <f ca="1"/>
        <v>0.21622114510174131</v>
      </c>
      <c r="AH988" s="10">
        <f ca="1"/>
        <v>1.1848840922320902</v>
      </c>
      <c r="AI988" s="10">
        <f ca="1"/>
        <v>-0.52600154470035798</v>
      </c>
      <c r="AJ988" s="1"/>
      <c r="AK988" s="2" cm="1">
        <f t="array" aca="1" ref="AK988" ca="1">MMULT(MMULT(_xlfn.ANCHORARRAY(AE988),$Q$9:$U$13),TRANSPOSE(_xlfn.ANCHORARRAY(AE988)))</f>
        <v>1.5006080287930607E-3</v>
      </c>
      <c r="AL988" s="2">
        <f t="shared" ca="1" si="37"/>
        <v>3.8737682284734856E-2</v>
      </c>
      <c r="AM988" s="2" cm="1">
        <f t="array" aca="1" ref="AM988" ca="1">MMULT(_xlfn.ANCHORARRAY(AE989),TRANSPOSE($Q$3:$U$3))</f>
        <v>-3.57827632889836E-3</v>
      </c>
    </row>
    <row r="989" spans="1:39" x14ac:dyDescent="0.35">
      <c r="A989" s="3">
        <v>45264</v>
      </c>
      <c r="B989" s="4">
        <v>29.2097072601318</v>
      </c>
      <c r="C989" s="4">
        <v>131.44764709472599</v>
      </c>
      <c r="D989" s="4">
        <v>66.752586364746094</v>
      </c>
      <c r="E989" s="4">
        <v>25.480123519897401</v>
      </c>
      <c r="F989" s="4">
        <v>362.88876342773398</v>
      </c>
      <c r="I989" s="5">
        <f>B989/B988-1</f>
        <v>-4.5218164333495903E-3</v>
      </c>
      <c r="J989" s="5">
        <f>C989/C988-1</f>
        <v>4.1447063424993047E-4</v>
      </c>
      <c r="K989" s="5">
        <f>D989/D988-1</f>
        <v>-3.6285426394430886E-2</v>
      </c>
      <c r="L989" s="5">
        <f>E989/E988-1</f>
        <v>-2.8382253309385708E-2</v>
      </c>
      <c r="M989" s="5">
        <f>F989/F988-1</f>
        <v>-1.4338794926179177E-2</v>
      </c>
      <c r="N989" s="5">
        <f>SUMPRODUCT(I989:M989,$AJ$13:$AN$13)</f>
        <v>-3.5650245166349667E-2</v>
      </c>
      <c r="P989" s="2" t="s">
        <v>980</v>
      </c>
      <c r="Q989" s="10" cm="1">
        <f t="array" aca="1" ref="Q989:U989" ca="1">_xlfn.LET(_xlpm.array,_xlfn.RANDARRAY(1,COLUMNS(_xlfn.ANCHORARRAY(Q988)),0,1,FALSE),_xlpm.array/SUM(_xlpm.array))</f>
        <v>0.40276068255441222</v>
      </c>
      <c r="R989" s="2">
        <f ca="1"/>
        <v>0.36166112089669789</v>
      </c>
      <c r="S989" s="2">
        <f ca="1"/>
        <v>3.167225589480685E-2</v>
      </c>
      <c r="T989" s="2">
        <f ca="1"/>
        <v>9.5903936010075713E-2</v>
      </c>
      <c r="U989" s="2">
        <f ca="1"/>
        <v>0.10800200464400732</v>
      </c>
      <c r="V989" s="12"/>
      <c r="X989" s="2" cm="1">
        <f t="array" aca="1" ref="X989" ca="1">MMULT(MMULT(_xlfn.ANCHORARRAY(Q989),$Q$9:$U$13),TRANSPOSE(_xlfn.ANCHORARRAY(Q989)))</f>
        <v>3.0714589454567938E-4</v>
      </c>
      <c r="Y989" s="2">
        <f t="shared" ca="1" si="36"/>
        <v>1.7525578294187025E-2</v>
      </c>
      <c r="Z989" s="2" cm="1">
        <f t="array" aca="1" ref="Z989" ca="1">MMULT(_xlfn.ANCHORARRAY(Q989),TRANSPOSE($Q$3:$U$3))</f>
        <v>7.0081929573166007E-4</v>
      </c>
      <c r="AA989" s="11">
        <f ca="1">AVEDEV(Q989*$Q$3,R989*$R$3,S989*$S$3,T989*$T$3,U989*$U$3)</f>
        <v>7.5389184086791552E-5</v>
      </c>
      <c r="AB989" s="11" cm="1">
        <f t="array" aca="1" ref="AB989" ca="1">MMULT(_xlfn.ANCHORARRAY(Q989),TRANSPOSE($Q$6:$U$6))</f>
        <v>-2.1599987389268677E-2</v>
      </c>
      <c r="AD989" s="2" t="s">
        <v>980</v>
      </c>
      <c r="AE989" s="10" cm="1">
        <f t="array" aca="1" ref="AE989:AI989" ca="1">_xlfn.LET(_xlpm.array,_xlfn.RANDARRAY(1,COLUMNS(_xlfn.ANCHORARRAY(Q988)),-1,1,FALSE),_xlpm.array/SUM(_xlpm.array))</f>
        <v>2.2775455264720641</v>
      </c>
      <c r="AF989" s="10">
        <f ca="1"/>
        <v>1.2126137700722281</v>
      </c>
      <c r="AG989" s="10">
        <f ca="1"/>
        <v>-4.0633779289876921</v>
      </c>
      <c r="AH989" s="10">
        <f ca="1"/>
        <v>-0.87894801683571377</v>
      </c>
      <c r="AI989" s="10">
        <f ca="1"/>
        <v>2.4521666492791137</v>
      </c>
      <c r="AJ989" s="1"/>
      <c r="AK989" s="2" cm="1">
        <f t="array" aca="1" ref="AK989" ca="1">MMULT(MMULT(_xlfn.ANCHORARRAY(AE989),$Q$9:$U$13),TRANSPOSE(_xlfn.ANCHORARRAY(AE989)))</f>
        <v>1.2026986418364822E-2</v>
      </c>
      <c r="AL989" s="2">
        <f t="shared" ca="1" si="37"/>
        <v>0.10966761791141824</v>
      </c>
      <c r="AM989" s="2" cm="1">
        <f t="array" aca="1" ref="AM989" ca="1">MMULT(_xlfn.ANCHORARRAY(AE990),TRANSPOSE($Q$3:$U$3))</f>
        <v>-2.9649351752252494E-2</v>
      </c>
    </row>
    <row r="990" spans="1:39" x14ac:dyDescent="0.35">
      <c r="A990" s="3">
        <v>45265</v>
      </c>
      <c r="B990" s="4">
        <v>28.982242584228501</v>
      </c>
      <c r="C990" s="4">
        <v>129.62385559082</v>
      </c>
      <c r="D990" s="4">
        <v>66.723701477050696</v>
      </c>
      <c r="E990" s="4">
        <v>24.983919143676701</v>
      </c>
      <c r="F990" s="4">
        <v>366.21148681640602</v>
      </c>
      <c r="I990" s="5">
        <f>B990/B989-1</f>
        <v>-7.7872973487058683E-3</v>
      </c>
      <c r="J990" s="5">
        <f>C990/C989-1</f>
        <v>-1.3874660704970232E-2</v>
      </c>
      <c r="K990" s="5">
        <f>D990/D989-1</f>
        <v>-4.3271563348223907E-4</v>
      </c>
      <c r="L990" s="5">
        <f>E990/E989-1</f>
        <v>-1.9474174677105216E-2</v>
      </c>
      <c r="M990" s="5">
        <f>F990/F989-1</f>
        <v>9.1563137896215618E-3</v>
      </c>
      <c r="N990" s="5">
        <f>SUMPRODUCT(I990:M990,$AJ$13:$AN$13)</f>
        <v>-3.5593599777994237E-3</v>
      </c>
      <c r="P990" s="2" t="s">
        <v>981</v>
      </c>
      <c r="Q990" s="10" cm="1">
        <f t="array" aca="1" ref="Q990:U990" ca="1">_xlfn.LET(_xlpm.array,_xlfn.RANDARRAY(1,COLUMNS(_xlfn.ANCHORARRAY(Q989)),0,1,FALSE),_xlpm.array/SUM(_xlpm.array))</f>
        <v>0.17025793630258454</v>
      </c>
      <c r="R990" s="2">
        <f ca="1"/>
        <v>6.9415279110353514E-2</v>
      </c>
      <c r="S990" s="2">
        <f ca="1"/>
        <v>0.34108927210422374</v>
      </c>
      <c r="T990" s="2">
        <f ca="1"/>
        <v>0.28484692071258816</v>
      </c>
      <c r="U990" s="2">
        <f ca="1"/>
        <v>0.1343905917702499</v>
      </c>
      <c r="V990" s="12"/>
      <c r="X990" s="2" cm="1">
        <f t="array" aca="1" ref="X990" ca="1">MMULT(MMULT(_xlfn.ANCHORARRAY(Q990),$Q$9:$U$13),TRANSPOSE(_xlfn.ANCHORARRAY(Q990)))</f>
        <v>3.2586080425775368E-4</v>
      </c>
      <c r="Y990" s="2">
        <f t="shared" ca="1" si="36"/>
        <v>1.8051615004141697E-2</v>
      </c>
      <c r="Z990" s="2" cm="1">
        <f t="array" aca="1" ref="Z990" ca="1">MMULT(_xlfn.ANCHORARRAY(Q990),TRANSPOSE($Q$3:$U$3))</f>
        <v>1.08494559618105E-3</v>
      </c>
      <c r="AA990" s="11">
        <f ca="1">AVEDEV(Q990*$Q$3,R990*$R$3,S990*$S$3,T990*$T$3,U990*$U$3)</f>
        <v>1.6438219835780585E-4</v>
      </c>
      <c r="AB990" s="11" cm="1">
        <f t="array" aca="1" ref="AB990" ca="1">MMULT(_xlfn.ANCHORARRAY(Q990),TRANSPOSE($Q$6:$U$6))</f>
        <v>-2.4242578413728483E-2</v>
      </c>
      <c r="AD990" s="2" t="s">
        <v>981</v>
      </c>
      <c r="AE990" s="10" cm="1">
        <f t="array" aca="1" ref="AE990:AI990" ca="1">_xlfn.LET(_xlpm.array,_xlfn.RANDARRAY(1,COLUMNS(_xlfn.ANCHORARRAY(Q989)),-1,1,FALSE),_xlpm.array/SUM(_xlpm.array))</f>
        <v>-146.32265745609112</v>
      </c>
      <c r="AF990" s="10">
        <f ca="1"/>
        <v>75.189649679912108</v>
      </c>
      <c r="AG990" s="10">
        <f ca="1"/>
        <v>-114.94682774946088</v>
      </c>
      <c r="AH990" s="10">
        <f ca="1"/>
        <v>130.06991653926113</v>
      </c>
      <c r="AI990" s="10">
        <f ca="1"/>
        <v>57.009918986378779</v>
      </c>
      <c r="AJ990" s="1"/>
      <c r="AK990" s="2" cm="1">
        <f t="array" aca="1" ref="AK990" ca="1">MMULT(MMULT(_xlfn.ANCHORARRAY(AE990),$Q$9:$U$13),TRANSPOSE(_xlfn.ANCHORARRAY(AE990)))</f>
        <v>22.088522157251429</v>
      </c>
      <c r="AL990" s="2">
        <f t="shared" ca="1" si="37"/>
        <v>4.6998427800567359</v>
      </c>
      <c r="AM990" s="2" cm="1">
        <f t="array" aca="1" ref="AM990" ca="1">MMULT(_xlfn.ANCHORARRAY(AE991),TRANSPOSE($Q$3:$U$3))</f>
        <v>9.726429218670468E-4</v>
      </c>
    </row>
    <row r="991" spans="1:39" x14ac:dyDescent="0.35">
      <c r="A991" s="3">
        <v>45266</v>
      </c>
      <c r="B991" s="4">
        <v>28.934856414794901</v>
      </c>
      <c r="C991" s="4">
        <v>129.32441711425699</v>
      </c>
      <c r="D991" s="4">
        <v>65.125175476074205</v>
      </c>
      <c r="E991" s="4">
        <v>24.628307342529201</v>
      </c>
      <c r="F991" s="4">
        <v>362.55453491210898</v>
      </c>
      <c r="I991" s="5">
        <f>B991/B990-1</f>
        <v>-1.6350069976774906E-3</v>
      </c>
      <c r="J991" s="5">
        <f>C991/C990-1</f>
        <v>-2.3100568579617065E-3</v>
      </c>
      <c r="K991" s="5">
        <f>D991/D990-1</f>
        <v>-2.3957393933343063E-2</v>
      </c>
      <c r="L991" s="5">
        <f>E991/E990-1</f>
        <v>-1.4233627602717513E-2</v>
      </c>
      <c r="M991" s="5">
        <f>F991/F990-1</f>
        <v>-9.9859016878146578E-3</v>
      </c>
      <c r="N991" s="5">
        <f>SUMPRODUCT(I991:M991,$AJ$13:$AN$13)</f>
        <v>-2.1911916448614028E-2</v>
      </c>
      <c r="P991" s="2" t="s">
        <v>982</v>
      </c>
      <c r="Q991" s="10" cm="1">
        <f t="array" aca="1" ref="Q991:U991" ca="1">_xlfn.LET(_xlpm.array,_xlfn.RANDARRAY(1,COLUMNS(_xlfn.ANCHORARRAY(Q990)),0,1,FALSE),_xlpm.array/SUM(_xlpm.array))</f>
        <v>0.20618174383664181</v>
      </c>
      <c r="R991" s="2">
        <f ca="1"/>
        <v>0.10591622761033487</v>
      </c>
      <c r="S991" s="2">
        <f ca="1"/>
        <v>0.29869431933517748</v>
      </c>
      <c r="T991" s="2">
        <f ca="1"/>
        <v>4.8379993890861395E-2</v>
      </c>
      <c r="U991" s="2">
        <f ca="1"/>
        <v>0.34082771532698458</v>
      </c>
      <c r="V991" s="12"/>
      <c r="X991" s="2" cm="1">
        <f t="array" aca="1" ref="X991" ca="1">MMULT(MMULT(_xlfn.ANCHORARRAY(Q991),$Q$9:$U$13),TRANSPOSE(_xlfn.ANCHORARRAY(Q991)))</f>
        <v>2.9401341540563462E-4</v>
      </c>
      <c r="Y991" s="2">
        <f t="shared" ca="1" si="36"/>
        <v>1.7146819396192246E-2</v>
      </c>
      <c r="Z991" s="2" cm="1">
        <f t="array" aca="1" ref="Z991" ca="1">MMULT(_xlfn.ANCHORARRAY(Q991),TRANSPOSE($Q$3:$U$3))</f>
        <v>9.7732427812129629E-4</v>
      </c>
      <c r="AA991" s="11">
        <f ca="1">AVEDEV(Q991*$Q$3,R991*$R$3,S991*$S$3,T991*$T$3,U991*$U$3)</f>
        <v>1.4193338944504551E-4</v>
      </c>
      <c r="AB991" s="11" cm="1">
        <f t="array" aca="1" ref="AB991" ca="1">MMULT(_xlfn.ANCHORARRAY(Q991),TRANSPOSE($Q$6:$U$6))</f>
        <v>-2.2824807692695862E-2</v>
      </c>
      <c r="AD991" s="2" t="s">
        <v>982</v>
      </c>
      <c r="AE991" s="10" cm="1">
        <f t="array" aca="1" ref="AE991:AI991" ca="1">_xlfn.LET(_xlpm.array,_xlfn.RANDARRAY(1,COLUMNS(_xlfn.ANCHORARRAY(Q990)),-1,1,FALSE),_xlpm.array/SUM(_xlpm.array))</f>
        <v>0.46893090832084899</v>
      </c>
      <c r="AF991" s="10">
        <f ca="1"/>
        <v>-0.40519143495719495</v>
      </c>
      <c r="AG991" s="10">
        <f ca="1"/>
        <v>0.29416045242289418</v>
      </c>
      <c r="AH991" s="10">
        <f ca="1"/>
        <v>0.23900478829136082</v>
      </c>
      <c r="AI991" s="10">
        <f ca="1"/>
        <v>0.40309528592209098</v>
      </c>
      <c r="AJ991" s="1"/>
      <c r="AK991" s="2" cm="1">
        <f t="array" aca="1" ref="AK991" ca="1">MMULT(MMULT(_xlfn.ANCHORARRAY(AE991),$Q$9:$U$13),TRANSPOSE(_xlfn.ANCHORARRAY(AE991)))</f>
        <v>3.5788564701146812E-4</v>
      </c>
      <c r="AL991" s="2">
        <f t="shared" ca="1" si="37"/>
        <v>1.8917865815452548E-2</v>
      </c>
      <c r="AM991" s="2" cm="1">
        <f t="array" aca="1" ref="AM991" ca="1">MMULT(_xlfn.ANCHORARRAY(AE992),TRANSPOSE($Q$3:$U$3))</f>
        <v>1.5225475200802414E-3</v>
      </c>
    </row>
    <row r="992" spans="1:39" x14ac:dyDescent="0.35">
      <c r="A992" s="3">
        <v>45267</v>
      </c>
      <c r="B992" s="4">
        <v>29.05806350708</v>
      </c>
      <c r="C992" s="4">
        <v>129.22462463378901</v>
      </c>
      <c r="D992" s="4">
        <v>66.049629211425696</v>
      </c>
      <c r="E992" s="4">
        <v>25.0997009277343</v>
      </c>
      <c r="F992" s="4">
        <v>364.66809082031199</v>
      </c>
      <c r="I992" s="5">
        <f>B992/B991-1</f>
        <v>4.2580854910376775E-3</v>
      </c>
      <c r="J992" s="5">
        <f>C992/C991-1</f>
        <v>-7.7164454087441658E-4</v>
      </c>
      <c r="K992" s="5">
        <f>D992/D991-1</f>
        <v>1.4195028705774826E-2</v>
      </c>
      <c r="L992" s="5">
        <f>E992/E991-1</f>
        <v>1.9140316005033631E-2</v>
      </c>
      <c r="M992" s="5">
        <f>F992/F991-1</f>
        <v>5.8296220421443223E-3</v>
      </c>
      <c r="N992" s="5">
        <f>SUMPRODUCT(I992:M992,$AJ$13:$AN$13)</f>
        <v>1.7075546337942567E-2</v>
      </c>
      <c r="P992" s="2" t="s">
        <v>983</v>
      </c>
      <c r="Q992" s="10" cm="1">
        <f t="array" aca="1" ref="Q992:U992" ca="1">_xlfn.LET(_xlpm.array,_xlfn.RANDARRAY(1,COLUMNS(_xlfn.ANCHORARRAY(Q991)),0,1,FALSE),_xlpm.array/SUM(_xlpm.array))</f>
        <v>0.16419685075874363</v>
      </c>
      <c r="R992" s="2">
        <f ca="1"/>
        <v>0.33521942923238462</v>
      </c>
      <c r="S992" s="2">
        <f ca="1"/>
        <v>0.3316568877404012</v>
      </c>
      <c r="T992" s="2">
        <f ca="1"/>
        <v>0.11275310345827776</v>
      </c>
      <c r="U992" s="2">
        <f ca="1"/>
        <v>5.617372881019303E-2</v>
      </c>
      <c r="V992" s="12"/>
      <c r="X992" s="2" cm="1">
        <f t="array" aca="1" ref="X992" ca="1">MMULT(MMULT(_xlfn.ANCHORARRAY(Q992),$Q$9:$U$13),TRANSPOSE(_xlfn.ANCHORARRAY(Q992)))</f>
        <v>3.3598655477971867E-4</v>
      </c>
      <c r="Y992" s="2">
        <f t="shared" ca="1" si="36"/>
        <v>1.8329936027703934E-2</v>
      </c>
      <c r="Z992" s="2" cm="1">
        <f t="array" aca="1" ref="Z992" ca="1">MMULT(_xlfn.ANCHORARRAY(Q992),TRANSPOSE($Q$3:$U$3))</f>
        <v>1.025008985164568E-3</v>
      </c>
      <c r="AA992" s="11">
        <f ca="1">AVEDEV(Q992*$Q$3,R992*$R$3,S992*$S$3,T992*$T$3,U992*$U$3)</f>
        <v>1.49359106136383E-4</v>
      </c>
      <c r="AB992" s="11" cm="1">
        <f t="array" aca="1" ref="AB992" ca="1">MMULT(_xlfn.ANCHORARRAY(Q992),TRANSPOSE($Q$6:$U$6))</f>
        <v>-2.3425866656075302E-2</v>
      </c>
      <c r="AD992" s="2" t="s">
        <v>983</v>
      </c>
      <c r="AE992" s="10" cm="1">
        <f t="array" aca="1" ref="AE992:AI992" ca="1">_xlfn.LET(_xlpm.array,_xlfn.RANDARRAY(1,COLUMNS(_xlfn.ANCHORARRAY(Q991)),-1,1,FALSE),_xlpm.array/SUM(_xlpm.array))</f>
        <v>0.34311006559453078</v>
      </c>
      <c r="AF992" s="10">
        <f ca="1"/>
        <v>-0.70712526686995614</v>
      </c>
      <c r="AG992" s="10">
        <f ca="1"/>
        <v>0.53480816535491948</v>
      </c>
      <c r="AH992" s="10">
        <f ca="1"/>
        <v>1.4090119010122495</v>
      </c>
      <c r="AI992" s="10">
        <f ca="1"/>
        <v>-0.57980486509174367</v>
      </c>
      <c r="AJ992" s="1"/>
      <c r="AK992" s="2" cm="1">
        <f t="array" aca="1" ref="AK992" ca="1">MMULT(MMULT(_xlfn.ANCHORARRAY(AE992),$Q$9:$U$13),TRANSPOSE(_xlfn.ANCHORARRAY(AE992)))</f>
        <v>1.1068076090098437E-3</v>
      </c>
      <c r="AL992" s="2">
        <f t="shared" ca="1" si="37"/>
        <v>3.3268718175034094E-2</v>
      </c>
      <c r="AM992" s="2" cm="1">
        <f t="array" aca="1" ref="AM992" ca="1">MMULT(_xlfn.ANCHORARRAY(AE993),TRANSPOSE($Q$3:$U$3))</f>
        <v>8.7800189529591097E-4</v>
      </c>
    </row>
    <row r="993" spans="1:39" x14ac:dyDescent="0.35">
      <c r="A993" s="3">
        <v>45268</v>
      </c>
      <c r="B993" s="4">
        <v>29.342388153076101</v>
      </c>
      <c r="C993" s="4">
        <v>130.939529418945</v>
      </c>
      <c r="D993" s="4">
        <v>66.155548095703097</v>
      </c>
      <c r="E993" s="4">
        <v>25.463588714599599</v>
      </c>
      <c r="F993" s="4">
        <v>367.89260864257801</v>
      </c>
      <c r="I993" s="5">
        <f>B993/B992-1</f>
        <v>9.7847072956813719E-3</v>
      </c>
      <c r="J993" s="5">
        <f>C993/C992-1</f>
        <v>1.3270727541410121E-2</v>
      </c>
      <c r="K993" s="5">
        <f>D993/D992-1</f>
        <v>1.6036257211733407E-3</v>
      </c>
      <c r="L993" s="5">
        <f>E993/E992-1</f>
        <v>1.4497694132411532E-2</v>
      </c>
      <c r="M993" s="5">
        <f>F993/F992-1</f>
        <v>8.8423360953040486E-3</v>
      </c>
      <c r="N993" s="5">
        <f>SUMPRODUCT(I993:M993,$AJ$13:$AN$13)</f>
        <v>7.2982125210388216E-3</v>
      </c>
      <c r="P993" s="2" t="s">
        <v>984</v>
      </c>
      <c r="Q993" s="10" cm="1">
        <f t="array" aca="1" ref="Q993:U993" ca="1">_xlfn.LET(_xlpm.array,_xlfn.RANDARRAY(1,COLUMNS(_xlfn.ANCHORARRAY(Q992)),0,1,FALSE),_xlpm.array/SUM(_xlpm.array))</f>
        <v>0.21356311130296415</v>
      </c>
      <c r="R993" s="2">
        <f ca="1"/>
        <v>0.12224221097887393</v>
      </c>
      <c r="S993" s="2">
        <f ca="1"/>
        <v>0.20120300657157869</v>
      </c>
      <c r="T993" s="2">
        <f ca="1"/>
        <v>0.10116631922991266</v>
      </c>
      <c r="U993" s="2">
        <f ca="1"/>
        <v>0.36182535191667048</v>
      </c>
      <c r="V993" s="12"/>
      <c r="X993" s="2" cm="1">
        <f t="array" aca="1" ref="X993" ca="1">MMULT(MMULT(_xlfn.ANCHORARRAY(Q993),$Q$9:$U$13),TRANSPOSE(_xlfn.ANCHORARRAY(Q993)))</f>
        <v>2.637161303127853E-4</v>
      </c>
      <c r="Y993" s="2">
        <f t="shared" ca="1" si="36"/>
        <v>1.6239338974009542E-2</v>
      </c>
      <c r="Z993" s="2" cm="1">
        <f t="array" aca="1" ref="Z993" ca="1">MMULT(_xlfn.ANCHORARRAY(Q993),TRANSPOSE($Q$3:$U$3))</f>
        <v>9.0465927024878433E-4</v>
      </c>
      <c r="AA993" s="11">
        <f ca="1">AVEDEV(Q993*$Q$3,R993*$R$3,S993*$S$3,T993*$T$3,U993*$U$3)</f>
        <v>9.6653452787498872E-5</v>
      </c>
      <c r="AB993" s="11" cm="1">
        <f t="array" aca="1" ref="AB993" ca="1">MMULT(_xlfn.ANCHORARRAY(Q993),TRANSPOSE($Q$6:$U$6))</f>
        <v>-2.2424571402697005E-2</v>
      </c>
      <c r="AD993" s="2" t="s">
        <v>984</v>
      </c>
      <c r="AE993" s="10" cm="1">
        <f t="array" aca="1" ref="AE993:AI993" ca="1">_xlfn.LET(_xlpm.array,_xlfn.RANDARRAY(1,COLUMNS(_xlfn.ANCHORARRAY(Q992)),-1,1,FALSE),_xlpm.array/SUM(_xlpm.array))</f>
        <v>0.27276938890130698</v>
      </c>
      <c r="AF993" s="10">
        <f ca="1"/>
        <v>0.25082910472901337</v>
      </c>
      <c r="AG993" s="10">
        <f ca="1"/>
        <v>0.22665734025579784</v>
      </c>
      <c r="AH993" s="10">
        <f ca="1"/>
        <v>-1.1320950475479508E-2</v>
      </c>
      <c r="AI993" s="10">
        <f ca="1"/>
        <v>0.26106511658936132</v>
      </c>
      <c r="AJ993" s="1"/>
      <c r="AK993" s="2" cm="1">
        <f t="array" aca="1" ref="AK993" ca="1">MMULT(MMULT(_xlfn.ANCHORARRAY(AE993),$Q$9:$U$13),TRANSPOSE(_xlfn.ANCHORARRAY(AE993)))</f>
        <v>2.8296828015090733E-4</v>
      </c>
      <c r="AL993" s="2">
        <f t="shared" ca="1" si="37"/>
        <v>1.6821661040185874E-2</v>
      </c>
      <c r="AM993" s="2" cm="1">
        <f t="array" aca="1" ref="AM993" ca="1">MMULT(_xlfn.ANCHORARRAY(AE994),TRANSPOSE($Q$3:$U$3))</f>
        <v>3.8189418431349023E-3</v>
      </c>
    </row>
    <row r="994" spans="1:39" x14ac:dyDescent="0.35">
      <c r="A994" s="3">
        <v>45271</v>
      </c>
      <c r="B994" s="4">
        <v>29.238136291503899</v>
      </c>
      <c r="C994" s="4">
        <v>130.97579956054599</v>
      </c>
      <c r="D994" s="4">
        <v>66.675552368164006</v>
      </c>
      <c r="E994" s="4">
        <v>25.0666198730468</v>
      </c>
      <c r="F994" s="4">
        <v>365.01217651367102</v>
      </c>
      <c r="I994" s="5">
        <f>B994/B993-1</f>
        <v>-3.5529439876649249E-3</v>
      </c>
      <c r="J994" s="5">
        <f>C994/C993-1</f>
        <v>2.7699917482482128E-4</v>
      </c>
      <c r="K994" s="5">
        <f>D994/D993-1</f>
        <v>7.8603274771249509E-3</v>
      </c>
      <c r="L994" s="5">
        <f>E994/E993-1</f>
        <v>-1.5589665934448438E-2</v>
      </c>
      <c r="M994" s="5">
        <f>F994/F993-1</f>
        <v>-7.829546071977278E-3</v>
      </c>
      <c r="N994" s="5">
        <f>SUMPRODUCT(I994:M994,$AJ$13:$AN$13)</f>
        <v>-4.788659584618481E-3</v>
      </c>
      <c r="P994" s="2" t="s">
        <v>985</v>
      </c>
      <c r="Q994" s="10" cm="1">
        <f t="array" aca="1" ref="Q994:U994" ca="1">_xlfn.LET(_xlpm.array,_xlfn.RANDARRAY(1,COLUMNS(_xlfn.ANCHORARRAY(Q993)),0,1,FALSE),_xlpm.array/SUM(_xlpm.array))</f>
        <v>8.5681723454745465E-2</v>
      </c>
      <c r="R994" s="2">
        <f ca="1"/>
        <v>0.33522791097425092</v>
      </c>
      <c r="S994" s="2">
        <f ca="1"/>
        <v>0.17847471578676505</v>
      </c>
      <c r="T994" s="2">
        <f ca="1"/>
        <v>9.6028634731611856E-2</v>
      </c>
      <c r="U994" s="2">
        <f ca="1"/>
        <v>0.30458701505262675</v>
      </c>
      <c r="V994" s="12"/>
      <c r="X994" s="2" cm="1">
        <f t="array" aca="1" ref="X994" ca="1">MMULT(MMULT(_xlfn.ANCHORARRAY(Q994),$Q$9:$U$13),TRANSPOSE(_xlfn.ANCHORARRAY(Q994)))</f>
        <v>2.6555251963043916E-4</v>
      </c>
      <c r="Y994" s="2">
        <f t="shared" ca="1" si="36"/>
        <v>1.6295782265065988E-2</v>
      </c>
      <c r="Z994" s="2" cm="1">
        <f t="array" aca="1" ref="Z994" ca="1">MMULT(_xlfn.ANCHORARRAY(Q994),TRANSPOSE($Q$3:$U$3))</f>
        <v>9.092560410850646E-4</v>
      </c>
      <c r="AA994" s="11">
        <f ca="1">AVEDEV(Q994*$Q$3,R994*$R$3,S994*$S$3,T994*$T$3,U994*$U$3)</f>
        <v>8.8820201646363351E-5</v>
      </c>
      <c r="AB994" s="11" cm="1">
        <f t="array" aca="1" ref="AB994" ca="1">MMULT(_xlfn.ANCHORARRAY(Q994),TRANSPOSE($Q$6:$U$6))</f>
        <v>-2.2149950541385997E-2</v>
      </c>
      <c r="AD994" s="2" t="s">
        <v>985</v>
      </c>
      <c r="AE994" s="10" cm="1">
        <f t="array" aca="1" ref="AE994:AI994" ca="1">_xlfn.LET(_xlpm.array,_xlfn.RANDARRAY(1,COLUMNS(_xlfn.ANCHORARRAY(Q993)),-1,1,FALSE),_xlpm.array/SUM(_xlpm.array))</f>
        <v>-1.4353280100194441</v>
      </c>
      <c r="AF994" s="10">
        <f ca="1"/>
        <v>-1.6116744158964489</v>
      </c>
      <c r="AG994" s="10">
        <f ca="1"/>
        <v>2.2585749778397708</v>
      </c>
      <c r="AH994" s="10">
        <f ca="1"/>
        <v>2.6854944407587356</v>
      </c>
      <c r="AI994" s="10">
        <f ca="1"/>
        <v>-0.89706699268261347</v>
      </c>
      <c r="AJ994" s="1"/>
      <c r="AK994" s="2" cm="1">
        <f t="array" aca="1" ref="AK994" ca="1">MMULT(MMULT(_xlfn.ANCHORARRAY(AE994),$Q$9:$U$13),TRANSPOSE(_xlfn.ANCHORARRAY(AE994)))</f>
        <v>5.9263765076434582E-3</v>
      </c>
      <c r="AL994" s="2">
        <f t="shared" ca="1" si="37"/>
        <v>7.6982962450424436E-2</v>
      </c>
      <c r="AM994" s="2" cm="1">
        <f t="array" aca="1" ref="AM994" ca="1">MMULT(_xlfn.ANCHORARRAY(AE995),TRANSPOSE($Q$3:$U$3))</f>
        <v>-3.23181896734831E-4</v>
      </c>
    </row>
    <row r="995" spans="1:39" x14ac:dyDescent="0.35">
      <c r="A995" s="3">
        <v>45272</v>
      </c>
      <c r="B995" s="4">
        <v>29.133882522583001</v>
      </c>
      <c r="C995" s="4">
        <v>129.29722595214801</v>
      </c>
      <c r="D995" s="4">
        <v>67.397773742675696</v>
      </c>
      <c r="E995" s="4">
        <v>24.917757034301701</v>
      </c>
      <c r="F995" s="4">
        <v>368.0400390625</v>
      </c>
      <c r="I995" s="5">
        <f>B995/B994-1</f>
        <v>-3.565677643796783E-3</v>
      </c>
      <c r="J995" s="5">
        <f>C995/C994-1</f>
        <v>-1.2815906557012702E-2</v>
      </c>
      <c r="K995" s="5">
        <f>D995/D994-1</f>
        <v>1.0831876885305514E-2</v>
      </c>
      <c r="L995" s="5">
        <f>E995/E994-1</f>
        <v>-5.9386881637426558E-3</v>
      </c>
      <c r="M995" s="5">
        <f>F995/F994-1</f>
        <v>8.2952371007150028E-3</v>
      </c>
      <c r="N995" s="5">
        <f>SUMPRODUCT(I995:M995,$AJ$13:$AN$13)</f>
        <v>7.0870741299883019E-3</v>
      </c>
      <c r="P995" s="2" t="s">
        <v>986</v>
      </c>
      <c r="Q995" s="10" cm="1">
        <f t="array" aca="1" ref="Q995:U995" ca="1">_xlfn.LET(_xlpm.array,_xlfn.RANDARRAY(1,COLUMNS(_xlfn.ANCHORARRAY(Q994)),0,1,FALSE),_xlpm.array/SUM(_xlpm.array))</f>
        <v>7.7754050298496122E-2</v>
      </c>
      <c r="R995" s="2">
        <f ca="1"/>
        <v>0.16878604775093078</v>
      </c>
      <c r="S995" s="2">
        <f ca="1"/>
        <v>0.12426156620312355</v>
      </c>
      <c r="T995" s="2">
        <f ca="1"/>
        <v>0.50214804226770848</v>
      </c>
      <c r="U995" s="2">
        <f ca="1"/>
        <v>0.12705029347974109</v>
      </c>
      <c r="V995" s="12"/>
      <c r="X995" s="2" cm="1">
        <f t="array" aca="1" ref="X995" ca="1">MMULT(MMULT(_xlfn.ANCHORARRAY(Q995),$Q$9:$U$13),TRANSPOSE(_xlfn.ANCHORARRAY(Q995)))</f>
        <v>3.3356580791672849E-4</v>
      </c>
      <c r="Y995" s="2">
        <f t="shared" ca="1" si="36"/>
        <v>1.8263784052510272E-2</v>
      </c>
      <c r="Z995" s="2" cm="1">
        <f t="array" aca="1" ref="Z995" ca="1">MMULT(_xlfn.ANCHORARRAY(Q995),TRANSPOSE($Q$3:$U$3))</f>
        <v>9.7475118915721208E-4</v>
      </c>
      <c r="AA995" s="11">
        <f ca="1">AVEDEV(Q995*$Q$3,R995*$R$3,S995*$S$3,T995*$T$3,U995*$U$3)</f>
        <v>1.2996137766160804E-4</v>
      </c>
      <c r="AB995" s="11" cm="1">
        <f t="array" aca="1" ref="AB995" ca="1">MMULT(_xlfn.ANCHORARRAY(Q995),TRANSPOSE($Q$6:$U$6))</f>
        <v>-2.3723807094764595E-2</v>
      </c>
      <c r="AD995" s="2" t="s">
        <v>986</v>
      </c>
      <c r="AE995" s="10" cm="1">
        <f t="array" aca="1" ref="AE995:AI995" ca="1">_xlfn.LET(_xlpm.array,_xlfn.RANDARRAY(1,COLUMNS(_xlfn.ANCHORARRAY(Q994)),-1,1,FALSE),_xlpm.array/SUM(_xlpm.array))</f>
        <v>-0.19833265121283586</v>
      </c>
      <c r="AF995" s="10">
        <f ca="1"/>
        <v>0.10752474643583163</v>
      </c>
      <c r="AG995" s="10">
        <f ca="1"/>
        <v>-1.3036517168135808</v>
      </c>
      <c r="AH995" s="10">
        <f ca="1"/>
        <v>-5.9116807147785166E-2</v>
      </c>
      <c r="AI995" s="10">
        <f ca="1"/>
        <v>2.4535764287383701</v>
      </c>
      <c r="AJ995" s="1"/>
      <c r="AK995" s="2" cm="1">
        <f t="array" aca="1" ref="AK995" ca="1">MMULT(MMULT(_xlfn.ANCHORARRAY(AE995),$Q$9:$U$13),TRANSPOSE(_xlfn.ANCHORARRAY(AE995)))</f>
        <v>2.0584857692484732E-3</v>
      </c>
      <c r="AL995" s="2">
        <f t="shared" ca="1" si="37"/>
        <v>4.5370538560264781E-2</v>
      </c>
      <c r="AM995" s="2" cm="1">
        <f t="array" aca="1" ref="AM995" ca="1">MMULT(_xlfn.ANCHORARRAY(AE996),TRANSPOSE($Q$3:$U$3))</f>
        <v>9.2149345334650141E-4</v>
      </c>
    </row>
    <row r="996" spans="1:39" x14ac:dyDescent="0.35">
      <c r="A996" s="3">
        <v>45273</v>
      </c>
      <c r="B996" s="4">
        <v>30.365959167480401</v>
      </c>
      <c r="C996" s="4">
        <v>131.21173095703099</v>
      </c>
      <c r="D996" s="4">
        <v>67.282234191894503</v>
      </c>
      <c r="E996" s="4">
        <v>25.513206481933501</v>
      </c>
      <c r="F996" s="4">
        <v>368.03015136718699</v>
      </c>
      <c r="I996" s="5">
        <f>B996/B995-1</f>
        <v>4.2290163143973825E-2</v>
      </c>
      <c r="J996" s="5">
        <f>C996/C995-1</f>
        <v>1.480700758105602E-2</v>
      </c>
      <c r="K996" s="5">
        <f>D996/D995-1</f>
        <v>-1.7142932824802948E-3</v>
      </c>
      <c r="L996" s="5">
        <f>E996/E995-1</f>
        <v>2.3896590965716058E-2</v>
      </c>
      <c r="M996" s="5">
        <f>F996/F995-1</f>
        <v>-2.6865814214627193E-5</v>
      </c>
      <c r="N996" s="5">
        <f>SUMPRODUCT(I996:M996,$AJ$13:$AN$13)</f>
        <v>-2.4517049887576897E-3</v>
      </c>
      <c r="P996" s="2" t="s">
        <v>987</v>
      </c>
      <c r="Q996" s="10" cm="1">
        <f t="array" aca="1" ref="Q996:U996" ca="1">_xlfn.LET(_xlpm.array,_xlfn.RANDARRAY(1,COLUMNS(_xlfn.ANCHORARRAY(Q995)),0,1,FALSE),_xlpm.array/SUM(_xlpm.array))</f>
        <v>0.25380798424095719</v>
      </c>
      <c r="R996" s="2">
        <f ca="1"/>
        <v>0.17127389356495626</v>
      </c>
      <c r="S996" s="2">
        <f ca="1"/>
        <v>8.2473301189510115E-2</v>
      </c>
      <c r="T996" s="2">
        <f ca="1"/>
        <v>0.25413907781621531</v>
      </c>
      <c r="U996" s="2">
        <f ca="1"/>
        <v>0.23830574318836112</v>
      </c>
      <c r="V996" s="12"/>
      <c r="X996" s="2" cm="1">
        <f t="array" aca="1" ref="X996" ca="1">MMULT(MMULT(_xlfn.ANCHORARRAY(Q996),$Q$9:$U$13),TRANSPOSE(_xlfn.ANCHORARRAY(Q996)))</f>
        <v>2.6715677529716539E-4</v>
      </c>
      <c r="Y996" s="2">
        <f t="shared" ca="1" si="36"/>
        <v>1.6344931180557642E-2</v>
      </c>
      <c r="Z996" s="2" cm="1">
        <f t="array" aca="1" ref="Z996" ca="1">MMULT(_xlfn.ANCHORARRAY(Q996),TRANSPOSE($Q$3:$U$3))</f>
        <v>8.2990643762504801E-4</v>
      </c>
      <c r="AA996" s="11">
        <f ca="1">AVEDEV(Q996*$Q$3,R996*$R$3,S996*$S$3,T996*$T$3,U996*$U$3)</f>
        <v>4.3975726789501789E-5</v>
      </c>
      <c r="AB996" s="11" cm="1">
        <f t="array" aca="1" ref="AB996" ca="1">MMULT(_xlfn.ANCHORARRAY(Q996),TRANSPOSE($Q$6:$U$6))</f>
        <v>-2.2443513262669895E-2</v>
      </c>
      <c r="AD996" s="2" t="s">
        <v>987</v>
      </c>
      <c r="AE996" s="10" cm="1">
        <f t="array" aca="1" ref="AE996:AI996" ca="1">_xlfn.LET(_xlpm.array,_xlfn.RANDARRAY(1,COLUMNS(_xlfn.ANCHORARRAY(Q995)),-1,1,FALSE),_xlpm.array/SUM(_xlpm.array))</f>
        <v>-1.1713943450727327</v>
      </c>
      <c r="AF996" s="10">
        <f ca="1"/>
        <v>1.7100311966226647</v>
      </c>
      <c r="AG996" s="10">
        <f ca="1"/>
        <v>0.21238932843963398</v>
      </c>
      <c r="AH996" s="10">
        <f ca="1"/>
        <v>-1.0407652610741007</v>
      </c>
      <c r="AI996" s="10">
        <f ca="1"/>
        <v>1.2897390810845346</v>
      </c>
      <c r="AJ996" s="1"/>
      <c r="AK996" s="2" cm="1">
        <f t="array" aca="1" ref="AK996" ca="1">MMULT(MMULT(_xlfn.ANCHORARRAY(AE996),$Q$9:$U$13),TRANSPOSE(_xlfn.ANCHORARRAY(AE996)))</f>
        <v>1.2228637340396449E-3</v>
      </c>
      <c r="AL996" s="2">
        <f t="shared" ca="1" si="37"/>
        <v>3.4969468598187829E-2</v>
      </c>
      <c r="AM996" s="2" cm="1">
        <f t="array" aca="1" ref="AM996" ca="1">MMULT(_xlfn.ANCHORARRAY(AE997),TRANSPOSE($Q$3:$U$3))</f>
        <v>1.031170217277352E-3</v>
      </c>
    </row>
    <row r="997" spans="1:39" x14ac:dyDescent="0.35">
      <c r="A997" s="3">
        <v>45274</v>
      </c>
      <c r="B997" s="4">
        <v>32.166690826416001</v>
      </c>
      <c r="C997" s="4">
        <v>136.038818359375</v>
      </c>
      <c r="D997" s="4">
        <v>69.747406005859304</v>
      </c>
      <c r="E997" s="4">
        <v>26.1251907348632</v>
      </c>
      <c r="F997" s="4">
        <v>359.73312377929602</v>
      </c>
      <c r="I997" s="5">
        <f>B997/B996-1</f>
        <v>5.9300997179237536E-2</v>
      </c>
      <c r="J997" s="5">
        <f>C997/C996-1</f>
        <v>3.6788535347687557E-2</v>
      </c>
      <c r="K997" s="5">
        <f>D997/D996-1</f>
        <v>3.6639268056021024E-2</v>
      </c>
      <c r="L997" s="5">
        <f>E997/E996-1</f>
        <v>2.3986959591420165E-2</v>
      </c>
      <c r="M997" s="5">
        <f>F997/F996-1</f>
        <v>-2.2544423485599041E-2</v>
      </c>
      <c r="N997" s="5">
        <f>SUMPRODUCT(I997:M997,$AJ$13:$AN$13)</f>
        <v>4.3983576691847999E-3</v>
      </c>
      <c r="P997" s="2" t="s">
        <v>988</v>
      </c>
      <c r="Q997" s="10" cm="1">
        <f t="array" aca="1" ref="Q997:U997" ca="1">_xlfn.LET(_xlpm.array,_xlfn.RANDARRAY(1,COLUMNS(_xlfn.ANCHORARRAY(Q996)),0,1,FALSE),_xlpm.array/SUM(_xlpm.array))</f>
        <v>0.18070135733943582</v>
      </c>
      <c r="R997" s="2">
        <f ca="1"/>
        <v>0.32375059333795703</v>
      </c>
      <c r="S997" s="2">
        <f ca="1"/>
        <v>0.31465438204973611</v>
      </c>
      <c r="T997" s="2">
        <f ca="1"/>
        <v>5.7101025096792907E-2</v>
      </c>
      <c r="U997" s="2">
        <f ca="1"/>
        <v>0.12379264217607816</v>
      </c>
      <c r="V997" s="12"/>
      <c r="X997" s="2" cm="1">
        <f t="array" aca="1" ref="X997" ca="1">MMULT(MMULT(_xlfn.ANCHORARRAY(Q997),$Q$9:$U$13),TRANSPOSE(_xlfn.ANCHORARRAY(Q997)))</f>
        <v>3.1760193974242438E-4</v>
      </c>
      <c r="Y997" s="2">
        <f t="shared" ca="1" si="36"/>
        <v>1.782138994978855E-2</v>
      </c>
      <c r="Z997" s="2" cm="1">
        <f t="array" aca="1" ref="Z997" ca="1">MMULT(_xlfn.ANCHORARRAY(Q997),TRANSPOSE($Q$3:$U$3))</f>
        <v>9.9227373213825118E-4</v>
      </c>
      <c r="AA997" s="11">
        <f ca="1">AVEDEV(Q997*$Q$3,R997*$R$3,S997*$S$3,T997*$T$3,U997*$U$3)</f>
        <v>1.4020191693783014E-4</v>
      </c>
      <c r="AB997" s="11" cm="1">
        <f t="array" aca="1" ref="AB997" ca="1">MMULT(_xlfn.ANCHORARRAY(Q997),TRANSPOSE($Q$6:$U$6))</f>
        <v>-2.3045360165594345E-2</v>
      </c>
      <c r="AD997" s="2" t="s">
        <v>988</v>
      </c>
      <c r="AE997" s="10" cm="1">
        <f t="array" aca="1" ref="AE997:AI997" ca="1">_xlfn.LET(_xlpm.array,_xlfn.RANDARRAY(1,COLUMNS(_xlfn.ANCHORARRAY(Q996)),-1,1,FALSE),_xlpm.array/SUM(_xlpm.array))</f>
        <v>0.47103794093462109</v>
      </c>
      <c r="AF997" s="10">
        <f ca="1"/>
        <v>-0.21414895739211673</v>
      </c>
      <c r="AG997" s="10">
        <f ca="1"/>
        <v>0.31211137270339029</v>
      </c>
      <c r="AH997" s="10">
        <f ca="1"/>
        <v>0.43474299088516355</v>
      </c>
      <c r="AI997" s="10">
        <f ca="1"/>
        <v>-3.743347131058253E-3</v>
      </c>
      <c r="AJ997" s="1"/>
      <c r="AK997" s="2" cm="1">
        <f t="array" aca="1" ref="AK997" ca="1">MMULT(MMULT(_xlfn.ANCHORARRAY(AE997),$Q$9:$U$13),TRANSPOSE(_xlfn.ANCHORARRAY(AE997)))</f>
        <v>3.8214218079847762E-4</v>
      </c>
      <c r="AL997" s="2">
        <f t="shared" ca="1" si="37"/>
        <v>1.9548457248552316E-2</v>
      </c>
      <c r="AM997" s="2" cm="1">
        <f t="array" aca="1" ref="AM997" ca="1">MMULT(_xlfn.ANCHORARRAY(AE998),TRANSPOSE($Q$3:$U$3))</f>
        <v>1.9830147734506923E-3</v>
      </c>
    </row>
    <row r="998" spans="1:39" x14ac:dyDescent="0.35">
      <c r="A998" s="3">
        <v>45275</v>
      </c>
      <c r="B998" s="4">
        <v>31.844453811645501</v>
      </c>
      <c r="C998" s="4">
        <v>135.51257324218699</v>
      </c>
      <c r="D998" s="4">
        <v>68.9674072265625</v>
      </c>
      <c r="E998" s="4">
        <v>25.521476745605401</v>
      </c>
      <c r="F998" s="4">
        <v>364.451904296875</v>
      </c>
      <c r="I998" s="5">
        <f>B998/B997-1</f>
        <v>-1.001772350502006E-2</v>
      </c>
      <c r="J998" s="5">
        <f>C998/C997-1</f>
        <v>-3.8683452527338291E-3</v>
      </c>
      <c r="K998" s="5">
        <f>D998/D997-1</f>
        <v>-1.1183194099451899E-2</v>
      </c>
      <c r="L998" s="5">
        <f>E998/E997-1</f>
        <v>-2.3108500733438175E-2</v>
      </c>
      <c r="M998" s="5">
        <f>F998/F997-1</f>
        <v>1.3117447923628012E-2</v>
      </c>
      <c r="N998" s="5">
        <f>SUMPRODUCT(I998:M998,$AJ$13:$AN$13)</f>
        <v>-9.2145563378619282E-3</v>
      </c>
      <c r="P998" s="2" t="s">
        <v>989</v>
      </c>
      <c r="Q998" s="10" cm="1">
        <f t="array" aca="1" ref="Q998:U998" ca="1">_xlfn.LET(_xlpm.array,_xlfn.RANDARRAY(1,COLUMNS(_xlfn.ANCHORARRAY(Q997)),0,1,FALSE),_xlpm.array/SUM(_xlpm.array))</f>
        <v>0.31136303960020933</v>
      </c>
      <c r="R998" s="2">
        <f ca="1"/>
        <v>9.8903262036060743E-2</v>
      </c>
      <c r="S998" s="2">
        <f ca="1"/>
        <v>0.17768130231328177</v>
      </c>
      <c r="T998" s="2">
        <f ca="1"/>
        <v>0.19511493440006847</v>
      </c>
      <c r="U998" s="2">
        <f ca="1"/>
        <v>0.21693746165037969</v>
      </c>
      <c r="V998" s="12"/>
      <c r="X998" s="2" cm="1">
        <f t="array" aca="1" ref="X998" ca="1">MMULT(MMULT(_xlfn.ANCHORARRAY(Q998),$Q$9:$U$13),TRANSPOSE(_xlfn.ANCHORARRAY(Q998)))</f>
        <v>2.7515616993117187E-4</v>
      </c>
      <c r="Y998" s="2">
        <f t="shared" ca="1" si="36"/>
        <v>1.6587831984053007E-2</v>
      </c>
      <c r="Z998" s="2" cm="1">
        <f t="array" aca="1" ref="Z998" ca="1">MMULT(_xlfn.ANCHORARRAY(Q998),TRANSPOSE($Q$3:$U$3))</f>
        <v>8.8428489726532751E-4</v>
      </c>
      <c r="AA998" s="11">
        <f ca="1">AVEDEV(Q998*$Q$3,R998*$R$3,S998*$S$3,T998*$T$3,U998*$U$3)</f>
        <v>5.3669348851542587E-5</v>
      </c>
      <c r="AB998" s="11" cm="1">
        <f t="array" aca="1" ref="AB998" ca="1">MMULT(_xlfn.ANCHORARRAY(Q998),TRANSPOSE($Q$6:$U$6))</f>
        <v>-2.2866059837752185E-2</v>
      </c>
      <c r="AD998" s="2" t="s">
        <v>989</v>
      </c>
      <c r="AE998" s="10" cm="1">
        <f t="array" aca="1" ref="AE998:AI998" ca="1">_xlfn.LET(_xlpm.array,_xlfn.RANDARRAY(1,COLUMNS(_xlfn.ANCHORARRAY(Q997)),-1,1,FALSE),_xlpm.array/SUM(_xlpm.array))</f>
        <v>0.333452756077461</v>
      </c>
      <c r="AF998" s="10">
        <f ca="1"/>
        <v>-0.95813632773220758</v>
      </c>
      <c r="AG998" s="10">
        <f ca="1"/>
        <v>1.0746754543490458</v>
      </c>
      <c r="AH998" s="10">
        <f ca="1"/>
        <v>1.3524426317871108</v>
      </c>
      <c r="AI998" s="10">
        <f ca="1"/>
        <v>-0.80243451448140979</v>
      </c>
      <c r="AJ998" s="1"/>
      <c r="AK998" s="2" cm="1">
        <f t="array" aca="1" ref="AK998" ca="1">MMULT(MMULT(_xlfn.ANCHORARRAY(AE998),$Q$9:$U$13),TRANSPOSE(_xlfn.ANCHORARRAY(AE998)))</f>
        <v>1.6136494618458875E-3</v>
      </c>
      <c r="AL998" s="2">
        <f t="shared" ca="1" si="37"/>
        <v>4.017025593453305E-2</v>
      </c>
      <c r="AM998" s="2" cm="1">
        <f t="array" aca="1" ref="AM998" ca="1">MMULT(_xlfn.ANCHORARRAY(AE999),TRANSPOSE($Q$3:$U$3))</f>
        <v>1.5790943218560174E-3</v>
      </c>
    </row>
    <row r="999" spans="1:39" x14ac:dyDescent="0.35">
      <c r="A999" s="3">
        <v>45278</v>
      </c>
      <c r="B999" s="4">
        <v>31.683330535888601</v>
      </c>
      <c r="C999" s="4">
        <v>135.81196594238199</v>
      </c>
      <c r="D999" s="4">
        <v>70.652603149414006</v>
      </c>
      <c r="E999" s="4">
        <v>26.224431991577099</v>
      </c>
      <c r="F999" s="4">
        <v>366.33929443359301</v>
      </c>
      <c r="I999" s="5">
        <f>B999/B998-1</f>
        <v>-5.0596966338287697E-3</v>
      </c>
      <c r="J999" s="5">
        <f>C999/C998-1</f>
        <v>2.2093352154115564E-3</v>
      </c>
      <c r="K999" s="5">
        <f>D999/D998-1</f>
        <v>2.4434671254430773E-2</v>
      </c>
      <c r="L999" s="5">
        <f>E999/E998-1</f>
        <v>2.7543674411111052E-2</v>
      </c>
      <c r="M999" s="5">
        <f>F999/F998-1</f>
        <v>5.1787083959933256E-3</v>
      </c>
      <c r="N999" s="5">
        <f>SUMPRODUCT(I999:M999,$AJ$13:$AN$13)</f>
        <v>2.8713301176284282E-2</v>
      </c>
      <c r="P999" s="2" t="s">
        <v>990</v>
      </c>
      <c r="Q999" s="10" cm="1">
        <f t="array" aca="1" ref="Q999:U999" ca="1">_xlfn.LET(_xlpm.array,_xlfn.RANDARRAY(1,COLUMNS(_xlfn.ANCHORARRAY(Q998)),0,1,FALSE),_xlpm.array/SUM(_xlpm.array))</f>
        <v>7.8098770458444086E-2</v>
      </c>
      <c r="R999" s="2">
        <f ca="1"/>
        <v>6.1395773038514782E-2</v>
      </c>
      <c r="S999" s="2">
        <f ca="1"/>
        <v>5.917178665089759E-2</v>
      </c>
      <c r="T999" s="2">
        <f ca="1"/>
        <v>0.49399741289066151</v>
      </c>
      <c r="U999" s="2">
        <f ca="1"/>
        <v>0.30733625696148203</v>
      </c>
      <c r="V999" s="12"/>
      <c r="X999" s="2" cm="1">
        <f t="array" aca="1" ref="X999" ca="1">MMULT(MMULT(_xlfn.ANCHORARRAY(Q999),$Q$9:$U$13),TRANSPOSE(_xlfn.ANCHORARRAY(Q999)))</f>
        <v>2.9204420658019732E-4</v>
      </c>
      <c r="Y999" s="2">
        <f t="shared" ca="1" si="36"/>
        <v>1.7089300938897333E-2</v>
      </c>
      <c r="Z999" s="2" cm="1">
        <f t="array" aca="1" ref="Z999" ca="1">MMULT(_xlfn.ANCHORARRAY(Q999),TRANSPOSE($Q$3:$U$3))</f>
        <v>9.2036555238165162E-4</v>
      </c>
      <c r="AA999" s="11">
        <f ca="1">AVEDEV(Q999*$Q$3,R999*$R$3,S999*$S$3,T999*$T$3,U999*$U$3)</f>
        <v>1.4863892249134458E-4</v>
      </c>
      <c r="AB999" s="11" cm="1">
        <f t="array" aca="1" ref="AB999" ca="1">MMULT(_xlfn.ANCHORARRAY(Q999),TRANSPOSE($Q$6:$U$6))</f>
        <v>-2.3175830046783578E-2</v>
      </c>
      <c r="AD999" s="2" t="s">
        <v>990</v>
      </c>
      <c r="AE999" s="10" cm="1">
        <f t="array" aca="1" ref="AE999:AI999" ca="1">_xlfn.LET(_xlpm.array,_xlfn.RANDARRAY(1,COLUMNS(_xlfn.ANCHORARRAY(Q998)),-1,1,FALSE),_xlpm.array/SUM(_xlpm.array))</f>
        <v>-0.33542389364573094</v>
      </c>
      <c r="AF999" s="10">
        <f ca="1"/>
        <v>-0.28616324253526115</v>
      </c>
      <c r="AG999" s="10">
        <f ca="1"/>
        <v>0.58278156846696194</v>
      </c>
      <c r="AH999" s="10">
        <f ca="1"/>
        <v>0.84734734770977183</v>
      </c>
      <c r="AI999" s="10">
        <f ca="1"/>
        <v>0.19145822000425822</v>
      </c>
      <c r="AJ999" s="1"/>
      <c r="AK999" s="2" cm="1">
        <f t="array" aca="1" ref="AK999" ca="1">MMULT(MMULT(_xlfn.ANCHORARRAY(AE999),$Q$9:$U$13),TRANSPOSE(_xlfn.ANCHORARRAY(AE999)))</f>
        <v>6.3338515292817531E-4</v>
      </c>
      <c r="AL999" s="2">
        <f t="shared" ca="1" si="37"/>
        <v>2.5167144314128597E-2</v>
      </c>
      <c r="AM999" s="2" cm="1">
        <f t="array" aca="1" ref="AM999" ca="1">MMULT(_xlfn.ANCHORARRAY(AE1000),TRANSPOSE($Q$3:$U$3))</f>
        <v>9.949155888824199E-4</v>
      </c>
    </row>
    <row r="1000" spans="1:39" x14ac:dyDescent="0.35">
      <c r="A1000" s="3">
        <v>45279</v>
      </c>
      <c r="B1000" s="4">
        <v>31.759157180786101</v>
      </c>
      <c r="C1000" s="4">
        <v>137.59039306640599</v>
      </c>
      <c r="D1000" s="4">
        <v>70.806663513183594</v>
      </c>
      <c r="E1000" s="4">
        <v>26.183078765869102</v>
      </c>
      <c r="F1000" s="4">
        <v>366.93896484375</v>
      </c>
      <c r="I1000" s="5">
        <f>B1000/B999-1</f>
        <v>2.3932662259609216E-3</v>
      </c>
      <c r="J1000" s="5">
        <f>C1000/C999-1</f>
        <v>1.3094774909439888E-2</v>
      </c>
      <c r="K1000" s="5">
        <f>D1000/D999-1</f>
        <v>2.1805334397062559E-3</v>
      </c>
      <c r="L1000" s="5">
        <f>E1000/E999-1</f>
        <v>-1.5768969074823058E-3</v>
      </c>
      <c r="M1000" s="5">
        <f>F1000/F999-1</f>
        <v>1.6369262573487919E-3</v>
      </c>
      <c r="N1000" s="5">
        <f>SUMPRODUCT(I1000:M1000,$AJ$13:$AN$13)</f>
        <v>-1.7583446102586607E-4</v>
      </c>
      <c r="P1000" s="2" t="s">
        <v>991</v>
      </c>
      <c r="Q1000" s="10" cm="1">
        <f t="array" aca="1" ref="Q1000:U1000" ca="1">_xlfn.LET(_xlpm.array,_xlfn.RANDARRAY(1,COLUMNS(_xlfn.ANCHORARRAY(Q999)),0,1,FALSE),_xlpm.array/SUM(_xlpm.array))</f>
        <v>0.32101872087391731</v>
      </c>
      <c r="R1000" s="2">
        <f ca="1"/>
        <v>7.907475943053098E-2</v>
      </c>
      <c r="S1000" s="2">
        <f ca="1"/>
        <v>0.26015342358584981</v>
      </c>
      <c r="T1000" s="2">
        <f ca="1"/>
        <v>7.4652844194052839E-2</v>
      </c>
      <c r="U1000" s="2">
        <f ca="1"/>
        <v>0.26510025191564907</v>
      </c>
      <c r="V1000" s="12"/>
      <c r="X1000" s="2" cm="1">
        <f t="array" aca="1" ref="X1000" ca="1">MMULT(MMULT(_xlfn.ANCHORARRAY(Q1000),$Q$9:$U$13),TRANSPOSE(_xlfn.ANCHORARRAY(Q1000)))</f>
        <v>2.9046325244856458E-4</v>
      </c>
      <c r="Y1000" s="2">
        <f t="shared" ca="1" si="36"/>
        <v>1.7042982498628713E-2</v>
      </c>
      <c r="Z1000" s="2" cm="1">
        <f t="array" aca="1" ref="Z1000" ca="1">MMULT(_xlfn.ANCHORARRAY(Q1000),TRANSPOSE($Q$3:$U$3))</f>
        <v>9.2241896237582448E-4</v>
      </c>
      <c r="AA1000" s="11">
        <f ca="1">AVEDEV(Q1000*$Q$3,R1000*$R$3,S1000*$S$3,T1000*$T$3,U1000*$U$3)</f>
        <v>1.0251388636162505E-4</v>
      </c>
      <c r="AB1000" s="11" cm="1">
        <f t="array" aca="1" ref="AB1000" ca="1">MMULT(_xlfn.ANCHORARRAY(Q1000),TRANSPOSE($Q$6:$U$6))</f>
        <v>-2.2843716873695446E-2</v>
      </c>
      <c r="AD1000" s="2" t="s">
        <v>991</v>
      </c>
      <c r="AE1000" s="10" cm="1">
        <f t="array" aca="1" ref="AE1000:AI1000" ca="1">_xlfn.LET(_xlpm.array,_xlfn.RANDARRAY(1,COLUMNS(_xlfn.ANCHORARRAY(Q999)),-1,1,FALSE),_xlpm.array/SUM(_xlpm.array))</f>
        <v>0.25588098096251288</v>
      </c>
      <c r="AF1000" s="10">
        <f ca="1"/>
        <v>-0.39181570886992956</v>
      </c>
      <c r="AG1000" s="10">
        <f ca="1"/>
        <v>0.18998606412110317</v>
      </c>
      <c r="AH1000" s="10">
        <f ca="1"/>
        <v>0.4632056257681117</v>
      </c>
      <c r="AI1000" s="10">
        <f ca="1"/>
        <v>0.48274303801820179</v>
      </c>
      <c r="AJ1000" s="1"/>
      <c r="AK1000" s="2" cm="1">
        <f t="array" aca="1" ref="AK1000" ca="1">MMULT(MMULT(_xlfn.ANCHORARRAY(AE1000),$Q$9:$U$13),TRANSPOSE(_xlfn.ANCHORARRAY(AE1000)))</f>
        <v>3.1544631161437432E-4</v>
      </c>
      <c r="AL1000" s="2">
        <f t="shared" ca="1" si="37"/>
        <v>1.7760808304082738E-2</v>
      </c>
      <c r="AM1000" s="2" cm="1">
        <f t="array" aca="1" ref="AM1000" ca="1">MMULT(_xlfn.ANCHORARRAY(AE1001),TRANSPOSE($Q$3:$U$3))</f>
        <v>7.4529753744240624E-4</v>
      </c>
    </row>
    <row r="1001" spans="1:39" x14ac:dyDescent="0.35">
      <c r="A1001" s="3">
        <v>45280</v>
      </c>
      <c r="B1001" s="4">
        <v>31.256847381591701</v>
      </c>
      <c r="C1001" s="4">
        <v>136.32916259765599</v>
      </c>
      <c r="D1001" s="4">
        <v>69.737777709960895</v>
      </c>
      <c r="E1001" s="4">
        <v>25.7116889953613</v>
      </c>
      <c r="F1001" s="4">
        <v>364.34368896484301</v>
      </c>
      <c r="I1001" s="5">
        <f>B1001/B1000-1</f>
        <v>-1.5816219439799606E-2</v>
      </c>
      <c r="J1001" s="5">
        <f>C1001/C1000-1</f>
        <v>-9.1665590935646746E-3</v>
      </c>
      <c r="K1001" s="5">
        <f>D1001/D1000-1</f>
        <v>-1.5095836326529888E-2</v>
      </c>
      <c r="L1001" s="5">
        <f>E1001/E1000-1</f>
        <v>-1.8003603576302152E-2</v>
      </c>
      <c r="M1001" s="5">
        <f>F1001/F1000-1</f>
        <v>-7.0727726612846986E-3</v>
      </c>
      <c r="N1001" s="5">
        <f>SUMPRODUCT(I1001:M1001,$AJ$13:$AN$13)</f>
        <v>-1.3760346341873404E-2</v>
      </c>
      <c r="P1001" s="2" t="s">
        <v>992</v>
      </c>
      <c r="Q1001" s="10" cm="1">
        <f t="array" aca="1" ref="Q1001:U1001" ca="1">_xlfn.LET(_xlpm.array,_xlfn.RANDARRAY(1,COLUMNS(_xlfn.ANCHORARRAY(Q1000)),0,1,FALSE),_xlpm.array/SUM(_xlpm.array))</f>
        <v>0.20373741230056494</v>
      </c>
      <c r="R1001" s="2">
        <f ca="1"/>
        <v>0.30356467450987412</v>
      </c>
      <c r="S1001" s="2">
        <f ca="1"/>
        <v>0.32523779251781815</v>
      </c>
      <c r="T1001" s="2">
        <f ca="1"/>
        <v>3.9510936070761157E-2</v>
      </c>
      <c r="U1001" s="2">
        <f ca="1"/>
        <v>0.12794918460098154</v>
      </c>
      <c r="V1001" s="12"/>
      <c r="X1001" s="2" cm="1">
        <f t="array" aca="1" ref="X1001" ca="1">MMULT(MMULT(_xlfn.ANCHORARRAY(Q1001),$Q$9:$U$13),TRANSPOSE(_xlfn.ANCHORARRAY(Q1001)))</f>
        <v>3.2016248215571496E-4</v>
      </c>
      <c r="Y1001" s="2">
        <f t="shared" ca="1" si="36"/>
        <v>1.7893084757964875E-2</v>
      </c>
      <c r="Z1001" s="2" cm="1">
        <f t="array" aca="1" ref="Z1001" ca="1">MMULT(_xlfn.ANCHORARRAY(Q1001),TRANSPOSE($Q$3:$U$3))</f>
        <v>9.9163745236324698E-4</v>
      </c>
      <c r="AA1001" s="11">
        <f ca="1">AVEDEV(Q1001*$Q$3,R1001*$R$3,S1001*$S$3,T1001*$T$3,U1001*$U$3)</f>
        <v>1.4128248994581713E-4</v>
      </c>
      <c r="AB1001" s="11" cm="1">
        <f t="array" aca="1" ref="AB1001" ca="1">MMULT(_xlfn.ANCHORARRAY(Q1001),TRANSPOSE($Q$6:$U$6))</f>
        <v>-2.305572328507596E-2</v>
      </c>
      <c r="AD1001" s="2" t="s">
        <v>992</v>
      </c>
      <c r="AE1001" s="10" cm="1">
        <f t="array" aca="1" ref="AE1001:AI1001" ca="1">_xlfn.LET(_xlpm.array,_xlfn.RANDARRAY(1,COLUMNS(_xlfn.ANCHORARRAY(Q1000)),-1,1,FALSE),_xlpm.array/SUM(_xlpm.array))</f>
        <v>0.31867607942602511</v>
      </c>
      <c r="AF1001" s="10">
        <f ca="1"/>
        <v>0.17631150916167848</v>
      </c>
      <c r="AG1001" s="10">
        <f ca="1"/>
        <v>-1.3703662400555013E-2</v>
      </c>
      <c r="AH1001" s="10">
        <f ca="1"/>
        <v>0.31194042618021239</v>
      </c>
      <c r="AI1001" s="10">
        <f ca="1"/>
        <v>0.20677564763263895</v>
      </c>
      <c r="AJ1001" s="1"/>
      <c r="AK1001" s="2" cm="1">
        <f t="array" aca="1" ref="AK1001" ca="1">MMULT(MMULT(_xlfn.ANCHORARRAY(AE1001),$Q$9:$U$13),TRANSPOSE(_xlfn.ANCHORARRAY(AE1001)))</f>
        <v>2.877152987927403E-4</v>
      </c>
      <c r="AL1001" s="2">
        <f t="shared" ca="1" si="37"/>
        <v>1.6962172584687973E-2</v>
      </c>
      <c r="AM1001" s="2" cm="1">
        <f t="array" aca="1" ref="AM1001" ca="1">MMULT(_xlfn.ANCHORARRAY(AE1002),TRANSPOSE($Q$3:$U$3))</f>
        <v>1.1386936533330906E-3</v>
      </c>
    </row>
    <row r="1002" spans="1:39" x14ac:dyDescent="0.35">
      <c r="A1002" s="3">
        <v>45281</v>
      </c>
      <c r="B1002" s="4">
        <v>31.4653511047363</v>
      </c>
      <c r="C1002" s="4">
        <v>136.74655151367099</v>
      </c>
      <c r="D1002" s="4">
        <v>72.530364990234304</v>
      </c>
      <c r="E1002" s="4">
        <v>26.133460998535099</v>
      </c>
      <c r="F1002" s="4">
        <v>367.214263916015</v>
      </c>
      <c r="I1002" s="5">
        <f>B1002/B1001-1</f>
        <v>6.6706574914332517E-3</v>
      </c>
      <c r="J1002" s="5">
        <f>C1002/C1001-1</f>
        <v>3.0616260531639572E-3</v>
      </c>
      <c r="K1002" s="5">
        <f>D1002/D1001-1</f>
        <v>4.00441105520708E-2</v>
      </c>
      <c r="L1002" s="5">
        <f>E1002/E1001-1</f>
        <v>1.6403901091440964E-2</v>
      </c>
      <c r="M1002" s="5">
        <f>F1002/F1001-1</f>
        <v>7.878755796011605E-3</v>
      </c>
      <c r="N1002" s="5">
        <f>SUMPRODUCT(I1002:M1002,$AJ$13:$AN$13)</f>
        <v>2.9117020050791875E-2</v>
      </c>
      <c r="P1002" s="2" t="s">
        <v>993</v>
      </c>
      <c r="Q1002" s="10" cm="1">
        <f t="array" aca="1" ref="Q1002:U1002" ca="1">_xlfn.LET(_xlpm.array,_xlfn.RANDARRAY(1,COLUMNS(_xlfn.ANCHORARRAY(Q1001)),0,1,FALSE),_xlpm.array/SUM(_xlpm.array))</f>
        <v>0.39398752783105406</v>
      </c>
      <c r="R1002" s="2">
        <f ca="1"/>
        <v>0.1600935720027841</v>
      </c>
      <c r="S1002" s="2">
        <f ca="1"/>
        <v>8.9218334358012671E-2</v>
      </c>
      <c r="T1002" s="2">
        <f ca="1"/>
        <v>4.7988622571930532E-2</v>
      </c>
      <c r="U1002" s="2">
        <f ca="1"/>
        <v>0.30871194323621864</v>
      </c>
      <c r="V1002" s="12"/>
      <c r="X1002" s="2" cm="1">
        <f t="array" aca="1" ref="X1002" ca="1">MMULT(MMULT(_xlfn.ANCHORARRAY(Q1002),$Q$9:$U$13),TRANSPOSE(_xlfn.ANCHORARRAY(Q1002)))</f>
        <v>2.6614021589660766E-4</v>
      </c>
      <c r="Y1002" s="2">
        <f t="shared" ca="1" si="36"/>
        <v>1.6313804458084193E-2</v>
      </c>
      <c r="Z1002" s="2" cm="1">
        <f t="array" aca="1" ref="Z1002" ca="1">MMULT(_xlfn.ANCHORARRAY(Q1002),TRANSPOSE($Q$3:$U$3))</f>
        <v>7.471854113986436E-4</v>
      </c>
      <c r="AA1002" s="11">
        <f ca="1">AVEDEV(Q1002*$Q$3,R1002*$R$3,S1002*$S$3,T1002*$T$3,U1002*$U$3)</f>
        <v>5.4995210534321867E-5</v>
      </c>
      <c r="AB1002" s="11" cm="1">
        <f t="array" aca="1" ref="AB1002" ca="1">MMULT(_xlfn.ANCHORARRAY(Q1002),TRANSPOSE($Q$6:$U$6))</f>
        <v>-2.1655230786765428E-2</v>
      </c>
      <c r="AD1002" s="2" t="s">
        <v>993</v>
      </c>
      <c r="AE1002" s="10" cm="1">
        <f t="array" aca="1" ref="AE1002:AI1002" ca="1">_xlfn.LET(_xlpm.array,_xlfn.RANDARRAY(1,COLUMNS(_xlfn.ANCHORARRAY(Q1001)),-1,1,FALSE),_xlpm.array/SUM(_xlpm.array))</f>
        <v>0.26790574965435904</v>
      </c>
      <c r="AF1002" s="10">
        <f ca="1"/>
        <v>-0.32973488871616025</v>
      </c>
      <c r="AG1002" s="10">
        <f ca="1"/>
        <v>0.43442961673379032</v>
      </c>
      <c r="AH1002" s="10">
        <f ca="1"/>
        <v>0.22563153531308397</v>
      </c>
      <c r="AI1002" s="10">
        <f ca="1"/>
        <v>0.40176798701492694</v>
      </c>
      <c r="AJ1002" s="1"/>
      <c r="AK1002" s="2" cm="1">
        <f t="array" aca="1" ref="AK1002" ca="1">MMULT(MMULT(_xlfn.ANCHORARRAY(AE1002),$Q$9:$U$13),TRANSPOSE(_xlfn.ANCHORARRAY(AE1002)))</f>
        <v>3.9206955294476256E-4</v>
      </c>
      <c r="AL1002" s="2">
        <f t="shared" ca="1" si="37"/>
        <v>1.9800746272420202E-2</v>
      </c>
      <c r="AM1002" s="2" cm="1">
        <f t="array" aca="1" ref="AM1002" ca="1">MMULT(_xlfn.ANCHORARRAY(AE1003),TRANSPOSE($Q$3:$U$3))</f>
        <v>1.0575165581085822E-3</v>
      </c>
    </row>
    <row r="1003" spans="1:39" x14ac:dyDescent="0.35">
      <c r="A1003" s="3">
        <v>45282</v>
      </c>
      <c r="B1003" s="4">
        <v>31.683330535888601</v>
      </c>
      <c r="C1003" s="4">
        <v>137.05502319335901</v>
      </c>
      <c r="D1003" s="4">
        <v>72.905929565429602</v>
      </c>
      <c r="E1003" s="4">
        <v>26.265783309936499</v>
      </c>
      <c r="F1003" s="4">
        <v>368.23660278320301</v>
      </c>
      <c r="I1003" s="5">
        <f>B1003/B1002-1</f>
        <v>6.927602060651683E-3</v>
      </c>
      <c r="J1003" s="5">
        <f>C1003/C1002-1</f>
        <v>2.2557912888734322E-3</v>
      </c>
      <c r="K1003" s="5">
        <f>D1003/D1002-1</f>
        <v>5.1780323350898438E-3</v>
      </c>
      <c r="L1003" s="5">
        <f>E1003/E1002-1</f>
        <v>5.0633290174928458E-3</v>
      </c>
      <c r="M1003" s="5">
        <f>F1003/F1002-1</f>
        <v>2.7840390955560235E-3</v>
      </c>
      <c r="N1003" s="5">
        <f>SUMPRODUCT(I1003:M1003,$AJ$13:$AN$13)</f>
        <v>3.9144714485022155E-3</v>
      </c>
      <c r="P1003" s="2" t="s">
        <v>994</v>
      </c>
      <c r="Q1003" s="10" cm="1">
        <f t="array" aca="1" ref="Q1003:U1003" ca="1">_xlfn.LET(_xlpm.array,_xlfn.RANDARRAY(1,COLUMNS(_xlfn.ANCHORARRAY(Q1002)),0,1,FALSE),_xlpm.array/SUM(_xlpm.array))</f>
        <v>0.36661371955409594</v>
      </c>
      <c r="R1003" s="2">
        <f ca="1"/>
        <v>6.5908173429802585E-3</v>
      </c>
      <c r="S1003" s="2">
        <f ca="1"/>
        <v>0.23713197943326508</v>
      </c>
      <c r="T1003" s="2">
        <f ca="1"/>
        <v>0.38933580034795306</v>
      </c>
      <c r="U1003" s="2">
        <f ca="1"/>
        <v>3.2768332170573659E-4</v>
      </c>
      <c r="V1003" s="12"/>
      <c r="X1003" s="2" cm="1">
        <f t="array" aca="1" ref="X1003" ca="1">MMULT(MMULT(_xlfn.ANCHORARRAY(Q1003),$Q$9:$U$13),TRANSPOSE(_xlfn.ANCHORARRAY(Q1003)))</f>
        <v>3.4564416268152492E-4</v>
      </c>
      <c r="Y1003" s="2">
        <f t="shared" ca="1" si="36"/>
        <v>1.8591507810866898E-2</v>
      </c>
      <c r="Z1003" s="2" cm="1">
        <f t="array" aca="1" ref="Z1003" ca="1">MMULT(_xlfn.ANCHORARRAY(Q1003),TRANSPOSE($Q$3:$U$3))</f>
        <v>9.7424818887626829E-4</v>
      </c>
      <c r="AA1003" s="11">
        <f ca="1">AVEDEV(Q1003*$Q$3,R1003*$R$3,S1003*$S$3,T1003*$T$3,U1003*$U$3)</f>
        <v>1.5726214565981293E-4</v>
      </c>
      <c r="AB1003" s="11" cm="1">
        <f t="array" aca="1" ref="AB1003" ca="1">MMULT(_xlfn.ANCHORARRAY(Q1003),TRANSPOSE($Q$6:$U$6))</f>
        <v>-2.4299589796538758E-2</v>
      </c>
      <c r="AD1003" s="2" t="s">
        <v>994</v>
      </c>
      <c r="AE1003" s="10" cm="1">
        <f t="array" aca="1" ref="AE1003:AI1003" ca="1">_xlfn.LET(_xlpm.array,_xlfn.RANDARRAY(1,COLUMNS(_xlfn.ANCHORARRAY(Q1002)),-1,1,FALSE),_xlpm.array/SUM(_xlpm.array))</f>
        <v>0.28098748882463326</v>
      </c>
      <c r="AF1003" s="10">
        <f ca="1"/>
        <v>0.2247794325178514</v>
      </c>
      <c r="AG1003" s="10">
        <f ca="1"/>
        <v>0.27368538553876859</v>
      </c>
      <c r="AH1003" s="10">
        <f ca="1"/>
        <v>0.53516594720943034</v>
      </c>
      <c r="AI1003" s="10">
        <f ca="1"/>
        <v>-0.31461825409068356</v>
      </c>
      <c r="AJ1003" s="1"/>
      <c r="AK1003" s="2" cm="1">
        <f t="array" aca="1" ref="AK1003" ca="1">MMULT(MMULT(_xlfn.ANCHORARRAY(AE1003),$Q$9:$U$13),TRANSPOSE(_xlfn.ANCHORARRAY(AE1003)))</f>
        <v>5.1285042265815785E-4</v>
      </c>
      <c r="AL1003" s="2">
        <f t="shared" ca="1" si="37"/>
        <v>2.2646201064597079E-2</v>
      </c>
      <c r="AM1003" s="2" cm="1">
        <f t="array" aca="1" ref="AM1003" ca="1">MMULT(_xlfn.ANCHORARRAY(AE1004),TRANSPOSE($Q$3:$U$3))</f>
        <v>-1.4696678470358628E-2</v>
      </c>
    </row>
    <row r="1004" spans="1:39" x14ac:dyDescent="0.35">
      <c r="A1004" s="3">
        <v>45286</v>
      </c>
      <c r="B1004" s="4">
        <v>32.090869903564403</v>
      </c>
      <c r="C1004" s="4">
        <v>138.2890625</v>
      </c>
      <c r="D1004" s="4">
        <v>74.148147583007798</v>
      </c>
      <c r="E1004" s="4">
        <v>26.679286956787099</v>
      </c>
      <c r="F1004" s="4">
        <v>368.31530761718699</v>
      </c>
      <c r="I1004" s="5">
        <f>B1004/B1003-1</f>
        <v>1.2862895433741528E-2</v>
      </c>
      <c r="J1004" s="5">
        <f>C1004/C1003-1</f>
        <v>9.0039699230870518E-3</v>
      </c>
      <c r="K1004" s="5">
        <f>D1004/D1003-1</f>
        <v>1.7038641781027763E-2</v>
      </c>
      <c r="L1004" s="5">
        <f>E1004/E1003-1</f>
        <v>1.5743054070432638E-2</v>
      </c>
      <c r="M1004" s="5">
        <f>F1004/F1003-1</f>
        <v>2.1373441257366288E-4</v>
      </c>
      <c r="N1004" s="5">
        <f>SUMPRODUCT(I1004:M1004,$AJ$13:$AN$13)</f>
        <v>1.2283888916500084E-2</v>
      </c>
      <c r="P1004" s="2" t="s">
        <v>995</v>
      </c>
      <c r="Q1004" s="10" cm="1">
        <f t="array" aca="1" ref="Q1004:U1004" ca="1">_xlfn.LET(_xlpm.array,_xlfn.RANDARRAY(1,COLUMNS(_xlfn.ANCHORARRAY(Q1003)),0,1,FALSE),_xlpm.array/SUM(_xlpm.array))</f>
        <v>0.31817625991002429</v>
      </c>
      <c r="R1004" s="2">
        <f ca="1"/>
        <v>6.3459672920832183E-2</v>
      </c>
      <c r="S1004" s="2">
        <f ca="1"/>
        <v>0.12338696189069585</v>
      </c>
      <c r="T1004" s="2">
        <f ca="1"/>
        <v>0.10540751544363312</v>
      </c>
      <c r="U1004" s="2">
        <f ca="1"/>
        <v>0.38956958983481454</v>
      </c>
      <c r="V1004" s="12"/>
      <c r="X1004" s="2" cm="1">
        <f t="array" aca="1" ref="X1004" ca="1">MMULT(MMULT(_xlfn.ANCHORARRAY(Q1004),$Q$9:$U$13),TRANSPOSE(_xlfn.ANCHORARRAY(Q1004)))</f>
        <v>2.5742256269316522E-4</v>
      </c>
      <c r="Y1004" s="2">
        <f t="shared" ca="1" si="36"/>
        <v>1.6044393497205347E-2</v>
      </c>
      <c r="Z1004" s="2" cm="1">
        <f t="array" aca="1" ref="Z1004" ca="1">MMULT(_xlfn.ANCHORARRAY(Q1004),TRANSPOSE($Q$3:$U$3))</f>
        <v>8.1408305399634771E-4</v>
      </c>
      <c r="AA1004" s="11">
        <f ca="1">AVEDEV(Q1004*$Q$3,R1004*$R$3,S1004*$S$3,T1004*$T$3,U1004*$U$3)</f>
        <v>6.908443521582588E-5</v>
      </c>
      <c r="AB1004" s="11" cm="1">
        <f t="array" aca="1" ref="AB1004" ca="1">MMULT(_xlfn.ANCHORARRAY(Q1004),TRANSPOSE($Q$6:$U$6))</f>
        <v>-2.202667836235251E-2</v>
      </c>
      <c r="AD1004" s="2" t="s">
        <v>995</v>
      </c>
      <c r="AE1004" s="10" cm="1">
        <f t="array" aca="1" ref="AE1004:AI1004" ca="1">_xlfn.LET(_xlpm.array,_xlfn.RANDARRAY(1,COLUMNS(_xlfn.ANCHORARRAY(Q1003)),-1,1,FALSE),_xlpm.array/SUM(_xlpm.array))</f>
        <v>3.7627708626125753</v>
      </c>
      <c r="AF1004" s="10">
        <f ca="1"/>
        <v>-10.105542790161119</v>
      </c>
      <c r="AG1004" s="10">
        <f ca="1"/>
        <v>-15.040210358928906</v>
      </c>
      <c r="AH1004" s="10">
        <f ca="1"/>
        <v>-7.4933871797099014</v>
      </c>
      <c r="AI1004" s="10">
        <f ca="1"/>
        <v>29.876369466187349</v>
      </c>
      <c r="AJ1004" s="1"/>
      <c r="AK1004" s="2" cm="1">
        <f t="array" aca="1" ref="AK1004" ca="1">MMULT(MMULT(_xlfn.ANCHORARRAY(AE1004),$Q$9:$U$13),TRANSPOSE(_xlfn.ANCHORARRAY(AE1004)))</f>
        <v>0.39960576974863105</v>
      </c>
      <c r="AL1004" s="2">
        <f t="shared" ca="1" si="37"/>
        <v>0.63214378882389655</v>
      </c>
      <c r="AM1004" s="2" cm="1">
        <f t="array" aca="1" ref="AM1004" ca="1">MMULT(_xlfn.ANCHORARRAY(AE1005),TRANSPOSE($Q$3:$U$3))</f>
        <v>5.0323572971441508E-4</v>
      </c>
    </row>
    <row r="1005" spans="1:39" x14ac:dyDescent="0.35">
      <c r="A1005" s="3">
        <v>45287</v>
      </c>
      <c r="B1005" s="4">
        <v>32.071910858154297</v>
      </c>
      <c r="C1005" s="4">
        <v>137.83540344238199</v>
      </c>
      <c r="D1005" s="4">
        <v>74.398521423339801</v>
      </c>
      <c r="E1005" s="4">
        <v>26.654474258422798</v>
      </c>
      <c r="F1005" s="4">
        <v>367.73529052734301</v>
      </c>
      <c r="I1005" s="5">
        <f>B1005/B1004-1</f>
        <v>-5.9079250475535527E-4</v>
      </c>
      <c r="J1005" s="5">
        <f>C1005/C1004-1</f>
        <v>-3.2805129300663705E-3</v>
      </c>
      <c r="K1005" s="5">
        <f>D1005/D1004-1</f>
        <v>3.3766702000439519E-3</v>
      </c>
      <c r="L1005" s="5">
        <f>E1005/E1004-1</f>
        <v>-9.3003603898744736E-4</v>
      </c>
      <c r="M1005" s="5">
        <f>F1005/F1004-1</f>
        <v>-1.5747840989732698E-3</v>
      </c>
      <c r="N1005" s="5">
        <f>SUMPRODUCT(I1005:M1005,$AJ$13:$AN$13)</f>
        <v>1.0758643729361689E-3</v>
      </c>
      <c r="P1005" s="2" t="s">
        <v>996</v>
      </c>
      <c r="Q1005" s="10" cm="1">
        <f t="array" aca="1" ref="Q1005:U1005" ca="1">_xlfn.LET(_xlpm.array,_xlfn.RANDARRAY(1,COLUMNS(_xlfn.ANCHORARRAY(Q1004)),0,1,FALSE),_xlpm.array/SUM(_xlpm.array))</f>
        <v>5.6778968129817135E-2</v>
      </c>
      <c r="R1005" s="2">
        <f ca="1"/>
        <v>4.6211915743557132E-2</v>
      </c>
      <c r="S1005" s="2">
        <f ca="1"/>
        <v>0.11839617269811371</v>
      </c>
      <c r="T1005" s="2">
        <f ca="1"/>
        <v>0.42305318376475332</v>
      </c>
      <c r="U1005" s="2">
        <f ca="1"/>
        <v>0.35555975966375869</v>
      </c>
      <c r="V1005" s="12"/>
      <c r="X1005" s="2" cm="1">
        <f t="array" aca="1" ref="X1005" ca="1">MMULT(MMULT(_xlfn.ANCHORARRAY(Q1005),$Q$9:$U$13),TRANSPOSE(_xlfn.ANCHORARRAY(Q1005)))</f>
        <v>2.7549439203229035E-4</v>
      </c>
      <c r="Y1005" s="2">
        <f t="shared" ca="1" si="36"/>
        <v>1.6598023738755477E-2</v>
      </c>
      <c r="Z1005" s="2" cm="1">
        <f t="array" aca="1" ref="Z1005" ca="1">MMULT(_xlfn.ANCHORARRAY(Q1005),TRANSPOSE($Q$3:$U$3))</f>
        <v>9.5902853669716306E-4</v>
      </c>
      <c r="AA1005" s="11">
        <f ca="1">AVEDEV(Q1005*$Q$3,R1005*$R$3,S1005*$S$3,T1005*$T$3,U1005*$U$3)</f>
        <v>1.28403188715721E-4</v>
      </c>
      <c r="AB1005" s="11" cm="1">
        <f t="array" aca="1" ref="AB1005" ca="1">MMULT(_xlfn.ANCHORARRAY(Q1005),TRANSPOSE($Q$6:$U$6))</f>
        <v>-2.3195882211037157E-2</v>
      </c>
      <c r="AD1005" s="2" t="s">
        <v>996</v>
      </c>
      <c r="AE1005" s="10" cm="1">
        <f t="array" aca="1" ref="AE1005:AI1005" ca="1">_xlfn.LET(_xlpm.array,_xlfn.RANDARRAY(1,COLUMNS(_xlfn.ANCHORARRAY(Q1004)),-1,1,FALSE),_xlpm.array/SUM(_xlpm.array))</f>
        <v>0.49596456309189524</v>
      </c>
      <c r="AF1005" s="10">
        <f ca="1"/>
        <v>0.31035573754691975</v>
      </c>
      <c r="AG1005" s="10">
        <f ca="1"/>
        <v>-0.21621278486531656</v>
      </c>
      <c r="AH1005" s="10">
        <f ca="1"/>
        <v>0.24205803231946299</v>
      </c>
      <c r="AI1005" s="10">
        <f ca="1"/>
        <v>0.16783445190703863</v>
      </c>
      <c r="AJ1005" s="1"/>
      <c r="AK1005" s="2" cm="1">
        <f t="array" aca="1" ref="AK1005" ca="1">MMULT(MMULT(_xlfn.ANCHORARRAY(AE1005),$Q$9:$U$13),TRANSPOSE(_xlfn.ANCHORARRAY(AE1005)))</f>
        <v>3.6945544576182863E-4</v>
      </c>
      <c r="AL1005" s="2">
        <f t="shared" ca="1" si="37"/>
        <v>1.9221223836213674E-2</v>
      </c>
      <c r="AM1005" s="2" cm="1">
        <f t="array" aca="1" ref="AM1005" ca="1">MMULT(_xlfn.ANCHORARRAY(AE1006),TRANSPOSE($Q$3:$U$3))</f>
        <v>3.2250893301866206E-4</v>
      </c>
    </row>
    <row r="1006" spans="1:39" x14ac:dyDescent="0.35">
      <c r="A1006" s="3">
        <v>45288</v>
      </c>
      <c r="B1006" s="4">
        <v>32.10982131958</v>
      </c>
      <c r="C1006" s="4">
        <v>135.89367675781199</v>
      </c>
      <c r="D1006" s="4">
        <v>73.840003967285099</v>
      </c>
      <c r="E1006" s="4">
        <v>26.100378036498999</v>
      </c>
      <c r="F1006" s="4">
        <v>368.92474365234301</v>
      </c>
      <c r="I1006" s="5">
        <f>B1006/B1005-1</f>
        <v>1.1820456097353382E-3</v>
      </c>
      <c r="J1006" s="5">
        <f>C1006/C1005-1</f>
        <v>-1.4087285530975269E-2</v>
      </c>
      <c r="K1006" s="5">
        <f>D1006/D1005-1</f>
        <v>-7.5071042457502957E-3</v>
      </c>
      <c r="L1006" s="5">
        <f>E1006/E1005-1</f>
        <v>-2.078811296563865E-2</v>
      </c>
      <c r="M1006" s="5">
        <f>F1006/F1005-1</f>
        <v>3.2345362428889413E-3</v>
      </c>
      <c r="N1006" s="5">
        <f>SUMPRODUCT(I1006:M1006,$AJ$13:$AN$13)</f>
        <v>-1.2421980011640297E-2</v>
      </c>
      <c r="P1006" s="2" t="s">
        <v>997</v>
      </c>
      <c r="Q1006" s="10" cm="1">
        <f t="array" aca="1" ref="Q1006:U1006" ca="1">_xlfn.LET(_xlpm.array,_xlfn.RANDARRAY(1,COLUMNS(_xlfn.ANCHORARRAY(Q1005)),0,1,FALSE),_xlpm.array/SUM(_xlpm.array))</f>
        <v>0.22781313679265344</v>
      </c>
      <c r="R1006" s="2">
        <f ca="1"/>
        <v>0.2011443853408795</v>
      </c>
      <c r="S1006" s="2">
        <f ca="1"/>
        <v>0.28663987759964071</v>
      </c>
      <c r="T1006" s="2">
        <f ca="1"/>
        <v>0.21755219899225955</v>
      </c>
      <c r="U1006" s="2">
        <f ca="1"/>
        <v>6.6850401274566804E-2</v>
      </c>
      <c r="V1006" s="12"/>
      <c r="X1006" s="2" cm="1">
        <f t="array" aca="1" ref="X1006" ca="1">MMULT(MMULT(_xlfn.ANCHORARRAY(Q1006),$Q$9:$U$13),TRANSPOSE(_xlfn.ANCHORARRAY(Q1006)))</f>
        <v>3.2066869975195882E-4</v>
      </c>
      <c r="Y1006" s="2">
        <f t="shared" ca="1" si="36"/>
        <v>1.7907224792020646E-2</v>
      </c>
      <c r="Z1006" s="2" cm="1">
        <f t="array" aca="1" ref="Z1006" ca="1">MMULT(_xlfn.ANCHORARRAY(Q1006),TRANSPOSE($Q$3:$U$3))</f>
        <v>1.0015578765314274E-3</v>
      </c>
      <c r="AA1006" s="11">
        <f ca="1">AVEDEV(Q1006*$Q$3,R1006*$R$3,S1006*$S$3,T1006*$T$3,U1006*$U$3)</f>
        <v>1.1485411388788291E-4</v>
      </c>
      <c r="AB1006" s="11" cm="1">
        <f t="array" aca="1" ref="AB1006" ca="1">MMULT(_xlfn.ANCHORARRAY(Q1006),TRANSPOSE($Q$6:$U$6))</f>
        <v>-2.3668485015044618E-2</v>
      </c>
      <c r="AD1006" s="2" t="s">
        <v>997</v>
      </c>
      <c r="AE1006" s="10" cm="1">
        <f t="array" aca="1" ref="AE1006:AI1006" ca="1">_xlfn.LET(_xlpm.array,_xlfn.RANDARRAY(1,COLUMNS(_xlfn.ANCHORARRAY(Q1005)),-1,1,FALSE),_xlpm.array/SUM(_xlpm.array))</f>
        <v>0.1686951655183099</v>
      </c>
      <c r="AF1006" s="10">
        <f ca="1"/>
        <v>1.1779422918690063</v>
      </c>
      <c r="AG1006" s="10">
        <f ca="1"/>
        <v>-0.63215151752439747</v>
      </c>
      <c r="AH1006" s="10">
        <f ca="1"/>
        <v>0.71984125739867266</v>
      </c>
      <c r="AI1006" s="10">
        <f ca="1"/>
        <v>-0.43432719726159136</v>
      </c>
      <c r="AJ1006" s="1"/>
      <c r="AK1006" s="2" cm="1">
        <f t="array" aca="1" ref="AK1006" ca="1">MMULT(MMULT(_xlfn.ANCHORARRAY(AE1006),$Q$9:$U$13),TRANSPOSE(_xlfn.ANCHORARRAY(AE1006)))</f>
        <v>1.5015345781685756E-3</v>
      </c>
      <c r="AL1006" s="2">
        <f t="shared" ca="1" si="37"/>
        <v>3.8749639716629307E-2</v>
      </c>
      <c r="AM1006" s="2" cm="1">
        <f t="array" aca="1" ref="AM1006" ca="1">MMULT(_xlfn.ANCHORARRAY(AE1007),TRANSPOSE($Q$3:$U$3))</f>
        <v>1.0943044042852567E-3</v>
      </c>
    </row>
    <row r="1007" spans="1:39" x14ac:dyDescent="0.35">
      <c r="A1007" s="3">
        <v>45289</v>
      </c>
      <c r="B1007" s="4">
        <v>31.910793304443299</v>
      </c>
      <c r="C1007" s="4">
        <v>135.34016418457</v>
      </c>
      <c r="D1007" s="4">
        <v>73.666656494140597</v>
      </c>
      <c r="E1007" s="4">
        <v>26.166542053222599</v>
      </c>
      <c r="F1007" s="4">
        <v>369.671875</v>
      </c>
      <c r="I1007" s="5">
        <f>B1007/B1006-1</f>
        <v>-6.198353243882293E-3</v>
      </c>
      <c r="J1007" s="5">
        <f>C1007/C1006-1</f>
        <v>-4.0731297176428427E-3</v>
      </c>
      <c r="K1007" s="5">
        <f>D1007/D1006-1</f>
        <v>-2.3476092068102083E-3</v>
      </c>
      <c r="L1007" s="5">
        <f>E1007/E1006-1</f>
        <v>2.5349830807459561E-3</v>
      </c>
      <c r="M1007" s="5">
        <f>F1007/F1006-1</f>
        <v>2.025159224237516E-3</v>
      </c>
      <c r="N1007" s="5">
        <f>SUMPRODUCT(I1007:M1007,$AJ$13:$AN$13)</f>
        <v>2.564736817364164E-3</v>
      </c>
      <c r="P1007" s="2" t="s">
        <v>998</v>
      </c>
      <c r="Q1007" s="10" cm="1">
        <f t="array" aca="1" ref="Q1007:U1007" ca="1">_xlfn.LET(_xlpm.array,_xlfn.RANDARRAY(1,COLUMNS(_xlfn.ANCHORARRAY(Q1006)),0,1,FALSE),_xlpm.array/SUM(_xlpm.array))</f>
        <v>8.3035749289615338E-3</v>
      </c>
      <c r="R1007" s="2">
        <f ca="1"/>
        <v>0.43179867412328699</v>
      </c>
      <c r="S1007" s="2">
        <f ca="1"/>
        <v>0.30579191820904811</v>
      </c>
      <c r="T1007" s="2">
        <f ca="1"/>
        <v>5.2476633034174332E-2</v>
      </c>
      <c r="U1007" s="2">
        <f ca="1"/>
        <v>0.20162919970452914</v>
      </c>
      <c r="V1007" s="12"/>
      <c r="X1007" s="2" cm="1">
        <f t="array" aca="1" ref="X1007" ca="1">MMULT(MMULT(_xlfn.ANCHORARRAY(Q1007),$Q$9:$U$13),TRANSPOSE(_xlfn.ANCHORARRAY(Q1007)))</f>
        <v>3.1342859423688022E-4</v>
      </c>
      <c r="Y1007" s="2">
        <f t="shared" ca="1" si="36"/>
        <v>1.7703914658540359E-2</v>
      </c>
      <c r="Z1007" s="2" cm="1">
        <f t="array" aca="1" ref="Z1007" ca="1">MMULT(_xlfn.ANCHORARRAY(Q1007),TRANSPOSE($Q$3:$U$3))</f>
        <v>1.0239707159186411E-3</v>
      </c>
      <c r="AA1007" s="11">
        <f ca="1">AVEDEV(Q1007*$Q$3,R1007*$R$3,S1007*$S$3,T1007*$T$3,U1007*$U$3)</f>
        <v>1.6093371139500493E-4</v>
      </c>
      <c r="AB1007" s="11" cm="1">
        <f t="array" aca="1" ref="AB1007" ca="1">MMULT(_xlfn.ANCHORARRAY(Q1007),TRANSPOSE($Q$6:$U$6))</f>
        <v>-2.2755561732482478E-2</v>
      </c>
      <c r="AD1007" s="2" t="s">
        <v>998</v>
      </c>
      <c r="AE1007" s="10" cm="1">
        <f t="array" aca="1" ref="AE1007:AI1007" ca="1">_xlfn.LET(_xlpm.array,_xlfn.RANDARRAY(1,COLUMNS(_xlfn.ANCHORARRAY(Q1006)),-1,1,FALSE),_xlpm.array/SUM(_xlpm.array))</f>
        <v>0.10967877187120643</v>
      </c>
      <c r="AF1007" s="10">
        <f ca="1"/>
        <v>5.3246126166742888E-2</v>
      </c>
      <c r="AG1007" s="10">
        <f ca="1"/>
        <v>0.35802902580902302</v>
      </c>
      <c r="AH1007" s="10">
        <f ca="1"/>
        <v>0.20189233695760367</v>
      </c>
      <c r="AI1007" s="10">
        <f ca="1"/>
        <v>0.27715373919542413</v>
      </c>
      <c r="AJ1007" s="1"/>
      <c r="AK1007" s="2" cm="1">
        <f t="array" aca="1" ref="AK1007" ca="1">MMULT(MMULT(_xlfn.ANCHORARRAY(AE1007),$Q$9:$U$13),TRANSPOSE(_xlfn.ANCHORARRAY(AE1007)))</f>
        <v>3.1423060411443364E-4</v>
      </c>
      <c r="AL1007" s="2">
        <f t="shared" ca="1" si="37"/>
        <v>1.7726550823959908E-2</v>
      </c>
      <c r="AM1007" s="2" cm="1">
        <f t="array" aca="1" ref="AM1007" ca="1">MMULT(_xlfn.ANCHORARRAY(AE1008),TRANSPOSE($Q$3:$U$3))</f>
        <v>1.6208351522612669E-3</v>
      </c>
    </row>
    <row r="1008" spans="1:39" x14ac:dyDescent="0.35">
      <c r="A1008" s="3">
        <v>45293</v>
      </c>
      <c r="B1008" s="4">
        <v>32.128776550292898</v>
      </c>
      <c r="C1008" s="4">
        <v>135.63049316406199</v>
      </c>
      <c r="D1008" s="4">
        <v>72.020004272460895</v>
      </c>
      <c r="E1008" s="4">
        <v>26.034217834472599</v>
      </c>
      <c r="F1008" s="4">
        <v>364.58944702148398</v>
      </c>
      <c r="I1008" s="5">
        <f>B1008/B1007-1</f>
        <v>6.831019328474186E-3</v>
      </c>
      <c r="J1008" s="5">
        <f>C1008/C1007-1</f>
        <v>2.1451797494205227E-3</v>
      </c>
      <c r="K1008" s="5">
        <f>D1008/D1007-1</f>
        <v>-2.2352748177334125E-2</v>
      </c>
      <c r="L1008" s="5">
        <f>E1008/E1007-1</f>
        <v>-5.0570005956787067E-3</v>
      </c>
      <c r="M1008" s="5">
        <f>F1008/F1007-1</f>
        <v>-1.3748484324148325E-2</v>
      </c>
      <c r="N1008" s="5">
        <f>SUMPRODUCT(I1008:M1008,$AJ$13:$AN$13)</f>
        <v>-2.0639907314931431E-2</v>
      </c>
      <c r="P1008" s="2" t="s">
        <v>999</v>
      </c>
      <c r="Q1008" s="10" cm="1">
        <f t="array" aca="1" ref="Q1008:U1008" ca="1">_xlfn.LET(_xlpm.array,_xlfn.RANDARRAY(1,COLUMNS(_xlfn.ANCHORARRAY(Q1007)),0,1,FALSE),_xlpm.array/SUM(_xlpm.array))</f>
        <v>0.16469234274374034</v>
      </c>
      <c r="R1008" s="2">
        <f ca="1"/>
        <v>0.37508503665893134</v>
      </c>
      <c r="S1008" s="2">
        <f ca="1"/>
        <v>0.28185971039755697</v>
      </c>
      <c r="T1008" s="2">
        <f ca="1"/>
        <v>2.3755650860471062E-2</v>
      </c>
      <c r="U1008" s="2">
        <f ca="1"/>
        <v>0.15460725933930028</v>
      </c>
      <c r="V1008" s="12"/>
      <c r="X1008" s="2" cm="1">
        <f t="array" aca="1" ref="X1008" ca="1">MMULT(MMULT(_xlfn.ANCHORARRAY(Q1008),$Q$9:$U$13),TRANSPOSE(_xlfn.ANCHORARRAY(Q1008)))</f>
        <v>3.0694100597914472E-4</v>
      </c>
      <c r="Y1008" s="2">
        <f t="shared" ca="1" si="36"/>
        <v>1.7519731903746266E-2</v>
      </c>
      <c r="Z1008" s="2" cm="1">
        <f t="array" aca="1" ref="Z1008" ca="1">MMULT(_xlfn.ANCHORARRAY(Q1008),TRANSPOSE($Q$3:$U$3))</f>
        <v>9.5786752567453217E-4</v>
      </c>
      <c r="AA1008" s="11">
        <f ca="1">AVEDEV(Q1008*$Q$3,R1008*$R$3,S1008*$S$3,T1008*$T$3,U1008*$U$3)</f>
        <v>1.3939804715792939E-4</v>
      </c>
      <c r="AB1008" s="11" cm="1">
        <f t="array" aca="1" ref="AB1008" ca="1">MMULT(_xlfn.ANCHORARRAY(Q1008),TRANSPOSE($Q$6:$U$6))</f>
        <v>-2.2647650148894451E-2</v>
      </c>
      <c r="AD1008" s="2" t="s">
        <v>999</v>
      </c>
      <c r="AE1008" s="10" cm="1">
        <f t="array" aca="1" ref="AE1008:AI1008" ca="1">_xlfn.LET(_xlpm.array,_xlfn.RANDARRAY(1,COLUMNS(_xlfn.ANCHORARRAY(Q1007)),-1,1,FALSE),_xlpm.array/SUM(_xlpm.array))</f>
        <v>-0.36884195199446967</v>
      </c>
      <c r="AF1008" s="10">
        <f ca="1"/>
        <v>-0.33137279575680095</v>
      </c>
      <c r="AG1008" s="10">
        <f ca="1"/>
        <v>0.82058732494448106</v>
      </c>
      <c r="AH1008" s="10">
        <f ca="1"/>
        <v>0.17470643618768117</v>
      </c>
      <c r="AI1008" s="10">
        <f ca="1"/>
        <v>0.7049209866191084</v>
      </c>
      <c r="AJ1008" s="1"/>
      <c r="AK1008" s="2" cm="1">
        <f t="array" aca="1" ref="AK1008" ca="1">MMULT(MMULT(_xlfn.ANCHORARRAY(AE1008),$Q$9:$U$13),TRANSPOSE(_xlfn.ANCHORARRAY(AE1008)))</f>
        <v>8.2822369296241803E-4</v>
      </c>
      <c r="AL1008" s="2">
        <f t="shared" ca="1" si="37"/>
        <v>2.8778875811303298E-2</v>
      </c>
      <c r="AM1008" s="2" cm="1">
        <f t="array" aca="1" ref="AM1008" ca="1">MMULT(_xlfn.ANCHORARRAY(AE1009),TRANSPOSE($Q$3:$U$3))</f>
        <v>1.1530027569671033E-3</v>
      </c>
    </row>
    <row r="1009" spans="1:39" x14ac:dyDescent="0.35">
      <c r="A1009" s="3">
        <v>45294</v>
      </c>
      <c r="B1009" s="4">
        <v>31.778110504150298</v>
      </c>
      <c r="C1009" s="4">
        <v>138.21644592285099</v>
      </c>
      <c r="D1009" s="4">
        <v>73.762962341308594</v>
      </c>
      <c r="E1009" s="4">
        <v>26.5717754364013</v>
      </c>
      <c r="F1009" s="4">
        <v>364.32400512695301</v>
      </c>
      <c r="I1009" s="5">
        <f>B1009/B1008-1</f>
        <v>-1.0914391514214139E-2</v>
      </c>
      <c r="J1009" s="5">
        <f>C1009/C1008-1</f>
        <v>1.9066160554772615E-2</v>
      </c>
      <c r="K1009" s="5">
        <f>D1009/D1008-1</f>
        <v>2.4201027012632048E-2</v>
      </c>
      <c r="L1009" s="5">
        <f>E1009/E1008-1</f>
        <v>2.0648118001721061E-2</v>
      </c>
      <c r="M1009" s="5">
        <f>F1009/F1008-1</f>
        <v>-7.2805698765965321E-4</v>
      </c>
      <c r="N1009" s="5">
        <f>SUMPRODUCT(I1009:M1009,$AJ$13:$AN$13)</f>
        <v>2.4537521796831541E-2</v>
      </c>
      <c r="P1009" s="2" t="s">
        <v>1000</v>
      </c>
      <c r="Q1009" s="10" cm="1">
        <f t="array" aca="1" ref="Q1009:U1009" ca="1">_xlfn.LET(_xlpm.array,_xlfn.RANDARRAY(1,COLUMNS(_xlfn.ANCHORARRAY(Q1008)),0,1,FALSE),_xlpm.array/SUM(_xlpm.array))</f>
        <v>0.13272711719493716</v>
      </c>
      <c r="R1009" s="2">
        <f ca="1"/>
        <v>0.19833159224150121</v>
      </c>
      <c r="S1009" s="2">
        <f ca="1"/>
        <v>0.11410908483562648</v>
      </c>
      <c r="T1009" s="2">
        <f ca="1"/>
        <v>0.11821795730523917</v>
      </c>
      <c r="U1009" s="2">
        <f ca="1"/>
        <v>0.43661424842269597</v>
      </c>
      <c r="V1009" s="12"/>
      <c r="X1009" s="2" cm="1">
        <f t="array" aca="1" ref="X1009" ca="1">MMULT(MMULT(_xlfn.ANCHORARRAY(Q1009),$Q$9:$U$13),TRANSPOSE(_xlfn.ANCHORARRAY(Q1009)))</f>
        <v>2.4647181827282234E-4</v>
      </c>
      <c r="Y1009" s="2">
        <f t="shared" ca="1" si="36"/>
        <v>1.5699420953424439E-2</v>
      </c>
      <c r="Z1009" s="2" cm="1">
        <f t="array" aca="1" ref="Z1009" ca="1">MMULT(_xlfn.ANCHORARRAY(Q1009),TRANSPOSE($Q$3:$U$3))</f>
        <v>8.5232033932466607E-4</v>
      </c>
      <c r="AA1009" s="11">
        <f ca="1">AVEDEV(Q1009*$Q$3,R1009*$R$3,S1009*$S$3,T1009*$T$3,U1009*$U$3)</f>
        <v>7.1332472452318859E-5</v>
      </c>
      <c r="AB1009" s="11" cm="1">
        <f t="array" aca="1" ref="AB1009" ca="1">MMULT(_xlfn.ANCHORARRAY(Q1009),TRANSPOSE($Q$6:$U$6))</f>
        <v>-2.1815017569949378E-2</v>
      </c>
      <c r="AD1009" s="2" t="s">
        <v>1000</v>
      </c>
      <c r="AE1009" s="10" cm="1">
        <f t="array" aca="1" ref="AE1009:AI1009" ca="1">_xlfn.LET(_xlpm.array,_xlfn.RANDARRAY(1,COLUMNS(_xlfn.ANCHORARRAY(Q1008)),-1,1,FALSE),_xlpm.array/SUM(_xlpm.array))</f>
        <v>0.21583246054526961</v>
      </c>
      <c r="AF1009" s="10">
        <f ca="1"/>
        <v>-0.16514042428156833</v>
      </c>
      <c r="AG1009" s="10">
        <f ca="1"/>
        <v>0.62915292674904144</v>
      </c>
      <c r="AH1009" s="10">
        <f ca="1"/>
        <v>-0.40004912292580869</v>
      </c>
      <c r="AI1009" s="10">
        <f ca="1"/>
        <v>0.72020415991306597</v>
      </c>
      <c r="AJ1009" s="1"/>
      <c r="AK1009" s="2" cm="1">
        <f t="array" aca="1" ref="AK1009" ca="1">MMULT(MMULT(_xlfn.ANCHORARRAY(AE1009),$Q$9:$U$13),TRANSPOSE(_xlfn.ANCHORARRAY(AE1009)))</f>
        <v>7.3087684409856284E-4</v>
      </c>
      <c r="AL1009" s="2">
        <f t="shared" ca="1" si="37"/>
        <v>2.7034734030475738E-2</v>
      </c>
      <c r="AM1009" s="2" cm="1">
        <f t="array" aca="1" ref="AM1009" ca="1">MMULT(_xlfn.ANCHORARRAY(AE1010),TRANSPOSE($Q$3:$U$3))</f>
        <v>3.4582862354969601E-3</v>
      </c>
    </row>
    <row r="1010" spans="1:39" x14ac:dyDescent="0.35">
      <c r="A1010" s="3">
        <v>45295</v>
      </c>
      <c r="B1010" s="4">
        <v>32.034004211425703</v>
      </c>
      <c r="C1010" s="4">
        <v>136.70121765136699</v>
      </c>
      <c r="D1010" s="4">
        <v>73.156295776367102</v>
      </c>
      <c r="E1010" s="4">
        <v>26.5717754364013</v>
      </c>
      <c r="F1010" s="4">
        <v>361.70904541015602</v>
      </c>
      <c r="I1010" s="5">
        <f>B1010/B1009-1</f>
        <v>8.0525148668604274E-3</v>
      </c>
      <c r="J1010" s="5">
        <f>C1010/C1009-1</f>
        <v>-1.0962720545786397E-2</v>
      </c>
      <c r="K1010" s="5">
        <f>D1010/D1009-1</f>
        <v>-8.2245417711721558E-3</v>
      </c>
      <c r="L1010" s="5">
        <f>E1010/E1009-1</f>
        <v>0</v>
      </c>
      <c r="M1010" s="5">
        <f>F1010/F1009-1</f>
        <v>-7.1775663420415858E-3</v>
      </c>
      <c r="N1010" s="5">
        <f>SUMPRODUCT(I1010:M1010,$AJ$13:$AN$13)</f>
        <v>-8.6496677780702434E-3</v>
      </c>
      <c r="P1010" s="2" t="s">
        <v>1001</v>
      </c>
      <c r="Q1010" s="10" cm="1">
        <f t="array" aca="1" ref="Q1010:U1010" ca="1">_xlfn.LET(_xlpm.array,_xlfn.RANDARRAY(1,COLUMNS(_xlfn.ANCHORARRAY(Q1009)),0,1,FALSE),_xlpm.array/SUM(_xlpm.array))</f>
        <v>0.34868693787602861</v>
      </c>
      <c r="R1010" s="2">
        <f ca="1"/>
        <v>9.0428188796275774E-2</v>
      </c>
      <c r="S1010" s="2">
        <f ca="1"/>
        <v>0.35367205775007871</v>
      </c>
      <c r="T1010" s="2">
        <f ca="1"/>
        <v>3.6115128864941066E-2</v>
      </c>
      <c r="U1010" s="2">
        <f ca="1"/>
        <v>0.17109768671267583</v>
      </c>
      <c r="V1010" s="12"/>
      <c r="X1010" s="2" cm="1">
        <f t="array" aca="1" ref="X1010" ca="1">MMULT(MMULT(_xlfn.ANCHORARRAY(Q1010),$Q$9:$U$13),TRANSPOSE(_xlfn.ANCHORARRAY(Q1010)))</f>
        <v>3.3284678675993664E-4</v>
      </c>
      <c r="Y1010" s="2">
        <f t="shared" ca="1" si="36"/>
        <v>1.8244089090988801E-2</v>
      </c>
      <c r="Z1010" s="2" cm="1">
        <f t="array" aca="1" ref="Z1010" ca="1">MMULT(_xlfn.ANCHORARRAY(Q1010),TRANSPOSE($Q$3:$U$3))</f>
        <v>9.8537727058745864E-4</v>
      </c>
      <c r="AA1010" s="11">
        <f ca="1">AVEDEV(Q1010*$Q$3,R1010*$R$3,S1010*$S$3,T1010*$T$3,U1010*$U$3)</f>
        <v>1.5091529644721625E-4</v>
      </c>
      <c r="AB1010" s="11" cm="1">
        <f t="array" aca="1" ref="AB1010" ca="1">MMULT(_xlfn.ANCHORARRAY(Q1010),TRANSPOSE($Q$6:$U$6))</f>
        <v>-2.3352629322795398E-2</v>
      </c>
      <c r="AD1010" s="2" t="s">
        <v>1001</v>
      </c>
      <c r="AE1010" s="10" cm="1">
        <f t="array" aca="1" ref="AE1010:AI1010" ca="1">_xlfn.LET(_xlpm.array,_xlfn.RANDARRAY(1,COLUMNS(_xlfn.ANCHORARRAY(Q1009)),-1,1,FALSE),_xlpm.array/SUM(_xlpm.array))</f>
        <v>-3.9356015023096669</v>
      </c>
      <c r="AF1010" s="10">
        <f ca="1"/>
        <v>0.27937611746255919</v>
      </c>
      <c r="AG1010" s="10">
        <f ca="1"/>
        <v>1.8743884436281615</v>
      </c>
      <c r="AH1010" s="10">
        <f ca="1"/>
        <v>0.32256435930263766</v>
      </c>
      <c r="AI1010" s="10">
        <f ca="1"/>
        <v>2.4592725819163088</v>
      </c>
      <c r="AJ1010" s="1"/>
      <c r="AK1010" s="2" cm="1">
        <f t="array" aca="1" ref="AK1010" ca="1">MMULT(MMULT(_xlfn.ANCHORARRAY(AE1010),$Q$9:$U$13),TRANSPOSE(_xlfn.ANCHORARRAY(AE1010)))</f>
        <v>7.5232277925666264E-3</v>
      </c>
      <c r="AL1010" s="2">
        <f t="shared" ca="1" si="37"/>
        <v>8.6736542429166646E-2</v>
      </c>
      <c r="AM1010" s="2" cm="1">
        <f t="array" aca="1" ref="AM1010" ca="1">MMULT(_xlfn.ANCHORARRAY(AE1011),TRANSPOSE($Q$3:$U$3))</f>
        <v>1.2828727899476464E-3</v>
      </c>
    </row>
    <row r="1011" spans="1:39" x14ac:dyDescent="0.35">
      <c r="A1011" s="3">
        <v>45296</v>
      </c>
      <c r="B1011" s="4">
        <v>32.631088256835902</v>
      </c>
      <c r="C1011" s="4">
        <v>136.46528625488199</v>
      </c>
      <c r="D1011" s="4">
        <v>73.031105041503906</v>
      </c>
      <c r="E1011" s="4">
        <v>26.489072799682599</v>
      </c>
      <c r="F1011" s="4">
        <v>361.52227783203102</v>
      </c>
      <c r="I1011" s="5">
        <f>B1011/B1010-1</f>
        <v>1.8639069954209386E-2</v>
      </c>
      <c r="J1011" s="5">
        <f>C1011/C1010-1</f>
        <v>-1.7258909652634324E-3</v>
      </c>
      <c r="K1011" s="5">
        <f>D1011/D1010-1</f>
        <v>-1.7112776629081283E-3</v>
      </c>
      <c r="L1011" s="5">
        <f>E1011/E1010-1</f>
        <v>-3.112424192980523E-3</v>
      </c>
      <c r="M1011" s="5">
        <f>F1011/F1010-1</f>
        <v>-5.1634754644636072E-4</v>
      </c>
      <c r="N1011" s="5">
        <f>SUMPRODUCT(I1011:M1011,$AJ$13:$AN$13)</f>
        <v>-7.8519239732518058E-3</v>
      </c>
      <c r="P1011" s="2" t="s">
        <v>1002</v>
      </c>
      <c r="Q1011" s="10" cm="1">
        <f t="array" aca="1" ref="Q1011:U1011" ca="1">_xlfn.LET(_xlpm.array,_xlfn.RANDARRAY(1,COLUMNS(_xlfn.ANCHORARRAY(Q1010)),0,1,FALSE),_xlpm.array/SUM(_xlpm.array))</f>
        <v>0.16613929857006804</v>
      </c>
      <c r="R1011" s="2">
        <f ca="1"/>
        <v>0.10824311599836807</v>
      </c>
      <c r="S1011" s="2">
        <f ca="1"/>
        <v>0.37400592024750351</v>
      </c>
      <c r="T1011" s="2">
        <f ca="1"/>
        <v>9.6251683397169066E-2</v>
      </c>
      <c r="U1011" s="2">
        <f ca="1"/>
        <v>0.25535998178689129</v>
      </c>
      <c r="V1011" s="12"/>
      <c r="X1011" s="2" cm="1">
        <f t="array" aca="1" ref="X1011" ca="1">MMULT(MMULT(_xlfn.ANCHORARRAY(Q1011),$Q$9:$U$13),TRANSPOSE(_xlfn.ANCHORARRAY(Q1011)))</f>
        <v>3.2122770250955356E-4</v>
      </c>
      <c r="Y1011" s="2">
        <f t="shared" ca="1" si="36"/>
        <v>1.7922826298035519E-2</v>
      </c>
      <c r="Z1011" s="2" cm="1">
        <f t="array" aca="1" ref="Z1011" ca="1">MMULT(_xlfn.ANCHORARRAY(Q1011),TRANSPOSE($Q$3:$U$3))</f>
        <v>1.0645143540466877E-3</v>
      </c>
      <c r="AA1011" s="11">
        <f ca="1">AVEDEV(Q1011*$Q$3,R1011*$R$3,S1011*$S$3,T1011*$T$3,U1011*$U$3)</f>
        <v>1.5779321313743604E-4</v>
      </c>
      <c r="AB1011" s="11" cm="1">
        <f t="array" aca="1" ref="AB1011" ca="1">MMULT(_xlfn.ANCHORARRAY(Q1011),TRANSPOSE($Q$6:$U$6))</f>
        <v>-2.3536460356515704E-2</v>
      </c>
      <c r="AD1011" s="2" t="s">
        <v>1002</v>
      </c>
      <c r="AE1011" s="10" cm="1">
        <f t="array" aca="1" ref="AE1011:AI1011" ca="1">_xlfn.LET(_xlpm.array,_xlfn.RANDARRAY(1,COLUMNS(_xlfn.ANCHORARRAY(Q1010)),-1,1,FALSE),_xlpm.array/SUM(_xlpm.array))</f>
        <v>-0.37905972583435971</v>
      </c>
      <c r="AF1011" s="10">
        <f ca="1"/>
        <v>0.23911465880530872</v>
      </c>
      <c r="AG1011" s="10">
        <f ca="1"/>
        <v>0.39210303252105966</v>
      </c>
      <c r="AH1011" s="10">
        <f ca="1"/>
        <v>0.35889920980368073</v>
      </c>
      <c r="AI1011" s="10">
        <f ca="1"/>
        <v>0.38894282470431063</v>
      </c>
      <c r="AJ1011" s="1"/>
      <c r="AK1011" s="2" cm="1">
        <f t="array" aca="1" ref="AK1011" ca="1">MMULT(MMULT(_xlfn.ANCHORARRAY(AE1011),$Q$9:$U$13),TRANSPOSE(_xlfn.ANCHORARRAY(AE1011)))</f>
        <v>3.9697208958697325E-4</v>
      </c>
      <c r="AL1011" s="2">
        <f t="shared" ca="1" si="37"/>
        <v>1.992415844112301E-2</v>
      </c>
      <c r="AM1011" s="2" cm="1">
        <f t="array" aca="1" ref="AM1011" ca="1">MMULT(_xlfn.ANCHORARRAY(AE1012),TRANSPOSE($Q$3:$U$3))</f>
        <v>9.0780593040813858E-4</v>
      </c>
    </row>
    <row r="1012" spans="1:39" x14ac:dyDescent="0.35">
      <c r="A1012" s="3">
        <v>45299</v>
      </c>
      <c r="B1012" s="4">
        <v>32.375190734863203</v>
      </c>
      <c r="C1012" s="4">
        <v>135.64865112304599</v>
      </c>
      <c r="D1012" s="4">
        <v>76.420738220214801</v>
      </c>
      <c r="E1012" s="4">
        <v>25.653795242309499</v>
      </c>
      <c r="F1012" s="4">
        <v>368.34478759765602</v>
      </c>
      <c r="I1012" s="5">
        <f>B1012/B1011-1</f>
        <v>-7.8421387591659508E-3</v>
      </c>
      <c r="J1012" s="5">
        <f>C1012/C1011-1</f>
        <v>-5.9841968184548566E-3</v>
      </c>
      <c r="K1012" s="5">
        <f>D1012/D1011-1</f>
        <v>4.6413554563970338E-2</v>
      </c>
      <c r="L1012" s="5">
        <f>E1012/E1011-1</f>
        <v>-3.1532910332109032E-2</v>
      </c>
      <c r="M1012" s="5">
        <f>F1012/F1011-1</f>
        <v>1.8871616450687467E-2</v>
      </c>
      <c r="N1012" s="5">
        <f>SUMPRODUCT(I1012:M1012,$AJ$13:$AN$13)</f>
        <v>1.8200400839628612E-2</v>
      </c>
      <c r="P1012" s="2" t="s">
        <v>1003</v>
      </c>
      <c r="Q1012" s="10" cm="1">
        <f t="array" aca="1" ref="Q1012:U1012" ca="1">_xlfn.LET(_xlpm.array,_xlfn.RANDARRAY(1,COLUMNS(_xlfn.ANCHORARRAY(Q1011)),0,1,FALSE),_xlpm.array/SUM(_xlpm.array))</f>
        <v>0.20050495876768551</v>
      </c>
      <c r="R1012" s="2">
        <f ca="1"/>
        <v>0.24429502474737022</v>
      </c>
      <c r="S1012" s="2">
        <f ca="1"/>
        <v>9.5273771018718978E-2</v>
      </c>
      <c r="T1012" s="2">
        <f ca="1"/>
        <v>0.30467301934461077</v>
      </c>
      <c r="U1012" s="2">
        <f ca="1"/>
        <v>0.15525322612161452</v>
      </c>
      <c r="V1012" s="12"/>
      <c r="X1012" s="2" cm="1">
        <f t="array" aca="1" ref="X1012" ca="1">MMULT(MMULT(_xlfn.ANCHORARRAY(Q1012),$Q$9:$U$13),TRANSPOSE(_xlfn.ANCHORARRAY(Q1012)))</f>
        <v>2.9083627731375268E-4</v>
      </c>
      <c r="Y1012" s="2">
        <f t="shared" ca="1" si="36"/>
        <v>1.7053922637145762E-2</v>
      </c>
      <c r="Z1012" s="2" cm="1">
        <f t="array" aca="1" ref="Z1012" ca="1">MMULT(_xlfn.ANCHORARRAY(Q1012),TRANSPOSE($Q$3:$U$3))</f>
        <v>8.6502953466081097E-4</v>
      </c>
      <c r="AA1012" s="11">
        <f ca="1">AVEDEV(Q1012*$Q$3,R1012*$R$3,S1012*$S$3,T1012*$T$3,U1012*$U$3)</f>
        <v>5.7456450964750392E-5</v>
      </c>
      <c r="AB1012" s="11" cm="1">
        <f t="array" aca="1" ref="AB1012" ca="1">MMULT(_xlfn.ANCHORARRAY(Q1012),TRANSPOSE($Q$6:$U$6))</f>
        <v>-2.2743215596827335E-2</v>
      </c>
      <c r="AD1012" s="2" t="s">
        <v>1003</v>
      </c>
      <c r="AE1012" s="10" cm="1">
        <f t="array" aca="1" ref="AE1012:AI1012" ca="1">_xlfn.LET(_xlpm.array,_xlfn.RANDARRAY(1,COLUMNS(_xlfn.ANCHORARRAY(Q1011)),-1,1,FALSE),_xlpm.array/SUM(_xlpm.array))</f>
        <v>0.23219712075194873</v>
      </c>
      <c r="AF1012" s="10">
        <f ca="1"/>
        <v>1.4722419325411403E-2</v>
      </c>
      <c r="AG1012" s="10">
        <f ca="1"/>
        <v>0.16379220411609091</v>
      </c>
      <c r="AH1012" s="10">
        <f ca="1"/>
        <v>0.2427281821952203</v>
      </c>
      <c r="AI1012" s="10">
        <f ca="1"/>
        <v>0.34656007361132868</v>
      </c>
      <c r="AJ1012" s="1"/>
      <c r="AK1012" s="2" cm="1">
        <f t="array" aca="1" ref="AK1012" ca="1">MMULT(MMULT(_xlfn.ANCHORARRAY(AE1012),$Q$9:$U$13),TRANSPOSE(_xlfn.ANCHORARRAY(AE1012)))</f>
        <v>2.6100578925425811E-4</v>
      </c>
      <c r="AL1012" s="2">
        <f t="shared" ca="1" si="37"/>
        <v>1.6155673593331171E-2</v>
      </c>
      <c r="AM1012" s="2" cm="1">
        <f t="array" aca="1" ref="AM1012" ca="1">MMULT(_xlfn.ANCHORARRAY(AE1013),TRANSPOSE($Q$3:$U$3))</f>
        <v>1.0368001184035049E-3</v>
      </c>
    </row>
    <row r="1013" spans="1:39" x14ac:dyDescent="0.35">
      <c r="A1013" s="3">
        <v>45300</v>
      </c>
      <c r="B1013" s="4">
        <v>31.8728847503662</v>
      </c>
      <c r="C1013" s="4">
        <v>132.20072937011699</v>
      </c>
      <c r="D1013" s="4">
        <v>74.254074096679602</v>
      </c>
      <c r="E1013" s="4">
        <v>25.289913177490199</v>
      </c>
      <c r="F1013" s="4">
        <v>369.426177978515</v>
      </c>
      <c r="I1013" s="5">
        <f>B1013/B1012-1</f>
        <v>-1.5515151358045709E-2</v>
      </c>
      <c r="J1013" s="5">
        <f>C1013/C1012-1</f>
        <v>-2.5418031984714817E-2</v>
      </c>
      <c r="K1013" s="5">
        <f>D1013/D1012-1</f>
        <v>-2.8351782173206885E-2</v>
      </c>
      <c r="L1013" s="5">
        <f>E1013/E1012-1</f>
        <v>-1.4184336523399454E-2</v>
      </c>
      <c r="M1013" s="5">
        <f>F1013/F1012-1</f>
        <v>2.9358101899901179E-3</v>
      </c>
      <c r="N1013" s="5">
        <f>SUMPRODUCT(I1013:M1013,$AJ$13:$AN$13)</f>
        <v>-1.5089097149049588E-2</v>
      </c>
      <c r="P1013" s="2" t="s">
        <v>1004</v>
      </c>
      <c r="Q1013" s="10" cm="1">
        <f t="array" aca="1" ref="Q1013:U1013" ca="1">_xlfn.LET(_xlpm.array,_xlfn.RANDARRAY(1,COLUMNS(_xlfn.ANCHORARRAY(Q1012)),0,1,FALSE),_xlpm.array/SUM(_xlpm.array))</f>
        <v>0.29442544328936354</v>
      </c>
      <c r="R1013" s="2">
        <f ca="1"/>
        <v>0.12719878596338619</v>
      </c>
      <c r="S1013" s="2">
        <f ca="1"/>
        <v>0.34451596133630319</v>
      </c>
      <c r="T1013" s="2">
        <f ca="1"/>
        <v>0.21228404609544996</v>
      </c>
      <c r="U1013" s="2">
        <f ca="1"/>
        <v>2.1575763315497154E-2</v>
      </c>
      <c r="V1013" s="12"/>
      <c r="X1013" s="2" cm="1">
        <f t="array" aca="1" ref="X1013" ca="1">MMULT(MMULT(_xlfn.ANCHORARRAY(Q1013),$Q$9:$U$13),TRANSPOSE(_xlfn.ANCHORARRAY(Q1013)))</f>
        <v>3.4615306007879061E-4</v>
      </c>
      <c r="Y1013" s="2">
        <f t="shared" ca="1" si="36"/>
        <v>1.8605189063236917E-2</v>
      </c>
      <c r="Z1013" s="2" cm="1">
        <f t="array" aca="1" ref="Z1013" ca="1">MMULT(_xlfn.ANCHORARRAY(Q1013),TRANSPOSE($Q$3:$U$3))</f>
        <v>1.0353956569552826E-3</v>
      </c>
      <c r="AA1013" s="11">
        <f ca="1">AVEDEV(Q1013*$Q$3,R1013*$R$3,S1013*$S$3,T1013*$T$3,U1013*$U$3)</f>
        <v>1.4488357682403906E-4</v>
      </c>
      <c r="AB1013" s="11" cm="1">
        <f t="array" aca="1" ref="AB1013" ca="1">MMULT(_xlfn.ANCHORARRAY(Q1013),TRANSPOSE($Q$6:$U$6))</f>
        <v>-2.4112166423237193E-2</v>
      </c>
      <c r="AD1013" s="2" t="s">
        <v>1004</v>
      </c>
      <c r="AE1013" s="10" cm="1">
        <f t="array" aca="1" ref="AE1013:AI1013" ca="1">_xlfn.LET(_xlpm.array,_xlfn.RANDARRAY(1,COLUMNS(_xlfn.ANCHORARRAY(Q1012)),-1,1,FALSE),_xlpm.array/SUM(_xlpm.array))</f>
        <v>-0.31598393103853339</v>
      </c>
      <c r="AF1013" s="10">
        <f ca="1"/>
        <v>1.6000030706683155</v>
      </c>
      <c r="AG1013" s="10">
        <f ca="1"/>
        <v>0.50915211296141116</v>
      </c>
      <c r="AH1013" s="10">
        <f ca="1"/>
        <v>-0.74461698057344416</v>
      </c>
      <c r="AI1013" s="10">
        <f ca="1"/>
        <v>-4.8554272017749138E-2</v>
      </c>
      <c r="AJ1013" s="1"/>
      <c r="AK1013" s="2" cm="1">
        <f t="array" aca="1" ref="AK1013" ca="1">MMULT(MMULT(_xlfn.ANCHORARRAY(AE1013),$Q$9:$U$13),TRANSPOSE(_xlfn.ANCHORARRAY(AE1013)))</f>
        <v>8.1564055297854822E-4</v>
      </c>
      <c r="AL1013" s="2">
        <f t="shared" ca="1" si="37"/>
        <v>2.8559421439842723E-2</v>
      </c>
      <c r="AM1013" s="2" cm="1">
        <f t="array" aca="1" ref="AM1013" ca="1">MMULT(_xlfn.ANCHORARRAY(AE1014),TRANSPOSE($Q$3:$U$3))</f>
        <v>1.0924908351508742E-3</v>
      </c>
    </row>
    <row r="1014" spans="1:39" x14ac:dyDescent="0.35">
      <c r="A1014" s="3">
        <v>45301</v>
      </c>
      <c r="B1014" s="4">
        <v>31.844453811645501</v>
      </c>
      <c r="C1014" s="4">
        <v>131.11190795898401</v>
      </c>
      <c r="D1014" s="4">
        <v>75.351867675781193</v>
      </c>
      <c r="E1014" s="4">
        <v>24.884677886962798</v>
      </c>
      <c r="F1014" s="4">
        <v>376.28793334960898</v>
      </c>
      <c r="I1014" s="5">
        <f>B1014/B1013-1</f>
        <v>-8.9201021317575346E-4</v>
      </c>
      <c r="J1014" s="5">
        <f>C1014/C1013-1</f>
        <v>-8.2361225714924213E-3</v>
      </c>
      <c r="K1014" s="5">
        <f>D1014/D1013-1</f>
        <v>1.4784287494747472E-2</v>
      </c>
      <c r="L1014" s="5">
        <f>E1014/E1013-1</f>
        <v>-1.6023593583867624E-2</v>
      </c>
      <c r="M1014" s="5">
        <f>F1014/F1013-1</f>
        <v>1.8574090793027187E-2</v>
      </c>
      <c r="N1014" s="5">
        <f>SUMPRODUCT(I1014:M1014,$AJ$13:$AN$13)</f>
        <v>6.9430563404138156E-3</v>
      </c>
      <c r="P1014" s="2" t="s">
        <v>1005</v>
      </c>
      <c r="Q1014" s="10" cm="1">
        <f t="array" aca="1" ref="Q1014:U1014" ca="1">_xlfn.LET(_xlpm.array,_xlfn.RANDARRAY(1,COLUMNS(_xlfn.ANCHORARRAY(Q1013)),0,1,FALSE),_xlpm.array/SUM(_xlpm.array))</f>
        <v>7.4883043065924013E-2</v>
      </c>
      <c r="R1014" s="2">
        <f ca="1"/>
        <v>0.20656662032325079</v>
      </c>
      <c r="S1014" s="2">
        <f ca="1"/>
        <v>9.5332939436789096E-2</v>
      </c>
      <c r="T1014" s="2">
        <f ca="1"/>
        <v>0.27230400292409446</v>
      </c>
      <c r="U1014" s="2">
        <f ca="1"/>
        <v>0.35091339424994161</v>
      </c>
      <c r="V1014" s="12"/>
      <c r="X1014" s="2" cm="1">
        <f t="array" aca="1" ref="X1014" ca="1">MMULT(MMULT(_xlfn.ANCHORARRAY(Q1014),$Q$9:$U$13),TRANSPOSE(_xlfn.ANCHORARRAY(Q1014)))</f>
        <v>2.5761917464484801E-4</v>
      </c>
      <c r="Y1014" s="2">
        <f t="shared" ca="1" si="36"/>
        <v>1.6050519450935163E-2</v>
      </c>
      <c r="Z1014" s="2" cm="1">
        <f t="array" aca="1" ref="Z1014" ca="1">MMULT(_xlfn.ANCHORARRAY(Q1014),TRANSPOSE($Q$3:$U$3))</f>
        <v>8.9031068786636983E-4</v>
      </c>
      <c r="AA1014" s="11">
        <f ca="1">AVEDEV(Q1014*$Q$3,R1014*$R$3,S1014*$S$3,T1014*$T$3,U1014*$U$3)</f>
        <v>7.6185442926922993E-5</v>
      </c>
      <c r="AB1014" s="11" cm="1">
        <f t="array" aca="1" ref="AB1014" ca="1">MMULT(_xlfn.ANCHORARRAY(Q1014),TRANSPOSE($Q$6:$U$6))</f>
        <v>-2.2377144195631943E-2</v>
      </c>
      <c r="AD1014" s="2" t="s">
        <v>1005</v>
      </c>
      <c r="AE1014" s="10" cm="1">
        <f t="array" aca="1" ref="AE1014:AI1014" ca="1">_xlfn.LET(_xlpm.array,_xlfn.RANDARRAY(1,COLUMNS(_xlfn.ANCHORARRAY(Q1013)),-1,1,FALSE),_xlpm.array/SUM(_xlpm.array))</f>
        <v>0.52893136839225408</v>
      </c>
      <c r="AF1014" s="10">
        <f ca="1"/>
        <v>-0.4642233734908579</v>
      </c>
      <c r="AG1014" s="10">
        <f ca="1"/>
        <v>0.44154959844613467</v>
      </c>
      <c r="AH1014" s="10">
        <f ca="1"/>
        <v>0.26460101801496577</v>
      </c>
      <c r="AI1014" s="10">
        <f ca="1"/>
        <v>0.22914138863750344</v>
      </c>
      <c r="AJ1014" s="1"/>
      <c r="AK1014" s="2" cm="1">
        <f t="array" aca="1" ref="AK1014" ca="1">MMULT(MMULT(_xlfn.ANCHORARRAY(AE1014),$Q$9:$U$13),TRANSPOSE(_xlfn.ANCHORARRAY(AE1014)))</f>
        <v>4.375808922424393E-4</v>
      </c>
      <c r="AL1014" s="2">
        <f t="shared" ca="1" si="37"/>
        <v>2.0918434268425525E-2</v>
      </c>
      <c r="AM1014" s="2" cm="1">
        <f t="array" aca="1" ref="AM1014" ca="1">MMULT(_xlfn.ANCHORARRAY(AE1015),TRANSPOSE($Q$3:$U$3))</f>
        <v>9.4926715632487899E-4</v>
      </c>
    </row>
    <row r="1015" spans="1:39" x14ac:dyDescent="0.35">
      <c r="A1015" s="3">
        <v>45302</v>
      </c>
      <c r="B1015" s="4">
        <v>31.41796875</v>
      </c>
      <c r="C1015" s="4">
        <v>131.81964111328099</v>
      </c>
      <c r="D1015" s="4">
        <v>76.757781982421804</v>
      </c>
      <c r="E1015" s="4">
        <v>24.835056304931602</v>
      </c>
      <c r="F1015" s="4">
        <v>378.116455078125</v>
      </c>
      <c r="I1015" s="5">
        <f>B1015/B1014-1</f>
        <v>-1.3392757940459132E-2</v>
      </c>
      <c r="J1015" s="5">
        <f>C1015/C1014-1</f>
        <v>5.3979319294048533E-3</v>
      </c>
      <c r="K1015" s="5">
        <f>D1015/D1014-1</f>
        <v>1.8657988846273676E-2</v>
      </c>
      <c r="L1015" s="5">
        <f>E1015/E1014-1</f>
        <v>-1.9940616574022352E-3</v>
      </c>
      <c r="M1015" s="5">
        <f>F1015/F1014-1</f>
        <v>4.8593684953941452E-3</v>
      </c>
      <c r="N1015" s="5">
        <f>SUMPRODUCT(I1015:M1015,$AJ$13:$AN$13)</f>
        <v>1.4102736599974656E-2</v>
      </c>
      <c r="P1015" s="2" t="s">
        <v>1006</v>
      </c>
      <c r="Q1015" s="10" cm="1">
        <f t="array" aca="1" ref="Q1015:U1015" ca="1">_xlfn.LET(_xlpm.array,_xlfn.RANDARRAY(1,COLUMNS(_xlfn.ANCHORARRAY(Q1014)),0,1,FALSE),_xlpm.array/SUM(_xlpm.array))</f>
        <v>0.2164581763658919</v>
      </c>
      <c r="R1015" s="2">
        <f ca="1"/>
        <v>0.2541348505395758</v>
      </c>
      <c r="S1015" s="2">
        <f ca="1"/>
        <v>7.0984503858148529E-2</v>
      </c>
      <c r="T1015" s="2">
        <f ca="1"/>
        <v>0.27866298070313883</v>
      </c>
      <c r="U1015" s="2">
        <f ca="1"/>
        <v>0.17975948853324494</v>
      </c>
      <c r="V1015" s="12"/>
      <c r="X1015" s="2" cm="1">
        <f t="array" aca="1" ref="X1015" ca="1">MMULT(MMULT(_xlfn.ANCHORARRAY(Q1015),$Q$9:$U$13),TRANSPOSE(_xlfn.ANCHORARRAY(Q1015)))</f>
        <v>2.8369424248134108E-4</v>
      </c>
      <c r="Y1015" s="2">
        <f t="shared" ca="1" si="36"/>
        <v>1.6843225417993463E-2</v>
      </c>
      <c r="Z1015" s="2" cm="1">
        <f t="array" aca="1" ref="Z1015" ca="1">MMULT(_xlfn.ANCHORARRAY(Q1015),TRANSPOSE($Q$3:$U$3))</f>
        <v>8.3304874143943358E-4</v>
      </c>
      <c r="AA1015" s="11">
        <f ca="1">AVEDEV(Q1015*$Q$3,R1015*$R$3,S1015*$S$3,T1015*$T$3,U1015*$U$3)</f>
        <v>5.4818627513496924E-5</v>
      </c>
      <c r="AB1015" s="11" cm="1">
        <f t="array" aca="1" ref="AB1015" ca="1">MMULT(_xlfn.ANCHORARRAY(Q1015),TRANSPOSE($Q$6:$U$6))</f>
        <v>-2.2469950998816757E-2</v>
      </c>
      <c r="AD1015" s="2" t="s">
        <v>1006</v>
      </c>
      <c r="AE1015" s="10" cm="1">
        <f t="array" aca="1" ref="AE1015:AI1015" ca="1">_xlfn.LET(_xlpm.array,_xlfn.RANDARRAY(1,COLUMNS(_xlfn.ANCHORARRAY(Q1014)),-1,1,FALSE),_xlpm.array/SUM(_xlpm.array))</f>
        <v>0.2238252673493327</v>
      </c>
      <c r="AF1015" s="10">
        <f ca="1"/>
        <v>0.38794083933700141</v>
      </c>
      <c r="AG1015" s="10">
        <f ca="1"/>
        <v>0.16723558691379586</v>
      </c>
      <c r="AH1015" s="10">
        <f ca="1"/>
        <v>0.43463037637069074</v>
      </c>
      <c r="AI1015" s="10">
        <f ca="1"/>
        <v>-0.21363206997082049</v>
      </c>
      <c r="AJ1015" s="1"/>
      <c r="AK1015" s="2" cm="1">
        <f t="array" aca="1" ref="AK1015" ca="1">MMULT(MMULT(_xlfn.ANCHORARRAY(AE1015),$Q$9:$U$13),TRANSPOSE(_xlfn.ANCHORARRAY(AE1015)))</f>
        <v>4.5600639612513574E-4</v>
      </c>
      <c r="AL1015" s="2">
        <f t="shared" ca="1" si="37"/>
        <v>2.1354306266538742E-2</v>
      </c>
      <c r="AM1015" s="2" cm="1">
        <f t="array" aca="1" ref="AM1015" ca="1">MMULT(_xlfn.ANCHORARRAY(AE1016),TRANSPOSE($Q$3:$U$3))</f>
        <v>6.410187566082507E-4</v>
      </c>
    </row>
    <row r="1016" spans="1:39" x14ac:dyDescent="0.35">
      <c r="A1016" s="3">
        <v>45303</v>
      </c>
      <c r="B1016" s="4">
        <v>31.086254119873001</v>
      </c>
      <c r="C1016" s="4">
        <v>133.62525939941401</v>
      </c>
      <c r="D1016" s="4">
        <v>76.372581481933594</v>
      </c>
      <c r="E1016" s="4">
        <v>25.240293502807599</v>
      </c>
      <c r="F1016" s="4">
        <v>381.89144897460898</v>
      </c>
      <c r="I1016" s="5">
        <f>B1016/B1015-1</f>
        <v>-1.0558118278317985E-2</v>
      </c>
      <c r="J1016" s="5">
        <f>C1016/C1015-1</f>
        <v>1.3697642254854259E-2</v>
      </c>
      <c r="K1016" s="5">
        <f>D1016/D1015-1</f>
        <v>-5.0183901949697463E-3</v>
      </c>
      <c r="L1016" s="5">
        <f>E1016/E1015-1</f>
        <v>1.6317144318111598E-2</v>
      </c>
      <c r="M1016" s="5">
        <f>F1016/F1015-1</f>
        <v>9.9836805454658339E-3</v>
      </c>
      <c r="N1016" s="5">
        <f>SUMPRODUCT(I1016:M1016,$AJ$13:$AN$13)</f>
        <v>1.0951151490954297E-2</v>
      </c>
      <c r="P1016" s="2" t="s">
        <v>1007</v>
      </c>
      <c r="Q1016" s="10" cm="1">
        <f t="array" aca="1" ref="Q1016:U1016" ca="1">_xlfn.LET(_xlpm.array,_xlfn.RANDARRAY(1,COLUMNS(_xlfn.ANCHORARRAY(Q1015)),0,1,FALSE),_xlpm.array/SUM(_xlpm.array))</f>
        <v>0.31414725571413687</v>
      </c>
      <c r="R1016" s="2">
        <f ca="1"/>
        <v>0.16540112375427193</v>
      </c>
      <c r="S1016" s="2">
        <f ca="1"/>
        <v>0.32453139444131945</v>
      </c>
      <c r="T1016" s="2">
        <f ca="1"/>
        <v>0.14155693484304435</v>
      </c>
      <c r="U1016" s="2">
        <f ca="1"/>
        <v>5.4363291247227261E-2</v>
      </c>
      <c r="V1016" s="12"/>
      <c r="X1016" s="2" cm="1">
        <f t="array" aca="1" ref="X1016" ca="1">MMULT(MMULT(_xlfn.ANCHORARRAY(Q1016),$Q$9:$U$13),TRANSPOSE(_xlfn.ANCHORARRAY(Q1016)))</f>
        <v>3.3290944836674542E-4</v>
      </c>
      <c r="Y1016" s="2">
        <f t="shared" ca="1" si="36"/>
        <v>1.8245806322734696E-2</v>
      </c>
      <c r="Z1016" s="2" cm="1">
        <f t="array" aca="1" ref="Z1016" ca="1">MMULT(_xlfn.ANCHORARRAY(Q1016),TRANSPOSE($Q$3:$U$3))</f>
        <v>9.9368271857270076E-4</v>
      </c>
      <c r="AA1016" s="11">
        <f ca="1">AVEDEV(Q1016*$Q$3,R1016*$R$3,S1016*$S$3,T1016*$T$3,U1016*$U$3)</f>
        <v>1.3132107671072656E-4</v>
      </c>
      <c r="AB1016" s="11" cm="1">
        <f t="array" aca="1" ref="AB1016" ca="1">MMULT(_xlfn.ANCHORARRAY(Q1016),TRANSPOSE($Q$6:$U$6))</f>
        <v>-2.3662914639817623E-2</v>
      </c>
      <c r="AD1016" s="2" t="s">
        <v>1007</v>
      </c>
      <c r="AE1016" s="10" cm="1">
        <f t="array" aca="1" ref="AE1016:AI1016" ca="1">_xlfn.LET(_xlpm.array,_xlfn.RANDARRAY(1,COLUMNS(_xlfn.ANCHORARRAY(Q1015)),-1,1,FALSE),_xlpm.array/SUM(_xlpm.array))</f>
        <v>0.72294818453592269</v>
      </c>
      <c r="AF1016" s="10">
        <f ca="1"/>
        <v>-0.40852917299195812</v>
      </c>
      <c r="AG1016" s="10">
        <f ca="1"/>
        <v>2.4056752895759096E-2</v>
      </c>
      <c r="AH1016" s="10">
        <f ca="1"/>
        <v>0.10464691134667017</v>
      </c>
      <c r="AI1016" s="10">
        <f ca="1"/>
        <v>0.55687732421360614</v>
      </c>
      <c r="AJ1016" s="1"/>
      <c r="AK1016" s="2" cm="1">
        <f t="array" aca="1" ref="AK1016" ca="1">MMULT(MMULT(_xlfn.ANCHORARRAY(AE1016),$Q$9:$U$13),TRANSPOSE(_xlfn.ANCHORARRAY(AE1016)))</f>
        <v>3.7467532786478538E-4</v>
      </c>
      <c r="AL1016" s="2">
        <f t="shared" ca="1" si="37"/>
        <v>1.9356531917282739E-2</v>
      </c>
      <c r="AM1016" s="2" cm="1">
        <f t="array" aca="1" ref="AM1016" ca="1">MMULT(_xlfn.ANCHORARRAY(AE1017),TRANSPOSE($Q$3:$U$3))</f>
        <v>-1.0231331344354953E-5</v>
      </c>
    </row>
    <row r="1017" spans="1:39" x14ac:dyDescent="0.35">
      <c r="A1017" s="3">
        <v>45307</v>
      </c>
      <c r="B1017" s="4">
        <v>30.441780090331999</v>
      </c>
      <c r="C1017" s="4">
        <v>130.37696838378901</v>
      </c>
      <c r="D1017" s="4">
        <v>76.574821472167898</v>
      </c>
      <c r="E1017" s="4">
        <v>23.9832363128662</v>
      </c>
      <c r="F1017" s="4">
        <v>383.66091918945301</v>
      </c>
      <c r="I1017" s="5">
        <f>B1017/B1016-1</f>
        <v>-2.0731800848562187E-2</v>
      </c>
      <c r="J1017" s="5">
        <f>C1017/C1016-1</f>
        <v>-2.4308959475361269E-2</v>
      </c>
      <c r="K1017" s="5">
        <f>D1017/D1016-1</f>
        <v>2.648070633596955E-3</v>
      </c>
      <c r="L1017" s="5">
        <f>E1017/E1016-1</f>
        <v>-4.9803588448825709E-2</v>
      </c>
      <c r="M1017" s="5">
        <f>F1017/F1016-1</f>
        <v>4.633437642018734E-3</v>
      </c>
      <c r="N1017" s="5">
        <f>SUMPRODUCT(I1017:M1017,$AJ$13:$AN$13)</f>
        <v>-1.3552174016482749E-2</v>
      </c>
      <c r="P1017" s="2" t="s">
        <v>1008</v>
      </c>
      <c r="Q1017" s="10" cm="1">
        <f t="array" aca="1" ref="Q1017:U1017" ca="1">_xlfn.LET(_xlpm.array,_xlfn.RANDARRAY(1,COLUMNS(_xlfn.ANCHORARRAY(Q1016)),0,1,FALSE),_xlpm.array/SUM(_xlpm.array))</f>
        <v>0.29537055887348873</v>
      </c>
      <c r="R1017" s="2">
        <f ca="1"/>
        <v>0.1885445539382205</v>
      </c>
      <c r="S1017" s="2">
        <f ca="1"/>
        <v>0.14859414747450297</v>
      </c>
      <c r="T1017" s="2">
        <f ca="1"/>
        <v>0.19324574250814944</v>
      </c>
      <c r="U1017" s="2">
        <f ca="1"/>
        <v>0.17424499720563832</v>
      </c>
      <c r="V1017" s="12"/>
      <c r="X1017" s="2" cm="1">
        <f t="array" aca="1" ref="X1017" ca="1">MMULT(MMULT(_xlfn.ANCHORARRAY(Q1017),$Q$9:$U$13),TRANSPOSE(_xlfn.ANCHORARRAY(Q1017)))</f>
        <v>2.7868418390374202E-4</v>
      </c>
      <c r="Y1017" s="2">
        <f t="shared" ca="1" si="36"/>
        <v>1.6693836704117542E-2</v>
      </c>
      <c r="Z1017" s="2" cm="1">
        <f t="array" aca="1" ref="Z1017" ca="1">MMULT(_xlfn.ANCHORARRAY(Q1017),TRANSPOSE($Q$3:$U$3))</f>
        <v>8.5981569589856457E-4</v>
      </c>
      <c r="AA1017" s="11">
        <f ca="1">AVEDEV(Q1017*$Q$3,R1017*$R$3,S1017*$S$3,T1017*$T$3,U1017*$U$3)</f>
        <v>3.7925556911092139E-5</v>
      </c>
      <c r="AB1017" s="11" cm="1">
        <f t="array" aca="1" ref="AB1017" ca="1">MMULT(_xlfn.ANCHORARRAY(Q1017),TRANSPOSE($Q$6:$U$6))</f>
        <v>-2.2670843219786959E-2</v>
      </c>
      <c r="AD1017" s="2" t="s">
        <v>1008</v>
      </c>
      <c r="AE1017" s="10" cm="1">
        <f t="array" aca="1" ref="AE1017:AI1017" ca="1">_xlfn.LET(_xlpm.array,_xlfn.RANDARRAY(1,COLUMNS(_xlfn.ANCHORARRAY(Q1016)),-1,1,FALSE),_xlpm.array/SUM(_xlpm.array))</f>
        <v>1.3618471587206593</v>
      </c>
      <c r="AF1017" s="10">
        <f ca="1"/>
        <v>0.71569168178196874</v>
      </c>
      <c r="AG1017" s="10">
        <f ca="1"/>
        <v>-0.27469944608113472</v>
      </c>
      <c r="AH1017" s="10">
        <f ca="1"/>
        <v>-0.64200825319174781</v>
      </c>
      <c r="AI1017" s="10">
        <f ca="1"/>
        <v>-0.16083114122974571</v>
      </c>
      <c r="AJ1017" s="1"/>
      <c r="AK1017" s="2" cm="1">
        <f t="array" aca="1" ref="AK1017" ca="1">MMULT(MMULT(_xlfn.ANCHORARRAY(AE1017),$Q$9:$U$13),TRANSPOSE(_xlfn.ANCHORARRAY(AE1017)))</f>
        <v>9.4844012555435884E-4</v>
      </c>
      <c r="AL1017" s="2">
        <f t="shared" ca="1" si="37"/>
        <v>3.0796755114043409E-2</v>
      </c>
      <c r="AM1017" s="2" cm="1">
        <f t="array" aca="1" ref="AM1017" ca="1">MMULT(_xlfn.ANCHORARRAY(AE1018),TRANSPOSE($Q$3:$U$3))</f>
        <v>1.5384298939722344E-3</v>
      </c>
    </row>
    <row r="1018" spans="1:39" x14ac:dyDescent="0.35">
      <c r="A1018" s="3">
        <v>45308</v>
      </c>
      <c r="B1018" s="4">
        <v>30.138500213623001</v>
      </c>
      <c r="C1018" s="4">
        <v>129.85978698730401</v>
      </c>
      <c r="D1018" s="4">
        <v>74.783714294433594</v>
      </c>
      <c r="E1018" s="4">
        <v>23.635898590087798</v>
      </c>
      <c r="F1018" s="4">
        <v>382.87448120117102</v>
      </c>
      <c r="I1018" s="5">
        <f>B1018/B1017-1</f>
        <v>-9.9626196565725245E-3</v>
      </c>
      <c r="J1018" s="5">
        <f>C1018/C1017-1</f>
        <v>-3.966815633897669E-3</v>
      </c>
      <c r="K1018" s="5">
        <f>D1018/D1017-1</f>
        <v>-2.3390288652325508E-2</v>
      </c>
      <c r="L1018" s="5">
        <f>E1018/E1017-1</f>
        <v>-1.4482520967867285E-2</v>
      </c>
      <c r="M1018" s="5">
        <f>F1018/F1017-1</f>
        <v>-2.0498256375537371E-3</v>
      </c>
      <c r="N1018" s="5">
        <f>SUMPRODUCT(I1018:M1018,$AJ$13:$AN$13)</f>
        <v>-1.6619188318687934E-2</v>
      </c>
      <c r="P1018" s="2" t="s">
        <v>1009</v>
      </c>
      <c r="Q1018" s="10" cm="1">
        <f t="array" aca="1" ref="Q1018:U1018" ca="1">_xlfn.LET(_xlpm.array,_xlfn.RANDARRAY(1,COLUMNS(_xlfn.ANCHORARRAY(Q1017)),0,1,FALSE),_xlpm.array/SUM(_xlpm.array))</f>
        <v>0.23659138725976461</v>
      </c>
      <c r="R1018" s="2">
        <f ca="1"/>
        <v>0.12634881782991036</v>
      </c>
      <c r="S1018" s="2">
        <f ca="1"/>
        <v>0.18344930550518909</v>
      </c>
      <c r="T1018" s="2">
        <f ca="1"/>
        <v>0.17573596992416876</v>
      </c>
      <c r="U1018" s="2">
        <f ca="1"/>
        <v>0.2778745194809672</v>
      </c>
      <c r="V1018" s="12"/>
      <c r="X1018" s="2" cm="1">
        <f t="array" aca="1" ref="X1018" ca="1">MMULT(MMULT(_xlfn.ANCHORARRAY(Q1018),$Q$9:$U$13),TRANSPOSE(_xlfn.ANCHORARRAY(Q1018)))</f>
        <v>2.6541300826904256E-4</v>
      </c>
      <c r="Y1018" s="2">
        <f t="shared" ca="1" si="36"/>
        <v>1.6291501105455033E-2</v>
      </c>
      <c r="Z1018" s="2" cm="1">
        <f t="array" aca="1" ref="Z1018" ca="1">MMULT(_xlfn.ANCHORARRAY(Q1018),TRANSPOSE($Q$3:$U$3))</f>
        <v>9.0250160309983168E-4</v>
      </c>
      <c r="AA1018" s="11">
        <f ca="1">AVEDEV(Q1018*$Q$3,R1018*$R$3,S1018*$S$3,T1018*$T$3,U1018*$U$3)</f>
        <v>5.9781823945743911E-5</v>
      </c>
      <c r="AB1018" s="11" cm="1">
        <f t="array" aca="1" ref="AB1018" ca="1">MMULT(_xlfn.ANCHORARRAY(Q1018),TRANSPOSE($Q$6:$U$6))</f>
        <v>-2.2711286667765826E-2</v>
      </c>
      <c r="AD1018" s="2" t="s">
        <v>1009</v>
      </c>
      <c r="AE1018" s="10" cm="1">
        <f t="array" aca="1" ref="AE1018:AI1018" ca="1">_xlfn.LET(_xlpm.array,_xlfn.RANDARRAY(1,COLUMNS(_xlfn.ANCHORARRAY(Q1017)),-1,1,FALSE),_xlpm.array/SUM(_xlpm.array))</f>
        <v>-2.7337310492314401E-2</v>
      </c>
      <c r="AF1018" s="10">
        <f ca="1"/>
        <v>2.1100013280902295E-2</v>
      </c>
      <c r="AG1018" s="10">
        <f ca="1"/>
        <v>0.57441685019257693</v>
      </c>
      <c r="AH1018" s="10">
        <f ca="1"/>
        <v>1.0662855237215421</v>
      </c>
      <c r="AI1018" s="10">
        <f ca="1"/>
        <v>-0.63446507670270691</v>
      </c>
      <c r="AJ1018" s="1"/>
      <c r="AK1018" s="2" cm="1">
        <f t="array" aca="1" ref="AK1018" ca="1">MMULT(MMULT(_xlfn.ANCHORARRAY(AE1018),$Q$9:$U$13),TRANSPOSE(_xlfn.ANCHORARRAY(AE1018)))</f>
        <v>1.0103594614372525E-3</v>
      </c>
      <c r="AL1018" s="2">
        <f t="shared" ca="1" si="37"/>
        <v>3.1786152038855736E-2</v>
      </c>
      <c r="AM1018" s="2" cm="1">
        <f t="array" aca="1" ref="AM1018" ca="1">MMULT(_xlfn.ANCHORARRAY(AE1019),TRANSPOSE($Q$3:$U$3))</f>
        <v>7.0874249184296485E-4</v>
      </c>
    </row>
    <row r="1019" spans="1:39" x14ac:dyDescent="0.35">
      <c r="A1019" s="3">
        <v>45309</v>
      </c>
      <c r="B1019" s="4">
        <v>30.072156906127901</v>
      </c>
      <c r="C1019" s="4">
        <v>128.68023681640599</v>
      </c>
      <c r="D1019" s="4">
        <v>75.505928039550696</v>
      </c>
      <c r="E1019" s="4">
        <v>23.561466217041001</v>
      </c>
      <c r="F1019" s="4">
        <v>387.19998168945301</v>
      </c>
      <c r="I1019" s="5">
        <f>B1019/B1018-1</f>
        <v>-2.2012809869388361E-3</v>
      </c>
      <c r="J1019" s="5">
        <f>C1019/C1018-1</f>
        <v>-9.0832597085142019E-3</v>
      </c>
      <c r="K1019" s="5">
        <f>D1019/D1018-1</f>
        <v>9.6573666062325092E-3</v>
      </c>
      <c r="L1019" s="5">
        <f>E1019/E1018-1</f>
        <v>-3.1491238957173096E-3</v>
      </c>
      <c r="M1019" s="5">
        <f>F1019/F1018-1</f>
        <v>1.1297437412678413E-2</v>
      </c>
      <c r="N1019" s="5">
        <f>SUMPRODUCT(I1019:M1019,$AJ$13:$AN$13)</f>
        <v>8.2649640269048443E-3</v>
      </c>
      <c r="P1019" s="2" t="s">
        <v>1010</v>
      </c>
      <c r="Q1019" s="10" cm="1">
        <f t="array" aca="1" ref="Q1019:U1019" ca="1">_xlfn.LET(_xlpm.array,_xlfn.RANDARRAY(1,COLUMNS(_xlfn.ANCHORARRAY(Q1018)),0,1,FALSE),_xlpm.array/SUM(_xlpm.array))</f>
        <v>0.16189325446197272</v>
      </c>
      <c r="R1019" s="2">
        <f ca="1"/>
        <v>0.25037293131825394</v>
      </c>
      <c r="S1019" s="2">
        <f ca="1"/>
        <v>0.14086881271175689</v>
      </c>
      <c r="T1019" s="2">
        <f ca="1"/>
        <v>0.26529858822015306</v>
      </c>
      <c r="U1019" s="2">
        <f ca="1"/>
        <v>0.18156641328786344</v>
      </c>
      <c r="V1019" s="12"/>
      <c r="X1019" s="2" cm="1">
        <f t="array" aca="1" ref="X1019" ca="1">MMULT(MMULT(_xlfn.ANCHORARRAY(Q1019),$Q$9:$U$13),TRANSPOSE(_xlfn.ANCHORARRAY(Q1019)))</f>
        <v>2.8252335572250426E-4</v>
      </c>
      <c r="Y1019" s="2">
        <f t="shared" ca="1" si="36"/>
        <v>1.6808431090452918E-2</v>
      </c>
      <c r="Z1019" s="2" cm="1">
        <f t="array" aca="1" ref="Z1019" ca="1">MMULT(_xlfn.ANCHORARRAY(Q1019),TRANSPOSE($Q$3:$U$3))</f>
        <v>9.0379013699258299E-4</v>
      </c>
      <c r="AA1019" s="11">
        <f ca="1">AVEDEV(Q1019*$Q$3,R1019*$R$3,S1019*$S$3,T1019*$T$3,U1019*$U$3)</f>
        <v>5.6145060542717736E-5</v>
      </c>
      <c r="AB1019" s="11" cm="1">
        <f t="array" aca="1" ref="AB1019" ca="1">MMULT(_xlfn.ANCHORARRAY(Q1019),TRANSPOSE($Q$6:$U$6))</f>
        <v>-2.2810893040973244E-2</v>
      </c>
      <c r="AD1019" s="2" t="s">
        <v>1010</v>
      </c>
      <c r="AE1019" s="10" cm="1">
        <f t="array" aca="1" ref="AE1019:AI1019" ca="1">_xlfn.LET(_xlpm.array,_xlfn.RANDARRAY(1,COLUMNS(_xlfn.ANCHORARRAY(Q1018)),-1,1,FALSE),_xlpm.array/SUM(_xlpm.array))</f>
        <v>0.38912729311921473</v>
      </c>
      <c r="AF1019" s="10">
        <f ca="1"/>
        <v>0.29901649456699247</v>
      </c>
      <c r="AG1019" s="10">
        <f ca="1"/>
        <v>-1.4808046443305419E-3</v>
      </c>
      <c r="AH1019" s="10">
        <f ca="1"/>
        <v>0.21562387207962869</v>
      </c>
      <c r="AI1019" s="10">
        <f ca="1"/>
        <v>9.7713144878494571E-2</v>
      </c>
      <c r="AJ1019" s="1"/>
      <c r="AK1019" s="2" cm="1">
        <f t="array" aca="1" ref="AK1019" ca="1">MMULT(MMULT(_xlfn.ANCHORARRAY(AE1019),$Q$9:$U$13),TRANSPOSE(_xlfn.ANCHORARRAY(AE1019)))</f>
        <v>3.1394197607322391E-4</v>
      </c>
      <c r="AL1019" s="2">
        <f t="shared" ca="1" si="37"/>
        <v>1.7718407831213954E-2</v>
      </c>
      <c r="AM1019" s="2" cm="1">
        <f t="array" aca="1" ref="AM1019" ca="1">MMULT(_xlfn.ANCHORARRAY(AE1020),TRANSPOSE($Q$3:$U$3))</f>
        <v>1.4816671230867442E-4</v>
      </c>
    </row>
    <row r="1020" spans="1:39" x14ac:dyDescent="0.35">
      <c r="A1020" s="3">
        <v>45310</v>
      </c>
      <c r="B1020" s="4">
        <v>30.536556243896399</v>
      </c>
      <c r="C1020" s="4">
        <v>129.06130981445301</v>
      </c>
      <c r="D1020" s="4">
        <v>80.108901977539006</v>
      </c>
      <c r="E1020" s="4">
        <v>23.429141998291001</v>
      </c>
      <c r="F1020" s="4">
        <v>391.91867065429602</v>
      </c>
      <c r="I1020" s="5">
        <f>B1020/B1019-1</f>
        <v>1.5442834353988966E-2</v>
      </c>
      <c r="J1020" s="5">
        <f>C1020/C1019-1</f>
        <v>2.9613949078342028E-3</v>
      </c>
      <c r="K1020" s="5">
        <f>D1020/D1019-1</f>
        <v>6.0961755685953856E-2</v>
      </c>
      <c r="L1020" s="5">
        <f>E1020/E1019-1</f>
        <v>-5.616128365317774E-3</v>
      </c>
      <c r="M1020" s="5">
        <f>F1020/F1019-1</f>
        <v>1.2186697283027126E-2</v>
      </c>
      <c r="N1020" s="5">
        <f>SUMPRODUCT(I1020:M1020,$AJ$13:$AN$13)</f>
        <v>2.8624567220340486E-2</v>
      </c>
      <c r="P1020" s="2" t="s">
        <v>1011</v>
      </c>
      <c r="Q1020" s="10" cm="1">
        <f t="array" aca="1" ref="Q1020:U1020" ca="1">_xlfn.LET(_xlpm.array,_xlfn.RANDARRAY(1,COLUMNS(_xlfn.ANCHORARRAY(Q1019)),0,1,FALSE),_xlpm.array/SUM(_xlpm.array))</f>
        <v>0.11493857459921694</v>
      </c>
      <c r="R1020" s="2">
        <f ca="1"/>
        <v>0.35191965865015606</v>
      </c>
      <c r="S1020" s="2">
        <f ca="1"/>
        <v>0.33945187399683824</v>
      </c>
      <c r="T1020" s="2">
        <f ca="1"/>
        <v>0.15224002242814158</v>
      </c>
      <c r="U1020" s="2">
        <f ca="1"/>
        <v>4.1449870325647314E-2</v>
      </c>
      <c r="V1020" s="12"/>
      <c r="X1020" s="2" cm="1">
        <f t="array" aca="1" ref="X1020" ca="1">MMULT(MMULT(_xlfn.ANCHORARRAY(Q1020),$Q$9:$U$13),TRANSPOSE(_xlfn.ANCHORARRAY(Q1020)))</f>
        <v>3.4473864302963104E-4</v>
      </c>
      <c r="Y1020" s="2">
        <f t="shared" ca="1" si="36"/>
        <v>1.8567138794914822E-2</v>
      </c>
      <c r="Z1020" s="2" cm="1">
        <f t="array" aca="1" ref="Z1020" ca="1">MMULT(_xlfn.ANCHORARRAY(Q1020),TRANSPOSE($Q$3:$U$3))</f>
        <v>1.0539067878532614E-3</v>
      </c>
      <c r="AA1020" s="11">
        <f ca="1">AVEDEV(Q1020*$Q$3,R1020*$R$3,S1020*$S$3,T1020*$T$3,U1020*$U$3)</f>
        <v>1.5467714704995068E-4</v>
      </c>
      <c r="AB1020" s="11" cm="1">
        <f t="array" aca="1" ref="AB1020" ca="1">MMULT(_xlfn.ANCHORARRAY(Q1020),TRANSPOSE($Q$6:$U$6))</f>
        <v>-2.3614351386428402E-2</v>
      </c>
      <c r="AD1020" s="2" t="s">
        <v>1011</v>
      </c>
      <c r="AE1020" s="10" cm="1">
        <f t="array" aca="1" ref="AE1020:AI1020" ca="1">_xlfn.LET(_xlpm.array,_xlfn.RANDARRAY(1,COLUMNS(_xlfn.ANCHORARRAY(Q1019)),-1,1,FALSE),_xlpm.array/SUM(_xlpm.array))</f>
        <v>0.46133025072652972</v>
      </c>
      <c r="AF1020" s="10">
        <f ca="1"/>
        <v>3.3174409770948286E-2</v>
      </c>
      <c r="AG1020" s="10">
        <f ca="1"/>
        <v>-0.7217428365439541</v>
      </c>
      <c r="AH1020" s="10">
        <f ca="1"/>
        <v>0.47874914376073463</v>
      </c>
      <c r="AI1020" s="10">
        <f ca="1"/>
        <v>0.74848903228574148</v>
      </c>
      <c r="AJ1020" s="1"/>
      <c r="AK1020" s="2" cm="1">
        <f t="array" aca="1" ref="AK1020" ca="1">MMULT(MMULT(_xlfn.ANCHORARRAY(AE1020),$Q$9:$U$13),TRANSPOSE(_xlfn.ANCHORARRAY(AE1020)))</f>
        <v>6.410443733316332E-4</v>
      </c>
      <c r="AL1020" s="2">
        <f t="shared" ca="1" si="37"/>
        <v>2.5318854107791552E-2</v>
      </c>
      <c r="AM1020" s="2" cm="1">
        <f t="array" aca="1" ref="AM1020" ca="1">MMULT(_xlfn.ANCHORARRAY(AE1021),TRANSPOSE($Q$3:$U$3))</f>
        <v>-2.1854507640979536E-3</v>
      </c>
    </row>
    <row r="1021" spans="1:39" x14ac:dyDescent="0.35">
      <c r="A1021" s="3">
        <v>45313</v>
      </c>
      <c r="B1021" s="4">
        <v>30.8493137359619</v>
      </c>
      <c r="C1021" s="4">
        <v>129.28814697265599</v>
      </c>
      <c r="D1021" s="4">
        <v>78.48388671875</v>
      </c>
      <c r="E1021" s="4">
        <v>23.205852508544901</v>
      </c>
      <c r="F1021" s="4">
        <v>389.79522705078102</v>
      </c>
      <c r="I1021" s="5">
        <f>B1021/B1020-1</f>
        <v>1.0242068213831779E-2</v>
      </c>
      <c r="J1021" s="5">
        <f>C1021/C1020-1</f>
        <v>1.7575922523109799E-3</v>
      </c>
      <c r="K1021" s="5">
        <f>D1021/D1020-1</f>
        <v>-2.028507717213035E-2</v>
      </c>
      <c r="L1021" s="5">
        <f>E1021/E1020-1</f>
        <v>-9.5304168527549082E-3</v>
      </c>
      <c r="M1021" s="5">
        <f>F1021/F1020-1</f>
        <v>-5.4180720708456587E-3</v>
      </c>
      <c r="N1021" s="5">
        <f>SUMPRODUCT(I1021:M1021,$AJ$13:$AN$13)</f>
        <v>-1.9844642640368948E-2</v>
      </c>
      <c r="P1021" s="2" t="s">
        <v>1012</v>
      </c>
      <c r="Q1021" s="10" cm="1">
        <f t="array" aca="1" ref="Q1021:U1021" ca="1">_xlfn.LET(_xlpm.array,_xlfn.RANDARRAY(1,COLUMNS(_xlfn.ANCHORARRAY(Q1020)),0,1,FALSE),_xlpm.array/SUM(_xlpm.array))</f>
        <v>6.8632527564304185E-2</v>
      </c>
      <c r="R1021" s="2">
        <f ca="1"/>
        <v>0.23735249465302979</v>
      </c>
      <c r="S1021" s="2">
        <f ca="1"/>
        <v>0.31854384023729393</v>
      </c>
      <c r="T1021" s="2">
        <f ca="1"/>
        <v>0.20128669823599257</v>
      </c>
      <c r="U1021" s="2">
        <f ca="1"/>
        <v>0.17418443930937949</v>
      </c>
      <c r="V1021" s="12"/>
      <c r="X1021" s="2" cm="1">
        <f t="array" aca="1" ref="X1021" ca="1">MMULT(MMULT(_xlfn.ANCHORARRAY(Q1021),$Q$9:$U$13),TRANSPOSE(_xlfn.ANCHORARRAY(Q1021)))</f>
        <v>3.1206491821292879E-4</v>
      </c>
      <c r="Y1021" s="2">
        <f t="shared" ca="1" si="36"/>
        <v>1.7665359272115832E-2</v>
      </c>
      <c r="Z1021" s="2" cm="1">
        <f t="array" aca="1" ref="Z1021" ca="1">MMULT(_xlfn.ANCHORARRAY(Q1021),TRANSPOSE($Q$3:$U$3))</f>
        <v>1.0643852992015305E-3</v>
      </c>
      <c r="AA1021" s="11">
        <f ca="1">AVEDEV(Q1021*$Q$3,R1021*$R$3,S1021*$S$3,T1021*$T$3,U1021*$U$3)</f>
        <v>1.2177535319772097E-4</v>
      </c>
      <c r="AB1021" s="11" cm="1">
        <f t="array" aca="1" ref="AB1021" ca="1">MMULT(_xlfn.ANCHORARRAY(Q1021),TRANSPOSE($Q$6:$U$6))</f>
        <v>-2.3592152632665307E-2</v>
      </c>
      <c r="AD1021" s="2" t="s">
        <v>1012</v>
      </c>
      <c r="AE1021" s="10" cm="1">
        <f t="array" aca="1" ref="AE1021:AI1021" ca="1">_xlfn.LET(_xlpm.array,_xlfn.RANDARRAY(1,COLUMNS(_xlfn.ANCHORARRAY(Q1020)),-1,1,FALSE),_xlpm.array/SUM(_xlpm.array))</f>
        <v>2.4871885974374957</v>
      </c>
      <c r="AF1021" s="10">
        <f ca="1"/>
        <v>2.2127617847549623</v>
      </c>
      <c r="AG1021" s="10">
        <f ca="1"/>
        <v>-2.5453754434074809</v>
      </c>
      <c r="AH1021" s="10">
        <f ca="1"/>
        <v>-0.18938593240123244</v>
      </c>
      <c r="AI1021" s="10">
        <f ca="1"/>
        <v>-0.96518900638374472</v>
      </c>
      <c r="AJ1021" s="1"/>
      <c r="AK1021" s="2" cm="1">
        <f t="array" aca="1" ref="AK1021" ca="1">MMULT(MMULT(_xlfn.ANCHORARRAY(AE1021),$Q$9:$U$13),TRANSPOSE(_xlfn.ANCHORARRAY(AE1021)))</f>
        <v>8.20727462325763E-3</v>
      </c>
      <c r="AL1021" s="2">
        <f t="shared" ca="1" si="37"/>
        <v>9.0594009864105415E-2</v>
      </c>
      <c r="AM1021" s="2" cm="1">
        <f t="array" aca="1" ref="AM1021" ca="1">MMULT(_xlfn.ANCHORARRAY(AE1022),TRANSPOSE($Q$3:$U$3))</f>
        <v>-7.2645962934367141E-4</v>
      </c>
    </row>
    <row r="1022" spans="1:39" x14ac:dyDescent="0.35">
      <c r="A1022" s="3">
        <v>45314</v>
      </c>
      <c r="B1022" s="4">
        <v>31.057819366455</v>
      </c>
      <c r="C1022" s="4">
        <v>128.92521667480401</v>
      </c>
      <c r="D1022" s="4">
        <v>79.731643676757798</v>
      </c>
      <c r="E1022" s="4">
        <v>23.3299026489257</v>
      </c>
      <c r="F1022" s="4">
        <v>392.14474487304602</v>
      </c>
      <c r="I1022" s="5">
        <f>B1022/B1021-1</f>
        <v>6.7588417777357801E-3</v>
      </c>
      <c r="J1022" s="5">
        <f>C1022/C1021-1</f>
        <v>-2.8071428537741472E-3</v>
      </c>
      <c r="K1022" s="5">
        <f>D1022/D1021-1</f>
        <v>1.5898256446946757E-2</v>
      </c>
      <c r="L1022" s="5">
        <f>E1022/E1021-1</f>
        <v>5.3456403006577613E-3</v>
      </c>
      <c r="M1022" s="5">
        <f>F1022/F1021-1</f>
        <v>6.0275695011495767E-3</v>
      </c>
      <c r="N1022" s="5">
        <f>SUMPRODUCT(I1022:M1022,$AJ$13:$AN$13)</f>
        <v>1.0926276673917715E-2</v>
      </c>
      <c r="P1022" s="2" t="s">
        <v>1013</v>
      </c>
      <c r="Q1022" s="10" cm="1">
        <f t="array" aca="1" ref="Q1022:U1022" ca="1">_xlfn.LET(_xlpm.array,_xlfn.RANDARRAY(1,COLUMNS(_xlfn.ANCHORARRAY(Q1021)),0,1,FALSE),_xlpm.array/SUM(_xlpm.array))</f>
        <v>5.5105368476605687E-2</v>
      </c>
      <c r="R1022" s="2">
        <f ca="1"/>
        <v>0.19101735799916544</v>
      </c>
      <c r="S1022" s="2">
        <f ca="1"/>
        <v>6.6020033007112747E-2</v>
      </c>
      <c r="T1022" s="2">
        <f ca="1"/>
        <v>0.33307200610134513</v>
      </c>
      <c r="U1022" s="2">
        <f ca="1"/>
        <v>0.35478523441577103</v>
      </c>
      <c r="V1022" s="12"/>
      <c r="X1022" s="2" cm="1">
        <f t="array" aca="1" ref="X1022" ca="1">MMULT(MMULT(_xlfn.ANCHORARRAY(Q1022),$Q$9:$U$13),TRANSPOSE(_xlfn.ANCHORARRAY(Q1022)))</f>
        <v>2.6403860500524964E-4</v>
      </c>
      <c r="Y1022" s="2">
        <f t="shared" ca="1" si="36"/>
        <v>1.6249264752758803E-2</v>
      </c>
      <c r="Z1022" s="2" cm="1">
        <f t="array" aca="1" ref="Z1022" ca="1">MMULT(_xlfn.ANCHORARRAY(Q1022),TRANSPOSE($Q$3:$U$3))</f>
        <v>8.8634292228329881E-4</v>
      </c>
      <c r="AA1022" s="11">
        <f ca="1">AVEDEV(Q1022*$Q$3,R1022*$R$3,S1022*$S$3,T1022*$T$3,U1022*$U$3)</f>
        <v>1.028374952392065E-4</v>
      </c>
      <c r="AB1022" s="11" cm="1">
        <f t="array" aca="1" ref="AB1022" ca="1">MMULT(_xlfn.ANCHORARRAY(Q1022),TRANSPOSE($Q$6:$U$6))</f>
        <v>-2.24406680344039E-2</v>
      </c>
      <c r="AD1022" s="2" t="s">
        <v>1013</v>
      </c>
      <c r="AE1022" s="10" cm="1">
        <f t="array" aca="1" ref="AE1022:AI1022" ca="1">_xlfn.LET(_xlpm.array,_xlfn.RANDARRAY(1,COLUMNS(_xlfn.ANCHORARRAY(Q1021)),-1,1,FALSE),_xlpm.array/SUM(_xlpm.array))</f>
        <v>-0.25483912595768082</v>
      </c>
      <c r="AF1022" s="10">
        <f ca="1"/>
        <v>-2.2539098480276483</v>
      </c>
      <c r="AG1022" s="10">
        <f ca="1"/>
        <v>-2.2331444987246161</v>
      </c>
      <c r="AH1022" s="10">
        <f ca="1"/>
        <v>1.1055848810483309</v>
      </c>
      <c r="AI1022" s="10">
        <f ca="1"/>
        <v>4.6363085916616145</v>
      </c>
      <c r="AJ1022" s="1"/>
      <c r="AK1022" s="2" cm="1">
        <f t="array" aca="1" ref="AK1022" ca="1">MMULT(MMULT(_xlfn.ANCHORARRAY(AE1022),$Q$9:$U$13),TRANSPOSE(_xlfn.ANCHORARRAY(AE1022)))</f>
        <v>7.9434912215876792E-3</v>
      </c>
      <c r="AL1022" s="2">
        <f t="shared" ca="1" si="37"/>
        <v>8.9126265610019129E-2</v>
      </c>
      <c r="AM1022" s="2" cm="1">
        <f t="array" aca="1" ref="AM1022" ca="1">MMULT(_xlfn.ANCHORARRAY(AE1023),TRANSPOSE($Q$3:$U$3))</f>
        <v>3.2205165434244587E-3</v>
      </c>
    </row>
    <row r="1023" spans="1:39" x14ac:dyDescent="0.35">
      <c r="A1023" s="3">
        <v>45315</v>
      </c>
      <c r="B1023" s="4">
        <v>31.256847381591701</v>
      </c>
      <c r="C1023" s="4">
        <v>131.49299621582</v>
      </c>
      <c r="D1023" s="4">
        <v>80.969749450683594</v>
      </c>
      <c r="E1023" s="4">
        <v>23.578004837036101</v>
      </c>
      <c r="F1023" s="4">
        <v>395.74279785156199</v>
      </c>
      <c r="I1023" s="5">
        <f>B1023/B1022-1</f>
        <v>6.4083061591782009E-3</v>
      </c>
      <c r="J1023" s="5">
        <f>C1023/C1022-1</f>
        <v>1.9916813849480297E-2</v>
      </c>
      <c r="K1023" s="5">
        <f>D1023/D1022-1</f>
        <v>1.5528411516827934E-2</v>
      </c>
      <c r="L1023" s="5">
        <f>E1023/E1022-1</f>
        <v>1.0634514504578307E-2</v>
      </c>
      <c r="M1023" s="5">
        <f>F1023/F1022-1</f>
        <v>9.1753186178251678E-3</v>
      </c>
      <c r="N1023" s="5">
        <f>SUMPRODUCT(I1023:M1023,$AJ$13:$AN$13)</f>
        <v>1.3613365901712993E-2</v>
      </c>
      <c r="P1023" s="2" t="s">
        <v>1014</v>
      </c>
      <c r="Q1023" s="10" cm="1">
        <f t="array" aca="1" ref="Q1023:U1023" ca="1">_xlfn.LET(_xlpm.array,_xlfn.RANDARRAY(1,COLUMNS(_xlfn.ANCHORARRAY(Q1022)),0,1,FALSE),_xlpm.array/SUM(_xlpm.array))</f>
        <v>0.23944764966156809</v>
      </c>
      <c r="R1023" s="2">
        <f ca="1"/>
        <v>7.7715554947936638E-2</v>
      </c>
      <c r="S1023" s="2">
        <f ca="1"/>
        <v>0.23153534046801832</v>
      </c>
      <c r="T1023" s="2">
        <f ca="1"/>
        <v>0.26035531699924586</v>
      </c>
      <c r="U1023" s="2">
        <f ca="1"/>
        <v>0.19094613792323106</v>
      </c>
      <c r="V1023" s="12"/>
      <c r="X1023" s="2" cm="1">
        <f t="array" aca="1" ref="X1023" ca="1">MMULT(MMULT(_xlfn.ANCHORARRAY(Q1023),$Q$9:$U$13),TRANSPOSE(_xlfn.ANCHORARRAY(Q1023)))</f>
        <v>2.8771700637802647E-4</v>
      </c>
      <c r="Y1023" s="2">
        <f t="shared" ca="1" si="36"/>
        <v>1.696222291971269E-2</v>
      </c>
      <c r="Z1023" s="2" cm="1">
        <f t="array" aca="1" ref="Z1023" ca="1">MMULT(_xlfn.ANCHORARRAY(Q1023),TRANSPOSE($Q$3:$U$3))</f>
        <v>9.6649220777759092E-4</v>
      </c>
      <c r="AA1023" s="11">
        <f ca="1">AVEDEV(Q1023*$Q$3,R1023*$R$3,S1023*$S$3,T1023*$T$3,U1023*$U$3)</f>
        <v>1.0216005590219377E-4</v>
      </c>
      <c r="AB1023" s="11" cm="1">
        <f t="array" aca="1" ref="AB1023" ca="1">MMULT(_xlfn.ANCHORARRAY(Q1023),TRANSPOSE($Q$6:$U$6))</f>
        <v>-2.3456290450602622E-2</v>
      </c>
      <c r="AD1023" s="2" t="s">
        <v>1014</v>
      </c>
      <c r="AE1023" s="10" cm="1">
        <f t="array" aca="1" ref="AE1023:AI1023" ca="1">_xlfn.LET(_xlpm.array,_xlfn.RANDARRAY(1,COLUMNS(_xlfn.ANCHORARRAY(Q1022)),-1,1,FALSE),_xlpm.array/SUM(_xlpm.array))</f>
        <v>-2.3834714112620401</v>
      </c>
      <c r="AF1023" s="10">
        <f ca="1"/>
        <v>1.5867770474754483</v>
      </c>
      <c r="AG1023" s="10">
        <f ca="1"/>
        <v>2.1488406410466538</v>
      </c>
      <c r="AH1023" s="10">
        <f ca="1"/>
        <v>0.20564442570194577</v>
      </c>
      <c r="AI1023" s="10">
        <f ca="1"/>
        <v>-0.55779070296200761</v>
      </c>
      <c r="AJ1023" s="1"/>
      <c r="AK1023" s="2" cm="1">
        <f t="array" aca="1" ref="AK1023" ca="1">MMULT(MMULT(_xlfn.ANCHORARRAY(AE1023),$Q$9:$U$13),TRANSPOSE(_xlfn.ANCHORARRAY(AE1023)))</f>
        <v>4.5916424420419004E-3</v>
      </c>
      <c r="AL1023" s="2">
        <f t="shared" ca="1" si="37"/>
        <v>6.7761659085665102E-2</v>
      </c>
    </row>
    <row r="1024" spans="1:39" x14ac:dyDescent="0.35">
      <c r="A1024" s="3">
        <v>45316</v>
      </c>
      <c r="B1024" s="4">
        <v>31.645427703857401</v>
      </c>
      <c r="C1024" s="4">
        <v>134.80482482910099</v>
      </c>
      <c r="D1024" s="4">
        <v>80.321693420410099</v>
      </c>
      <c r="E1024" s="4">
        <v>23.859188079833899</v>
      </c>
      <c r="F1024" s="4">
        <v>398.013671875</v>
      </c>
      <c r="I1024" s="5">
        <f>B1024/B1023-1</f>
        <v>1.2431846293447624E-2</v>
      </c>
      <c r="J1024" s="5">
        <f>C1024/C1023-1</f>
        <v>2.5186349909049666E-2</v>
      </c>
      <c r="K1024" s="5">
        <f>D1024/D1023-1</f>
        <v>-8.0036808149963612E-3</v>
      </c>
      <c r="L1024" s="5">
        <f>E1024/E1023-1</f>
        <v>1.1925658881709822E-2</v>
      </c>
      <c r="M1024" s="5">
        <f>F1024/F1023-1</f>
        <v>5.7382573625250899E-3</v>
      </c>
      <c r="N1024" s="5">
        <f>SUMPRODUCT(I1024:M1024,$AJ$13:$AN$13)</f>
        <v>-1.098718091209847E-3</v>
      </c>
      <c r="Q1024" s="9"/>
    </row>
    <row r="1025" spans="1:17" x14ac:dyDescent="0.35">
      <c r="A1025" s="3">
        <v>45317</v>
      </c>
      <c r="B1025" s="4">
        <v>31.683330535888601</v>
      </c>
      <c r="C1025" s="4">
        <v>135.322006225585</v>
      </c>
      <c r="D1025" s="4">
        <v>81.463058471679602</v>
      </c>
      <c r="E1025" s="4">
        <v>24.132101058959901</v>
      </c>
      <c r="F1025" s="4">
        <v>397.08963012695301</v>
      </c>
      <c r="I1025" s="5">
        <f>B1025/B1024-1</f>
        <v>1.1977348634975016E-3</v>
      </c>
      <c r="J1025" s="5">
        <f>C1025/C1024-1</f>
        <v>3.8365199253043158E-3</v>
      </c>
      <c r="K1025" s="5">
        <f>D1025/D1024-1</f>
        <v>1.4209922658073193E-2</v>
      </c>
      <c r="L1025" s="5">
        <f>E1025/E1024-1</f>
        <v>1.1438485593592729E-2</v>
      </c>
      <c r="M1025" s="5">
        <f>F1025/F1024-1</f>
        <v>-2.3216331833374459E-3</v>
      </c>
      <c r="N1025" s="5">
        <f>SUMPRODUCT(I1025:M1025,$AJ$13:$AN$13)</f>
        <v>1.1495800024260086E-2</v>
      </c>
      <c r="Q1025" s="9"/>
    </row>
    <row r="1026" spans="1:17" x14ac:dyDescent="0.35">
      <c r="A1026" s="3">
        <v>45320</v>
      </c>
      <c r="B1026" s="4">
        <v>31.853925704956001</v>
      </c>
      <c r="C1026" s="4">
        <v>135.267578125</v>
      </c>
      <c r="D1026" s="4">
        <v>80.679573059082003</v>
      </c>
      <c r="E1026" s="4">
        <v>24.024591445922798</v>
      </c>
      <c r="F1026" s="4">
        <v>402.78152465820301</v>
      </c>
      <c r="I1026" s="5">
        <f>B1026/B1025-1</f>
        <v>5.3843824554418163E-3</v>
      </c>
      <c r="J1026" s="5">
        <f>C1026/C1025-1</f>
        <v>-4.0221174739507592E-4</v>
      </c>
      <c r="K1026" s="5">
        <f>D1026/D1025-1</f>
        <v>-9.6176773533487303E-3</v>
      </c>
      <c r="L1026" s="5">
        <f>E1026/E1025-1</f>
        <v>-4.4550456992713539E-3</v>
      </c>
      <c r="M1026" s="5">
        <f>F1026/F1025-1</f>
        <v>1.4334029648243929E-2</v>
      </c>
      <c r="N1026" s="5">
        <f>SUMPRODUCT(I1026:M1026,$AJ$13:$AN$13)</f>
        <v>-3.8451435722204243E-3</v>
      </c>
      <c r="Q1026" s="9"/>
    </row>
    <row r="1027" spans="1:17" x14ac:dyDescent="0.35">
      <c r="A1027" s="3">
        <v>45321</v>
      </c>
      <c r="B1027" s="4">
        <v>32.972278594970703</v>
      </c>
      <c r="C1027" s="4">
        <v>136.21121215820301</v>
      </c>
      <c r="D1027" s="4">
        <v>82.024085998535099</v>
      </c>
      <c r="E1027" s="4">
        <v>24.363664627075099</v>
      </c>
      <c r="F1027" s="4">
        <v>401.67062377929602</v>
      </c>
      <c r="I1027" s="5">
        <f>B1027/B1026-1</f>
        <v>3.5108793194702059E-2</v>
      </c>
      <c r="J1027" s="5">
        <f>C1027/C1026-1</f>
        <v>6.9760547670263406E-3</v>
      </c>
      <c r="K1027" s="5">
        <f>D1027/D1026-1</f>
        <v>1.6664849459087971E-2</v>
      </c>
      <c r="L1027" s="5">
        <f>E1027/E1026-1</f>
        <v>1.4113587817529583E-2</v>
      </c>
      <c r="M1027" s="5">
        <f>F1027/F1026-1</f>
        <v>-2.7580730765883743E-3</v>
      </c>
      <c r="N1027" s="5">
        <f>SUMPRODUCT(I1027:M1027,$AJ$13:$AN$13)</f>
        <v>3.9677943151293265E-3</v>
      </c>
      <c r="Q1027" s="9"/>
    </row>
    <row r="1028" spans="1:17" x14ac:dyDescent="0.35">
      <c r="A1028" s="3">
        <v>45322</v>
      </c>
      <c r="B1028" s="4">
        <v>32.233028411865199</v>
      </c>
      <c r="C1028" s="4">
        <v>133.77044677734301</v>
      </c>
      <c r="D1028" s="4">
        <v>80.166923522949205</v>
      </c>
      <c r="E1028" s="4">
        <v>23.7103252410888</v>
      </c>
      <c r="F1028" s="4">
        <v>390.84710693359301</v>
      </c>
      <c r="I1028" s="5">
        <f>B1028/B1027-1</f>
        <v>-2.2420354752742622E-2</v>
      </c>
      <c r="J1028" s="5">
        <f>C1028/C1027-1</f>
        <v>-1.7918975554120808E-2</v>
      </c>
      <c r="K1028" s="5">
        <f>D1028/D1027-1</f>
        <v>-2.2641672296343063E-2</v>
      </c>
      <c r="L1028" s="5">
        <f>E1028/E1027-1</f>
        <v>-2.6816137719292477E-2</v>
      </c>
      <c r="M1028" s="5">
        <f>F1028/F1027-1</f>
        <v>-2.6946249501308195E-2</v>
      </c>
      <c r="N1028" s="5">
        <f>SUMPRODUCT(I1028:M1028,$AJ$13:$AN$13)</f>
        <v>-2.624887655903866E-2</v>
      </c>
      <c r="Q1028" s="9"/>
    </row>
    <row r="1029" spans="1:17" x14ac:dyDescent="0.35">
      <c r="A1029" s="3">
        <v>45323</v>
      </c>
      <c r="B1029" s="4">
        <v>31.797060012817301</v>
      </c>
      <c r="C1029" s="4">
        <v>134.18782043457</v>
      </c>
      <c r="D1029" s="4">
        <v>82.971992492675696</v>
      </c>
      <c r="E1029" s="4">
        <v>23.900537490844702</v>
      </c>
      <c r="F1029" s="4">
        <v>396.94216918945301</v>
      </c>
      <c r="I1029" s="5">
        <f>B1029/B1028-1</f>
        <v>-1.3525517784962915E-2</v>
      </c>
      <c r="J1029" s="5">
        <f>C1029/C1028-1</f>
        <v>3.1200737328902495E-3</v>
      </c>
      <c r="K1029" s="5">
        <f>D1029/D1028-1</f>
        <v>3.4990353208745661E-2</v>
      </c>
      <c r="L1029" s="5">
        <f>E1029/E1028-1</f>
        <v>8.022338277598795E-3</v>
      </c>
      <c r="M1029" s="5">
        <f>F1029/F1028-1</f>
        <v>1.5594492444063413E-2</v>
      </c>
      <c r="N1029" s="5">
        <f>SUMPRODUCT(I1029:M1029,$AJ$13:$AN$13)</f>
        <v>3.0985826402973152E-2</v>
      </c>
      <c r="Q1029" s="9"/>
    </row>
    <row r="1030" spans="1:17" x14ac:dyDescent="0.35">
      <c r="A1030" s="3">
        <v>45324</v>
      </c>
      <c r="B1030" s="4">
        <v>31.721248626708899</v>
      </c>
      <c r="C1030" s="4">
        <v>138.13478088378901</v>
      </c>
      <c r="D1030" s="4">
        <v>83.494316101074205</v>
      </c>
      <c r="E1030" s="4">
        <v>23.437416076660099</v>
      </c>
      <c r="F1030" s="4">
        <v>404.25619506835898</v>
      </c>
      <c r="I1030" s="5">
        <f>B1030/B1029-1</f>
        <v>-2.3842262799719238E-3</v>
      </c>
      <c r="J1030" s="5">
        <f>C1030/C1029-1</f>
        <v>2.94137011573532E-2</v>
      </c>
      <c r="K1030" s="5">
        <f>D1030/D1029-1</f>
        <v>6.2951797673729271E-3</v>
      </c>
      <c r="L1030" s="5">
        <f>E1030/E1029-1</f>
        <v>-1.9377029255597478E-2</v>
      </c>
      <c r="M1030" s="5">
        <f>F1030/F1029-1</f>
        <v>1.8425923085574558E-2</v>
      </c>
      <c r="N1030" s="5">
        <f>SUMPRODUCT(I1030:M1030,$AJ$13:$AN$13)</f>
        <v>1.046970006766219E-4</v>
      </c>
      <c r="Q1030" s="9"/>
    </row>
    <row r="1031" spans="1:17" x14ac:dyDescent="0.35">
      <c r="A1031" s="3">
        <v>45327</v>
      </c>
      <c r="B1031" s="4">
        <v>31.266319274902301</v>
      </c>
      <c r="C1031" s="4">
        <v>138.21644592285099</v>
      </c>
      <c r="D1031" s="4">
        <v>82.904289245605398</v>
      </c>
      <c r="E1031" s="4">
        <v>23.569734573364201</v>
      </c>
      <c r="F1031" s="4">
        <v>398.78048706054602</v>
      </c>
      <c r="I1031" s="5">
        <f>B1031/B1030-1</f>
        <v>-1.4341470512719723E-2</v>
      </c>
      <c r="J1031" s="5">
        <f>C1031/C1030-1</f>
        <v>5.9119823797804116E-4</v>
      </c>
      <c r="K1031" s="5">
        <f>D1031/D1030-1</f>
        <v>-7.066670918707163E-3</v>
      </c>
      <c r="L1031" s="5">
        <f>E1031/E1030-1</f>
        <v>5.6456094081065444E-3</v>
      </c>
      <c r="M1031" s="5">
        <f>F1031/F1030-1</f>
        <v>-1.3545143091467038E-2</v>
      </c>
      <c r="N1031" s="5">
        <f>SUMPRODUCT(I1031:M1031,$AJ$13:$AN$13)</f>
        <v>-1.437798900099822E-3</v>
      </c>
      <c r="Q1031" s="9"/>
    </row>
    <row r="1032" spans="1:17" x14ac:dyDescent="0.35">
      <c r="A1032" s="3">
        <v>45328</v>
      </c>
      <c r="B1032" s="4">
        <v>31.3137111663818</v>
      </c>
      <c r="C1032" s="4">
        <v>138.23458862304599</v>
      </c>
      <c r="D1032" s="4">
        <v>79.973472595214801</v>
      </c>
      <c r="E1032" s="4">
        <v>24.140373229980401</v>
      </c>
      <c r="F1032" s="4">
        <v>398.62316894531199</v>
      </c>
      <c r="I1032" s="5">
        <f>B1032/B1031-1</f>
        <v>1.5157489777679611E-3</v>
      </c>
      <c r="J1032" s="5">
        <f>C1032/C1031-1</f>
        <v>1.3126296276722016E-4</v>
      </c>
      <c r="K1032" s="5">
        <f>D1032/D1031-1</f>
        <v>-3.5351809623601071E-2</v>
      </c>
      <c r="L1032" s="5">
        <f>E1032/E1031-1</f>
        <v>2.4210652641844854E-2</v>
      </c>
      <c r="M1032" s="5">
        <f>F1032/F1031-1</f>
        <v>-3.9449802670543654E-4</v>
      </c>
      <c r="N1032" s="5">
        <f>SUMPRODUCT(I1032:M1032,$AJ$13:$AN$13)</f>
        <v>-7.6685904348119715E-3</v>
      </c>
      <c r="Q1032" s="9"/>
    </row>
    <row r="1033" spans="1:17" x14ac:dyDescent="0.35">
      <c r="A1033" s="3">
        <v>45329</v>
      </c>
      <c r="B1033" s="4">
        <v>31.446397781371999</v>
      </c>
      <c r="C1033" s="4">
        <v>138.03497314453099</v>
      </c>
      <c r="D1033" s="4">
        <v>80.998771667480398</v>
      </c>
      <c r="E1033" s="4">
        <v>22.4036540985107</v>
      </c>
      <c r="F1033" s="4">
        <v>407.03820800781199</v>
      </c>
      <c r="I1033" s="5">
        <f>B1033/B1032-1</f>
        <v>4.2373327864329013E-3</v>
      </c>
      <c r="J1033" s="5">
        <f>C1033/C1032-1</f>
        <v>-1.4440342355944713E-3</v>
      </c>
      <c r="K1033" s="5">
        <f>D1033/D1032-1</f>
        <v>1.2820489582278549E-2</v>
      </c>
      <c r="L1033" s="5">
        <f>E1033/E1032-1</f>
        <v>-7.1942513685448573E-2</v>
      </c>
      <c r="M1033" s="5">
        <f>F1033/F1032-1</f>
        <v>2.1110260812899462E-2</v>
      </c>
      <c r="N1033" s="5">
        <f>SUMPRODUCT(I1033:M1033,$AJ$13:$AN$13)</f>
        <v>-2.1066714726679241E-2</v>
      </c>
      <c r="Q1033" s="9"/>
    </row>
    <row r="1034" spans="1:17" x14ac:dyDescent="0.35">
      <c r="A1034" s="3">
        <v>45330</v>
      </c>
      <c r="B1034" s="4">
        <v>31.389533996581999</v>
      </c>
      <c r="C1034" s="4">
        <v>139.78616333007801</v>
      </c>
      <c r="D1034" s="4">
        <v>82.024085998535099</v>
      </c>
      <c r="E1034" s="4">
        <v>21.808210372924801</v>
      </c>
      <c r="F1034" s="4">
        <v>407.09719848632801</v>
      </c>
      <c r="I1034" s="5">
        <f>B1034/B1033-1</f>
        <v>-1.8082765849792848E-3</v>
      </c>
      <c r="J1034" s="5">
        <f>C1034/C1033-1</f>
        <v>1.2686568814074484E-2</v>
      </c>
      <c r="K1034" s="5">
        <f>D1034/D1033-1</f>
        <v>1.2658393577422045E-2</v>
      </c>
      <c r="L1034" s="5">
        <f>E1034/E1033-1</f>
        <v>-2.6577973529125387E-2</v>
      </c>
      <c r="M1034" s="5">
        <f>F1034/F1033-1</f>
        <v>1.44926145397406E-4</v>
      </c>
      <c r="N1034" s="5">
        <f>SUMPRODUCT(I1034:M1034,$AJ$13:$AN$13)</f>
        <v>-5.6720955772587602E-3</v>
      </c>
      <c r="Q1034" s="9"/>
    </row>
    <row r="1035" spans="1:17" x14ac:dyDescent="0.35">
      <c r="A1035" s="3">
        <v>45331</v>
      </c>
      <c r="B1035" s="4">
        <v>31.342145919799801</v>
      </c>
      <c r="C1035" s="4">
        <v>137.045974731445</v>
      </c>
      <c r="D1035" s="4">
        <v>83.378242492675696</v>
      </c>
      <c r="E1035" s="4">
        <v>21.667617797851499</v>
      </c>
      <c r="F1035" s="4">
        <v>413.42816162109301</v>
      </c>
      <c r="I1035" s="5">
        <f>B1035/B1034-1</f>
        <v>-1.509677613798277E-3</v>
      </c>
      <c r="J1035" s="5">
        <f>C1035/C1034-1</f>
        <v>-1.9602716988251445E-2</v>
      </c>
      <c r="K1035" s="5">
        <f>D1035/D1034-1</f>
        <v>1.6509254295924425E-2</v>
      </c>
      <c r="L1035" s="5">
        <f>E1035/E1034-1</f>
        <v>-6.4467726910709677E-3</v>
      </c>
      <c r="M1035" s="5">
        <f>F1035/F1034-1</f>
        <v>1.5551478021231357E-2</v>
      </c>
      <c r="N1035" s="5">
        <f>SUMPRODUCT(I1035:M1035,$AJ$13:$AN$13)</f>
        <v>1.1857366147352357E-2</v>
      </c>
      <c r="Q1035" s="9"/>
    </row>
    <row r="1036" spans="1:17" x14ac:dyDescent="0.35">
      <c r="A1036" s="3">
        <v>45334</v>
      </c>
      <c r="B1036" s="4">
        <v>31.863409042358398</v>
      </c>
      <c r="C1036" s="4">
        <v>137.98960876464801</v>
      </c>
      <c r="D1036" s="4">
        <v>83.784500122070298</v>
      </c>
      <c r="E1036" s="4">
        <v>21.808210372924801</v>
      </c>
      <c r="F1036" s="4">
        <v>408.22772216796801</v>
      </c>
      <c r="I1036" s="5">
        <f>B1036/B1035-1</f>
        <v>1.663137948155935E-2</v>
      </c>
      <c r="J1036" s="5">
        <f>C1036/C1035-1</f>
        <v>6.8855289989520063E-3</v>
      </c>
      <c r="K1036" s="5">
        <f>D1036/D1035-1</f>
        <v>4.8724657326555398E-3</v>
      </c>
      <c r="L1036" s="5">
        <f>E1036/E1035-1</f>
        <v>6.4886032412498906E-3</v>
      </c>
      <c r="M1036" s="5">
        <f>F1036/F1035-1</f>
        <v>-1.2578822479662577E-2</v>
      </c>
      <c r="N1036" s="5">
        <f>SUMPRODUCT(I1036:M1036,$AJ$13:$AN$13)</f>
        <v>-3.6687018361737152E-3</v>
      </c>
      <c r="Q1036" s="9"/>
    </row>
    <row r="1037" spans="1:17" x14ac:dyDescent="0.35">
      <c r="A1037" s="3">
        <v>45335</v>
      </c>
      <c r="B1037" s="4">
        <v>31.038862228393501</v>
      </c>
      <c r="C1037" s="4">
        <v>136.64674377441401</v>
      </c>
      <c r="D1037" s="4">
        <v>81.230918884277301</v>
      </c>
      <c r="E1037" s="4">
        <v>21.179681777954102</v>
      </c>
      <c r="F1037" s="4">
        <v>399.43917846679602</v>
      </c>
      <c r="I1037" s="5">
        <f>B1037/B1036-1</f>
        <v>-2.5877545395998403E-2</v>
      </c>
      <c r="J1037" s="5">
        <f>C1037/C1036-1</f>
        <v>-9.731638507102125E-3</v>
      </c>
      <c r="K1037" s="5">
        <f>D1037/D1036-1</f>
        <v>-3.0477967095018044E-2</v>
      </c>
      <c r="L1037" s="5">
        <f>E1037/E1036-1</f>
        <v>-2.8820732385772763E-2</v>
      </c>
      <c r="M1037" s="5">
        <f>F1037/F1036-1</f>
        <v>-2.1528532296873015E-2</v>
      </c>
      <c r="N1037" s="5">
        <f>SUMPRODUCT(I1037:M1037,$AJ$13:$AN$13)</f>
        <v>-2.8724279558662278E-2</v>
      </c>
      <c r="Q1037" s="9"/>
    </row>
    <row r="1038" spans="1:17" x14ac:dyDescent="0.35">
      <c r="A1038" s="3">
        <v>45336</v>
      </c>
      <c r="B1038" s="4">
        <v>31.399009704589801</v>
      </c>
      <c r="C1038" s="4">
        <v>137.01875305175699</v>
      </c>
      <c r="D1038" s="4">
        <v>83.223480224609304</v>
      </c>
      <c r="E1038" s="4">
        <v>21.2139682769775</v>
      </c>
      <c r="F1038" s="4">
        <v>403.29986572265602</v>
      </c>
      <c r="I1038" s="5">
        <f>B1038/B1037-1</f>
        <v>1.1603114622766197E-2</v>
      </c>
      <c r="J1038" s="5">
        <f>C1038/C1037-1</f>
        <v>2.722415968851255E-3</v>
      </c>
      <c r="K1038" s="5">
        <f>D1038/D1037-1</f>
        <v>2.4529592520929455E-2</v>
      </c>
      <c r="L1038" s="5">
        <f>E1038/E1037-1</f>
        <v>1.6188391961151627E-3</v>
      </c>
      <c r="M1038" s="5">
        <f>F1038/F1037-1</f>
        <v>9.6652693676140267E-3</v>
      </c>
      <c r="N1038" s="5">
        <f>SUMPRODUCT(I1038:M1038,$AJ$13:$AN$13)</f>
        <v>1.3311977813484173E-2</v>
      </c>
      <c r="Q1038" s="9"/>
    </row>
    <row r="1039" spans="1:17" x14ac:dyDescent="0.35">
      <c r="A1039" s="3">
        <v>45337</v>
      </c>
      <c r="B1039" s="4">
        <v>32.289897918701101</v>
      </c>
      <c r="C1039" s="4">
        <v>141.67840576171801</v>
      </c>
      <c r="D1039" s="4">
        <v>80.012168884277301</v>
      </c>
      <c r="E1039" s="4">
        <v>21.573959350585898</v>
      </c>
      <c r="F1039" s="4">
        <v>400.41415405273398</v>
      </c>
      <c r="I1039" s="5">
        <f>B1039/B1038-1</f>
        <v>2.8373130951995451E-2</v>
      </c>
      <c r="J1039" s="5">
        <f>C1039/C1038-1</f>
        <v>3.4007408520211113E-2</v>
      </c>
      <c r="K1039" s="5">
        <f>D1039/D1038-1</f>
        <v>-3.8586602382706059E-2</v>
      </c>
      <c r="L1039" s="5">
        <f>E1039/E1038-1</f>
        <v>1.6969530118468246E-2</v>
      </c>
      <c r="M1039" s="5">
        <f>F1039/F1038-1</f>
        <v>-7.1552507580215918E-3</v>
      </c>
      <c r="N1039" s="5">
        <f>SUMPRODUCT(I1039:M1039,$AJ$13:$AN$13)</f>
        <v>-2.3872075572470459E-2</v>
      </c>
      <c r="Q1039" s="9"/>
    </row>
    <row r="1040" spans="1:17" x14ac:dyDescent="0.35">
      <c r="A1040" s="3">
        <v>45338</v>
      </c>
      <c r="B1040" s="4">
        <v>32.308853149413999</v>
      </c>
      <c r="C1040" s="4">
        <v>141.83433532714801</v>
      </c>
      <c r="D1040" s="4">
        <v>81.453384399414006</v>
      </c>
      <c r="E1040" s="4">
        <v>21.822526931762599</v>
      </c>
      <c r="F1040" s="4">
        <v>397.95196533203102</v>
      </c>
      <c r="I1040" s="5">
        <f>B1040/B1039-1</f>
        <v>5.8703284725836191E-4</v>
      </c>
      <c r="J1040" s="5">
        <f>C1040/C1039-1</f>
        <v>1.1005880860366357E-3</v>
      </c>
      <c r="K1040" s="5">
        <f>D1040/D1039-1</f>
        <v>1.8012454045848392E-2</v>
      </c>
      <c r="L1040" s="5">
        <f>E1040/E1039-1</f>
        <v>1.1521648721839695E-2</v>
      </c>
      <c r="M1040" s="5">
        <f>F1040/F1039-1</f>
        <v>-6.1491051097526395E-3</v>
      </c>
      <c r="N1040" s="5">
        <f>SUMPRODUCT(I1040:M1040,$AJ$13:$AN$13)</f>
        <v>1.2502237956463489E-2</v>
      </c>
      <c r="Q1040" s="9"/>
    </row>
    <row r="1041" spans="1:17" x14ac:dyDescent="0.35">
      <c r="A1041" s="3">
        <v>45342</v>
      </c>
      <c r="B1041" s="4">
        <v>32.185642242431598</v>
      </c>
      <c r="C1041" s="4">
        <v>141.25645446777301</v>
      </c>
      <c r="D1041" s="4">
        <v>79.760658264160099</v>
      </c>
      <c r="E1041" s="4">
        <v>21.376823425292901</v>
      </c>
      <c r="F1041" s="4">
        <v>396.70114135742102</v>
      </c>
      <c r="I1041" s="5">
        <f>B1041/B1040-1</f>
        <v>-3.8135339070255458E-3</v>
      </c>
      <c r="J1041" s="5">
        <f>C1041/C1040-1</f>
        <v>-4.0743368525123502E-3</v>
      </c>
      <c r="K1041" s="5">
        <f>D1041/D1040-1</f>
        <v>-2.0781532255964574E-2</v>
      </c>
      <c r="L1041" s="5">
        <f>E1041/E1040-1</f>
        <v>-2.0424009917063168E-2</v>
      </c>
      <c r="M1041" s="5">
        <f>F1041/F1040-1</f>
        <v>-3.1431531530856649E-3</v>
      </c>
      <c r="N1041" s="5">
        <f>SUMPRODUCT(I1041:M1041,$AJ$13:$AN$13)</f>
        <v>-2.0177176156339453E-2</v>
      </c>
      <c r="Q1041" s="9"/>
    </row>
    <row r="1042" spans="1:17" x14ac:dyDescent="0.35">
      <c r="A1042" s="3">
        <v>45343</v>
      </c>
      <c r="B1042" s="4">
        <v>31.939224243163999</v>
      </c>
      <c r="C1042" s="4">
        <v>142.57731628417901</v>
      </c>
      <c r="D1042" s="4">
        <v>78.725692749023395</v>
      </c>
      <c r="E1042" s="4">
        <v>21.9510993957519</v>
      </c>
      <c r="F1042" s="4">
        <v>396.10037231445301</v>
      </c>
      <c r="I1042" s="5">
        <f>B1042/B1041-1</f>
        <v>-7.6561467194442567E-3</v>
      </c>
      <c r="J1042" s="5">
        <f>C1042/C1041-1</f>
        <v>9.3508068100869313E-3</v>
      </c>
      <c r="K1042" s="5">
        <f>D1042/D1041-1</f>
        <v>-1.2975889839186072E-2</v>
      </c>
      <c r="L1042" s="5">
        <f>E1042/E1041-1</f>
        <v>2.6864420360020347E-2</v>
      </c>
      <c r="M1042" s="5">
        <f>F1042/F1041-1</f>
        <v>-1.5144121867467497E-3</v>
      </c>
      <c r="N1042" s="5">
        <f>SUMPRODUCT(I1042:M1042,$AJ$13:$AN$13)</f>
        <v>7.1984119819263632E-3</v>
      </c>
      <c r="Q1042" s="9"/>
    </row>
    <row r="1043" spans="1:17" x14ac:dyDescent="0.35">
      <c r="A1043" s="3">
        <v>45344</v>
      </c>
      <c r="B1043" s="4">
        <v>31.853925704956001</v>
      </c>
      <c r="C1043" s="4">
        <v>142.568115234375</v>
      </c>
      <c r="D1043" s="4">
        <v>84.916198730468693</v>
      </c>
      <c r="E1043" s="4">
        <v>21.839672088623001</v>
      </c>
      <c r="F1043" s="4">
        <v>405.42721557617102</v>
      </c>
      <c r="I1043" s="5">
        <f>B1043/B1042-1</f>
        <v>-2.6706515336312187E-3</v>
      </c>
      <c r="J1043" s="5">
        <f>C1043/C1042-1</f>
        <v>-6.4533756447437973E-5</v>
      </c>
      <c r="K1043" s="5">
        <f>D1043/D1042-1</f>
        <v>7.863387117062981E-2</v>
      </c>
      <c r="L1043" s="5">
        <f>E1043/E1042-1</f>
        <v>-5.0761606569219575E-3</v>
      </c>
      <c r="M1043" s="5">
        <f>F1043/F1042-1</f>
        <v>2.354666623315782E-2</v>
      </c>
      <c r="N1043" s="5">
        <f>SUMPRODUCT(I1043:M1043,$AJ$13:$AN$13)</f>
        <v>4.7210805088966357E-2</v>
      </c>
      <c r="Q1043" s="9"/>
    </row>
    <row r="1044" spans="1:17" x14ac:dyDescent="0.35">
      <c r="A1044" s="3">
        <v>45345</v>
      </c>
      <c r="B1044" s="4">
        <v>32.147731781005803</v>
      </c>
      <c r="C1044" s="4">
        <v>141.86184692382801</v>
      </c>
      <c r="D1044" s="4">
        <v>87.392402648925696</v>
      </c>
      <c r="E1044" s="4">
        <v>21.6082458496093</v>
      </c>
      <c r="F1044" s="4">
        <v>404.13702392578102</v>
      </c>
      <c r="I1044" s="5">
        <f>B1044/B1043-1</f>
        <v>9.2235437092167416E-3</v>
      </c>
      <c r="J1044" s="5">
        <f>C1044/C1043-1</f>
        <v>-4.953900873178485E-3</v>
      </c>
      <c r="K1044" s="5">
        <f>D1044/D1043-1</f>
        <v>2.9160560122535539E-2</v>
      </c>
      <c r="L1044" s="5">
        <f>E1044/E1043-1</f>
        <v>-1.0596598615336239E-2</v>
      </c>
      <c r="M1044" s="5">
        <f>F1044/F1043-1</f>
        <v>-3.1823015348302341E-3</v>
      </c>
      <c r="N1044" s="5">
        <f>SUMPRODUCT(I1044:M1044,$AJ$13:$AN$13)</f>
        <v>6.6634671855640842E-3</v>
      </c>
      <c r="Q1044" s="9"/>
    </row>
    <row r="1045" spans="1:17" x14ac:dyDescent="0.35">
      <c r="A1045" s="3">
        <v>45348</v>
      </c>
      <c r="B1045" s="4">
        <v>31.853925704956001</v>
      </c>
      <c r="C1045" s="4">
        <v>141.66921997070301</v>
      </c>
      <c r="D1045" s="4">
        <v>89.733177185058594</v>
      </c>
      <c r="E1045" s="4">
        <v>21.222539901733398</v>
      </c>
      <c r="F1045" s="4">
        <v>401.37939453125</v>
      </c>
      <c r="I1045" s="5">
        <f>B1045/B1044-1</f>
        <v>-9.1392474607926433E-3</v>
      </c>
      <c r="J1045" s="5">
        <f>C1045/C1044-1</f>
        <v>-1.3578489023086115E-3</v>
      </c>
      <c r="K1045" s="5">
        <f>D1045/D1044-1</f>
        <v>2.6784645634887694E-2</v>
      </c>
      <c r="L1045" s="5">
        <f>E1045/E1044-1</f>
        <v>-1.7849942589526546E-2</v>
      </c>
      <c r="M1045" s="5">
        <f>F1045/F1044-1</f>
        <v>-6.8235010188956169E-3</v>
      </c>
      <c r="N1045" s="5">
        <f>SUMPRODUCT(I1045:M1045,$AJ$13:$AN$13)</f>
        <v>6.0138448333155459E-3</v>
      </c>
      <c r="Q1045" s="9"/>
    </row>
    <row r="1046" spans="1:17" x14ac:dyDescent="0.35">
      <c r="A1046" s="3">
        <v>45349</v>
      </c>
      <c r="B1046" s="4">
        <v>32.488922119140597</v>
      </c>
      <c r="C1046" s="4">
        <v>139.56869506835901</v>
      </c>
      <c r="D1046" s="4">
        <v>88.562782287597599</v>
      </c>
      <c r="E1046" s="4">
        <v>21.325393676757798</v>
      </c>
      <c r="F1046" s="4">
        <v>401.32028198242102</v>
      </c>
      <c r="I1046" s="5">
        <f>B1046/B1045-1</f>
        <v>1.993463600267642E-2</v>
      </c>
      <c r="J1046" s="5">
        <f>C1046/C1045-1</f>
        <v>-1.4826967373564925E-2</v>
      </c>
      <c r="K1046" s="5">
        <f>D1046/D1045-1</f>
        <v>-1.3043056472270775E-2</v>
      </c>
      <c r="L1046" s="5">
        <f>E1046/E1045-1</f>
        <v>4.846440411969688E-3</v>
      </c>
      <c r="M1046" s="5">
        <f>F1046/F1045-1</f>
        <v>-1.4727350141630069E-4</v>
      </c>
      <c r="N1046" s="5">
        <f>SUMPRODUCT(I1046:M1046,$AJ$13:$AN$13)</f>
        <v>-9.855433324392161E-3</v>
      </c>
      <c r="Q1046" s="9"/>
    </row>
    <row r="1047" spans="1:17" x14ac:dyDescent="0.35">
      <c r="A1047" s="3">
        <v>45350</v>
      </c>
      <c r="B1047" s="4">
        <v>32.517360687255803</v>
      </c>
      <c r="C1047" s="4">
        <v>139.733795166015</v>
      </c>
      <c r="D1047" s="4">
        <v>90.197463989257798</v>
      </c>
      <c r="E1047" s="4">
        <v>21.333967208862301</v>
      </c>
      <c r="F1047" s="4">
        <v>401.55661010742102</v>
      </c>
      <c r="I1047" s="5">
        <f>B1047/B1046-1</f>
        <v>8.7533122862359924E-4</v>
      </c>
      <c r="J1047" s="5">
        <f>C1047/C1046-1</f>
        <v>1.1829307250821319E-3</v>
      </c>
      <c r="K1047" s="5">
        <f>D1047/D1046-1</f>
        <v>1.8457885574910682E-2</v>
      </c>
      <c r="L1047" s="5">
        <f>E1047/E1046-1</f>
        <v>4.0203394293469863E-4</v>
      </c>
      <c r="M1047" s="5">
        <f>F1047/F1046-1</f>
        <v>5.8887660457274116E-4</v>
      </c>
      <c r="N1047" s="5">
        <f>SUMPRODUCT(I1047:M1047,$AJ$13:$AN$13)</f>
        <v>9.7031680179057445E-3</v>
      </c>
      <c r="Q1047" s="9"/>
    </row>
    <row r="1048" spans="1:17" x14ac:dyDescent="0.35">
      <c r="A1048" s="3">
        <v>45351</v>
      </c>
      <c r="B1048" s="4">
        <v>32.946849822997997</v>
      </c>
      <c r="C1048" s="4">
        <v>139.43110656738199</v>
      </c>
      <c r="D1048" s="4">
        <v>91.561309814453097</v>
      </c>
      <c r="E1048" s="4">
        <v>21.102544784545898</v>
      </c>
      <c r="F1048" s="4">
        <v>407.387115478515</v>
      </c>
      <c r="I1048" s="5">
        <f>B1048/B1047-1</f>
        <v>1.3207994949925972E-2</v>
      </c>
      <c r="J1048" s="5">
        <f>C1048/C1047-1</f>
        <v>-2.1661803307738703E-3</v>
      </c>
      <c r="K1048" s="5">
        <f>D1048/D1047-1</f>
        <v>1.5120667088353246E-2</v>
      </c>
      <c r="L1048" s="5">
        <f>E1048/E1047-1</f>
        <v>-1.0847603825896335E-2</v>
      </c>
      <c r="M1048" s="5">
        <f>F1048/F1047-1</f>
        <v>1.4519759417070066E-2</v>
      </c>
      <c r="N1048" s="5">
        <f>SUMPRODUCT(I1048:M1048,$AJ$13:$AN$13)</f>
        <v>3.9056105320177774E-3</v>
      </c>
      <c r="Q1048" s="9"/>
    </row>
    <row r="1049" spans="1:17" x14ac:dyDescent="0.35">
      <c r="A1049" s="3">
        <v>45352</v>
      </c>
      <c r="B1049" s="4">
        <v>32.784591674804602</v>
      </c>
      <c r="C1049" s="4">
        <v>140.16490173339801</v>
      </c>
      <c r="D1049" s="4">
        <v>120.511543273925</v>
      </c>
      <c r="E1049" s="4">
        <v>21.496818542480401</v>
      </c>
      <c r="F1049" s="4">
        <v>409.21902465820301</v>
      </c>
      <c r="I1049" s="5">
        <f>B1049/B1048-1</f>
        <v>-4.9248455941949265E-3</v>
      </c>
      <c r="J1049" s="5">
        <f>C1049/C1048-1</f>
        <v>5.2627794764104063E-3</v>
      </c>
      <c r="K1049" s="5">
        <f>D1049/D1048-1</f>
        <v>0.31618413408609913</v>
      </c>
      <c r="L1049" s="5">
        <f>E1049/E1048-1</f>
        <v>1.8683706726368099E-2</v>
      </c>
      <c r="M1049" s="5">
        <f>F1049/F1048-1</f>
        <v>4.496728320767529E-3</v>
      </c>
      <c r="N1049" s="5">
        <f>SUMPRODUCT(I1049:M1049,$AJ$13:$AN$13)</f>
        <v>0.17611252944672792</v>
      </c>
      <c r="Q1049" s="9"/>
    </row>
    <row r="1050" spans="1:17" x14ac:dyDescent="0.35">
      <c r="A1050" s="3">
        <v>45355</v>
      </c>
      <c r="B1050" s="4">
        <v>33.548149108886697</v>
      </c>
      <c r="C1050" s="4">
        <v>136.560134887695</v>
      </c>
      <c r="D1050" s="4">
        <v>117.7935256958</v>
      </c>
      <c r="E1050" s="4">
        <v>21.351106643676701</v>
      </c>
      <c r="F1050" s="4">
        <v>408.64779663085898</v>
      </c>
      <c r="I1050" s="5">
        <f>B1050/B1049-1</f>
        <v>2.3290130975426981E-2</v>
      </c>
      <c r="J1050" s="5">
        <f>C1050/C1049-1</f>
        <v>-2.5718042114134199E-2</v>
      </c>
      <c r="K1050" s="5">
        <f>D1050/D1049-1</f>
        <v>-2.2554001917865163E-2</v>
      </c>
      <c r="L1050" s="5">
        <f>E1050/E1049-1</f>
        <v>-6.7783006362431841E-3</v>
      </c>
      <c r="M1050" s="5">
        <f>F1050/F1049-1</f>
        <v>-1.3958980226326245E-3</v>
      </c>
      <c r="N1050" s="5">
        <f>SUMPRODUCT(I1050:M1050,$AJ$13:$AN$13)</f>
        <v>-2.1269999271394772E-2</v>
      </c>
      <c r="Q1050" s="9"/>
    </row>
    <row r="1051" spans="1:17" x14ac:dyDescent="0.35">
      <c r="A1051" s="3">
        <v>45356</v>
      </c>
      <c r="B1051" s="4">
        <v>33.777202606201101</v>
      </c>
      <c r="C1051" s="4">
        <v>137.21138000488199</v>
      </c>
      <c r="D1051" s="4">
        <v>113.895454406738</v>
      </c>
      <c r="E1051" s="4">
        <v>21.762529373168899</v>
      </c>
      <c r="F1051" s="4">
        <v>396.56326293945301</v>
      </c>
      <c r="I1051" s="5">
        <f>B1051/B1050-1</f>
        <v>6.8276046040860461E-3</v>
      </c>
      <c r="J1051" s="5">
        <f>C1051/C1050-1</f>
        <v>4.7689255559286714E-3</v>
      </c>
      <c r="K1051" s="5">
        <f>D1051/D1050-1</f>
        <v>-3.3092406955614107E-2</v>
      </c>
      <c r="L1051" s="5">
        <f>E1051/E1050-1</f>
        <v>1.9269386657953191E-2</v>
      </c>
      <c r="M1051" s="5">
        <f>F1051/F1050-1</f>
        <v>-2.9572002568075018E-2</v>
      </c>
      <c r="N1051" s="5">
        <f>SUMPRODUCT(I1051:M1051,$AJ$13:$AN$13)</f>
        <v>-2.0235844548014983E-2</v>
      </c>
      <c r="Q1051" s="9"/>
    </row>
    <row r="1052" spans="1:17" x14ac:dyDescent="0.35">
      <c r="A1052" s="3">
        <v>45357</v>
      </c>
      <c r="B1052" s="4">
        <v>33.805835723876903</v>
      </c>
      <c r="C1052" s="4">
        <v>136.05563354492099</v>
      </c>
      <c r="D1052" s="4">
        <v>114.62091064453099</v>
      </c>
      <c r="E1052" s="4">
        <v>22.079668045043899</v>
      </c>
      <c r="F1052" s="4">
        <v>396.01171875</v>
      </c>
      <c r="I1052" s="5">
        <f>B1052/B1051-1</f>
        <v>8.4770541864065407E-4</v>
      </c>
      <c r="J1052" s="5">
        <f>C1052/C1051-1</f>
        <v>-8.4231093654175693E-3</v>
      </c>
      <c r="K1052" s="5">
        <f>D1052/D1051-1</f>
        <v>6.3694924575503631E-3</v>
      </c>
      <c r="L1052" s="5">
        <f>E1052/E1051-1</f>
        <v>1.4572693570537032E-2</v>
      </c>
      <c r="M1052" s="5">
        <f>F1052/F1051-1</f>
        <v>-1.3908100951277591E-3</v>
      </c>
      <c r="N1052" s="5">
        <f>SUMPRODUCT(I1052:M1052,$AJ$13:$AN$13)</f>
        <v>9.6917991029738405E-3</v>
      </c>
      <c r="Q1052" s="9"/>
    </row>
    <row r="1053" spans="1:17" x14ac:dyDescent="0.35">
      <c r="A1053" s="3">
        <v>45358</v>
      </c>
      <c r="B1053" s="4">
        <v>34.006267547607401</v>
      </c>
      <c r="C1053" s="4">
        <v>137.00958251953099</v>
      </c>
      <c r="D1053" s="4">
        <v>116.55542755126901</v>
      </c>
      <c r="E1053" s="4">
        <v>22.165382385253899</v>
      </c>
      <c r="F1053" s="4">
        <v>402.95516967773398</v>
      </c>
      <c r="I1053" s="5">
        <f>B1053/B1052-1</f>
        <v>5.9289119596865891E-3</v>
      </c>
      <c r="J1053" s="5">
        <f>C1053/C1052-1</f>
        <v>7.011462515405853E-3</v>
      </c>
      <c r="K1053" s="5">
        <f>D1053/D1052-1</f>
        <v>1.6877521700533693E-2</v>
      </c>
      <c r="L1053" s="5">
        <f>E1053/E1052-1</f>
        <v>3.8820484092032537E-3</v>
      </c>
      <c r="M1053" s="5">
        <f>F1053/F1052-1</f>
        <v>1.7533448125350404E-2</v>
      </c>
      <c r="N1053" s="5">
        <f>SUMPRODUCT(I1053:M1053,$AJ$13:$AN$13)</f>
        <v>1.4514125105637755E-2</v>
      </c>
      <c r="Q1053" s="9"/>
    </row>
    <row r="1054" spans="1:17" x14ac:dyDescent="0.35">
      <c r="A1054" s="3">
        <v>45359</v>
      </c>
      <c r="B1054" s="4">
        <v>33.977630615234297</v>
      </c>
      <c r="C1054" s="4">
        <v>137.47737121582</v>
      </c>
      <c r="D1054" s="4">
        <v>112.44455718994099</v>
      </c>
      <c r="E1054" s="4">
        <v>22.4996643066406</v>
      </c>
      <c r="F1054" s="4">
        <v>400.07928466796801</v>
      </c>
      <c r="I1054" s="5">
        <f>B1054/B1053-1</f>
        <v>-8.4210748306945415E-4</v>
      </c>
      <c r="J1054" s="5">
        <f>C1054/C1053-1</f>
        <v>3.4142772183276549E-3</v>
      </c>
      <c r="K1054" s="5">
        <f>D1054/D1053-1</f>
        <v>-3.5269660518552626E-2</v>
      </c>
      <c r="L1054" s="5">
        <f>E1054/E1053-1</f>
        <v>1.5081261201660645E-2</v>
      </c>
      <c r="M1054" s="5">
        <f>F1054/F1053-1</f>
        <v>-7.1369850201102869E-3</v>
      </c>
      <c r="N1054" s="5">
        <f>SUMPRODUCT(I1054:M1054,$AJ$13:$AN$13)</f>
        <v>-1.3569519125736233E-2</v>
      </c>
      <c r="Q1054" s="9"/>
    </row>
    <row r="1055" spans="1:17" x14ac:dyDescent="0.35">
      <c r="A1055" s="3">
        <v>45362</v>
      </c>
      <c r="B1055" s="4">
        <v>34.2544136047363</v>
      </c>
      <c r="C1055" s="4">
        <v>139.421951293945</v>
      </c>
      <c r="D1055" s="4">
        <v>112.067321777343</v>
      </c>
      <c r="E1055" s="4">
        <v>22.1825237274169</v>
      </c>
      <c r="F1055" s="4">
        <v>398.40496826171801</v>
      </c>
      <c r="I1055" s="5">
        <f>B1055/B1054-1</f>
        <v>8.1460356266838119E-3</v>
      </c>
      <c r="J1055" s="5">
        <f>C1055/C1054-1</f>
        <v>1.4144728408228557E-2</v>
      </c>
      <c r="K1055" s="5">
        <f>D1055/D1054-1</f>
        <v>-3.354857024878255E-3</v>
      </c>
      <c r="L1055" s="5">
        <f>E1055/E1054-1</f>
        <v>-1.4095347152806137E-2</v>
      </c>
      <c r="M1055" s="5">
        <f>F1055/F1054-1</f>
        <v>-4.1849615074160962E-3</v>
      </c>
      <c r="N1055" s="5">
        <f>SUMPRODUCT(I1055:M1055,$AJ$13:$AN$13)</f>
        <v>-1.2550241622283952E-2</v>
      </c>
      <c r="Q1055" s="9"/>
    </row>
    <row r="1056" spans="1:17" x14ac:dyDescent="0.35">
      <c r="A1056" s="3">
        <v>45363</v>
      </c>
      <c r="B1056" s="4">
        <v>34.321224212646399</v>
      </c>
      <c r="C1056" s="4">
        <v>139.321044921875</v>
      </c>
      <c r="D1056" s="4">
        <v>109.83293151855401</v>
      </c>
      <c r="E1056" s="4">
        <v>22.0368137359619</v>
      </c>
      <c r="F1056" s="4">
        <v>409.00238037109301</v>
      </c>
      <c r="I1056" s="5">
        <f>B1056/B1055-1</f>
        <v>1.9504233434275431E-3</v>
      </c>
      <c r="J1056" s="5">
        <f>C1056/C1055-1</f>
        <v>-7.2374809801112328E-4</v>
      </c>
      <c r="K1056" s="5">
        <f>D1056/D1055-1</f>
        <v>-1.9937928589284115E-2</v>
      </c>
      <c r="L1056" s="5">
        <f>E1056/E1055-1</f>
        <v>-6.5686841247422079E-3</v>
      </c>
      <c r="M1056" s="5">
        <f>F1056/F1055-1</f>
        <v>2.6599598282151415E-2</v>
      </c>
      <c r="N1056" s="5">
        <f>SUMPRODUCT(I1056:M1056,$AJ$13:$AN$13)</f>
        <v>-5.105282555637275E-3</v>
      </c>
      <c r="Q1056" s="9"/>
    </row>
    <row r="1057" spans="1:17" x14ac:dyDescent="0.35">
      <c r="A1057" s="3">
        <v>45364</v>
      </c>
      <c r="B1057" s="4">
        <v>34.435756683349602</v>
      </c>
      <c r="C1057" s="4">
        <v>141.15554809570301</v>
      </c>
      <c r="D1057" s="4">
        <v>106.39913940429599</v>
      </c>
      <c r="E1057" s="4">
        <v>22.439662933349599</v>
      </c>
      <c r="F1057" s="4">
        <v>408.825103759765</v>
      </c>
      <c r="I1057" s="5">
        <f>B1057/B1056-1</f>
        <v>3.3370741670981641E-3</v>
      </c>
      <c r="J1057" s="5">
        <f>C1057/C1056-1</f>
        <v>1.3167452016001668E-2</v>
      </c>
      <c r="K1057" s="5">
        <f>D1057/D1056-1</f>
        <v>-3.1263775506874647E-2</v>
      </c>
      <c r="L1057" s="5">
        <f>E1057/E1056-1</f>
        <v>1.8280737052756901E-2</v>
      </c>
      <c r="M1057" s="5">
        <f>F1057/F1056-1</f>
        <v>-4.3343662490957779E-4</v>
      </c>
      <c r="N1057" s="5">
        <f>SUMPRODUCT(I1057:M1057,$AJ$13:$AN$13)</f>
        <v>-9.2777012522522167E-3</v>
      </c>
      <c r="Q1057" s="9"/>
    </row>
    <row r="1058" spans="1:17" x14ac:dyDescent="0.35">
      <c r="A1058" s="3">
        <v>45365</v>
      </c>
      <c r="B1058" s="4">
        <v>34.063526153564403</v>
      </c>
      <c r="C1058" s="4">
        <v>142.81578063964801</v>
      </c>
      <c r="D1058" s="4">
        <v>102.965354919433</v>
      </c>
      <c r="E1058" s="4">
        <v>22.525375366210898</v>
      </c>
      <c r="F1058" s="4">
        <v>418.79205322265602</v>
      </c>
      <c r="I1058" s="5">
        <f>B1058/B1057-1</f>
        <v>-1.0809419209457327E-2</v>
      </c>
      <c r="J1058" s="5">
        <f>C1058/C1057-1</f>
        <v>1.1761723618680442E-2</v>
      </c>
      <c r="K1058" s="5">
        <f>D1058/D1057-1</f>
        <v>-3.2272671603247538E-2</v>
      </c>
      <c r="L1058" s="5">
        <f>E1058/E1057-1</f>
        <v>3.8196845075562091E-3</v>
      </c>
      <c r="M1058" s="5">
        <f>F1058/F1057-1</f>
        <v>2.4379494730704776E-2</v>
      </c>
      <c r="N1058" s="5">
        <f>SUMPRODUCT(I1058:M1058,$AJ$13:$AN$13)</f>
        <v>-4.1339583843101862E-3</v>
      </c>
      <c r="Q1058" s="9"/>
    </row>
    <row r="1059" spans="1:17" x14ac:dyDescent="0.35">
      <c r="A1059" s="3">
        <v>45366</v>
      </c>
      <c r="B1059" s="4">
        <v>33.796287536621001</v>
      </c>
      <c r="C1059" s="4">
        <v>142.67819213867099</v>
      </c>
      <c r="D1059" s="4">
        <v>103.497360229492</v>
      </c>
      <c r="E1059" s="4">
        <v>22.508232116699201</v>
      </c>
      <c r="F1059" s="4">
        <v>410.12515258789</v>
      </c>
      <c r="I1059" s="5">
        <f>B1059/B1058-1</f>
        <v>-7.8453010336816398E-3</v>
      </c>
      <c r="J1059" s="5">
        <f>C1059/C1058-1</f>
        <v>-9.6339844491122317E-4</v>
      </c>
      <c r="K1059" s="5">
        <f>D1059/D1058-1</f>
        <v>5.1668380153235827E-3</v>
      </c>
      <c r="L1059" s="5">
        <f>E1059/E1058-1</f>
        <v>-7.6106387720464852E-4</v>
      </c>
      <c r="M1059" s="5">
        <f>F1059/F1058-1</f>
        <v>-2.0694997835018936E-2</v>
      </c>
      <c r="N1059" s="5">
        <f>SUMPRODUCT(I1059:M1059,$AJ$13:$AN$13)</f>
        <v>-2.2779330773065407E-3</v>
      </c>
      <c r="Q1059" s="9"/>
    </row>
    <row r="1060" spans="1:17" x14ac:dyDescent="0.35">
      <c r="A1060" s="3">
        <v>45369</v>
      </c>
      <c r="B1060" s="4">
        <v>34.368942260742102</v>
      </c>
      <c r="C1060" s="4">
        <v>142.54975891113199</v>
      </c>
      <c r="D1060" s="4">
        <v>103.13946533203099</v>
      </c>
      <c r="E1060" s="4">
        <v>22.825368881225501</v>
      </c>
      <c r="F1060" s="4">
        <v>411.01153564453102</v>
      </c>
      <c r="I1060" s="5">
        <f>B1060/B1059-1</f>
        <v>1.6944308557577115E-2</v>
      </c>
      <c r="J1060" s="5">
        <f>C1060/C1059-1</f>
        <v>-9.0016018295335787E-4</v>
      </c>
      <c r="K1060" s="5">
        <f>D1060/D1059-1</f>
        <v>-3.4580099112424545E-3</v>
      </c>
      <c r="L1060" s="5">
        <f>E1060/E1059-1</f>
        <v>1.4089812246560696E-2</v>
      </c>
      <c r="M1060" s="5">
        <f>F1060/F1059-1</f>
        <v>2.16125017216795E-3</v>
      </c>
      <c r="N1060" s="5">
        <f>SUMPRODUCT(I1060:M1060,$AJ$13:$AN$13)</f>
        <v>6.3399275047468413E-4</v>
      </c>
      <c r="Q1060" s="9"/>
    </row>
    <row r="1061" spans="1:17" x14ac:dyDescent="0.35">
      <c r="A1061" s="3">
        <v>45370</v>
      </c>
      <c r="B1061" s="4">
        <v>34.388034820556598</v>
      </c>
      <c r="C1061" s="4">
        <v>143.65963745117099</v>
      </c>
      <c r="D1061" s="4">
        <v>104.00032806396401</v>
      </c>
      <c r="E1061" s="4">
        <v>22.6710891723632</v>
      </c>
      <c r="F1061" s="4">
        <v>415.03967285156199</v>
      </c>
      <c r="I1061" s="5">
        <f>B1061/B1060-1</f>
        <v>5.5551781808271805E-4</v>
      </c>
      <c r="J1061" s="5">
        <f>C1061/C1060-1</f>
        <v>7.785902610546902E-3</v>
      </c>
      <c r="K1061" s="5">
        <f>D1061/D1060-1</f>
        <v>8.3465890497074202E-3</v>
      </c>
      <c r="L1061" s="5">
        <f>E1061/E1060-1</f>
        <v>-6.7591332111701652E-3</v>
      </c>
      <c r="M1061" s="5">
        <f>F1061/F1060-1</f>
        <v>9.8005453805918297E-3</v>
      </c>
      <c r="N1061" s="5">
        <f>SUMPRODUCT(I1061:M1061,$AJ$13:$AN$13)</f>
        <v>4.0456813954526868E-3</v>
      </c>
      <c r="Q1061" s="9"/>
    </row>
    <row r="1062" spans="1:17" x14ac:dyDescent="0.35">
      <c r="A1062" s="3">
        <v>45371</v>
      </c>
      <c r="B1062" s="4">
        <v>35.075225830078097</v>
      </c>
      <c r="C1062" s="4">
        <v>141.76095581054599</v>
      </c>
      <c r="D1062" s="4">
        <v>107.434120178222</v>
      </c>
      <c r="E1062" s="4">
        <v>22.9882297515869</v>
      </c>
      <c r="F1062" s="4">
        <v>418.802001953125</v>
      </c>
      <c r="I1062" s="5">
        <f>B1062/B1061-1</f>
        <v>1.99834335723863E-2</v>
      </c>
      <c r="J1062" s="5">
        <f>C1062/C1061-1</f>
        <v>-1.3216528137698691E-2</v>
      </c>
      <c r="K1062" s="5">
        <f>D1062/D1061-1</f>
        <v>3.3017127716617356E-2</v>
      </c>
      <c r="L1062" s="5">
        <f>E1062/E1061-1</f>
        <v>1.3988766786304341E-2</v>
      </c>
      <c r="M1062" s="5">
        <f>F1062/F1061-1</f>
        <v>9.064986669138575E-3</v>
      </c>
      <c r="N1062" s="5">
        <f>SUMPRODUCT(I1062:M1062,$AJ$13:$AN$13)</f>
        <v>2.140909895245674E-2</v>
      </c>
      <c r="Q1062" s="9"/>
    </row>
    <row r="1063" spans="1:17" x14ac:dyDescent="0.35">
      <c r="A1063" s="3">
        <v>45372</v>
      </c>
      <c r="B1063" s="4">
        <v>35.800594329833899</v>
      </c>
      <c r="C1063" s="4">
        <v>142.04528808593699</v>
      </c>
      <c r="D1063" s="4">
        <v>110.30690002441401</v>
      </c>
      <c r="E1063" s="4">
        <v>22.902511596679599</v>
      </c>
      <c r="F1063" s="4">
        <v>422.87936401367102</v>
      </c>
      <c r="I1063" s="5">
        <f>B1063/B1062-1</f>
        <v>2.0680365773547704E-2</v>
      </c>
      <c r="J1063" s="5">
        <f>C1063/C1062-1</f>
        <v>2.0057164101727754E-3</v>
      </c>
      <c r="K1063" s="5">
        <f>D1063/D1062-1</f>
        <v>2.6739920626951408E-2</v>
      </c>
      <c r="L1063" s="5">
        <f>E1063/E1062-1</f>
        <v>-3.7287845055308244E-3</v>
      </c>
      <c r="M1063" s="5">
        <f>F1063/F1062-1</f>
        <v>9.7357749999542609E-3</v>
      </c>
      <c r="N1063" s="5">
        <f>SUMPRODUCT(I1063:M1063,$AJ$13:$AN$13)</f>
        <v>9.3858936738668349E-3</v>
      </c>
      <c r="Q1063" s="9"/>
    </row>
    <row r="1064" spans="1:17" x14ac:dyDescent="0.35">
      <c r="A1064" s="3">
        <v>45373</v>
      </c>
      <c r="B1064" s="4">
        <v>35.361545562744098</v>
      </c>
      <c r="C1064" s="4">
        <v>141.86184692382801</v>
      </c>
      <c r="D1064" s="4">
        <v>108.565826416015</v>
      </c>
      <c r="E1064" s="4">
        <v>22.9796543121337</v>
      </c>
      <c r="F1064" s="4">
        <v>422.25885009765602</v>
      </c>
      <c r="I1064" s="5">
        <f>B1064/B1063-1</f>
        <v>-1.2263728446651134E-2</v>
      </c>
      <c r="J1064" s="5">
        <f>C1064/C1063-1</f>
        <v>-1.291427294638603E-3</v>
      </c>
      <c r="K1064" s="5">
        <f>D1064/D1063-1</f>
        <v>-1.5783904796650594E-2</v>
      </c>
      <c r="L1064" s="5">
        <f>E1064/E1063-1</f>
        <v>3.3683081057924724E-3</v>
      </c>
      <c r="M1064" s="5">
        <f>F1064/F1063-1</f>
        <v>-1.4673544486198953E-3</v>
      </c>
      <c r="N1064" s="5">
        <f>SUMPRODUCT(I1064:M1064,$AJ$13:$AN$13)</f>
        <v>-3.5454038363625373E-3</v>
      </c>
      <c r="Q1064" s="9"/>
    </row>
    <row r="1065" spans="1:17" x14ac:dyDescent="0.35">
      <c r="A1065" s="3">
        <v>45376</v>
      </c>
      <c r="B1065" s="4">
        <v>35.180206298828097</v>
      </c>
      <c r="C1065" s="4">
        <v>143.522048950195</v>
      </c>
      <c r="D1065" s="4">
        <v>109.30094909667901</v>
      </c>
      <c r="E1065" s="4">
        <v>23.305364608764599</v>
      </c>
      <c r="F1065" s="4">
        <v>416.46774291992102</v>
      </c>
      <c r="I1065" s="5">
        <f>B1065/B1064-1</f>
        <v>-5.1281487002382553E-3</v>
      </c>
      <c r="J1065" s="5">
        <f>C1065/C1064-1</f>
        <v>1.1702949470680624E-2</v>
      </c>
      <c r="K1065" s="5">
        <f>D1065/D1064-1</f>
        <v>6.7712161822182093E-3</v>
      </c>
      <c r="L1065" s="5">
        <f>E1065/E1064-1</f>
        <v>1.417385536817739E-2</v>
      </c>
      <c r="M1065" s="5">
        <f>F1065/F1064-1</f>
        <v>-1.3714590413902994E-2</v>
      </c>
      <c r="N1065" s="5">
        <f>SUMPRODUCT(I1065:M1065,$AJ$13:$AN$13)</f>
        <v>6.6668293794583042E-3</v>
      </c>
      <c r="Q1065" s="9"/>
    </row>
    <row r="1066" spans="1:17" x14ac:dyDescent="0.35">
      <c r="A1066" s="3">
        <v>45377</v>
      </c>
      <c r="B1066" s="4">
        <v>35.399726867675703</v>
      </c>
      <c r="C1066" s="4">
        <v>142.42135620117099</v>
      </c>
      <c r="D1066" s="4">
        <v>110.89694213867099</v>
      </c>
      <c r="E1066" s="4">
        <v>22.825368881225501</v>
      </c>
      <c r="F1066" s="4">
        <v>415.27609252929602</v>
      </c>
      <c r="I1066" s="5">
        <f>B1066/B1065-1</f>
        <v>6.2398886175638602E-3</v>
      </c>
      <c r="J1066" s="5">
        <f>C1066/C1065-1</f>
        <v>-7.6691543708797827E-3</v>
      </c>
      <c r="K1066" s="5">
        <f>D1066/D1065-1</f>
        <v>1.4601822355451821E-2</v>
      </c>
      <c r="L1066" s="5">
        <f>E1066/E1065-1</f>
        <v>-2.0595932979249887E-2</v>
      </c>
      <c r="M1066" s="5">
        <f>F1066/F1065-1</f>
        <v>-2.8613269836221811E-3</v>
      </c>
      <c r="N1066" s="5">
        <f>SUMPRODUCT(I1066:M1066,$AJ$13:$AN$13)</f>
        <v>-4.530033173533685E-3</v>
      </c>
      <c r="Q1066" s="9"/>
    </row>
    <row r="1067" spans="1:17" x14ac:dyDescent="0.35">
      <c r="A1067" s="3">
        <v>45378</v>
      </c>
      <c r="B1067" s="4">
        <v>36.0869140625</v>
      </c>
      <c r="C1067" s="4">
        <v>143.412017822265</v>
      </c>
      <c r="D1067" s="4">
        <v>108.02416229248</v>
      </c>
      <c r="E1067" s="4">
        <v>23.056797027587798</v>
      </c>
      <c r="F1067" s="4">
        <v>415.05938720703102</v>
      </c>
      <c r="I1067" s="5">
        <f>B1067/B1066-1</f>
        <v>1.9412217427354772E-2</v>
      </c>
      <c r="J1067" s="5">
        <f>C1067/C1066-1</f>
        <v>6.9558502145892209E-3</v>
      </c>
      <c r="K1067" s="5">
        <f>D1067/D1066-1</f>
        <v>-2.5904950946246341E-2</v>
      </c>
      <c r="L1067" s="5">
        <f>E1067/E1066-1</f>
        <v>1.0139075848743628E-2</v>
      </c>
      <c r="M1067" s="5">
        <f>F1067/F1066-1</f>
        <v>-5.2183433181796079E-4</v>
      </c>
      <c r="N1067" s="5">
        <f>SUMPRODUCT(I1067:M1067,$AJ$13:$AN$13)</f>
        <v>-1.4766923928424729E-2</v>
      </c>
      <c r="Q1067" s="9"/>
    </row>
    <row r="1068" spans="1:17" x14ac:dyDescent="0.35">
      <c r="A1068" s="3">
        <v>45379</v>
      </c>
      <c r="B1068" s="4">
        <v>36.191902160644503</v>
      </c>
      <c r="C1068" s="4">
        <v>144.68698120117099</v>
      </c>
      <c r="D1068" s="4">
        <v>110.374626159667</v>
      </c>
      <c r="E1068" s="4">
        <v>23.168224334716701</v>
      </c>
      <c r="F1068" s="4">
        <v>414.36007690429602</v>
      </c>
      <c r="I1068" s="5">
        <f>B1068/B1067-1</f>
        <v>2.9093121668057886E-3</v>
      </c>
      <c r="J1068" s="5">
        <f>C1068/C1067-1</f>
        <v>8.8902129561143628E-3</v>
      </c>
      <c r="K1068" s="5">
        <f>D1068/D1067-1</f>
        <v>2.1758686365213498E-2</v>
      </c>
      <c r="L1068" s="5">
        <f>E1068/E1067-1</f>
        <v>4.8327314065166327E-3</v>
      </c>
      <c r="M1068" s="5">
        <f>F1068/F1067-1</f>
        <v>-1.6848439627897838E-3</v>
      </c>
      <c r="N1068" s="5">
        <f>SUMPRODUCT(I1068:M1068,$AJ$13:$AN$13)</f>
        <v>1.1891791328712556E-2</v>
      </c>
      <c r="Q1068" s="9"/>
    </row>
    <row r="1069" spans="1:17" x14ac:dyDescent="0.35">
      <c r="A1069" s="3">
        <v>45383</v>
      </c>
      <c r="B1069" s="4">
        <v>35.810127258300703</v>
      </c>
      <c r="C1069" s="4">
        <v>145.916091918945</v>
      </c>
      <c r="D1069" s="4">
        <v>115.723587036132</v>
      </c>
      <c r="E1069" s="4">
        <v>23.348220825195298</v>
      </c>
      <c r="F1069" s="4">
        <v>418.15188598632801</v>
      </c>
      <c r="I1069" s="5">
        <f>B1069/B1068-1</f>
        <v>-1.0548627719240034E-2</v>
      </c>
      <c r="J1069" s="5">
        <f>C1069/C1068-1</f>
        <v>8.4949641465328352E-3</v>
      </c>
      <c r="K1069" s="5">
        <f>D1069/D1068-1</f>
        <v>4.8461870835487586E-2</v>
      </c>
      <c r="L1069" s="5">
        <f>E1069/E1068-1</f>
        <v>7.7691103072099477E-3</v>
      </c>
      <c r="M1069" s="5">
        <f>F1069/F1068-1</f>
        <v>9.1510000441181738E-3</v>
      </c>
      <c r="N1069" s="5">
        <f>SUMPRODUCT(I1069:M1069,$AJ$13:$AN$13)</f>
        <v>3.4692284761931244E-2</v>
      </c>
      <c r="Q1069" s="9"/>
    </row>
    <row r="1070" spans="1:17" x14ac:dyDescent="0.35">
      <c r="A1070" s="3">
        <v>45384</v>
      </c>
      <c r="B1070" s="4">
        <v>35.600154876708899</v>
      </c>
      <c r="C1070" s="4">
        <v>146.55815124511699</v>
      </c>
      <c r="D1070" s="4">
        <v>114.562873840332</v>
      </c>
      <c r="E1070" s="4">
        <v>23.7082118988037</v>
      </c>
      <c r="F1070" s="4">
        <v>415.069244384765</v>
      </c>
      <c r="I1070" s="5">
        <f>B1070/B1069-1</f>
        <v>-5.8634916340079002E-3</v>
      </c>
      <c r="J1070" s="5">
        <f>C1070/C1069-1</f>
        <v>4.4001954666428311E-3</v>
      </c>
      <c r="K1070" s="5">
        <f>D1070/D1069-1</f>
        <v>-1.0030048545225267E-2</v>
      </c>
      <c r="L1070" s="5">
        <f>E1070/E1069-1</f>
        <v>1.5418351415450449E-2</v>
      </c>
      <c r="M1070" s="5">
        <f>F1070/F1069-1</f>
        <v>-7.3720619346048233E-3</v>
      </c>
      <c r="N1070" s="5">
        <f>SUMPRODUCT(I1070:M1070,$AJ$13:$AN$13)</f>
        <v>1.0709875458784265E-3</v>
      </c>
      <c r="Q1070" s="9"/>
    </row>
    <row r="1071" spans="1:17" x14ac:dyDescent="0.35">
      <c r="A1071" s="3">
        <v>45385</v>
      </c>
      <c r="B1071" s="4">
        <v>35.733779907226499</v>
      </c>
      <c r="C1071" s="4">
        <v>147.16355895996</v>
      </c>
      <c r="D1071" s="4">
        <v>124.37094116210901</v>
      </c>
      <c r="E1071" s="4">
        <v>23.896785736083899</v>
      </c>
      <c r="F1071" s="4">
        <v>414.09420776367102</v>
      </c>
      <c r="I1071" s="5">
        <f>B1071/B1070-1</f>
        <v>3.7534957637226363E-3</v>
      </c>
      <c r="J1071" s="5">
        <f>C1071/C1070-1</f>
        <v>4.1308361882272937E-3</v>
      </c>
      <c r="K1071" s="5">
        <f>D1071/D1070-1</f>
        <v>8.561296511683758E-2</v>
      </c>
      <c r="L1071" s="5">
        <f>E1071/E1070-1</f>
        <v>7.9539460033979381E-3</v>
      </c>
      <c r="M1071" s="5">
        <f>F1071/F1070-1</f>
        <v>-2.349093878394215E-3</v>
      </c>
      <c r="N1071" s="5">
        <f>SUMPRODUCT(I1071:M1071,$AJ$13:$AN$13)</f>
        <v>4.6287259425931648E-2</v>
      </c>
      <c r="Q1071" s="9"/>
    </row>
    <row r="1072" spans="1:17" x14ac:dyDescent="0.35">
      <c r="A1072" s="3">
        <v>45386</v>
      </c>
      <c r="B1072" s="4">
        <v>35.237476348876903</v>
      </c>
      <c r="C1072" s="4">
        <v>147.39286804199199</v>
      </c>
      <c r="D1072" s="4">
        <v>122.997421264648</v>
      </c>
      <c r="E1072" s="4">
        <v>23.931068420410099</v>
      </c>
      <c r="F1072" s="4">
        <v>411.56307983398398</v>
      </c>
      <c r="I1072" s="5">
        <f>B1072/B1071-1</f>
        <v>-1.3888918542570017E-2</v>
      </c>
      <c r="J1072" s="5">
        <f>C1072/C1071-1</f>
        <v>1.5581920120208981E-3</v>
      </c>
      <c r="K1072" s="5">
        <f>D1072/D1071-1</f>
        <v>-1.1043736459875442E-2</v>
      </c>
      <c r="L1072" s="5">
        <f>E1072/E1071-1</f>
        <v>1.4346148768633604E-3</v>
      </c>
      <c r="M1072" s="5">
        <f>F1072/F1071-1</f>
        <v>-6.1124446617026873E-3</v>
      </c>
      <c r="N1072" s="5">
        <f>SUMPRODUCT(I1072:M1072,$AJ$13:$AN$13)</f>
        <v>-3.1558640732711613E-3</v>
      </c>
      <c r="Q1072" s="9"/>
    </row>
    <row r="1073" spans="1:17" x14ac:dyDescent="0.35">
      <c r="A1073" s="3">
        <v>45387</v>
      </c>
      <c r="B1073" s="4">
        <v>35.418815612792898</v>
      </c>
      <c r="C1073" s="4">
        <v>148.22755432128901</v>
      </c>
      <c r="D1073" s="4">
        <v>128.37542724609301</v>
      </c>
      <c r="E1073" s="4">
        <v>24.1196384429931</v>
      </c>
      <c r="F1073" s="4">
        <v>419.08752441406199</v>
      </c>
      <c r="I1073" s="5">
        <f>B1073/B1072-1</f>
        <v>5.146204629429274E-3</v>
      </c>
      <c r="J1073" s="5">
        <f>C1073/C1072-1</f>
        <v>5.663003172305503E-3</v>
      </c>
      <c r="K1073" s="5">
        <f>D1073/D1072-1</f>
        <v>4.3724542564786084E-2</v>
      </c>
      <c r="L1073" s="5">
        <f>E1073/E1072-1</f>
        <v>7.8797159938823746E-3</v>
      </c>
      <c r="M1073" s="5">
        <f>F1073/F1072-1</f>
        <v>1.8282603442255407E-2</v>
      </c>
      <c r="N1073" s="5">
        <f>SUMPRODUCT(I1073:M1073,$AJ$13:$AN$13)</f>
        <v>3.0881369226929595E-2</v>
      </c>
      <c r="Q1073" s="9"/>
    </row>
    <row r="1074" spans="1:17" x14ac:dyDescent="0.35">
      <c r="A1074" s="3">
        <v>45390</v>
      </c>
      <c r="B1074" s="4">
        <v>35.791042327880803</v>
      </c>
      <c r="C1074" s="4">
        <v>147.92483520507801</v>
      </c>
      <c r="D1074" s="4">
        <v>122.987754821777</v>
      </c>
      <c r="E1074" s="4">
        <v>23.999639511108398</v>
      </c>
      <c r="F1074" s="4">
        <v>418.171630859375</v>
      </c>
      <c r="I1074" s="5">
        <f>B1074/B1073-1</f>
        <v>1.050929311576021E-2</v>
      </c>
      <c r="J1074" s="5">
        <f>C1074/C1073-1</f>
        <v>-2.0422594004002592E-3</v>
      </c>
      <c r="K1074" s="5">
        <f>D1074/D1073-1</f>
        <v>-4.196809732121054E-2</v>
      </c>
      <c r="L1074" s="5">
        <f>E1074/E1073-1</f>
        <v>-4.9751546719210005E-3</v>
      </c>
      <c r="M1074" s="5">
        <f>F1074/F1073-1</f>
        <v>-2.1854469563786783E-3</v>
      </c>
      <c r="N1074" s="5">
        <f>SUMPRODUCT(I1074:M1074,$AJ$13:$AN$13)</f>
        <v>-2.7878871615699921E-2</v>
      </c>
      <c r="Q1074" s="9"/>
    </row>
    <row r="1075" spans="1:17" x14ac:dyDescent="0.35">
      <c r="A1075" s="3">
        <v>45391</v>
      </c>
      <c r="B1075" s="4">
        <v>36.010562896728501</v>
      </c>
      <c r="C1075" s="4">
        <v>148.59445190429599</v>
      </c>
      <c r="D1075" s="4">
        <v>119.67970275878901</v>
      </c>
      <c r="E1075" s="4">
        <v>23.853927612304599</v>
      </c>
      <c r="F1075" s="4">
        <v>419.83605957031199</v>
      </c>
      <c r="I1075" s="5">
        <f>B1075/B1074-1</f>
        <v>6.1333941279686499E-3</v>
      </c>
      <c r="J1075" s="5">
        <f>C1075/C1074-1</f>
        <v>4.5267361514356175E-3</v>
      </c>
      <c r="K1075" s="5">
        <f>D1075/D1074-1</f>
        <v>-2.6897409972088115E-2</v>
      </c>
      <c r="L1075" s="5">
        <f>E1075/E1074-1</f>
        <v>-6.0714203118074073E-3</v>
      </c>
      <c r="M1075" s="5">
        <f>F1075/F1074-1</f>
        <v>3.9802525759973229E-3</v>
      </c>
      <c r="N1075" s="5">
        <f>SUMPRODUCT(I1075:M1075,$AJ$13:$AN$13)</f>
        <v>-1.743423092946475E-2</v>
      </c>
      <c r="Q1075" s="9"/>
    </row>
    <row r="1076" spans="1:17" x14ac:dyDescent="0.35">
      <c r="A1076" s="3">
        <v>45392</v>
      </c>
      <c r="B1076" s="4">
        <v>34.979782104492102</v>
      </c>
      <c r="C1076" s="4">
        <v>149.20901489257801</v>
      </c>
      <c r="D1076" s="4">
        <v>119.331497192382</v>
      </c>
      <c r="E1076" s="4">
        <v>24.068210601806602</v>
      </c>
      <c r="F1076" s="4">
        <v>416.861724853515</v>
      </c>
      <c r="I1076" s="5">
        <f>B1076/B1075-1</f>
        <v>-2.862440099013408E-2</v>
      </c>
      <c r="J1076" s="5">
        <f>C1076/C1075-1</f>
        <v>4.1358407424110233E-3</v>
      </c>
      <c r="K1076" s="5">
        <f>D1076/D1075-1</f>
        <v>-2.9094788705216201E-3</v>
      </c>
      <c r="L1076" s="5">
        <f>E1076/E1075-1</f>
        <v>8.9831323790665607E-3</v>
      </c>
      <c r="M1076" s="5">
        <f>F1076/F1075-1</f>
        <v>-7.0845146551754556E-3</v>
      </c>
      <c r="N1076" s="5">
        <f>SUMPRODUCT(I1076:M1076,$AJ$13:$AN$13)</f>
        <v>8.4590485266407799E-3</v>
      </c>
      <c r="Q1076" s="9"/>
    </row>
    <row r="1077" spans="1:17" x14ac:dyDescent="0.35">
      <c r="A1077" s="3">
        <v>45393</v>
      </c>
      <c r="B1077" s="4">
        <v>34.693447113037102</v>
      </c>
      <c r="C1077" s="4">
        <v>148.49353027343699</v>
      </c>
      <c r="D1077" s="4">
        <v>119.97955322265599</v>
      </c>
      <c r="E1077" s="4">
        <v>24.188207626342699</v>
      </c>
      <c r="F1077" s="4">
        <v>421.46109008789</v>
      </c>
      <c r="I1077" s="5">
        <f>B1077/B1076-1</f>
        <v>-8.1857282758267536E-3</v>
      </c>
      <c r="J1077" s="5">
        <f>C1077/C1076-1</f>
        <v>-4.7951835863009329E-3</v>
      </c>
      <c r="K1077" s="5">
        <f>D1077/D1076-1</f>
        <v>5.4307206858321688E-3</v>
      </c>
      <c r="L1077" s="5">
        <f>E1077/E1076-1</f>
        <v>4.9857061050933016E-3</v>
      </c>
      <c r="M1077" s="5">
        <f>F1077/F1076-1</f>
        <v>1.1033311431965176E-2</v>
      </c>
      <c r="N1077" s="5">
        <f>SUMPRODUCT(I1077:M1077,$AJ$13:$AN$13)</f>
        <v>1.1367384274651384E-2</v>
      </c>
      <c r="Q1077" s="9"/>
    </row>
    <row r="1078" spans="1:17" x14ac:dyDescent="0.35">
      <c r="A1078" s="3">
        <v>45394</v>
      </c>
      <c r="B1078" s="4">
        <v>34.158966064453097</v>
      </c>
      <c r="C1078" s="4">
        <v>145.80603027343699</v>
      </c>
      <c r="D1078" s="4">
        <v>113.905128479003</v>
      </c>
      <c r="E1078" s="4">
        <v>24.188207626342699</v>
      </c>
      <c r="F1078" s="4">
        <v>415.52224731445301</v>
      </c>
      <c r="I1078" s="5">
        <f>B1078/B1077-1</f>
        <v>-1.5405821359940841E-2</v>
      </c>
      <c r="J1078" s="5">
        <f>C1078/C1077-1</f>
        <v>-1.809843159531066E-2</v>
      </c>
      <c r="K1078" s="5">
        <f>D1078/D1077-1</f>
        <v>-5.0628832834376247E-2</v>
      </c>
      <c r="L1078" s="5">
        <f>E1078/E1077-1</f>
        <v>0</v>
      </c>
      <c r="M1078" s="5">
        <f>F1078/F1077-1</f>
        <v>-1.4091081983863663E-2</v>
      </c>
      <c r="N1078" s="5">
        <f>SUMPRODUCT(I1078:M1078,$AJ$13:$AN$13)</f>
        <v>-2.6019611008252973E-2</v>
      </c>
      <c r="Q1078" s="9"/>
    </row>
    <row r="1079" spans="1:17" x14ac:dyDescent="0.35">
      <c r="A1079" s="3">
        <v>45397</v>
      </c>
      <c r="B1079" s="4">
        <v>34.311679840087798</v>
      </c>
      <c r="C1079" s="4">
        <v>144.54937744140599</v>
      </c>
      <c r="D1079" s="4">
        <v>113.953483581542</v>
      </c>
      <c r="E1079" s="4">
        <v>23.811073303222599</v>
      </c>
      <c r="F1079" s="4">
        <v>407.387115478515</v>
      </c>
      <c r="I1079" s="5">
        <f>B1079/B1078-1</f>
        <v>4.4706790992019574E-3</v>
      </c>
      <c r="J1079" s="5">
        <f>C1079/C1078-1</f>
        <v>-8.6186615853565129E-3</v>
      </c>
      <c r="K1079" s="5">
        <f>D1079/D1078-1</f>
        <v>4.2452085507216353E-4</v>
      </c>
      <c r="L1079" s="5">
        <f>E1079/E1078-1</f>
        <v>-1.5591660570557275E-2</v>
      </c>
      <c r="M1079" s="5">
        <f>F1079/F1078-1</f>
        <v>-1.9578089713645608E-2</v>
      </c>
      <c r="N1079" s="5">
        <f>SUMPRODUCT(I1079:M1079,$AJ$13:$AN$13)</f>
        <v>-1.461486759956163E-2</v>
      </c>
      <c r="Q1079" s="9"/>
    </row>
    <row r="1080" spans="1:17" x14ac:dyDescent="0.35">
      <c r="A1080" s="3">
        <v>45398</v>
      </c>
      <c r="B1080" s="4">
        <v>33.099559783935497</v>
      </c>
      <c r="C1080" s="4">
        <v>143.34777832031199</v>
      </c>
      <c r="D1080" s="4">
        <v>117.11644744873</v>
      </c>
      <c r="E1080" s="4">
        <v>23.802501678466701</v>
      </c>
      <c r="F1080" s="4">
        <v>408.31295776367102</v>
      </c>
      <c r="I1080" s="5">
        <f>B1080/B1079-1</f>
        <v>-3.5326747678967596E-2</v>
      </c>
      <c r="J1080" s="5">
        <f>C1080/C1079-1</f>
        <v>-8.3127242909163401E-3</v>
      </c>
      <c r="K1080" s="5">
        <f>D1080/D1079-1</f>
        <v>2.7756622858525093E-2</v>
      </c>
      <c r="L1080" s="5">
        <f>E1080/E1079-1</f>
        <v>-3.5998481239141178E-4</v>
      </c>
      <c r="M1080" s="5">
        <f>F1080/F1079-1</f>
        <v>2.2726351668449496E-3</v>
      </c>
      <c r="N1080" s="5">
        <f>SUMPRODUCT(I1080:M1080,$AJ$13:$AN$13)</f>
        <v>2.5532378221104348E-2</v>
      </c>
      <c r="Q1080" s="9"/>
    </row>
    <row r="1081" spans="1:17" x14ac:dyDescent="0.35">
      <c r="A1081" s="3">
        <v>45399</v>
      </c>
      <c r="B1081" s="4">
        <v>33.624488830566399</v>
      </c>
      <c r="C1081" s="4">
        <v>143.45788574218699</v>
      </c>
      <c r="D1081" s="4">
        <v>115.70424652099599</v>
      </c>
      <c r="E1081" s="4">
        <v>23.356792449951101</v>
      </c>
      <c r="F1081" s="4">
        <v>405.61431884765602</v>
      </c>
      <c r="I1081" s="5">
        <f>B1081/B1080-1</f>
        <v>1.5859094503295257E-2</v>
      </c>
      <c r="J1081" s="5">
        <f>C1081/C1080-1</f>
        <v>7.6811390567188553E-4</v>
      </c>
      <c r="K1081" s="5">
        <f>D1081/D1080-1</f>
        <v>-1.2058092253457553E-2</v>
      </c>
      <c r="L1081" s="5">
        <f>E1081/E1080-1</f>
        <v>-1.872531024412516E-2</v>
      </c>
      <c r="M1081" s="5">
        <f>F1081/F1080-1</f>
        <v>-6.6092414279366185E-3</v>
      </c>
      <c r="N1081" s="5">
        <f>SUMPRODUCT(I1081:M1081,$AJ$13:$AN$13)</f>
        <v>-2.1847457614584929E-2</v>
      </c>
      <c r="Q1081" s="9"/>
    </row>
    <row r="1082" spans="1:17" x14ac:dyDescent="0.35">
      <c r="A1082" s="3">
        <v>45400</v>
      </c>
      <c r="B1082" s="4">
        <v>34.139881134033203</v>
      </c>
      <c r="C1082" s="4">
        <v>144.53105163574199</v>
      </c>
      <c r="D1082" s="4">
        <v>114.495162963867</v>
      </c>
      <c r="E1082" s="4">
        <v>23.339647293090799</v>
      </c>
      <c r="F1082" s="4">
        <v>398.15878295898398</v>
      </c>
      <c r="I1082" s="5">
        <f>B1082/B1081-1</f>
        <v>1.5327885163217259E-2</v>
      </c>
      <c r="J1082" s="5">
        <f>C1082/C1081-1</f>
        <v>7.4807033994883643E-3</v>
      </c>
      <c r="K1082" s="5">
        <f>D1082/D1081-1</f>
        <v>-1.0449776853346471E-2</v>
      </c>
      <c r="L1082" s="5">
        <f>E1082/E1081-1</f>
        <v>-7.3405442536855769E-4</v>
      </c>
      <c r="M1082" s="5">
        <f>F1082/F1081-1</f>
        <v>-1.8380849842414615E-2</v>
      </c>
      <c r="N1082" s="5">
        <f>SUMPRODUCT(I1082:M1082,$AJ$13:$AN$13)</f>
        <v>-1.6602062289477176E-2</v>
      </c>
      <c r="Q1082" s="9"/>
    </row>
    <row r="1083" spans="1:17" x14ac:dyDescent="0.35">
      <c r="A1083" s="3">
        <v>45401</v>
      </c>
      <c r="B1083" s="4">
        <v>35.285198211669901</v>
      </c>
      <c r="C1083" s="4">
        <v>146.75993347167901</v>
      </c>
      <c r="D1083" s="4">
        <v>111.109725952148</v>
      </c>
      <c r="E1083" s="4">
        <v>23.408218383788999</v>
      </c>
      <c r="F1083" s="4">
        <v>393.08663940429602</v>
      </c>
      <c r="I1083" s="5">
        <f>B1083/B1082-1</f>
        <v>3.3547775785749856E-2</v>
      </c>
      <c r="J1083" s="5">
        <f>C1083/C1082-1</f>
        <v>1.5421473868151292E-2</v>
      </c>
      <c r="K1083" s="5">
        <f>D1083/D1082-1</f>
        <v>-2.9568384585708651E-2</v>
      </c>
      <c r="L1083" s="5">
        <f>E1083/E1082-1</f>
        <v>2.9379660213844083E-3</v>
      </c>
      <c r="M1083" s="5">
        <f>F1083/F1082-1</f>
        <v>-1.2738997032775368E-2</v>
      </c>
      <c r="N1083" s="5">
        <f>SUMPRODUCT(I1083:M1083,$AJ$13:$AN$13)</f>
        <v>-2.8485772813800696E-2</v>
      </c>
      <c r="Q1083" s="9"/>
    </row>
    <row r="1084" spans="1:17" x14ac:dyDescent="0.35">
      <c r="A1084" s="3">
        <v>45404</v>
      </c>
      <c r="B1084" s="4">
        <v>36.010562896728501</v>
      </c>
      <c r="C1084" s="4">
        <v>148.521072387695</v>
      </c>
      <c r="D1084" s="4">
        <v>112.192420959472</v>
      </c>
      <c r="E1084" s="4">
        <v>23.2539367675781</v>
      </c>
      <c r="F1084" s="4">
        <v>394.898834228515</v>
      </c>
      <c r="I1084" s="5">
        <f>B1084/B1083-1</f>
        <v>2.0557194569441384E-2</v>
      </c>
      <c r="J1084" s="5">
        <f>C1084/C1083-1</f>
        <v>1.20001343306404E-2</v>
      </c>
      <c r="K1084" s="5">
        <f>D1084/D1083-1</f>
        <v>9.7443765435105689E-3</v>
      </c>
      <c r="L1084" s="5">
        <f>E1084/E1083-1</f>
        <v>-6.5909166465117908E-3</v>
      </c>
      <c r="M1084" s="5">
        <f>F1084/F1083-1</f>
        <v>4.6101664176765311E-3</v>
      </c>
      <c r="N1084" s="5">
        <f>SUMPRODUCT(I1084:M1084,$AJ$13:$AN$13)</f>
        <v>-2.8045708084069683E-3</v>
      </c>
      <c r="Q1084" s="9"/>
    </row>
    <row r="1085" spans="1:17" x14ac:dyDescent="0.35">
      <c r="A1085" s="3">
        <v>45405</v>
      </c>
      <c r="B1085" s="4">
        <v>36.621395111083899</v>
      </c>
      <c r="C1085" s="4">
        <v>149.374099731445</v>
      </c>
      <c r="D1085" s="4">
        <v>117.134956359863</v>
      </c>
      <c r="E1085" s="4">
        <v>23.245365142822202</v>
      </c>
      <c r="F1085" s="4">
        <v>401.408935546875</v>
      </c>
      <c r="I1085" s="5">
        <f>B1085/B1084-1</f>
        <v>1.6962584453543483E-2</v>
      </c>
      <c r="J1085" s="5">
        <f>C1085/C1084-1</f>
        <v>5.7434768685435955E-3</v>
      </c>
      <c r="K1085" s="5">
        <f>D1085/D1084-1</f>
        <v>4.405409347728062E-2</v>
      </c>
      <c r="L1085" s="5">
        <f>E1085/E1084-1</f>
        <v>-3.6860961830120775E-4</v>
      </c>
      <c r="M1085" s="5">
        <f>F1085/F1084-1</f>
        <v>1.6485491356484472E-2</v>
      </c>
      <c r="N1085" s="5">
        <f>SUMPRODUCT(I1085:M1085,$AJ$13:$AN$13)</f>
        <v>2.3178464707006574E-2</v>
      </c>
      <c r="Q1085" s="9"/>
    </row>
    <row r="1086" spans="1:17" x14ac:dyDescent="0.35">
      <c r="A1086" s="3">
        <v>45406</v>
      </c>
      <c r="B1086" s="4">
        <v>36.573680877685497</v>
      </c>
      <c r="C1086" s="4">
        <v>150.03456115722599</v>
      </c>
      <c r="D1086" s="4">
        <v>116.717414855957</v>
      </c>
      <c r="E1086" s="4">
        <v>23.228223800659102</v>
      </c>
      <c r="F1086" s="4">
        <v>402.876373291015</v>
      </c>
      <c r="I1086" s="5">
        <f>B1086/B1085-1</f>
        <v>-1.3029059448355085E-3</v>
      </c>
      <c r="J1086" s="5">
        <f>C1086/C1085-1</f>
        <v>4.4215257328306112E-3</v>
      </c>
      <c r="K1086" s="5">
        <f>D1086/D1085-1</f>
        <v>-3.5646191101418312E-3</v>
      </c>
      <c r="L1086" s="5">
        <f>E1086/E1085-1</f>
        <v>-7.3740903004881897E-4</v>
      </c>
      <c r="M1086" s="5">
        <f>F1086/F1085-1</f>
        <v>3.6557176838647454E-3</v>
      </c>
      <c r="N1086" s="5">
        <f>SUMPRODUCT(I1086:M1086,$AJ$13:$AN$13)</f>
        <v>-7.4741998655613218E-4</v>
      </c>
      <c r="Q1086" s="9"/>
    </row>
    <row r="1087" spans="1:17" x14ac:dyDescent="0.35">
      <c r="A1087" s="3">
        <v>45407</v>
      </c>
      <c r="B1087" s="4">
        <v>36.182353973388601</v>
      </c>
      <c r="C1087" s="4">
        <v>151.60299682617099</v>
      </c>
      <c r="D1087" s="4">
        <v>121.290962219238</v>
      </c>
      <c r="E1087" s="4">
        <v>23.871068954467699</v>
      </c>
      <c r="F1087" s="4">
        <v>393.00784301757801</v>
      </c>
      <c r="I1087" s="5">
        <f>B1087/B1086-1</f>
        <v>-1.0699686083159743E-2</v>
      </c>
      <c r="J1087" s="5">
        <f>C1087/C1086-1</f>
        <v>1.0453829150080862E-2</v>
      </c>
      <c r="K1087" s="5">
        <f>D1087/D1086-1</f>
        <v>3.9184789767022332E-2</v>
      </c>
      <c r="L1087" s="5">
        <f>E1087/E1086-1</f>
        <v>2.7675174792760382E-2</v>
      </c>
      <c r="M1087" s="5">
        <f>F1087/F1086-1</f>
        <v>-2.4495182462111131E-2</v>
      </c>
      <c r="N1087" s="5">
        <f>SUMPRODUCT(I1087:M1087,$AJ$13:$AN$13)</f>
        <v>2.7903341451390548E-2</v>
      </c>
      <c r="Q1087" s="9"/>
    </row>
    <row r="1088" spans="1:17" x14ac:dyDescent="0.35">
      <c r="A1088" s="3">
        <v>45408</v>
      </c>
      <c r="B1088" s="4">
        <v>36.106006622314403</v>
      </c>
      <c r="C1088" s="4">
        <v>152.16255187988199</v>
      </c>
      <c r="D1088" s="4">
        <v>121.436599731445</v>
      </c>
      <c r="E1088" s="4">
        <v>23.7339267730712</v>
      </c>
      <c r="F1088" s="4">
        <v>400.17779541015602</v>
      </c>
      <c r="I1088" s="5">
        <f>B1088/B1087-1</f>
        <v>-2.1100714212886063E-3</v>
      </c>
      <c r="J1088" s="5">
        <f>C1088/C1087-1</f>
        <v>3.6909234344000286E-3</v>
      </c>
      <c r="K1088" s="5">
        <f>D1088/D1087-1</f>
        <v>1.2007284759085746E-3</v>
      </c>
      <c r="L1088" s="5">
        <f>E1088/E1087-1</f>
        <v>-5.7451210776562345E-3</v>
      </c>
      <c r="M1088" s="5">
        <f>F1088/F1087-1</f>
        <v>1.8243789583245906E-2</v>
      </c>
      <c r="N1088" s="5">
        <f>SUMPRODUCT(I1088:M1088,$AJ$13:$AN$13)</f>
        <v>4.5243453157310601E-3</v>
      </c>
      <c r="Q1088" s="9"/>
    </row>
    <row r="1089" spans="1:17" x14ac:dyDescent="0.35">
      <c r="A1089" s="3">
        <v>45411</v>
      </c>
      <c r="B1089" s="4">
        <v>35.838760375976499</v>
      </c>
      <c r="C1089" s="4">
        <v>152.56613159179599</v>
      </c>
      <c r="D1089" s="4">
        <v>124.000114440917</v>
      </c>
      <c r="E1089" s="4">
        <v>23.236795425415</v>
      </c>
      <c r="F1089" s="4">
        <v>396.16931152343699</v>
      </c>
      <c r="I1089" s="5">
        <f>B1089/B1088-1</f>
        <v>-7.4017115526905375E-3</v>
      </c>
      <c r="J1089" s="5">
        <f>C1089/C1088-1</f>
        <v>2.6522932674828414E-3</v>
      </c>
      <c r="K1089" s="5">
        <f>D1089/D1088-1</f>
        <v>2.1109901917059304E-2</v>
      </c>
      <c r="L1089" s="5">
        <f>E1089/E1088-1</f>
        <v>-2.094602180285865E-2</v>
      </c>
      <c r="M1089" s="5">
        <f>F1089/F1088-1</f>
        <v>-1.0016757383079167E-2</v>
      </c>
      <c r="N1089" s="5">
        <f>SUMPRODUCT(I1089:M1089,$AJ$13:$AN$13)</f>
        <v>-8.809394486686533E-5</v>
      </c>
      <c r="Q1089" s="9"/>
    </row>
    <row r="1090" spans="1:17" x14ac:dyDescent="0.35">
      <c r="A1090" s="3">
        <v>45412</v>
      </c>
      <c r="B1090" s="4">
        <v>35.323375701904297</v>
      </c>
      <c r="C1090" s="4">
        <v>147.92483520507801</v>
      </c>
      <c r="D1090" s="4">
        <v>121.028770446777</v>
      </c>
      <c r="E1090" s="4">
        <v>22.7910861968994</v>
      </c>
      <c r="F1090" s="4">
        <v>383.444580078125</v>
      </c>
      <c r="I1090" s="5">
        <f>B1090/B1089-1</f>
        <v>-1.4380650130345285E-2</v>
      </c>
      <c r="J1090" s="5">
        <f>C1090/C1089-1</f>
        <v>-3.042153811132986E-2</v>
      </c>
      <c r="K1090" s="5">
        <f>D1090/D1089-1</f>
        <v>-2.3962429450464562E-2</v>
      </c>
      <c r="L1090" s="5">
        <f>E1090/E1089-1</f>
        <v>-1.9181183134577617E-2</v>
      </c>
      <c r="M1090" s="5">
        <f>F1090/F1089-1</f>
        <v>-3.2119427414455837E-2</v>
      </c>
      <c r="N1090" s="5">
        <f>SUMPRODUCT(I1090:M1090,$AJ$13:$AN$13)</f>
        <v>-2.7012740150104193E-2</v>
      </c>
      <c r="Q1090" s="9"/>
    </row>
    <row r="1091" spans="1:17" x14ac:dyDescent="0.35">
      <c r="A1091" s="3">
        <v>45413</v>
      </c>
      <c r="B1091" s="4">
        <v>35.26611328125</v>
      </c>
      <c r="C1091" s="4">
        <v>146.42057800292901</v>
      </c>
      <c r="D1091" s="4">
        <v>115.338562011718</v>
      </c>
      <c r="E1091" s="4">
        <v>22.6710891723632</v>
      </c>
      <c r="F1091" s="4">
        <v>388.96975708007801</v>
      </c>
      <c r="I1091" s="5">
        <f>B1091/B1090-1</f>
        <v>-1.6210914024055167E-3</v>
      </c>
      <c r="J1091" s="5">
        <f>C1091/C1090-1</f>
        <v>-1.0169064579747866E-2</v>
      </c>
      <c r="K1091" s="5">
        <f>D1091/D1090-1</f>
        <v>-4.7015337047989769E-2</v>
      </c>
      <c r="L1091" s="5">
        <f>E1091/E1090-1</f>
        <v>-5.2650858102816223E-3</v>
      </c>
      <c r="M1091" s="5">
        <f>F1091/F1090-1</f>
        <v>1.4409323508568717E-2</v>
      </c>
      <c r="N1091" s="5">
        <f>SUMPRODUCT(I1091:M1091,$AJ$13:$AN$13)</f>
        <v>-2.1324370333907106E-2</v>
      </c>
      <c r="Q1091" s="9"/>
    </row>
    <row r="1092" spans="1:17" x14ac:dyDescent="0.35">
      <c r="A1092" s="3">
        <v>45414</v>
      </c>
      <c r="B1092" s="4">
        <v>35.199302673339801</v>
      </c>
      <c r="C1092" s="4">
        <v>147.42953491210901</v>
      </c>
      <c r="D1092" s="4">
        <v>119.814987182617</v>
      </c>
      <c r="E1092" s="4">
        <v>23.1339397430419</v>
      </c>
      <c r="F1092" s="4">
        <v>391.82595825195301</v>
      </c>
      <c r="I1092" s="5">
        <f>B1092/B1091-1</f>
        <v>-1.8944704049855821E-3</v>
      </c>
      <c r="J1092" s="5">
        <f>C1092/C1091-1</f>
        <v>6.8908135928804626E-3</v>
      </c>
      <c r="K1092" s="5">
        <f>D1092/D1091-1</f>
        <v>3.881117548911539E-2</v>
      </c>
      <c r="L1092" s="5">
        <f>E1092/E1091-1</f>
        <v>2.0415894761815379E-2</v>
      </c>
      <c r="M1092" s="5">
        <f>F1092/F1091-1</f>
        <v>7.342990347928291E-3</v>
      </c>
      <c r="N1092" s="5">
        <f>SUMPRODUCT(I1092:M1092,$AJ$13:$AN$13)</f>
        <v>3.2522422711372748E-2</v>
      </c>
      <c r="Q1092" s="9"/>
    </row>
    <row r="1093" spans="1:17" x14ac:dyDescent="0.35">
      <c r="A1093" s="3">
        <v>45415</v>
      </c>
      <c r="B1093" s="4">
        <v>35.552433013916001</v>
      </c>
      <c r="C1093" s="4">
        <v>146.98927307128901</v>
      </c>
      <c r="D1093" s="4">
        <v>121.475448608398</v>
      </c>
      <c r="E1093" s="4">
        <v>23.493934631347599</v>
      </c>
      <c r="F1093" s="4">
        <v>400.51266479492102</v>
      </c>
      <c r="I1093" s="5">
        <f>B1093/B1092-1</f>
        <v>1.0032310692440705E-2</v>
      </c>
      <c r="J1093" s="5">
        <f>C1093/C1092-1</f>
        <v>-2.9862526601773798E-3</v>
      </c>
      <c r="K1093" s="5">
        <f>D1093/D1092-1</f>
        <v>1.3858545285742929E-2</v>
      </c>
      <c r="L1093" s="5">
        <f>E1093/E1092-1</f>
        <v>1.5561330767880799E-2</v>
      </c>
      <c r="M1093" s="5">
        <f>F1093/F1092-1</f>
        <v>2.2169808712321881E-2</v>
      </c>
      <c r="N1093" s="5">
        <f>SUMPRODUCT(I1093:M1093,$AJ$13:$AN$13)</f>
        <v>1.9088989324456546E-2</v>
      </c>
      <c r="Q1093" s="9"/>
    </row>
    <row r="1094" spans="1:17" x14ac:dyDescent="0.35">
      <c r="A1094" s="3">
        <v>45418</v>
      </c>
      <c r="B1094" s="4">
        <v>35.972381591796797</v>
      </c>
      <c r="C1094" s="4">
        <v>148.86961364746</v>
      </c>
      <c r="D1094" s="4">
        <v>125.58290100097599</v>
      </c>
      <c r="E1094" s="4">
        <v>23.982494354248001</v>
      </c>
      <c r="F1094" s="4">
        <v>407.28863525390602</v>
      </c>
      <c r="I1094" s="5">
        <f>B1094/B1093-1</f>
        <v>1.181209110826309E-2</v>
      </c>
      <c r="J1094" s="5">
        <f>C1094/C1093-1</f>
        <v>1.2792365979380271E-2</v>
      </c>
      <c r="K1094" s="5">
        <f>D1094/D1093-1</f>
        <v>3.3813025097929383E-2</v>
      </c>
      <c r="L1094" s="5">
        <f>E1094/E1093-1</f>
        <v>2.0795142685402945E-2</v>
      </c>
      <c r="M1094" s="5">
        <f>F1094/F1093-1</f>
        <v>1.6918242678928941E-2</v>
      </c>
      <c r="N1094" s="5">
        <f>SUMPRODUCT(I1094:M1094,$AJ$13:$AN$13)</f>
        <v>2.9138337744424481E-2</v>
      </c>
      <c r="Q1094" s="9"/>
    </row>
    <row r="1095" spans="1:17" x14ac:dyDescent="0.35">
      <c r="A1095" s="3">
        <v>45419</v>
      </c>
      <c r="B1095" s="4">
        <v>36.115547180175703</v>
      </c>
      <c r="C1095" s="4">
        <v>149.20901489257801</v>
      </c>
      <c r="D1095" s="4">
        <v>123.85446166992099</v>
      </c>
      <c r="E1095" s="4">
        <v>24.093923568725501</v>
      </c>
      <c r="F1095" s="4">
        <v>403.15213012695301</v>
      </c>
      <c r="I1095" s="5">
        <f>B1095/B1094-1</f>
        <v>3.9798751721114023E-3</v>
      </c>
      <c r="J1095" s="5">
        <f>C1095/C1094-1</f>
        <v>2.2798557529795094E-3</v>
      </c>
      <c r="K1095" s="5">
        <f>D1095/D1094-1</f>
        <v>-1.376333336209179E-2</v>
      </c>
      <c r="L1095" s="5">
        <f>E1095/E1094-1</f>
        <v>4.6462729369001199E-3</v>
      </c>
      <c r="M1095" s="5">
        <f>F1095/F1094-1</f>
        <v>-1.015620071101242E-2</v>
      </c>
      <c r="N1095" s="5">
        <f>SUMPRODUCT(I1095:M1095,$AJ$13:$AN$13)</f>
        <v>-9.613552328798531E-3</v>
      </c>
      <c r="Q1095" s="9"/>
    </row>
    <row r="1096" spans="1:17" x14ac:dyDescent="0.35">
      <c r="A1096" s="3">
        <v>45420</v>
      </c>
      <c r="B1096" s="4">
        <v>35.9914741516113</v>
      </c>
      <c r="C1096" s="4">
        <v>149.089752197265</v>
      </c>
      <c r="D1096" s="4">
        <v>127.796836853027</v>
      </c>
      <c r="E1096" s="4">
        <v>24.111064910888601</v>
      </c>
      <c r="F1096" s="4">
        <v>404.33404541015602</v>
      </c>
      <c r="I1096" s="5">
        <f>B1096/B1095-1</f>
        <v>-3.4354464559381848E-3</v>
      </c>
      <c r="J1096" s="5">
        <f>C1096/C1095-1</f>
        <v>-7.9929952891166778E-4</v>
      </c>
      <c r="K1096" s="5">
        <f>D1096/D1095-1</f>
        <v>3.1830707832009031E-2</v>
      </c>
      <c r="L1096" s="5">
        <f>E1096/E1095-1</f>
        <v>7.1143838877896215E-4</v>
      </c>
      <c r="M1096" s="5">
        <f>F1096/F1095-1</f>
        <v>2.931685571972098E-3</v>
      </c>
      <c r="N1096" s="5">
        <f>SUMPRODUCT(I1096:M1096,$AJ$13:$AN$13)</f>
        <v>1.8904883059117916E-2</v>
      </c>
      <c r="Q1096" s="9"/>
    </row>
    <row r="1097" spans="1:17" x14ac:dyDescent="0.35">
      <c r="A1097" s="3">
        <v>45421</v>
      </c>
      <c r="B1097" s="4">
        <v>36.535499572753899</v>
      </c>
      <c r="C1097" s="4">
        <v>151.75895690917901</v>
      </c>
      <c r="D1097" s="4">
        <v>127.864784240722</v>
      </c>
      <c r="E1097" s="4">
        <v>24.479631423950099</v>
      </c>
      <c r="F1097" s="4">
        <v>406.08712768554602</v>
      </c>
      <c r="I1097" s="5">
        <f>B1097/B1096-1</f>
        <v>1.5115397020164734E-2</v>
      </c>
      <c r="J1097" s="5">
        <f>C1097/C1096-1</f>
        <v>1.7903341259715155E-2</v>
      </c>
      <c r="K1097" s="5">
        <f>D1097/D1096-1</f>
        <v>5.3168285982807539E-4</v>
      </c>
      <c r="L1097" s="5">
        <f>E1097/E1096-1</f>
        <v>1.5286198034955012E-2</v>
      </c>
      <c r="M1097" s="5">
        <f>F1097/F1096-1</f>
        <v>4.3357275878455059E-3</v>
      </c>
      <c r="N1097" s="5">
        <f>SUMPRODUCT(I1097:M1097,$AJ$13:$AN$13)</f>
        <v>3.9096215258604718E-3</v>
      </c>
      <c r="Q1097" s="9"/>
    </row>
    <row r="1098" spans="1:17" x14ac:dyDescent="0.35">
      <c r="A1098" s="3">
        <v>45422</v>
      </c>
      <c r="B1098" s="4">
        <v>36.69775390625</v>
      </c>
      <c r="C1098" s="4">
        <v>152.09834289550699</v>
      </c>
      <c r="D1098" s="4">
        <v>128.92321777343699</v>
      </c>
      <c r="E1098" s="4">
        <v>24.453920364379801</v>
      </c>
      <c r="F1098" s="4">
        <v>408.47048950195301</v>
      </c>
      <c r="I1098" s="5">
        <f>B1098/B1097-1</f>
        <v>4.4410049238001736E-3</v>
      </c>
      <c r="J1098" s="5">
        <f>C1098/C1097-1</f>
        <v>2.2363489657555302E-3</v>
      </c>
      <c r="K1098" s="5">
        <f>D1098/D1097-1</f>
        <v>8.2777563736575743E-3</v>
      </c>
      <c r="L1098" s="5">
        <f>E1098/E1097-1</f>
        <v>-1.0503041947413916E-3</v>
      </c>
      <c r="M1098" s="5">
        <f>F1098/F1097-1</f>
        <v>5.8690897935886888E-3</v>
      </c>
      <c r="N1098" s="5">
        <f>SUMPRODUCT(I1098:M1098,$AJ$13:$AN$13)</f>
        <v>4.4221208460929265E-3</v>
      </c>
      <c r="Q1098" s="9"/>
    </row>
    <row r="1099" spans="1:17" x14ac:dyDescent="0.35">
      <c r="A1099" s="3">
        <v>45425</v>
      </c>
      <c r="B1099" s="4">
        <v>36.4686889648437</v>
      </c>
      <c r="C1099" s="4">
        <v>150.91508483886699</v>
      </c>
      <c r="D1099" s="4">
        <v>127.214210510253</v>
      </c>
      <c r="E1099" s="4">
        <v>24.573919296264599</v>
      </c>
      <c r="F1099" s="4">
        <v>407.46591186523398</v>
      </c>
      <c r="I1099" s="5">
        <f>B1099/B1098-1</f>
        <v>-6.2419335524316333E-3</v>
      </c>
      <c r="J1099" s="5">
        <f>C1099/C1098-1</f>
        <v>-7.7795591596478975E-3</v>
      </c>
      <c r="K1099" s="5">
        <f>D1099/D1098-1</f>
        <v>-1.3256008442073752E-2</v>
      </c>
      <c r="L1099" s="5">
        <f>E1099/E1098-1</f>
        <v>4.9071449524957789E-3</v>
      </c>
      <c r="M1099" s="5">
        <f>F1099/F1098-1</f>
        <v>-2.4593640484136259E-3</v>
      </c>
      <c r="N1099" s="5">
        <f>SUMPRODUCT(I1099:M1099,$AJ$13:$AN$13)</f>
        <v>-3.3705637744070017E-3</v>
      </c>
      <c r="Q1099" s="9"/>
    </row>
    <row r="1100" spans="1:17" x14ac:dyDescent="0.35">
      <c r="A1100" s="3">
        <v>45426</v>
      </c>
      <c r="B1100" s="4">
        <v>36.735935211181598</v>
      </c>
      <c r="C1100" s="4">
        <v>150.07122802734301</v>
      </c>
      <c r="D1100" s="4">
        <v>130.23410034179599</v>
      </c>
      <c r="E1100" s="4">
        <v>24.616771697998001</v>
      </c>
      <c r="F1100" s="4">
        <v>410.262939453125</v>
      </c>
      <c r="I1100" s="5">
        <f>B1100/B1099-1</f>
        <v>7.3281012815000768E-3</v>
      </c>
      <c r="J1100" s="5">
        <f>C1100/C1099-1</f>
        <v>-5.5916001533243831E-3</v>
      </c>
      <c r="K1100" s="5">
        <f>D1100/D1099-1</f>
        <v>2.3738620232993668E-2</v>
      </c>
      <c r="L1100" s="5">
        <f>E1100/E1099-1</f>
        <v>1.7438163288798769E-3</v>
      </c>
      <c r="M1100" s="5">
        <f>F1100/F1099-1</f>
        <v>6.8644456050008795E-3</v>
      </c>
      <c r="N1100" s="5">
        <f>SUMPRODUCT(I1100:M1100,$AJ$13:$AN$13)</f>
        <v>1.3531705021603682E-2</v>
      </c>
      <c r="Q1100" s="9"/>
    </row>
    <row r="1101" spans="1:17" x14ac:dyDescent="0.35">
      <c r="A1101" s="3">
        <v>45427</v>
      </c>
      <c r="B1101" s="4">
        <v>37.136787414550703</v>
      </c>
      <c r="C1101" s="4">
        <v>149.55758666992099</v>
      </c>
      <c r="D1101" s="4">
        <v>144.83834838867099</v>
      </c>
      <c r="E1101" s="4">
        <v>24.660701751708899</v>
      </c>
      <c r="F1101" s="4">
        <v>417.43603515625</v>
      </c>
      <c r="I1101" s="5">
        <f>B1101/B1100-1</f>
        <v>1.0911719031099887E-2</v>
      </c>
      <c r="J1101" s="5">
        <f>C1101/C1100-1</f>
        <v>-3.4226504585438411E-3</v>
      </c>
      <c r="K1101" s="5">
        <f>D1101/D1100-1</f>
        <v>0.1121384338552387</v>
      </c>
      <c r="L1101" s="5">
        <f>E1101/E1100-1</f>
        <v>1.7845578717565758E-3</v>
      </c>
      <c r="M1101" s="5">
        <f>F1101/F1100-1</f>
        <v>1.7484142517690371E-2</v>
      </c>
      <c r="N1101" s="5">
        <f>SUMPRODUCT(I1101:M1101,$AJ$13:$AN$13)</f>
        <v>6.2018081954377163E-2</v>
      </c>
      <c r="Q1101" s="9"/>
    </row>
    <row r="1102" spans="1:17" x14ac:dyDescent="0.35">
      <c r="A1102" s="3">
        <v>45428</v>
      </c>
      <c r="B1102" s="4">
        <v>37.432662963867102</v>
      </c>
      <c r="C1102" s="4">
        <v>149.25181579589801</v>
      </c>
      <c r="D1102" s="4">
        <v>142.06121826171801</v>
      </c>
      <c r="E1102" s="4">
        <v>24.590415954589801</v>
      </c>
      <c r="F1102" s="4">
        <v>415.37387084960898</v>
      </c>
      <c r="I1102" s="5">
        <f>B1102/B1101-1</f>
        <v>7.9671821370437268E-3</v>
      </c>
      <c r="J1102" s="5">
        <f>C1102/C1101-1</f>
        <v>-2.0445025948288009E-3</v>
      </c>
      <c r="K1102" s="5">
        <f>D1102/D1101-1</f>
        <v>-1.9173997479594362E-2</v>
      </c>
      <c r="L1102" s="5">
        <f>E1102/E1101-1</f>
        <v>-2.8501134244578452E-3</v>
      </c>
      <c r="M1102" s="5">
        <f>F1102/F1101-1</f>
        <v>-4.9400725691282066E-3</v>
      </c>
      <c r="N1102" s="5">
        <f>SUMPRODUCT(I1102:M1102,$AJ$13:$AN$13)</f>
        <v>-1.5202554473261198E-2</v>
      </c>
      <c r="Q1102" s="9"/>
    </row>
    <row r="1103" spans="1:17" x14ac:dyDescent="0.35">
      <c r="A1103" s="3">
        <v>45429</v>
      </c>
      <c r="B1103" s="4">
        <v>37.49946975708</v>
      </c>
      <c r="C1103" s="4">
        <v>150.71568298339801</v>
      </c>
      <c r="D1103" s="4">
        <v>145.187896728515</v>
      </c>
      <c r="E1103" s="4">
        <v>25.0472602844238</v>
      </c>
      <c r="F1103" s="4">
        <v>414.60427856445301</v>
      </c>
      <c r="I1103" s="5">
        <f>B1103/B1102-1</f>
        <v>1.7847192244213606E-3</v>
      </c>
      <c r="J1103" s="5">
        <f>C1103/C1102-1</f>
        <v>9.8080360342271966E-3</v>
      </c>
      <c r="K1103" s="5">
        <f>D1103/D1102-1</f>
        <v>2.200937388159474E-2</v>
      </c>
      <c r="L1103" s="5">
        <f>E1103/E1102-1</f>
        <v>1.8578145675845148E-2</v>
      </c>
      <c r="M1103" s="5">
        <f>F1103/F1102-1</f>
        <v>-1.85277009259599E-3</v>
      </c>
      <c r="N1103" s="5">
        <f>SUMPRODUCT(I1103:M1103,$AJ$13:$AN$13)</f>
        <v>1.8684034106471882E-2</v>
      </c>
      <c r="Q1103" s="9"/>
    </row>
    <row r="1104" spans="1:17" x14ac:dyDescent="0.35">
      <c r="A1104" s="3">
        <v>45432</v>
      </c>
      <c r="B1104" s="4">
        <v>37.050884246826101</v>
      </c>
      <c r="C1104" s="4">
        <v>149.29817199707</v>
      </c>
      <c r="D1104" s="4">
        <v>141.23582458496</v>
      </c>
      <c r="E1104" s="4">
        <v>24.8891201019287</v>
      </c>
      <c r="F1104" s="4">
        <v>419.66589355468699</v>
      </c>
      <c r="I1104" s="5">
        <f>B1104/B1103-1</f>
        <v>-1.1962449420213628E-2</v>
      </c>
      <c r="J1104" s="5">
        <f>C1104/C1103-1</f>
        <v>-9.4051989697990779E-3</v>
      </c>
      <c r="K1104" s="5">
        <f>D1104/D1103-1</f>
        <v>-2.7220396690124438E-2</v>
      </c>
      <c r="L1104" s="5">
        <f>E1104/E1103-1</f>
        <v>-6.3136718626843891E-3</v>
      </c>
      <c r="M1104" s="5">
        <f>F1104/F1103-1</f>
        <v>1.220830380178306E-2</v>
      </c>
      <c r="N1104" s="5">
        <f>SUMPRODUCT(I1104:M1104,$AJ$13:$AN$13)</f>
        <v>-9.277054316925824E-3</v>
      </c>
      <c r="Q1104" s="9"/>
    </row>
    <row r="1105" spans="1:17" x14ac:dyDescent="0.35">
      <c r="A1105" s="3">
        <v>45433</v>
      </c>
      <c r="B1105" s="4">
        <v>37.843063354492102</v>
      </c>
      <c r="C1105" s="4">
        <v>148.214096069335</v>
      </c>
      <c r="D1105" s="4">
        <v>142.97398376464801</v>
      </c>
      <c r="E1105" s="4">
        <v>25.1878261566162</v>
      </c>
      <c r="F1105" s="4">
        <v>423.31649780273398</v>
      </c>
      <c r="I1105" s="5">
        <f>B1105/B1104-1</f>
        <v>2.1380842151800028E-2</v>
      </c>
      <c r="J1105" s="5">
        <f>C1105/C1104-1</f>
        <v>-7.2611466921127521E-3</v>
      </c>
      <c r="K1105" s="5">
        <f>D1105/D1104-1</f>
        <v>1.2306786785830193E-2</v>
      </c>
      <c r="L1105" s="5">
        <f>E1105/E1104-1</f>
        <v>1.2001471063026958E-2</v>
      </c>
      <c r="M1105" s="5">
        <f>F1105/F1104-1</f>
        <v>8.6988347257037635E-3</v>
      </c>
      <c r="N1105" s="5">
        <f>SUMPRODUCT(I1105:M1105,$AJ$13:$AN$13)</f>
        <v>8.9756455402889047E-3</v>
      </c>
      <c r="Q1105" s="9"/>
    </row>
    <row r="1106" spans="1:17" x14ac:dyDescent="0.35">
      <c r="A1106" s="3">
        <v>45434</v>
      </c>
      <c r="B1106" s="4">
        <v>37.948043823242102</v>
      </c>
      <c r="C1106" s="4">
        <v>145.99050903320301</v>
      </c>
      <c r="D1106" s="4">
        <v>143.49833679199199</v>
      </c>
      <c r="E1106" s="4">
        <v>25.082399368286101</v>
      </c>
      <c r="F1106" s="4">
        <v>424.77682495117102</v>
      </c>
      <c r="I1106" s="5">
        <f>B1106/B1105-1</f>
        <v>2.7741007055006595E-3</v>
      </c>
      <c r="J1106" s="5">
        <f>C1106/C1105-1</f>
        <v>-1.5002534138802703E-2</v>
      </c>
      <c r="K1106" s="5">
        <f>D1106/D1105-1</f>
        <v>3.6674716164244447E-3</v>
      </c>
      <c r="L1106" s="5">
        <f>E1106/E1105-1</f>
        <v>-4.1856247408792457E-3</v>
      </c>
      <c r="M1106" s="5">
        <f>F1106/F1105-1</f>
        <v>3.4497288813855054E-3</v>
      </c>
      <c r="N1106" s="5">
        <f>SUMPRODUCT(I1106:M1106,$AJ$13:$AN$13)</f>
        <v>7.9536158954796022E-4</v>
      </c>
      <c r="Q1106" s="9"/>
    </row>
    <row r="1107" spans="1:17" x14ac:dyDescent="0.35">
      <c r="A1107" s="3">
        <v>45435</v>
      </c>
      <c r="B1107" s="4">
        <v>37.384937286376903</v>
      </c>
      <c r="C1107" s="4">
        <v>145.40678405761699</v>
      </c>
      <c r="D1107" s="4">
        <v>149.12055969238199</v>
      </c>
      <c r="E1107" s="4">
        <v>25.0648288726806</v>
      </c>
      <c r="F1107" s="4">
        <v>421.30374145507801</v>
      </c>
      <c r="I1107" s="5">
        <f>B1107/B1106-1</f>
        <v>-1.4838881800813941E-2</v>
      </c>
      <c r="J1107" s="5">
        <f>C1107/C1106-1</f>
        <v>-3.998376192066444E-3</v>
      </c>
      <c r="K1107" s="5">
        <f>D1107/D1106-1</f>
        <v>3.9179707765809813E-2</v>
      </c>
      <c r="L1107" s="5">
        <f>E1107/E1106-1</f>
        <v>-7.0051095780399031E-4</v>
      </c>
      <c r="M1107" s="5">
        <f>F1107/F1106-1</f>
        <v>-8.1762546638278755E-3</v>
      </c>
      <c r="N1107" s="5">
        <f>SUMPRODUCT(I1107:M1107,$AJ$13:$AN$13)</f>
        <v>2.1763833834284256E-2</v>
      </c>
      <c r="Q1107" s="9"/>
    </row>
    <row r="1108" spans="1:17" x14ac:dyDescent="0.35">
      <c r="A1108" s="3">
        <v>45436</v>
      </c>
      <c r="B1108" s="4">
        <v>37.890785217285099</v>
      </c>
      <c r="C1108" s="4">
        <v>146.15725708007801</v>
      </c>
      <c r="D1108" s="4">
        <v>155.53904724121</v>
      </c>
      <c r="E1108" s="4">
        <v>24.89790725708</v>
      </c>
      <c r="F1108" s="4">
        <v>424.42156982421801</v>
      </c>
      <c r="I1108" s="5">
        <f>B1108/B1107-1</f>
        <v>1.3530795224645953E-2</v>
      </c>
      <c r="J1108" s="5">
        <f>C1108/C1107-1</f>
        <v>5.1611967579425766E-3</v>
      </c>
      <c r="K1108" s="5">
        <f>D1108/D1107-1</f>
        <v>4.3042271046115799E-2</v>
      </c>
      <c r="L1108" s="5">
        <f>E1108/E1107-1</f>
        <v>-6.6595952618905274E-3</v>
      </c>
      <c r="M1108" s="5">
        <f>F1108/F1107-1</f>
        <v>7.4004288648654715E-3</v>
      </c>
      <c r="N1108" s="5">
        <f>SUMPRODUCT(I1108:M1108,$AJ$13:$AN$13)</f>
        <v>1.7688899979420265E-2</v>
      </c>
      <c r="Q1108" s="9"/>
    </row>
    <row r="1109" spans="1:17" x14ac:dyDescent="0.35">
      <c r="A1109" s="3">
        <v>45440</v>
      </c>
      <c r="B1109" s="4">
        <v>37.528099060058501</v>
      </c>
      <c r="C1109" s="4">
        <v>147.35246276855401</v>
      </c>
      <c r="D1109" s="4">
        <v>161.26812744140599</v>
      </c>
      <c r="E1109" s="4">
        <v>25.345962524413999</v>
      </c>
      <c r="F1109" s="4">
        <v>424.57946777343699</v>
      </c>
      <c r="I1109" s="5">
        <f>B1109/B1108-1</f>
        <v>-9.5718828508506437E-3</v>
      </c>
      <c r="J1109" s="5">
        <f>C1109/C1108-1</f>
        <v>8.1775322851136423E-3</v>
      </c>
      <c r="K1109" s="5">
        <f>D1109/D1108-1</f>
        <v>3.6833710259979613E-2</v>
      </c>
      <c r="L1109" s="5">
        <f>E1109/E1108-1</f>
        <v>1.7995699907934704E-2</v>
      </c>
      <c r="M1109" s="5">
        <f>F1109/F1108-1</f>
        <v>3.7203092501725266E-4</v>
      </c>
      <c r="N1109" s="5">
        <f>SUMPRODUCT(I1109:M1109,$AJ$13:$AN$13)</f>
        <v>3.0211593113580661E-2</v>
      </c>
      <c r="Q1109" s="9"/>
    </row>
    <row r="1110" spans="1:17" x14ac:dyDescent="0.35">
      <c r="A1110" s="3">
        <v>45441</v>
      </c>
      <c r="B1110" s="4">
        <v>36.955448150634702</v>
      </c>
      <c r="C1110" s="4">
        <v>145.36972045898401</v>
      </c>
      <c r="D1110" s="4">
        <v>174.01770019531199</v>
      </c>
      <c r="E1110" s="4">
        <v>24.801265716552699</v>
      </c>
      <c r="F1110" s="4">
        <v>423.44479370117102</v>
      </c>
      <c r="I1110" s="5">
        <f>B1110/B1109-1</f>
        <v>-1.5259257030508011E-2</v>
      </c>
      <c r="J1110" s="5">
        <f>C1110/C1109-1</f>
        <v>-1.3455779919228639E-2</v>
      </c>
      <c r="K1110" s="5">
        <f>D1110/D1109-1</f>
        <v>7.9058230266475515E-2</v>
      </c>
      <c r="L1110" s="5">
        <f>E1110/E1109-1</f>
        <v>-2.1490476336680109E-2</v>
      </c>
      <c r="M1110" s="5">
        <f>F1110/F1109-1</f>
        <v>-2.6724657181761424E-3</v>
      </c>
      <c r="N1110" s="5">
        <f>SUMPRODUCT(I1110:M1110,$AJ$13:$AN$13)</f>
        <v>3.5083179636667364E-2</v>
      </c>
      <c r="Q1110" s="9"/>
    </row>
    <row r="1111" spans="1:17" x14ac:dyDescent="0.35">
      <c r="A1111" s="3">
        <v>45442</v>
      </c>
      <c r="B1111" s="4">
        <v>36.869556427001903</v>
      </c>
      <c r="C1111" s="4">
        <v>146.62977600097599</v>
      </c>
      <c r="D1111" s="4">
        <v>164.99685668945301</v>
      </c>
      <c r="E1111" s="4">
        <v>25.029687881469702</v>
      </c>
      <c r="F1111" s="4">
        <v>409.13824462890602</v>
      </c>
      <c r="I1111" s="5">
        <f>B1111/B1110-1</f>
        <v>-2.3241965104223716E-3</v>
      </c>
      <c r="J1111" s="5">
        <f>C1111/C1110-1</f>
        <v>8.6679367478561531E-3</v>
      </c>
      <c r="K1111" s="5">
        <f>D1111/D1110-1</f>
        <v>-5.1838654893923253E-2</v>
      </c>
      <c r="L1111" s="5">
        <f>E1111/E1110-1</f>
        <v>9.2101011104668284E-3</v>
      </c>
      <c r="M1111" s="5">
        <f>F1111/F1110-1</f>
        <v>-3.3786102191071588E-2</v>
      </c>
      <c r="N1111" s="5">
        <f>SUMPRODUCT(I1111:M1111,$AJ$13:$AN$13)</f>
        <v>-3.3585387135993516E-2</v>
      </c>
      <c r="Q1111" s="9"/>
    </row>
    <row r="1112" spans="1:17" x14ac:dyDescent="0.35">
      <c r="A1112" s="3">
        <v>45443</v>
      </c>
      <c r="B1112" s="4">
        <v>38.167568206787102</v>
      </c>
      <c r="C1112" s="4">
        <v>150.37290954589801</v>
      </c>
      <c r="D1112" s="4">
        <v>135.51647949218699</v>
      </c>
      <c r="E1112" s="4">
        <v>25.600740432739201</v>
      </c>
      <c r="F1112" s="4">
        <v>409.59210205078102</v>
      </c>
      <c r="I1112" s="5">
        <f>B1112/B1111-1</f>
        <v>3.52055165717855E-2</v>
      </c>
      <c r="J1112" s="5">
        <f>C1112/C1111-1</f>
        <v>2.5527786013238574E-2</v>
      </c>
      <c r="K1112" s="5">
        <f>D1112/D1111-1</f>
        <v>-0.17867235648465829</v>
      </c>
      <c r="L1112" s="5">
        <f>E1112/E1111-1</f>
        <v>2.2815008879605969E-2</v>
      </c>
      <c r="M1112" s="5">
        <f>F1112/F1111-1</f>
        <v>1.1093008972715701E-3</v>
      </c>
      <c r="N1112" s="5">
        <f>SUMPRODUCT(I1112:M1112,$AJ$13:$AN$13)</f>
        <v>-9.3017023295819137E-2</v>
      </c>
      <c r="Q1112" s="9"/>
    </row>
    <row r="1113" spans="1:17" x14ac:dyDescent="0.35">
      <c r="A1113" s="3">
        <v>45446</v>
      </c>
      <c r="B1113" s="4">
        <v>38.0625801086425</v>
      </c>
      <c r="C1113" s="4">
        <v>145.88856506347599</v>
      </c>
      <c r="D1113" s="4">
        <v>128.20463562011699</v>
      </c>
      <c r="E1113" s="4">
        <v>25.4074611663818</v>
      </c>
      <c r="F1113" s="4">
        <v>408.00350952148398</v>
      </c>
      <c r="I1113" s="5">
        <f>B1113/B1112-1</f>
        <v>-2.7507148890332234E-3</v>
      </c>
      <c r="J1113" s="5">
        <f>C1113/C1112-1</f>
        <v>-2.9821491756487406E-2</v>
      </c>
      <c r="K1113" s="5">
        <f>D1113/D1112-1</f>
        <v>-5.3955385348477547E-2</v>
      </c>
      <c r="L1113" s="5">
        <f>E1113/E1112-1</f>
        <v>-7.5497529794188445E-3</v>
      </c>
      <c r="M1113" s="5">
        <f>F1113/F1112-1</f>
        <v>-3.8784745148725541E-3</v>
      </c>
      <c r="N1113" s="5">
        <f>SUMPRODUCT(I1113:M1113,$AJ$13:$AN$13)</f>
        <v>-3.1143804509781162E-2</v>
      </c>
      <c r="Q1113" s="9"/>
    </row>
    <row r="1114" spans="1:17" x14ac:dyDescent="0.35">
      <c r="A1114" s="3">
        <v>45447</v>
      </c>
      <c r="B1114" s="4">
        <v>37.871696472167898</v>
      </c>
      <c r="C1114" s="4">
        <v>144.65631103515599</v>
      </c>
      <c r="D1114" s="4">
        <v>131.826568603515</v>
      </c>
      <c r="E1114" s="4">
        <v>24.388351440429599</v>
      </c>
      <c r="F1114" s="4">
        <v>410.51950073242102</v>
      </c>
      <c r="I1114" s="5">
        <f>B1114/B1113-1</f>
        <v>-5.014994672714268E-3</v>
      </c>
      <c r="J1114" s="5">
        <f>C1114/C1113-1</f>
        <v>-8.4465429335318643E-3</v>
      </c>
      <c r="K1114" s="5">
        <f>D1114/D1113-1</f>
        <v>2.8251185816167812E-2</v>
      </c>
      <c r="L1114" s="5">
        <f>E1114/E1113-1</f>
        <v>-4.0110647784858178E-2</v>
      </c>
      <c r="M1114" s="5">
        <f>F1114/F1113-1</f>
        <v>6.1665920812492558E-3</v>
      </c>
      <c r="N1114" s="5">
        <f>SUMPRODUCT(I1114:M1114,$AJ$13:$AN$13)</f>
        <v>-2.45289645337769E-4</v>
      </c>
      <c r="Q1114" s="9"/>
    </row>
    <row r="1115" spans="1:17" x14ac:dyDescent="0.35">
      <c r="A1115" s="3">
        <v>45448</v>
      </c>
      <c r="B1115" s="4">
        <v>38.138931274413999</v>
      </c>
      <c r="C1115" s="4">
        <v>143.59080505371</v>
      </c>
      <c r="D1115" s="4">
        <v>133.67153930664</v>
      </c>
      <c r="E1115" s="4">
        <v>24.388351440429599</v>
      </c>
      <c r="F1115" s="4">
        <v>418.35363769531199</v>
      </c>
      <c r="I1115" s="5">
        <f>B1115/B1114-1</f>
        <v>7.0563198150495055E-3</v>
      </c>
      <c r="J1115" s="5">
        <f>C1115/C1114-1</f>
        <v>-7.3657759818515078E-3</v>
      </c>
      <c r="K1115" s="5">
        <f>D1115/D1114-1</f>
        <v>1.3995439027727263E-2</v>
      </c>
      <c r="L1115" s="5">
        <f>E1115/E1114-1</f>
        <v>0</v>
      </c>
      <c r="M1115" s="5">
        <f>F1115/F1114-1</f>
        <v>1.9083470940878255E-2</v>
      </c>
      <c r="N1115" s="5">
        <f>SUMPRODUCT(I1115:M1115,$AJ$13:$AN$13)</f>
        <v>1.1862331798224823E-2</v>
      </c>
      <c r="Q1115" s="9"/>
    </row>
    <row r="1116" spans="1:17" x14ac:dyDescent="0.35">
      <c r="A1116" s="3">
        <v>45449</v>
      </c>
      <c r="B1116" s="4">
        <v>37.890785217285099</v>
      </c>
      <c r="C1116" s="4">
        <v>144.47100830078099</v>
      </c>
      <c r="D1116" s="4">
        <v>130.07873535156199</v>
      </c>
      <c r="E1116" s="4">
        <v>24.564058303833001</v>
      </c>
      <c r="F1116" s="4">
        <v>418.85678100585898</v>
      </c>
      <c r="I1116" s="5">
        <f>B1116/B1115-1</f>
        <v>-6.5063715431211699E-3</v>
      </c>
      <c r="J1116" s="5">
        <f>C1116/C1115-1</f>
        <v>6.1299415846423067E-3</v>
      </c>
      <c r="K1116" s="5">
        <f>D1116/D1115-1</f>
        <v>-2.687785278537258E-2</v>
      </c>
      <c r="L1116" s="5">
        <f>E1116/E1115-1</f>
        <v>7.2045404066189977E-3</v>
      </c>
      <c r="M1116" s="5">
        <f>F1116/F1115-1</f>
        <v>1.2026746398543509E-3</v>
      </c>
      <c r="N1116" s="5">
        <f>SUMPRODUCT(I1116:M1116,$AJ$13:$AN$13)</f>
        <v>-8.5455430577822816E-3</v>
      </c>
      <c r="Q1116" s="9"/>
    </row>
    <row r="1117" spans="1:17" x14ac:dyDescent="0.35">
      <c r="A1117" s="3">
        <v>45450</v>
      </c>
      <c r="B1117" s="4">
        <v>38.198062896728501</v>
      </c>
      <c r="C1117" s="4">
        <v>144.61000061035099</v>
      </c>
      <c r="D1117" s="4">
        <v>126.20433807373</v>
      </c>
      <c r="E1117" s="4">
        <v>24.247785568237301</v>
      </c>
      <c r="F1117" s="4">
        <v>418.19577026367102</v>
      </c>
      <c r="I1117" s="5">
        <f>B1117/B1116-1</f>
        <v>8.109562197809117E-3</v>
      </c>
      <c r="J1117" s="5">
        <f>C1117/C1116-1</f>
        <v>9.6207752132948521E-4</v>
      </c>
      <c r="K1117" s="5">
        <f>D1117/D1116-1</f>
        <v>-2.9785016492977934E-2</v>
      </c>
      <c r="L1117" s="5">
        <f>E1117/E1116-1</f>
        <v>-1.2875426840456061E-2</v>
      </c>
      <c r="M1117" s="5">
        <f>F1117/F1116-1</f>
        <v>-1.5781306932660666E-3</v>
      </c>
      <c r="N1117" s="5">
        <f>SUMPRODUCT(I1117:M1117,$AJ$13:$AN$13)</f>
        <v>-2.4428449971135368E-2</v>
      </c>
      <c r="Q1117" s="9"/>
    </row>
    <row r="1118" spans="1:17" x14ac:dyDescent="0.35">
      <c r="A1118" s="3">
        <v>45453</v>
      </c>
      <c r="B1118" s="4">
        <v>38.092430114746001</v>
      </c>
      <c r="C1118" s="4">
        <v>145.22148132324199</v>
      </c>
      <c r="D1118" s="4">
        <v>128.61247253417901</v>
      </c>
      <c r="E1118" s="4">
        <v>24.7221984863281</v>
      </c>
      <c r="F1118" s="4">
        <v>422.162109375</v>
      </c>
      <c r="I1118" s="5">
        <f>B1118/B1117-1</f>
        <v>-2.7653963047311603E-3</v>
      </c>
      <c r="J1118" s="5">
        <f>C1118/C1117-1</f>
        <v>4.2284815041153667E-3</v>
      </c>
      <c r="K1118" s="5">
        <f>D1118/D1117-1</f>
        <v>1.9081233634315797E-2</v>
      </c>
      <c r="L1118" s="5">
        <f>E1118/E1117-1</f>
        <v>1.9565205934196417E-2</v>
      </c>
      <c r="M1118" s="5">
        <f>F1118/F1117-1</f>
        <v>9.4844075271929285E-3</v>
      </c>
      <c r="N1118" s="5">
        <f>SUMPRODUCT(I1118:M1118,$AJ$13:$AN$13)</f>
        <v>2.2906530170292087E-2</v>
      </c>
      <c r="Q1118" s="9"/>
    </row>
    <row r="1119" spans="1:17" x14ac:dyDescent="0.35">
      <c r="A1119" s="3">
        <v>45454</v>
      </c>
      <c r="B1119" s="4">
        <v>37.314643859863203</v>
      </c>
      <c r="C1119" s="4">
        <v>144.98985290527301</v>
      </c>
      <c r="D1119" s="4">
        <v>127.825950622558</v>
      </c>
      <c r="E1119" s="4">
        <v>24.511346817016602</v>
      </c>
      <c r="F1119" s="4">
        <v>426.90792846679602</v>
      </c>
      <c r="I1119" s="5">
        <f>B1119/B1118-1</f>
        <v>-2.0418394220055536E-2</v>
      </c>
      <c r="J1119" s="5">
        <f>C1119/C1118-1</f>
        <v>-1.5950010691145877E-3</v>
      </c>
      <c r="K1119" s="5">
        <f>D1119/D1118-1</f>
        <v>-6.1154404088762382E-3</v>
      </c>
      <c r="L1119" s="5">
        <f>E1119/E1118-1</f>
        <v>-8.528839756225759E-3</v>
      </c>
      <c r="M1119" s="5">
        <f>F1119/F1118-1</f>
        <v>1.1241698358059882E-2</v>
      </c>
      <c r="N1119" s="5">
        <f>SUMPRODUCT(I1119:M1119,$AJ$13:$AN$13)</f>
        <v>2.5434727018096817E-3</v>
      </c>
      <c r="Q1119" s="9"/>
    </row>
    <row r="1120" spans="1:17" x14ac:dyDescent="0.35">
      <c r="A1120" s="3">
        <v>45455</v>
      </c>
      <c r="B1120" s="4">
        <v>37.8427734375</v>
      </c>
      <c r="C1120" s="4">
        <v>142.88668823242099</v>
      </c>
      <c r="D1120" s="4">
        <v>127.99102020263599</v>
      </c>
      <c r="E1120" s="4">
        <v>24.6343460083007</v>
      </c>
      <c r="F1120" s="4">
        <v>435.176177978515</v>
      </c>
      <c r="I1120" s="5">
        <f>B1120/B1119-1</f>
        <v>1.4153413325347808E-2</v>
      </c>
      <c r="J1120" s="5">
        <f>C1120/C1119-1</f>
        <v>-1.4505599051997775E-2</v>
      </c>
      <c r="K1120" s="5">
        <f>D1120/D1119-1</f>
        <v>1.2913620377870139E-3</v>
      </c>
      <c r="L1120" s="5">
        <f>E1120/E1119-1</f>
        <v>5.0180511173996134E-3</v>
      </c>
      <c r="M1120" s="5">
        <f>F1120/F1119-1</f>
        <v>1.936775815200642E-2</v>
      </c>
      <c r="N1120" s="5">
        <f>SUMPRODUCT(I1120:M1120,$AJ$13:$AN$13)</f>
        <v>5.8686875304120815E-3</v>
      </c>
      <c r="Q1120" s="9"/>
    </row>
    <row r="1121" spans="1:17" x14ac:dyDescent="0.35">
      <c r="A1121" s="3">
        <v>45456</v>
      </c>
      <c r="B1121" s="4">
        <v>37.698738098144503</v>
      </c>
      <c r="C1121" s="4">
        <v>141.60810852050699</v>
      </c>
      <c r="D1121" s="4">
        <v>131.10801696777301</v>
      </c>
      <c r="E1121" s="4">
        <v>24.054502487182599</v>
      </c>
      <c r="F1121" s="4">
        <v>435.689208984375</v>
      </c>
      <c r="I1121" s="5">
        <f>B1121/B1120-1</f>
        <v>-3.8061517767290498E-3</v>
      </c>
      <c r="J1121" s="5">
        <f>C1121/C1120-1</f>
        <v>-8.948207336391345E-3</v>
      </c>
      <c r="K1121" s="5">
        <f>D1121/D1120-1</f>
        <v>2.435324572147457E-2</v>
      </c>
      <c r="L1121" s="5">
        <f>E1121/E1120-1</f>
        <v>-2.3538011560068184E-2</v>
      </c>
      <c r="M1121" s="5">
        <f>F1121/F1120-1</f>
        <v>1.1789041584102655E-3</v>
      </c>
      <c r="N1121" s="5">
        <f>SUMPRODUCT(I1121:M1121,$AJ$13:$AN$13)</f>
        <v>3.469536289579335E-3</v>
      </c>
      <c r="Q1121" s="9"/>
    </row>
    <row r="1122" spans="1:17" x14ac:dyDescent="0.35">
      <c r="A1122" s="3">
        <v>45457</v>
      </c>
      <c r="B1122" s="4">
        <v>37.679534912109297</v>
      </c>
      <c r="C1122" s="4">
        <v>141.35795593261699</v>
      </c>
      <c r="D1122" s="4">
        <v>131.06918334960901</v>
      </c>
      <c r="E1122" s="4">
        <v>23.790941238403299</v>
      </c>
      <c r="F1122" s="4">
        <v>436.666015625</v>
      </c>
      <c r="I1122" s="5">
        <f>B1122/B1121-1</f>
        <v>-5.0938538009448475E-4</v>
      </c>
      <c r="J1122" s="5">
        <f>C1122/C1121-1</f>
        <v>-1.7665131644193366E-3</v>
      </c>
      <c r="K1122" s="5">
        <f>D1122/D1121-1</f>
        <v>-2.9619560315330418E-4</v>
      </c>
      <c r="L1122" s="5">
        <f>E1122/E1121-1</f>
        <v>-1.0956836414294568E-2</v>
      </c>
      <c r="M1122" s="5">
        <f>F1122/F1121-1</f>
        <v>2.2419803393844973E-3</v>
      </c>
      <c r="N1122" s="5">
        <f>SUMPRODUCT(I1122:M1122,$AJ$13:$AN$13)</f>
        <v>-4.3197542391292228E-3</v>
      </c>
      <c r="Q1122" s="9"/>
    </row>
    <row r="1123" spans="1:17" x14ac:dyDescent="0.35">
      <c r="A1123" s="3">
        <v>45460</v>
      </c>
      <c r="B1123" s="4">
        <v>37.938796997070298</v>
      </c>
      <c r="C1123" s="4">
        <v>141.93238830566401</v>
      </c>
      <c r="D1123" s="4">
        <v>137.91493225097599</v>
      </c>
      <c r="E1123" s="4">
        <v>23.7645874023437</v>
      </c>
      <c r="F1123" s="4">
        <v>442.38864135742102</v>
      </c>
      <c r="I1123" s="5">
        <f>B1123/B1122-1</f>
        <v>6.8807135110811046E-3</v>
      </c>
      <c r="J1123" s="5">
        <f>C1123/C1122-1</f>
        <v>4.0636720392366321E-3</v>
      </c>
      <c r="K1123" s="5">
        <f>D1123/D1122-1</f>
        <v>5.2230041619370615E-2</v>
      </c>
      <c r="L1123" s="5">
        <f>E1123/E1122-1</f>
        <v>-1.1077256589183682E-3</v>
      </c>
      <c r="M1123" s="5">
        <f>F1123/F1122-1</f>
        <v>1.3105269308009371E-2</v>
      </c>
      <c r="N1123" s="5">
        <f>SUMPRODUCT(I1123:M1123,$AJ$13:$AN$13)</f>
        <v>2.893179550123692E-2</v>
      </c>
      <c r="Q1123" s="9"/>
    </row>
    <row r="1124" spans="1:17" x14ac:dyDescent="0.35">
      <c r="A1124" s="3">
        <v>45461</v>
      </c>
      <c r="B1124" s="4">
        <v>38.399707794189403</v>
      </c>
      <c r="C1124" s="4">
        <v>142.062088012695</v>
      </c>
      <c r="D1124" s="4">
        <v>144.82864379882801</v>
      </c>
      <c r="E1124" s="4">
        <v>23.949079513549801</v>
      </c>
      <c r="F1124" s="4">
        <v>440.38571166992102</v>
      </c>
      <c r="I1124" s="5">
        <f>B1124/B1123-1</f>
        <v>1.2148798422751739E-2</v>
      </c>
      <c r="J1124" s="5">
        <f>C1124/C1123-1</f>
        <v>9.1381332040763041E-4</v>
      </c>
      <c r="K1124" s="5">
        <f>D1124/D1123-1</f>
        <v>5.0130260987769848E-2</v>
      </c>
      <c r="L1124" s="5">
        <f>E1124/E1123-1</f>
        <v>7.7633206115712561E-3</v>
      </c>
      <c r="M1124" s="5">
        <f>F1124/F1123-1</f>
        <v>-4.5275341639745559E-3</v>
      </c>
      <c r="N1124" s="5">
        <f>SUMPRODUCT(I1124:M1124,$AJ$13:$AN$13)</f>
        <v>2.4672978778844511E-2</v>
      </c>
      <c r="Q1124" s="9"/>
    </row>
    <row r="1125" spans="1:17" x14ac:dyDescent="0.35">
      <c r="A1125" s="3">
        <v>45463</v>
      </c>
      <c r="B1125" s="4">
        <v>38.399707794189403</v>
      </c>
      <c r="C1125" s="4">
        <v>145.12882995605401</v>
      </c>
      <c r="D1125" s="4">
        <v>144.216873168945</v>
      </c>
      <c r="E1125" s="4">
        <v>24.195070266723601</v>
      </c>
      <c r="F1125" s="4">
        <v>439.754302978515</v>
      </c>
      <c r="I1125" s="5">
        <f>B1125/B1124-1</f>
        <v>0</v>
      </c>
      <c r="J1125" s="5">
        <f>C1125/C1124-1</f>
        <v>2.158733541270319E-2</v>
      </c>
      <c r="K1125" s="5">
        <f>D1125/D1124-1</f>
        <v>-4.2240996935163366E-3</v>
      </c>
      <c r="L1125" s="5">
        <f>E1125/E1124-1</f>
        <v>1.0271407426520218E-2</v>
      </c>
      <c r="M1125" s="5">
        <f>F1125/F1124-1</f>
        <v>-1.4337628916518685E-3</v>
      </c>
      <c r="N1125" s="5">
        <f>SUMPRODUCT(I1125:M1125,$AJ$13:$AN$13)</f>
        <v>1.413827795423482E-3</v>
      </c>
      <c r="Q1125" s="9"/>
    </row>
    <row r="1126" spans="1:17" x14ac:dyDescent="0.35">
      <c r="A1126" s="3">
        <v>45464</v>
      </c>
      <c r="B1126" s="4">
        <v>37.919586181640597</v>
      </c>
      <c r="C1126" s="4">
        <v>143.86875915527301</v>
      </c>
      <c r="D1126" s="4">
        <v>140.85713195800699</v>
      </c>
      <c r="E1126" s="4">
        <v>24.177501678466701</v>
      </c>
      <c r="F1126" s="4">
        <v>443.77984619140602</v>
      </c>
      <c r="I1126" s="5">
        <f>B1126/B1125-1</f>
        <v>-1.2503262137360749E-2</v>
      </c>
      <c r="J1126" s="5">
        <f>C1126/C1125-1</f>
        <v>-8.6824292675862225E-3</v>
      </c>
      <c r="K1126" s="5">
        <f>D1126/D1125-1</f>
        <v>-2.3296450249633338E-2</v>
      </c>
      <c r="L1126" s="5">
        <f>E1126/E1125-1</f>
        <v>-7.2612263834015423E-4</v>
      </c>
      <c r="M1126" s="5">
        <f>F1126/F1125-1</f>
        <v>9.1540735033754927E-3</v>
      </c>
      <c r="N1126" s="5">
        <f>SUMPRODUCT(I1126:M1126,$AJ$13:$AN$13)</f>
        <v>-5.5106664984389698E-3</v>
      </c>
      <c r="Q1126" s="9"/>
    </row>
    <row r="1127" spans="1:17" x14ac:dyDescent="0.35">
      <c r="A1127" s="3">
        <v>45467</v>
      </c>
      <c r="B1127" s="4">
        <v>38.428516387939403</v>
      </c>
      <c r="C1127" s="4">
        <v>147.602615356445</v>
      </c>
      <c r="D1127" s="4">
        <v>133.574447631835</v>
      </c>
      <c r="E1127" s="4">
        <v>24.730983734130799</v>
      </c>
      <c r="F1127" s="4">
        <v>441.69802856445301</v>
      </c>
      <c r="I1127" s="5">
        <f>B1127/B1126-1</f>
        <v>1.3421301695143883E-2</v>
      </c>
      <c r="J1127" s="5">
        <f>C1127/C1126-1</f>
        <v>2.5953210572575713E-2</v>
      </c>
      <c r="K1127" s="5">
        <f>D1127/D1126-1</f>
        <v>-5.1702631062679472E-2</v>
      </c>
      <c r="L1127" s="5">
        <f>E1127/E1126-1</f>
        <v>2.2892442032463878E-2</v>
      </c>
      <c r="M1127" s="5">
        <f>F1127/F1126-1</f>
        <v>-4.6911044852971928E-3</v>
      </c>
      <c r="N1127" s="5">
        <f>SUMPRODUCT(I1127:M1127,$AJ$13:$AN$13)</f>
        <v>-2.2522437713455426E-2</v>
      </c>
      <c r="Q1127" s="9"/>
    </row>
    <row r="1128" spans="1:17" x14ac:dyDescent="0.35">
      <c r="A1128" s="3">
        <v>45468</v>
      </c>
      <c r="B1128" s="4">
        <v>37.813968658447202</v>
      </c>
      <c r="C1128" s="4">
        <v>146.81507873535099</v>
      </c>
      <c r="D1128" s="4">
        <v>136.283599853515</v>
      </c>
      <c r="E1128" s="4">
        <v>24.581628799438398</v>
      </c>
      <c r="F1128" s="4">
        <v>444.93423461914</v>
      </c>
      <c r="I1128" s="5">
        <f>B1128/B1127-1</f>
        <v>-1.5991971256144377E-2</v>
      </c>
      <c r="J1128" s="5">
        <f>C1128/C1127-1</f>
        <v>-5.3355194228245084E-3</v>
      </c>
      <c r="K1128" s="5">
        <f>D1128/D1127-1</f>
        <v>2.028196462505405E-2</v>
      </c>
      <c r="L1128" s="5">
        <f>E1128/E1127-1</f>
        <v>-6.0391829252743889E-3</v>
      </c>
      <c r="M1128" s="5">
        <f>F1128/F1127-1</f>
        <v>7.3267387341637846E-3</v>
      </c>
      <c r="N1128" s="5">
        <f>SUMPRODUCT(I1128:M1128,$AJ$13:$AN$13)</f>
        <v>1.4985775671918599E-2</v>
      </c>
      <c r="Q1128" s="9"/>
    </row>
    <row r="1129" spans="1:17" x14ac:dyDescent="0.35">
      <c r="A1129" s="3">
        <v>45469</v>
      </c>
      <c r="B1129" s="4">
        <v>37.449081420898402</v>
      </c>
      <c r="C1129" s="4">
        <v>144.48953247070301</v>
      </c>
      <c r="D1129" s="4">
        <v>134.23472595214801</v>
      </c>
      <c r="E1129" s="4">
        <v>24.379564285278299</v>
      </c>
      <c r="F1129" s="4">
        <v>446.12808227539</v>
      </c>
      <c r="I1129" s="5">
        <f>B1129/B1128-1</f>
        <v>-9.6495356212046302E-3</v>
      </c>
      <c r="J1129" s="5">
        <f>C1129/C1128-1</f>
        <v>-1.5839968787129899E-2</v>
      </c>
      <c r="K1129" s="5">
        <f>D1129/D1128-1</f>
        <v>-1.5033899189405231E-2</v>
      </c>
      <c r="L1129" s="5">
        <f>E1129/E1128-1</f>
        <v>-8.2201434172138876E-3</v>
      </c>
      <c r="M1129" s="5">
        <f>F1129/F1128-1</f>
        <v>2.6832002650276632E-3</v>
      </c>
      <c r="N1129" s="5">
        <f>SUMPRODUCT(I1129:M1129,$AJ$13:$AN$13)</f>
        <v>-7.4626237316733294E-3</v>
      </c>
      <c r="Q1129" s="9"/>
    </row>
    <row r="1130" spans="1:17" x14ac:dyDescent="0.35">
      <c r="A1130" s="3">
        <v>45470</v>
      </c>
      <c r="B1130" s="4">
        <v>37.689136505126903</v>
      </c>
      <c r="C1130" s="4">
        <v>144.83236694335901</v>
      </c>
      <c r="D1130" s="4">
        <v>135.39025878906199</v>
      </c>
      <c r="E1130" s="4">
        <v>24.8715496063232</v>
      </c>
      <c r="F1130" s="4">
        <v>446.80892944335898</v>
      </c>
      <c r="I1130" s="5">
        <f>B1130/B1129-1</f>
        <v>6.4101728298877614E-3</v>
      </c>
      <c r="J1130" s="5">
        <f>C1130/C1129-1</f>
        <v>2.3727287838342104E-3</v>
      </c>
      <c r="K1130" s="5">
        <f>D1130/D1129-1</f>
        <v>8.6083003389592072E-3</v>
      </c>
      <c r="L1130" s="5">
        <f>E1130/E1129-1</f>
        <v>2.0180234367108252E-2</v>
      </c>
      <c r="M1130" s="5">
        <f>F1130/F1129-1</f>
        <v>1.5261248843525532E-3</v>
      </c>
      <c r="N1130" s="5">
        <f>SUMPRODUCT(I1130:M1130,$AJ$13:$AN$13)</f>
        <v>1.2489605235638997E-2</v>
      </c>
      <c r="Q1130" s="9"/>
    </row>
    <row r="1131" spans="1:17" x14ac:dyDescent="0.35">
      <c r="A1131" s="3">
        <v>45471</v>
      </c>
      <c r="B1131" s="4">
        <v>38.188457489013601</v>
      </c>
      <c r="C1131" s="4">
        <v>144.92500305175699</v>
      </c>
      <c r="D1131" s="4">
        <v>133.914306640625</v>
      </c>
      <c r="E1131" s="4">
        <v>25.0911846160888</v>
      </c>
      <c r="F1131" s="4">
        <v>440.98760986328102</v>
      </c>
      <c r="I1131" s="5">
        <f>B1131/B1130-1</f>
        <v>1.3248406044505057E-2</v>
      </c>
      <c r="J1131" s="5">
        <f>C1131/C1130-1</f>
        <v>6.3960915887140146E-4</v>
      </c>
      <c r="K1131" s="5">
        <f>D1131/D1130-1</f>
        <v>-1.0901464858978693E-2</v>
      </c>
      <c r="L1131" s="5">
        <f>E1131/E1130-1</f>
        <v>8.8307730415704278E-3</v>
      </c>
      <c r="M1131" s="5">
        <f>F1131/F1130-1</f>
        <v>-1.3028655419510593E-2</v>
      </c>
      <c r="N1131" s="5">
        <f>SUMPRODUCT(I1131:M1131,$AJ$13:$AN$13)</f>
        <v>-9.754598272790382E-3</v>
      </c>
      <c r="Q1131" s="9"/>
    </row>
    <row r="1132" spans="1:17" x14ac:dyDescent="0.35">
      <c r="A1132" s="3">
        <v>45474</v>
      </c>
      <c r="B1132" s="4">
        <v>38.418910980224602</v>
      </c>
      <c r="C1132" s="4">
        <v>145.017654418945</v>
      </c>
      <c r="D1132" s="4">
        <v>138.68205261230401</v>
      </c>
      <c r="E1132" s="4">
        <v>25.284465789794901</v>
      </c>
      <c r="F1132" s="4">
        <v>450.63714599609301</v>
      </c>
      <c r="I1132" s="5">
        <f>B1132/B1131-1</f>
        <v>6.0346373319033475E-3</v>
      </c>
      <c r="J1132" s="5">
        <f>C1132/C1131-1</f>
        <v>6.3930560798342029E-4</v>
      </c>
      <c r="K1132" s="5">
        <f>D1132/D1131-1</f>
        <v>3.5602962008187911E-2</v>
      </c>
      <c r="L1132" s="5">
        <f>E1132/E1131-1</f>
        <v>7.7031505950566626E-3</v>
      </c>
      <c r="M1132" s="5">
        <f>F1132/F1131-1</f>
        <v>2.1881649091691324E-2</v>
      </c>
      <c r="N1132" s="5">
        <f>SUMPRODUCT(I1132:M1132,$AJ$13:$AN$13)</f>
        <v>2.7680068350632841E-2</v>
      </c>
      <c r="Q1132" s="9"/>
    </row>
    <row r="1133" spans="1:17" x14ac:dyDescent="0.35">
      <c r="A1133" s="3">
        <v>45475</v>
      </c>
      <c r="B1133" s="4">
        <v>39.3023262023925</v>
      </c>
      <c r="C1133" s="4">
        <v>145.23074340820301</v>
      </c>
      <c r="D1133" s="4">
        <v>139.31320190429599</v>
      </c>
      <c r="E1133" s="4">
        <v>25.020900726318299</v>
      </c>
      <c r="F1133" s="4">
        <v>453.153076171875</v>
      </c>
      <c r="I1133" s="5">
        <f>B1133/B1132-1</f>
        <v>2.2994280671376099E-2</v>
      </c>
      <c r="J1133" s="5">
        <f>C1133/C1132-1</f>
        <v>1.469400329993098E-3</v>
      </c>
      <c r="K1133" s="5">
        <f>D1133/D1132-1</f>
        <v>4.5510524260583551E-3</v>
      </c>
      <c r="L1133" s="5">
        <f>E1133/E1132-1</f>
        <v>-1.0423991776918551E-2</v>
      </c>
      <c r="M1133" s="5">
        <f>F1133/F1132-1</f>
        <v>5.5830510159582403E-3</v>
      </c>
      <c r="N1133" s="5">
        <f>SUMPRODUCT(I1133:M1133,$AJ$13:$AN$13)</f>
        <v>-7.3344663425449971E-3</v>
      </c>
      <c r="Q1133" s="9"/>
    </row>
    <row r="1134" spans="1:17" x14ac:dyDescent="0.35">
      <c r="A1134" s="3">
        <v>45476</v>
      </c>
      <c r="B1134" s="4">
        <v>39.273521423339801</v>
      </c>
      <c r="C1134" s="4">
        <v>145.19371032714801</v>
      </c>
      <c r="D1134" s="4">
        <v>138.53639221191401</v>
      </c>
      <c r="E1134" s="4">
        <v>25.4777431488037</v>
      </c>
      <c r="F1134" s="4">
        <v>454.62319946289</v>
      </c>
      <c r="I1134" s="5">
        <f>B1134/B1133-1</f>
        <v>-7.3290265070735661E-4</v>
      </c>
      <c r="J1134" s="5">
        <f>C1134/C1133-1</f>
        <v>-2.5499477717960684E-4</v>
      </c>
      <c r="K1134" s="5">
        <f>D1134/D1133-1</f>
        <v>-5.5759948214788579E-3</v>
      </c>
      <c r="L1134" s="5">
        <f>E1134/E1133-1</f>
        <v>1.8258432319539608E-2</v>
      </c>
      <c r="M1134" s="5">
        <f>F1134/F1133-1</f>
        <v>3.2442090064448426E-3</v>
      </c>
      <c r="N1134" s="5">
        <f>SUMPRODUCT(I1134:M1134,$AJ$13:$AN$13)</f>
        <v>6.9321372047822793E-3</v>
      </c>
      <c r="Q1134" s="9"/>
    </row>
    <row r="1135" spans="1:17" x14ac:dyDescent="0.35">
      <c r="A1135" s="3">
        <v>45478</v>
      </c>
      <c r="B1135" s="4">
        <v>38.803005218505803</v>
      </c>
      <c r="C1135" s="4">
        <v>142.97004699707</v>
      </c>
      <c r="D1135" s="4">
        <v>134.93388366699199</v>
      </c>
      <c r="E1135" s="4">
        <v>25.082399368286101</v>
      </c>
      <c r="F1135" s="4">
        <v>461.32263183593699</v>
      </c>
      <c r="I1135" s="5">
        <f>B1135/B1134-1</f>
        <v>-1.1980494434460809E-2</v>
      </c>
      <c r="J1135" s="5">
        <f>C1135/C1134-1</f>
        <v>-1.5315149155343488E-2</v>
      </c>
      <c r="K1135" s="5">
        <f>D1135/D1134-1</f>
        <v>-2.6004059203529661E-2</v>
      </c>
      <c r="L1135" s="5">
        <f>E1135/E1134-1</f>
        <v>-1.5517221372732259E-2</v>
      </c>
      <c r="M1135" s="5">
        <f>F1135/F1134-1</f>
        <v>1.4736230753208401E-2</v>
      </c>
      <c r="N1135" s="5">
        <f>SUMPRODUCT(I1135:M1135,$AJ$13:$AN$13)</f>
        <v>-1.1900876099537203E-2</v>
      </c>
      <c r="Q1135" s="9"/>
    </row>
    <row r="1136" spans="1:17" x14ac:dyDescent="0.35">
      <c r="A1136" s="3">
        <v>45481</v>
      </c>
      <c r="B1136" s="4">
        <v>39.004650115966797</v>
      </c>
      <c r="C1136" s="4">
        <v>142.98860168457</v>
      </c>
      <c r="D1136" s="4">
        <v>141.74078369140599</v>
      </c>
      <c r="E1136" s="4">
        <v>24.397138595581001</v>
      </c>
      <c r="F1136" s="4">
        <v>460.020263671875</v>
      </c>
      <c r="I1136" s="5">
        <f>B1136/B1135-1</f>
        <v>5.1966309394209098E-3</v>
      </c>
      <c r="J1136" s="5">
        <f>C1136/C1135-1</f>
        <v>1.2978024341259164E-4</v>
      </c>
      <c r="K1136" s="5">
        <f>D1136/D1135-1</f>
        <v>5.0446187713776958E-2</v>
      </c>
      <c r="L1136" s="5">
        <f>E1136/E1135-1</f>
        <v>-2.7320383614158339E-2</v>
      </c>
      <c r="M1136" s="5">
        <f>F1136/F1135-1</f>
        <v>-2.8231178662944112E-3</v>
      </c>
      <c r="N1136" s="5">
        <f>SUMPRODUCT(I1136:M1136,$AJ$13:$AN$13)</f>
        <v>1.1050084201045687E-2</v>
      </c>
      <c r="Q1136" s="9"/>
    </row>
    <row r="1137" spans="1:17" x14ac:dyDescent="0.35">
      <c r="A1137" s="3">
        <v>45482</v>
      </c>
      <c r="B1137" s="4">
        <v>39.772838592529297</v>
      </c>
      <c r="C1137" s="4">
        <v>141.73779296875</v>
      </c>
      <c r="D1137" s="4">
        <v>141.51744079589801</v>
      </c>
      <c r="E1137" s="4">
        <v>24.063287734985298</v>
      </c>
      <c r="F1137" s="4">
        <v>453.40963745117102</v>
      </c>
      <c r="I1137" s="5">
        <f>B1137/B1136-1</f>
        <v>1.9694792140900086E-2</v>
      </c>
      <c r="J1137" s="5">
        <f>C1137/C1136-1</f>
        <v>-8.7476113556188562E-3</v>
      </c>
      <c r="K1137" s="5">
        <f>D1137/D1136-1</f>
        <v>-1.5757137056208181E-3</v>
      </c>
      <c r="L1137" s="5">
        <f>E1137/E1136-1</f>
        <v>-1.3684017053383957E-2</v>
      </c>
      <c r="M1137" s="5">
        <f>F1137/F1136-1</f>
        <v>-1.4370293534328393E-2</v>
      </c>
      <c r="N1137" s="5">
        <f>SUMPRODUCT(I1137:M1137,$AJ$13:$AN$13)</f>
        <v>-1.7424124751948558E-2</v>
      </c>
      <c r="Q1137" s="9"/>
    </row>
    <row r="1138" spans="1:17" x14ac:dyDescent="0.35">
      <c r="A1138" s="3">
        <v>45483</v>
      </c>
      <c r="B1138" s="4">
        <v>40.080120086669901</v>
      </c>
      <c r="C1138" s="4">
        <v>143.72981262207</v>
      </c>
      <c r="D1138" s="4">
        <v>141.54655456542901</v>
      </c>
      <c r="E1138" s="4">
        <v>23.465879440307599</v>
      </c>
      <c r="F1138" s="4">
        <v>460.03012084960898</v>
      </c>
      <c r="I1138" s="5">
        <f>B1138/B1137-1</f>
        <v>7.7259130857791902E-3</v>
      </c>
      <c r="J1138" s="5">
        <f>C1138/C1137-1</f>
        <v>1.4054259005988667E-2</v>
      </c>
      <c r="K1138" s="5">
        <f>D1138/D1137-1</f>
        <v>2.0572566439347462E-4</v>
      </c>
      <c r="L1138" s="5">
        <f>E1138/E1137-1</f>
        <v>-2.4826544953337137E-2</v>
      </c>
      <c r="M1138" s="5">
        <f>F1138/F1137-1</f>
        <v>1.4601549794253987E-2</v>
      </c>
      <c r="N1138" s="5">
        <f>SUMPRODUCT(I1138:M1138,$AJ$13:$AN$13)</f>
        <v>-9.3105383370700907E-3</v>
      </c>
      <c r="Q1138" s="9"/>
    </row>
    <row r="1139" spans="1:17" x14ac:dyDescent="0.35">
      <c r="A1139" s="3">
        <v>45484</v>
      </c>
      <c r="B1139" s="4">
        <v>40.147327423095703</v>
      </c>
      <c r="C1139" s="4">
        <v>143.85023498535099</v>
      </c>
      <c r="D1139" s="4">
        <v>136.64288330078099</v>
      </c>
      <c r="E1139" s="4">
        <v>23.632804870605401</v>
      </c>
      <c r="F1139" s="4">
        <v>448.63421630859301</v>
      </c>
      <c r="I1139" s="5">
        <f>B1139/B1138-1</f>
        <v>1.6768247270835257E-3</v>
      </c>
      <c r="J1139" s="5">
        <f>C1139/C1138-1</f>
        <v>8.3783844899065762E-4</v>
      </c>
      <c r="K1139" s="5">
        <f>D1139/D1138-1</f>
        <v>-3.464352261842818E-2</v>
      </c>
      <c r="L1139" s="5">
        <f>E1139/E1138-1</f>
        <v>7.1135382214173593E-3</v>
      </c>
      <c r="M1139" s="5">
        <f>F1139/F1138-1</f>
        <v>-2.4772083445252169E-2</v>
      </c>
      <c r="N1139" s="5">
        <f>SUMPRODUCT(I1139:M1139,$AJ$13:$AN$13)</f>
        <v>-2.3501509997434205E-2</v>
      </c>
      <c r="Q1139" s="9"/>
    </row>
    <row r="1140" spans="1:17" x14ac:dyDescent="0.35">
      <c r="A1140" s="3">
        <v>45485</v>
      </c>
      <c r="B1140" s="4">
        <v>39.936077117919901</v>
      </c>
      <c r="C1140" s="4">
        <v>144.156005859375</v>
      </c>
      <c r="D1140" s="4">
        <v>135.52619934082</v>
      </c>
      <c r="E1140" s="4">
        <v>23.878797531127901</v>
      </c>
      <c r="F1140" s="4">
        <v>447.49954223632801</v>
      </c>
      <c r="I1140" s="5">
        <f>B1140/B1139-1</f>
        <v>-5.2618771593317959E-3</v>
      </c>
      <c r="J1140" s="5">
        <f>C1140/C1139-1</f>
        <v>2.1256195657597399E-3</v>
      </c>
      <c r="K1140" s="5">
        <f>D1140/D1139-1</f>
        <v>-8.1722804216808331E-3</v>
      </c>
      <c r="L1140" s="5">
        <f>E1140/E1139-1</f>
        <v>1.0408948995659362E-2</v>
      </c>
      <c r="M1140" s="5">
        <f>F1140/F1139-1</f>
        <v>-2.5291741713354687E-3</v>
      </c>
      <c r="N1140" s="5">
        <f>SUMPRODUCT(I1140:M1140,$AJ$13:$AN$13)</f>
        <v>1.2158719447696461E-3</v>
      </c>
      <c r="Q1140" s="9"/>
    </row>
    <row r="1141" spans="1:17" x14ac:dyDescent="0.35">
      <c r="A1141" s="3">
        <v>45488</v>
      </c>
      <c r="B1141" s="4">
        <v>40.224151611328097</v>
      </c>
      <c r="C1141" s="4">
        <v>146.42596435546801</v>
      </c>
      <c r="D1141" s="4">
        <v>133.24429321289</v>
      </c>
      <c r="E1141" s="4">
        <v>23.799726486206001</v>
      </c>
      <c r="F1141" s="4">
        <v>447.904052734375</v>
      </c>
      <c r="I1141" s="5">
        <f>B1141/B1140-1</f>
        <v>7.213389851927543E-3</v>
      </c>
      <c r="J1141" s="5">
        <f>C1141/C1140-1</f>
        <v>1.5746541273537806E-2</v>
      </c>
      <c r="K1141" s="5">
        <f>D1141/D1140-1</f>
        <v>-1.6837380071372698E-2</v>
      </c>
      <c r="L1141" s="5">
        <f>E1141/E1140-1</f>
        <v>-3.3113495274971205E-3</v>
      </c>
      <c r="M1141" s="5">
        <f>F1141/F1140-1</f>
        <v>9.0393499851537662E-4</v>
      </c>
      <c r="N1141" s="5">
        <f>SUMPRODUCT(I1141:M1141,$AJ$13:$AN$13)</f>
        <v>-1.2614148601301847E-2</v>
      </c>
      <c r="Q1141" s="9"/>
    </row>
    <row r="1142" spans="1:17" x14ac:dyDescent="0.35">
      <c r="A1142" s="3">
        <v>45489</v>
      </c>
      <c r="B1142" s="4">
        <v>42.375072479247997</v>
      </c>
      <c r="C1142" s="4">
        <v>146.17579650878901</v>
      </c>
      <c r="D1142" s="4">
        <v>130.37004089355401</v>
      </c>
      <c r="E1142" s="4">
        <v>23.676731109619102</v>
      </c>
      <c r="F1142" s="4">
        <v>443.52331542968699</v>
      </c>
      <c r="I1142" s="5">
        <f>B1142/B1141-1</f>
        <v>5.3473368157108681E-2</v>
      </c>
      <c r="J1142" s="5">
        <f>C1142/C1141-1</f>
        <v>-1.7084937618828677E-3</v>
      </c>
      <c r="K1142" s="5">
        <f>D1142/D1141-1</f>
        <v>-2.1571297727128069E-2</v>
      </c>
      <c r="L1142" s="5">
        <f>E1142/E1141-1</f>
        <v>-5.1679323566254931E-3</v>
      </c>
      <c r="M1142" s="5">
        <f>F1142/F1141-1</f>
        <v>-9.7805261594405835E-3</v>
      </c>
      <c r="N1142" s="5">
        <f>SUMPRODUCT(I1142:M1142,$AJ$13:$AN$13)</f>
        <v>-3.2322716838329331E-2</v>
      </c>
      <c r="Q1142" s="9"/>
    </row>
    <row r="1143" spans="1:17" x14ac:dyDescent="0.35">
      <c r="A1143" s="3">
        <v>45490</v>
      </c>
      <c r="B1143" s="4">
        <v>42.2310371398925</v>
      </c>
      <c r="C1143" s="4">
        <v>149.38150024414</v>
      </c>
      <c r="D1143" s="4">
        <v>121.543411254882</v>
      </c>
      <c r="E1143" s="4">
        <v>23.887580871581999</v>
      </c>
      <c r="F1143" s="4">
        <v>437.60339355468699</v>
      </c>
      <c r="I1143" s="5">
        <f>B1143/B1142-1</f>
        <v>-3.399058241753683E-3</v>
      </c>
      <c r="J1143" s="5">
        <f>C1143/C1142-1</f>
        <v>2.1930468736376829E-2</v>
      </c>
      <c r="K1143" s="5">
        <f>D1143/D1142-1</f>
        <v>-6.7704432538138626E-2</v>
      </c>
      <c r="L1143" s="5">
        <f>E1143/E1142-1</f>
        <v>8.9053577956643704E-3</v>
      </c>
      <c r="M1143" s="5">
        <f>F1143/F1142-1</f>
        <v>-1.3347487424116067E-2</v>
      </c>
      <c r="N1143" s="5">
        <f>SUMPRODUCT(I1143:M1143,$AJ$13:$AN$13)</f>
        <v>-3.5284858681301205E-2</v>
      </c>
      <c r="Q1143" s="9"/>
    </row>
    <row r="1144" spans="1:17" x14ac:dyDescent="0.35">
      <c r="A1144" s="3">
        <v>45491</v>
      </c>
      <c r="B1144" s="4">
        <v>41.299606323242102</v>
      </c>
      <c r="C1144" s="4">
        <v>150.067138671875</v>
      </c>
      <c r="D1144" s="4">
        <v>121.708488464355</v>
      </c>
      <c r="E1144" s="4">
        <v>24.019363403320298</v>
      </c>
      <c r="F1144" s="4">
        <v>434.49533081054602</v>
      </c>
      <c r="I1144" s="5">
        <f>B1144/B1143-1</f>
        <v>-2.2055598908570118E-2</v>
      </c>
      <c r="J1144" s="5">
        <f>C1144/C1143-1</f>
        <v>4.589848318663492E-3</v>
      </c>
      <c r="K1144" s="5">
        <f>D1144/D1143-1</f>
        <v>1.3581748921529524E-3</v>
      </c>
      <c r="L1144" s="5">
        <f>E1144/E1143-1</f>
        <v>5.5167801397200122E-3</v>
      </c>
      <c r="M1144" s="5">
        <f>F1144/F1143-1</f>
        <v>-7.1024649029659548E-3</v>
      </c>
      <c r="N1144" s="5">
        <f>SUMPRODUCT(I1144:M1144,$AJ$13:$AN$13)</f>
        <v>7.1407680025234403E-3</v>
      </c>
      <c r="Q1144" s="9"/>
    </row>
    <row r="1145" spans="1:17" x14ac:dyDescent="0.35">
      <c r="A1145" s="3">
        <v>45492</v>
      </c>
      <c r="B1145" s="4">
        <v>41.1939888000488</v>
      </c>
      <c r="C1145" s="4">
        <v>147.45437622070301</v>
      </c>
      <c r="D1145" s="4">
        <v>122.145454406738</v>
      </c>
      <c r="E1145" s="4">
        <v>23.439527511596602</v>
      </c>
      <c r="F1145" s="4">
        <v>431.27877807617102</v>
      </c>
      <c r="I1145" s="5">
        <f>B1145/B1144-1</f>
        <v>-2.5573493937608438E-3</v>
      </c>
      <c r="J1145" s="5">
        <f>C1145/C1144-1</f>
        <v>-1.7410623500224487E-2</v>
      </c>
      <c r="K1145" s="5">
        <f>D1145/D1144-1</f>
        <v>3.5902667751146478E-3</v>
      </c>
      <c r="L1145" s="5">
        <f>E1145/E1144-1</f>
        <v>-2.4140352181171609E-2</v>
      </c>
      <c r="M1145" s="5">
        <f>F1145/F1144-1</f>
        <v>-7.4029627162496281E-3</v>
      </c>
      <c r="N1145" s="5">
        <f>SUMPRODUCT(I1145:M1145,$AJ$13:$AN$13)</f>
        <v>-1.0573290708541665E-2</v>
      </c>
      <c r="Q1145" s="9"/>
    </row>
    <row r="1146" spans="1:17" x14ac:dyDescent="0.35">
      <c r="A1146" s="3">
        <v>45495</v>
      </c>
      <c r="B1146" s="4">
        <v>40.617843627929602</v>
      </c>
      <c r="C1146" s="4">
        <v>145.45314025878901</v>
      </c>
      <c r="D1146" s="4">
        <v>125.009994506835</v>
      </c>
      <c r="E1146" s="4">
        <v>23.378028869628899</v>
      </c>
      <c r="F1146" s="4">
        <v>437.03109741210898</v>
      </c>
      <c r="I1146" s="5">
        <f>B1146/B1145-1</f>
        <v>-1.3986146738926952E-2</v>
      </c>
      <c r="J1146" s="5">
        <f>C1146/C1145-1</f>
        <v>-1.3571899411914723E-2</v>
      </c>
      <c r="K1146" s="5">
        <f>D1146/D1145-1</f>
        <v>2.3451876404325667E-2</v>
      </c>
      <c r="L1146" s="5">
        <f>E1146/E1145-1</f>
        <v>-2.6237150871439852E-3</v>
      </c>
      <c r="M1146" s="5">
        <f>F1146/F1145-1</f>
        <v>1.3337821447179987E-2</v>
      </c>
      <c r="N1146" s="5">
        <f>SUMPRODUCT(I1146:M1146,$AJ$13:$AN$13)</f>
        <v>1.992986602473152E-2</v>
      </c>
      <c r="Q1146" s="9"/>
    </row>
    <row r="1147" spans="1:17" x14ac:dyDescent="0.35">
      <c r="A1147" s="3">
        <v>45496</v>
      </c>
      <c r="B1147" s="4">
        <v>40.723476409912102</v>
      </c>
      <c r="C1147" s="4">
        <v>142.76622009277301</v>
      </c>
      <c r="D1147" s="4">
        <v>122.62758636474599</v>
      </c>
      <c r="E1147" s="4">
        <v>23.0002536773681</v>
      </c>
      <c r="F1147" s="4">
        <v>438.91561889648398</v>
      </c>
      <c r="I1147" s="5">
        <f>B1147/B1146-1</f>
        <v>2.6006496787500666E-3</v>
      </c>
      <c r="J1147" s="5">
        <f>C1147/C1146-1</f>
        <v>-1.8472754601485009E-2</v>
      </c>
      <c r="K1147" s="5">
        <f>D1147/D1146-1</f>
        <v>-1.9057741354902236E-2</v>
      </c>
      <c r="L1147" s="5">
        <f>E1147/E1146-1</f>
        <v>-1.6159411658165035E-2</v>
      </c>
      <c r="M1147" s="5">
        <f>F1147/F1146-1</f>
        <v>4.3120992888932008E-3</v>
      </c>
      <c r="N1147" s="5">
        <f>SUMPRODUCT(I1147:M1147,$AJ$13:$AN$13)</f>
        <v>-1.617993787186002E-2</v>
      </c>
      <c r="Q1147" s="9"/>
    </row>
    <row r="1148" spans="1:17" x14ac:dyDescent="0.35">
      <c r="A1148" s="3">
        <v>45497</v>
      </c>
      <c r="B1148" s="4">
        <v>40.512218475341797</v>
      </c>
      <c r="C1148" s="4">
        <v>143.67420959472599</v>
      </c>
      <c r="D1148" s="4">
        <v>113.146728515625</v>
      </c>
      <c r="E1148" s="4">
        <v>22.886039733886701</v>
      </c>
      <c r="F1148" s="4">
        <v>423.17837524414</v>
      </c>
      <c r="I1148" s="5">
        <f>B1148/B1147-1</f>
        <v>-5.1876203407547061E-3</v>
      </c>
      <c r="J1148" s="5">
        <f>C1148/C1147-1</f>
        <v>6.3599743788338436E-3</v>
      </c>
      <c r="K1148" s="5">
        <f>D1148/D1147-1</f>
        <v>-7.731423352752731E-2</v>
      </c>
      <c r="L1148" s="5">
        <f>E1148/E1147-1</f>
        <v>-4.9657688599228367E-3</v>
      </c>
      <c r="M1148" s="5">
        <f>F1148/F1147-1</f>
        <v>-3.5854827157690061E-2</v>
      </c>
      <c r="N1148" s="5">
        <f>SUMPRODUCT(I1148:M1148,$AJ$13:$AN$13)</f>
        <v>-5.3260886377189232E-2</v>
      </c>
      <c r="Q1148" s="9"/>
    </row>
    <row r="1149" spans="1:17" x14ac:dyDescent="0.35">
      <c r="A1149" s="3">
        <v>45498</v>
      </c>
      <c r="B1149" s="4">
        <v>40.022502899169901</v>
      </c>
      <c r="C1149" s="4">
        <v>145.96267700195301</v>
      </c>
      <c r="D1149" s="4">
        <v>108.576820373535</v>
      </c>
      <c r="E1149" s="4">
        <v>22.833330154418899</v>
      </c>
      <c r="F1149" s="4">
        <v>412.81848144531199</v>
      </c>
      <c r="I1149" s="5">
        <f>B1149/B1148-1</f>
        <v>-1.2088095754863803E-2</v>
      </c>
      <c r="J1149" s="5">
        <f>C1149/C1148-1</f>
        <v>1.5928171198451579E-2</v>
      </c>
      <c r="K1149" s="5">
        <f>D1149/D1148-1</f>
        <v>-4.0389220280981575E-2</v>
      </c>
      <c r="L1149" s="5">
        <f>E1149/E1148-1</f>
        <v>-2.3031323934020742E-3</v>
      </c>
      <c r="M1149" s="5">
        <f>F1149/F1148-1</f>
        <v>-2.4481151223408326E-2</v>
      </c>
      <c r="N1149" s="5">
        <f>SUMPRODUCT(I1149:M1149,$AJ$13:$AN$13)</f>
        <v>-2.7309339725605626E-2</v>
      </c>
      <c r="Q1149" s="9"/>
    </row>
    <row r="1150" spans="1:17" x14ac:dyDescent="0.35">
      <c r="A1150" s="3">
        <v>45499</v>
      </c>
      <c r="B1150" s="4">
        <v>40.012901306152301</v>
      </c>
      <c r="C1150" s="4">
        <v>146.240631103515</v>
      </c>
      <c r="D1150" s="4">
        <v>110.65227508544901</v>
      </c>
      <c r="E1150" s="4">
        <v>22.850902557373001</v>
      </c>
      <c r="F1150" s="4">
        <v>419.59680175781199</v>
      </c>
      <c r="I1150" s="5">
        <f>B1150/B1149-1</f>
        <v>-2.3990486156721946E-4</v>
      </c>
      <c r="J1150" s="5">
        <f>C1150/C1149-1</f>
        <v>1.9042820210695144E-3</v>
      </c>
      <c r="K1150" s="5">
        <f>D1150/D1149-1</f>
        <v>1.9115080960870445E-2</v>
      </c>
      <c r="L1150" s="5">
        <f>E1150/E1149-1</f>
        <v>7.6959439710555522E-4</v>
      </c>
      <c r="M1150" s="5">
        <f>F1150/F1149-1</f>
        <v>1.6419614472609201E-2</v>
      </c>
      <c r="N1150" s="5">
        <f>SUMPRODUCT(I1150:M1150,$AJ$13:$AN$13)</f>
        <v>1.5804199066614483E-2</v>
      </c>
      <c r="Q1150" s="9"/>
    </row>
    <row r="1151" spans="1:17" x14ac:dyDescent="0.35">
      <c r="A1151" s="3">
        <v>45502</v>
      </c>
      <c r="B1151" s="4">
        <v>39.455966949462798</v>
      </c>
      <c r="C1151" s="4">
        <v>145.09176635742099</v>
      </c>
      <c r="D1151" s="4">
        <v>108.352699279785</v>
      </c>
      <c r="E1151" s="4">
        <v>22.8245429992675</v>
      </c>
      <c r="F1151" s="4">
        <v>421.03732299804602</v>
      </c>
      <c r="I1151" s="5">
        <f>B1151/B1150-1</f>
        <v>-1.3918869627278729E-2</v>
      </c>
      <c r="J1151" s="5">
        <f>C1151/C1150-1</f>
        <v>-7.8559887045399623E-3</v>
      </c>
      <c r="K1151" s="5">
        <f>D1151/D1150-1</f>
        <v>-2.078200203193481E-2</v>
      </c>
      <c r="L1151" s="5">
        <f>E1151/E1150-1</f>
        <v>-1.1535456001932065E-3</v>
      </c>
      <c r="M1151" s="5">
        <f>F1151/F1150-1</f>
        <v>3.4331082462957241E-3</v>
      </c>
      <c r="N1151" s="5">
        <f>SUMPRODUCT(I1151:M1151,$AJ$13:$AN$13)</f>
        <v>-5.9299066853694404E-3</v>
      </c>
      <c r="Q1151" s="9"/>
    </row>
    <row r="1152" spans="1:17" x14ac:dyDescent="0.35">
      <c r="A1152" s="3">
        <v>45503</v>
      </c>
      <c r="B1152" s="4">
        <v>39.638408660888601</v>
      </c>
      <c r="C1152" s="4">
        <v>147.84352111816401</v>
      </c>
      <c r="D1152" s="4">
        <v>105.82901763916</v>
      </c>
      <c r="E1152" s="4">
        <v>22.780614852905199</v>
      </c>
      <c r="F1152" s="4">
        <v>417.27816772460898</v>
      </c>
      <c r="I1152" s="5">
        <f>B1152/B1151-1</f>
        <v>4.6239320825538499E-3</v>
      </c>
      <c r="J1152" s="5">
        <f>C1152/C1151-1</f>
        <v>1.8965616242925254E-2</v>
      </c>
      <c r="K1152" s="5">
        <f>D1152/D1151-1</f>
        <v>-2.3291359213012508E-2</v>
      </c>
      <c r="L1152" s="5">
        <f>E1152/E1151-1</f>
        <v>-1.9246013540648033E-3</v>
      </c>
      <c r="M1152" s="5">
        <f>F1152/F1151-1</f>
        <v>-8.9283183891383233E-3</v>
      </c>
      <c r="N1152" s="5">
        <f>SUMPRODUCT(I1152:M1152,$AJ$13:$AN$13)</f>
        <v>-1.7967572908237819E-2</v>
      </c>
      <c r="Q1152" s="9"/>
    </row>
    <row r="1153" spans="1:17" x14ac:dyDescent="0.35">
      <c r="A1153" s="3">
        <v>45504</v>
      </c>
      <c r="B1153" s="4">
        <v>38.706985473632798</v>
      </c>
      <c r="C1153" s="4">
        <v>148.67738342285099</v>
      </c>
      <c r="D1153" s="4">
        <v>110.76919555664</v>
      </c>
      <c r="E1153" s="4">
        <v>23.334098815917901</v>
      </c>
      <c r="F1153" s="4">
        <v>412.76910400390602</v>
      </c>
      <c r="I1153" s="5">
        <f>B1153/B1152-1</f>
        <v>-2.3497996481751882E-2</v>
      </c>
      <c r="J1153" s="5">
        <f>C1153/C1152-1</f>
        <v>5.640168053225203E-3</v>
      </c>
      <c r="K1153" s="5">
        <f>D1153/D1152-1</f>
        <v>4.6680750021929507E-2</v>
      </c>
      <c r="L1153" s="5">
        <f>E1153/E1152-1</f>
        <v>2.4296269726983066E-2</v>
      </c>
      <c r="M1153" s="5">
        <f>F1153/F1152-1</f>
        <v>-1.0805894171963537E-2</v>
      </c>
      <c r="N1153" s="5">
        <f>SUMPRODUCT(I1153:M1153,$AJ$13:$AN$13)</f>
        <v>3.8659464566881394E-2</v>
      </c>
      <c r="Q1153" s="9"/>
    </row>
    <row r="1154" spans="1:17" x14ac:dyDescent="0.35">
      <c r="A1154" s="3">
        <v>45505</v>
      </c>
      <c r="B1154" s="4">
        <v>37.929191589355398</v>
      </c>
      <c r="C1154" s="4">
        <v>141.40425109863199</v>
      </c>
      <c r="D1154" s="4">
        <v>105.65362548828099</v>
      </c>
      <c r="E1154" s="4">
        <v>23.088108062744102</v>
      </c>
      <c r="F1154" s="4">
        <v>411.545654296875</v>
      </c>
      <c r="I1154" s="5">
        <f>B1154/B1153-1</f>
        <v>-2.0094406080970462E-2</v>
      </c>
      <c r="J1154" s="5">
        <f>C1154/C1153-1</f>
        <v>-4.8918888379502867E-2</v>
      </c>
      <c r="K1154" s="5">
        <f>D1154/D1153-1</f>
        <v>-4.6182244464736955E-2</v>
      </c>
      <c r="L1154" s="5">
        <f>E1154/E1153-1</f>
        <v>-1.0542115001501262E-2</v>
      </c>
      <c r="M1154" s="5">
        <f>F1154/F1153-1</f>
        <v>-2.9640050458317191E-3</v>
      </c>
      <c r="N1154" s="5">
        <f>SUMPRODUCT(I1154:M1154,$AJ$13:$AN$13)</f>
        <v>-2.2547578438711066E-2</v>
      </c>
      <c r="Q1154" s="9"/>
    </row>
    <row r="1155" spans="1:17" x14ac:dyDescent="0.35">
      <c r="A1155" s="3">
        <v>45506</v>
      </c>
      <c r="B1155" s="4">
        <v>36.085548400878899</v>
      </c>
      <c r="C1155" s="4">
        <v>137.63334655761699</v>
      </c>
      <c r="D1155" s="4">
        <v>99.670852661132798</v>
      </c>
      <c r="E1155" s="4">
        <v>22.903615951538001</v>
      </c>
      <c r="F1155" s="4">
        <v>403.04064941406199</v>
      </c>
      <c r="I1155" s="5">
        <f>B1155/B1154-1</f>
        <v>-4.8607500218747268E-2</v>
      </c>
      <c r="J1155" s="5">
        <f>C1155/C1154-1</f>
        <v>-2.6667547203971464E-2</v>
      </c>
      <c r="K1155" s="5">
        <f>D1155/D1154-1</f>
        <v>-5.6626289911951955E-2</v>
      </c>
      <c r="L1155" s="5">
        <f>E1155/E1154-1</f>
        <v>-7.9907851567883048E-3</v>
      </c>
      <c r="M1155" s="5">
        <f>F1155/F1154-1</f>
        <v>-2.0666005810081489E-2</v>
      </c>
      <c r="N1155" s="5">
        <f>SUMPRODUCT(I1155:M1155,$AJ$13:$AN$13)</f>
        <v>-2.5189288401518971E-2</v>
      </c>
    </row>
    <row r="1156" spans="1:17" x14ac:dyDescent="0.35">
      <c r="A1156" s="3">
        <v>45509</v>
      </c>
      <c r="B1156" s="4">
        <v>35.192535400390597</v>
      </c>
      <c r="C1156" s="4">
        <v>134.02923583984301</v>
      </c>
      <c r="D1156" s="4">
        <v>95.666076660156193</v>
      </c>
      <c r="E1156" s="4">
        <v>22.3413486480712</v>
      </c>
      <c r="F1156" s="4">
        <v>389.87860107421801</v>
      </c>
      <c r="I1156" s="5">
        <f>B1156/B1155-1</f>
        <v>-2.4747109024579883E-2</v>
      </c>
      <c r="J1156" s="5">
        <f>C1156/C1155-1</f>
        <v>-2.6186318998391855E-2</v>
      </c>
      <c r="K1156" s="5">
        <f>D1156/D1155-1</f>
        <v>-4.0180011448204378E-2</v>
      </c>
      <c r="L1156" s="5">
        <f>E1156/E1155-1</f>
        <v>-2.454928098063236E-2</v>
      </c>
      <c r="M1156" s="5">
        <f>F1156/F1155-1</f>
        <v>-3.2656875575649447E-2</v>
      </c>
      <c r="N1156" s="5">
        <f>SUMPRODUCT(I1156:M1156,$AJ$13:$AN$13)</f>
        <v>-3.5285236756391065E-2</v>
      </c>
    </row>
    <row r="1157" spans="1:17" x14ac:dyDescent="0.35">
      <c r="A1157" s="3">
        <v>45510</v>
      </c>
      <c r="B1157" s="4">
        <v>35.451797485351499</v>
      </c>
      <c r="C1157" s="4">
        <v>132.70429992675699</v>
      </c>
      <c r="D1157" s="4">
        <v>92.245956420898395</v>
      </c>
      <c r="E1157" s="4">
        <v>22.604906082153299</v>
      </c>
      <c r="F1157" s="4">
        <v>394.27908325195301</v>
      </c>
      <c r="I1157" s="5">
        <f>B1157/B1156-1</f>
        <v>7.3669623973162679E-3</v>
      </c>
      <c r="J1157" s="5">
        <f>C1157/C1156-1</f>
        <v>-9.885424659655917E-3</v>
      </c>
      <c r="K1157" s="5">
        <f>D1157/D1156-1</f>
        <v>-3.5750606261479967E-2</v>
      </c>
      <c r="L1157" s="5">
        <f>E1157/E1156-1</f>
        <v>1.1796845312865845E-2</v>
      </c>
      <c r="M1157" s="5">
        <f>F1157/F1156-1</f>
        <v>1.1286800982691858E-2</v>
      </c>
      <c r="N1157" s="5">
        <f>SUMPRODUCT(I1157:M1157,$AJ$13:$AN$13)</f>
        <v>-1.1138659190497852E-2</v>
      </c>
    </row>
    <row r="1158" spans="1:17" x14ac:dyDescent="0.35">
      <c r="A1158" s="3">
        <v>45511</v>
      </c>
      <c r="B1158" s="4">
        <v>35.816680908203097</v>
      </c>
      <c r="C1158" s="4">
        <v>131.944564819335</v>
      </c>
      <c r="D1158" s="4">
        <v>85.639556884765597</v>
      </c>
      <c r="E1158" s="4">
        <v>23.140821456909102</v>
      </c>
      <c r="F1158" s="4">
        <v>393.11489868164</v>
      </c>
      <c r="I1158" s="5">
        <f>B1158/B1157-1</f>
        <v>1.0292381451247001E-2</v>
      </c>
      <c r="J1158" s="5">
        <f>C1158/C1157-1</f>
        <v>-5.7250225338689731E-3</v>
      </c>
      <c r="K1158" s="5">
        <f>D1158/D1157-1</f>
        <v>-7.1617226298670733E-2</v>
      </c>
      <c r="L1158" s="5">
        <f>E1158/E1157-1</f>
        <v>2.3707923085728222E-2</v>
      </c>
      <c r="M1158" s="5">
        <f>F1158/F1157-1</f>
        <v>-2.9526916840503237E-3</v>
      </c>
      <c r="N1158" s="5">
        <f>SUMPRODUCT(I1158:M1158,$AJ$13:$AN$13)</f>
        <v>-2.9986914731873295E-2</v>
      </c>
    </row>
    <row r="1159" spans="1:17" x14ac:dyDescent="0.35">
      <c r="A1159" s="3">
        <v>45512</v>
      </c>
      <c r="B1159" s="4">
        <v>36.690494537353501</v>
      </c>
      <c r="C1159" s="4">
        <v>133.87171936035099</v>
      </c>
      <c r="D1159" s="4">
        <v>89.118148803710895</v>
      </c>
      <c r="E1159" s="4">
        <v>23.9402961730957</v>
      </c>
      <c r="F1159" s="4">
        <v>397.31802368164</v>
      </c>
      <c r="I1159" s="5">
        <f>B1159/B1158-1</f>
        <v>2.4396834296007475E-2</v>
      </c>
      <c r="J1159" s="5">
        <f>C1159/C1158-1</f>
        <v>1.4605789512093681E-2</v>
      </c>
      <c r="K1159" s="5">
        <f>D1159/D1158-1</f>
        <v>4.0618985495522786E-2</v>
      </c>
      <c r="L1159" s="5">
        <f>E1159/E1158-1</f>
        <v>3.4548242709331323E-2</v>
      </c>
      <c r="M1159" s="5">
        <f>F1159/F1158-1</f>
        <v>1.0691848653143765E-2</v>
      </c>
      <c r="N1159" s="5">
        <f>SUMPRODUCT(I1159:M1159,$AJ$13:$AN$13)</f>
        <v>3.3329251905797053E-2</v>
      </c>
    </row>
    <row r="1160" spans="1:17" x14ac:dyDescent="0.35">
      <c r="A1160" s="3">
        <v>45513</v>
      </c>
      <c r="B1160" s="4">
        <v>36.7577095031738</v>
      </c>
      <c r="C1160" s="4">
        <v>134.33497619628901</v>
      </c>
      <c r="D1160" s="4">
        <v>90.180244445800696</v>
      </c>
      <c r="E1160" s="4">
        <v>24.186286926269499</v>
      </c>
      <c r="F1160" s="4">
        <v>400.60357666015602</v>
      </c>
      <c r="I1160" s="5">
        <f>B1160/B1159-1</f>
        <v>1.8319449401771326E-3</v>
      </c>
      <c r="J1160" s="5">
        <f>C1160/C1159-1</f>
        <v>3.4604533216686661E-3</v>
      </c>
      <c r="K1160" s="5">
        <f>D1160/D1159-1</f>
        <v>1.1917837795633934E-2</v>
      </c>
      <c r="L1160" s="5">
        <f>E1160/E1159-1</f>
        <v>1.0275175853933005E-2</v>
      </c>
      <c r="M1160" s="5">
        <f>F1160/F1159-1</f>
        <v>8.269327799608428E-3</v>
      </c>
      <c r="N1160" s="5">
        <f>SUMPRODUCT(I1160:M1160,$AJ$13:$AN$13)</f>
        <v>1.312557646198835E-2</v>
      </c>
    </row>
    <row r="1161" spans="1:17" x14ac:dyDescent="0.35">
      <c r="A1161" s="3">
        <v>45516</v>
      </c>
      <c r="B1161" s="4">
        <v>36.652088165283203</v>
      </c>
      <c r="C1161" s="4">
        <v>134.36277770996</v>
      </c>
      <c r="D1161" s="4">
        <v>92.830589294433594</v>
      </c>
      <c r="E1161" s="4">
        <v>24.713411331176701</v>
      </c>
      <c r="F1161" s="4">
        <v>401.383056640625</v>
      </c>
      <c r="I1161" s="5">
        <f>B1161/B1160-1</f>
        <v>-2.8734472119781307E-3</v>
      </c>
      <c r="J1161" s="5">
        <f>C1161/C1160-1</f>
        <v>2.0695662781355928E-4</v>
      </c>
      <c r="K1161" s="5">
        <f>D1161/D1160-1</f>
        <v>2.9389417437494236E-2</v>
      </c>
      <c r="L1161" s="5">
        <f>E1161/E1160-1</f>
        <v>2.1794350100704074E-2</v>
      </c>
      <c r="M1161" s="5">
        <f>F1161/F1160-1</f>
        <v>1.9457639069713206E-3</v>
      </c>
      <c r="N1161" s="5">
        <f>SUMPRODUCT(I1161:M1161,$AJ$13:$AN$13)</f>
        <v>2.6960049624302811E-2</v>
      </c>
    </row>
    <row r="1162" spans="1:17" x14ac:dyDescent="0.35">
      <c r="A1162" s="3">
        <v>45517</v>
      </c>
      <c r="B1162" s="4">
        <v>36.930553436279297</v>
      </c>
      <c r="C1162" s="4">
        <v>133.55670166015599</v>
      </c>
      <c r="D1162" s="4">
        <v>97.381019592285099</v>
      </c>
      <c r="E1162" s="4">
        <v>24.274143218994102</v>
      </c>
      <c r="F1162" s="4">
        <v>408.48703002929602</v>
      </c>
      <c r="I1162" s="5">
        <f>B1162/B1161-1</f>
        <v>7.5975281337410383E-3</v>
      </c>
      <c r="J1162" s="5">
        <f>C1162/C1161-1</f>
        <v>-5.9992511582637187E-3</v>
      </c>
      <c r="K1162" s="5">
        <f>D1162/D1161-1</f>
        <v>4.9018651421233184E-2</v>
      </c>
      <c r="L1162" s="5">
        <f>E1162/E1161-1</f>
        <v>-1.7774483105391869E-2</v>
      </c>
      <c r="M1162" s="5">
        <f>F1162/F1161-1</f>
        <v>1.7698737580324586E-2</v>
      </c>
      <c r="N1162" s="5">
        <f>SUMPRODUCT(I1162:M1162,$AJ$13:$AN$13)</f>
        <v>2.1128857953500779E-2</v>
      </c>
    </row>
    <row r="1163" spans="1:17" x14ac:dyDescent="0.35">
      <c r="A1163" s="3">
        <v>45518</v>
      </c>
      <c r="B1163" s="4">
        <v>37.266632080078097</v>
      </c>
      <c r="C1163" s="4">
        <v>134.038482666015</v>
      </c>
      <c r="D1163" s="4">
        <v>100.31393432617099</v>
      </c>
      <c r="E1163" s="4">
        <v>24.3356399536132</v>
      </c>
      <c r="F1163" s="4">
        <v>411.29901123046801</v>
      </c>
      <c r="I1163" s="5">
        <f>B1163/B1162-1</f>
        <v>9.1002872290737447E-3</v>
      </c>
      <c r="J1163" s="5">
        <f>C1163/C1162-1</f>
        <v>3.6073143456696322E-3</v>
      </c>
      <c r="K1163" s="5">
        <f>D1163/D1162-1</f>
        <v>3.0117930025434392E-2</v>
      </c>
      <c r="L1163" s="5">
        <f>E1163/E1162-1</f>
        <v>2.533425549330115E-3</v>
      </c>
      <c r="M1163" s="5">
        <f>F1163/F1162-1</f>
        <v>6.8838934763004733E-3</v>
      </c>
      <c r="N1163" s="5">
        <f>SUMPRODUCT(I1163:M1163,$AJ$13:$AN$13)</f>
        <v>1.6414771394183222E-2</v>
      </c>
    </row>
    <row r="1164" spans="1:17" x14ac:dyDescent="0.35">
      <c r="A1164" s="3">
        <v>45519</v>
      </c>
      <c r="B1164" s="4">
        <v>37.477882385253899</v>
      </c>
      <c r="C1164" s="4">
        <v>136.011962890625</v>
      </c>
      <c r="D1164" s="4">
        <v>107.388053894042</v>
      </c>
      <c r="E1164" s="4">
        <v>24.4498481750488</v>
      </c>
      <c r="F1164" s="4">
        <v>416.162109375</v>
      </c>
      <c r="I1164" s="5">
        <f>B1164/B1163-1</f>
        <v>5.6686181010903169E-3</v>
      </c>
      <c r="J1164" s="5">
        <f>C1164/C1163-1</f>
        <v>1.4723236083829194E-2</v>
      </c>
      <c r="K1164" s="5">
        <f>D1164/D1163-1</f>
        <v>7.0519809789031829E-2</v>
      </c>
      <c r="L1164" s="5">
        <f>E1164/E1163-1</f>
        <v>4.6930436862682168E-3</v>
      </c>
      <c r="M1164" s="5">
        <f>F1164/F1163-1</f>
        <v>1.1823753550934235E-2</v>
      </c>
      <c r="N1164" s="5">
        <f>SUMPRODUCT(I1164:M1164,$AJ$13:$AN$13)</f>
        <v>4.0738467325357491E-2</v>
      </c>
    </row>
    <row r="1165" spans="1:17" x14ac:dyDescent="0.35">
      <c r="A1165" s="3">
        <v>45520</v>
      </c>
      <c r="B1165" s="4">
        <v>37.775558471679602</v>
      </c>
      <c r="C1165" s="4">
        <v>136.44741821289</v>
      </c>
      <c r="D1165" s="4">
        <v>108.450141906738</v>
      </c>
      <c r="E1165" s="4">
        <v>24.4498481750488</v>
      </c>
      <c r="F1165" s="4">
        <v>413.63168334960898</v>
      </c>
      <c r="I1165" s="5">
        <f>B1165/B1164-1</f>
        <v>7.9427136081420269E-3</v>
      </c>
      <c r="J1165" s="5">
        <f>C1165/C1164-1</f>
        <v>3.2015957494502256E-3</v>
      </c>
      <c r="K1165" s="5">
        <f>D1165/D1164-1</f>
        <v>9.8901877274351069E-3</v>
      </c>
      <c r="L1165" s="5">
        <f>E1165/E1164-1</f>
        <v>0</v>
      </c>
      <c r="M1165" s="5">
        <f>F1165/F1164-1</f>
        <v>-6.0803854276673119E-3</v>
      </c>
      <c r="N1165" s="5">
        <f>SUMPRODUCT(I1165:M1165,$AJ$13:$AN$13)</f>
        <v>7.163932791058843E-4</v>
      </c>
    </row>
    <row r="1166" spans="1:17" x14ac:dyDescent="0.35">
      <c r="A1166" s="3">
        <v>45523</v>
      </c>
      <c r="B1166" s="4">
        <v>38.092430114746001</v>
      </c>
      <c r="C1166" s="4">
        <v>137.56231689453099</v>
      </c>
      <c r="D1166" s="4">
        <v>109.00554656982401</v>
      </c>
      <c r="E1166" s="4">
        <v>24.909465789794901</v>
      </c>
      <c r="F1166" s="4">
        <v>416.65631103515602</v>
      </c>
      <c r="I1166" s="5">
        <f>B1166/B1165-1</f>
        <v>8.3882715672876085E-3</v>
      </c>
      <c r="J1166" s="5">
        <f>C1166/C1165-1</f>
        <v>8.1709034604193764E-3</v>
      </c>
      <c r="K1166" s="5">
        <f>D1166/D1165-1</f>
        <v>5.1212903304787005E-3</v>
      </c>
      <c r="L1166" s="5">
        <f>E1166/E1165-1</f>
        <v>1.8798383182401235E-2</v>
      </c>
      <c r="M1166" s="5">
        <f>F1166/F1165-1</f>
        <v>7.3123694516181725E-3</v>
      </c>
      <c r="N1166" s="5">
        <f>SUMPRODUCT(I1166:M1166,$AJ$13:$AN$13)</f>
        <v>1.119915662056525E-2</v>
      </c>
    </row>
    <row r="1167" spans="1:17" x14ac:dyDescent="0.35">
      <c r="A1167" s="3">
        <v>45524</v>
      </c>
      <c r="B1167" s="4">
        <v>37.151401519775298</v>
      </c>
      <c r="C1167" s="4">
        <v>135.55738830566401</v>
      </c>
      <c r="D1167" s="4">
        <v>107.875244140625</v>
      </c>
      <c r="E1167" s="4">
        <v>24.350715637206999</v>
      </c>
      <c r="F1167" s="4">
        <v>419.88854980468699</v>
      </c>
      <c r="I1167" s="5">
        <f>B1167/B1166-1</f>
        <v>-2.4703821524015068E-2</v>
      </c>
      <c r="J1167" s="5">
        <f>C1167/C1166-1</f>
        <v>-1.4574693376269376E-2</v>
      </c>
      <c r="K1167" s="5">
        <f>D1167/D1166-1</f>
        <v>-1.0369219409170016E-2</v>
      </c>
      <c r="L1167" s="5">
        <f>E1167/E1166-1</f>
        <v>-2.243123787973067E-2</v>
      </c>
      <c r="M1167" s="5">
        <f>F1167/F1166-1</f>
        <v>7.7575658496584765E-3</v>
      </c>
      <c r="N1167" s="5">
        <f>SUMPRODUCT(I1167:M1167,$AJ$13:$AN$13)</f>
        <v>-5.6665597980561687E-3</v>
      </c>
    </row>
    <row r="1168" spans="1:17" x14ac:dyDescent="0.35">
      <c r="A1168" s="3">
        <v>45525</v>
      </c>
      <c r="B1168" s="4">
        <v>37.209014892578097</v>
      </c>
      <c r="C1168" s="4">
        <v>136.14762878417901</v>
      </c>
      <c r="D1168" s="4">
        <v>108.839889526367</v>
      </c>
      <c r="E1168" s="4">
        <v>24.251583099365199</v>
      </c>
      <c r="F1168" s="4">
        <v>419.23614501953102</v>
      </c>
      <c r="I1168" s="5">
        <f>B1168/B1167-1</f>
        <v>1.5507725266334926E-3</v>
      </c>
      <c r="J1168" s="5">
        <f>C1168/C1167-1</f>
        <v>4.3541741685380053E-3</v>
      </c>
      <c r="K1168" s="5">
        <f>D1168/D1167-1</f>
        <v>8.942231310127946E-3</v>
      </c>
      <c r="L1168" s="5">
        <f>E1168/E1167-1</f>
        <v>-4.0710318053375216E-3</v>
      </c>
      <c r="M1168" s="5">
        <f>F1168/F1167-1</f>
        <v>-1.55375702780991E-3</v>
      </c>
      <c r="N1168" s="5">
        <f>SUMPRODUCT(I1168:M1168,$AJ$13:$AN$13)</f>
        <v>1.6435783874644947E-3</v>
      </c>
    </row>
    <row r="1169" spans="1:14" x14ac:dyDescent="0.35">
      <c r="A1169" s="3">
        <v>45526</v>
      </c>
      <c r="B1169" s="4">
        <v>37.679534912109297</v>
      </c>
      <c r="C1169" s="4">
        <v>136.53172302246</v>
      </c>
      <c r="D1169" s="4">
        <v>106.189552307128</v>
      </c>
      <c r="E1169" s="4">
        <v>23.891098022460898</v>
      </c>
      <c r="F1169" s="4">
        <v>410.74542236328102</v>
      </c>
      <c r="I1169" s="5">
        <f>B1169/B1168-1</f>
        <v>1.2645323207012726E-2</v>
      </c>
      <c r="J1169" s="5">
        <f>C1169/C1168-1</f>
        <v>2.8211599549035071E-3</v>
      </c>
      <c r="K1169" s="5">
        <f>D1169/D1168-1</f>
        <v>-2.4350789317890142E-2</v>
      </c>
      <c r="L1169" s="5">
        <f>E1169/E1168-1</f>
        <v>-1.4864393612049831E-2</v>
      </c>
      <c r="M1169" s="5">
        <f>F1169/F1168-1</f>
        <v>-2.0252840212177881E-2</v>
      </c>
      <c r="N1169" s="5">
        <f>SUMPRODUCT(I1169:M1169,$AJ$13:$AN$13)</f>
        <v>-3.0139274805325605E-2</v>
      </c>
    </row>
    <row r="1170" spans="1:14" x14ac:dyDescent="0.35">
      <c r="A1170" s="3">
        <v>45527</v>
      </c>
      <c r="B1170" s="4">
        <v>38.188457489013601</v>
      </c>
      <c r="C1170" s="4">
        <v>138.30242919921801</v>
      </c>
      <c r="D1170" s="4">
        <v>109.141967773437</v>
      </c>
      <c r="E1170" s="4">
        <v>24.3687419891357</v>
      </c>
      <c r="F1170" s="4">
        <v>411.97113037109301</v>
      </c>
      <c r="I1170" s="5">
        <f>B1170/B1169-1</f>
        <v>1.3506604529260002E-2</v>
      </c>
      <c r="J1170" s="5">
        <f>C1170/C1169-1</f>
        <v>1.2969192342696223E-2</v>
      </c>
      <c r="K1170" s="5">
        <f>D1170/D1169-1</f>
        <v>2.7803257497214462E-2</v>
      </c>
      <c r="L1170" s="5">
        <f>E1170/E1169-1</f>
        <v>1.9992549786776337E-2</v>
      </c>
      <c r="M1170" s="5">
        <f>F1170/F1169-1</f>
        <v>2.9841063127611367E-3</v>
      </c>
      <c r="N1170" s="5">
        <f>SUMPRODUCT(I1170:M1170,$AJ$13:$AN$13)</f>
        <v>2.0483688700591661E-2</v>
      </c>
    </row>
    <row r="1171" spans="1:14" x14ac:dyDescent="0.35">
      <c r="A1171" s="3">
        <v>45530</v>
      </c>
      <c r="B1171" s="4">
        <v>38.332496643066399</v>
      </c>
      <c r="C1171" s="4">
        <v>139.12689208984301</v>
      </c>
      <c r="D1171" s="4">
        <v>108.810668945312</v>
      </c>
      <c r="E1171" s="4">
        <v>24.512933731079102</v>
      </c>
      <c r="F1171" s="4">
        <v>408.70925903320301</v>
      </c>
      <c r="I1171" s="5">
        <f>B1171/B1170-1</f>
        <v>3.7717981694924685E-3</v>
      </c>
      <c r="J1171" s="5">
        <f>C1171/C1170-1</f>
        <v>5.9613044788779934E-3</v>
      </c>
      <c r="K1171" s="5">
        <f>D1171/D1170-1</f>
        <v>-3.0354852022892453E-3</v>
      </c>
      <c r="L1171" s="5">
        <f>E1171/E1170-1</f>
        <v>5.9170777879173908E-3</v>
      </c>
      <c r="M1171" s="5">
        <f>F1171/F1170-1</f>
        <v>-7.9177182511595001E-3</v>
      </c>
      <c r="N1171" s="5">
        <f>SUMPRODUCT(I1171:M1171,$AJ$13:$AN$13)</f>
        <v>-2.746739720236206E-3</v>
      </c>
    </row>
    <row r="1172" spans="1:14" x14ac:dyDescent="0.35">
      <c r="A1172" s="3">
        <v>45531</v>
      </c>
      <c r="B1172" s="4">
        <v>38.092430114746001</v>
      </c>
      <c r="C1172" s="4">
        <v>137.67472839355401</v>
      </c>
      <c r="D1172" s="4">
        <v>108.995811462402</v>
      </c>
      <c r="E1172" s="4">
        <v>24.422815322875898</v>
      </c>
      <c r="F1172" s="4">
        <v>409.05523681640602</v>
      </c>
      <c r="I1172" s="5">
        <f>B1172/B1171-1</f>
        <v>-6.2627417816214503E-3</v>
      </c>
      <c r="J1172" s="5">
        <f>C1172/C1171-1</f>
        <v>-1.0437692343125526E-2</v>
      </c>
      <c r="K1172" s="5">
        <f>D1172/D1171-1</f>
        <v>1.7015106963733651E-3</v>
      </c>
      <c r="L1172" s="5">
        <f>E1172/E1171-1</f>
        <v>-3.6763615971818764E-3</v>
      </c>
      <c r="M1172" s="5">
        <f>F1172/F1171-1</f>
        <v>8.4651320114792483E-4</v>
      </c>
      <c r="N1172" s="5">
        <f>SUMPRODUCT(I1172:M1172,$AJ$13:$AN$13)</f>
        <v>1.6041256891716374E-3</v>
      </c>
    </row>
    <row r="1173" spans="1:14" x14ac:dyDescent="0.35">
      <c r="A1173" s="3">
        <v>45532</v>
      </c>
      <c r="B1173" s="4">
        <v>38.361301422119098</v>
      </c>
      <c r="C1173" s="4">
        <v>136.78469848632801</v>
      </c>
      <c r="D1173" s="4">
        <v>108.703483581542</v>
      </c>
      <c r="E1173" s="4">
        <v>24.422815322875898</v>
      </c>
      <c r="F1173" s="4">
        <v>405.85269165039</v>
      </c>
      <c r="I1173" s="5">
        <f>B1173/B1172-1</f>
        <v>7.058392089010157E-3</v>
      </c>
      <c r="J1173" s="5">
        <f>C1173/C1172-1</f>
        <v>-6.4647297119175828E-3</v>
      </c>
      <c r="K1173" s="5">
        <f>D1173/D1172-1</f>
        <v>-2.6820102253272138E-3</v>
      </c>
      <c r="L1173" s="5">
        <f>E1173/E1172-1</f>
        <v>0</v>
      </c>
      <c r="M1173" s="5">
        <f>F1173/F1172-1</f>
        <v>-7.8291264303099739E-3</v>
      </c>
      <c r="N1173" s="5">
        <f>SUMPRODUCT(I1173:M1173,$AJ$13:$AN$13)</f>
        <v>-5.8413227490590348E-3</v>
      </c>
    </row>
    <row r="1174" spans="1:14" x14ac:dyDescent="0.35">
      <c r="A1174" s="3">
        <v>45533</v>
      </c>
      <c r="B1174" s="4">
        <v>38.572551727294901</v>
      </c>
      <c r="C1174" s="4">
        <v>138.11506652832</v>
      </c>
      <c r="D1174" s="4">
        <v>107.90447235107401</v>
      </c>
      <c r="E1174" s="4">
        <v>24.494907379150298</v>
      </c>
      <c r="F1174" s="4">
        <v>408.34353637695301</v>
      </c>
      <c r="I1174" s="5">
        <f>B1174/B1173-1</f>
        <v>5.5068597087271076E-3</v>
      </c>
      <c r="J1174" s="5">
        <f>C1174/C1173-1</f>
        <v>9.7260004716459569E-3</v>
      </c>
      <c r="K1174" s="5">
        <f>D1174/D1173-1</f>
        <v>-7.3503737335945951E-3</v>
      </c>
      <c r="L1174" s="5">
        <f>E1174/E1173-1</f>
        <v>2.9518323469805985E-3</v>
      </c>
      <c r="M1174" s="5">
        <f>F1174/F1173-1</f>
        <v>6.1373123249079953E-3</v>
      </c>
      <c r="N1174" s="5">
        <f>SUMPRODUCT(I1174:M1174,$AJ$13:$AN$13)</f>
        <v>-2.3090288570176355E-3</v>
      </c>
    </row>
    <row r="1175" spans="1:14" x14ac:dyDescent="0.35">
      <c r="A1175" s="3">
        <v>45534</v>
      </c>
      <c r="B1175" s="4">
        <v>39.129486083984297</v>
      </c>
      <c r="C1175" s="4">
        <v>138.61160278320301</v>
      </c>
      <c r="D1175" s="4">
        <v>112.581565856933</v>
      </c>
      <c r="E1175" s="4">
        <v>24.233556747436499</v>
      </c>
      <c r="F1175" s="4">
        <v>412.31707763671801</v>
      </c>
      <c r="I1175" s="5">
        <f>B1175/B1174-1</f>
        <v>1.4438618441084294E-2</v>
      </c>
      <c r="J1175" s="5">
        <f>C1175/C1174-1</f>
        <v>3.5950911610442837E-3</v>
      </c>
      <c r="K1175" s="5">
        <f>D1175/D1174-1</f>
        <v>4.3344760452947328E-2</v>
      </c>
      <c r="L1175" s="5">
        <f>E1175/E1174-1</f>
        <v>-1.0669590526243722E-2</v>
      </c>
      <c r="M1175" s="5">
        <f>F1175/F1174-1</f>
        <v>9.7308783065856996E-3</v>
      </c>
      <c r="N1175" s="5">
        <f>SUMPRODUCT(I1175:M1175,$AJ$13:$AN$13)</f>
        <v>1.6539932599765557E-2</v>
      </c>
    </row>
    <row r="1176" spans="1:14" x14ac:dyDescent="0.35">
      <c r="A1176" s="3">
        <v>45538</v>
      </c>
      <c r="B1176" s="4">
        <v>39.081478118896399</v>
      </c>
      <c r="C1176" s="4">
        <v>135.52928161621</v>
      </c>
      <c r="D1176" s="4">
        <v>107.933708190917</v>
      </c>
      <c r="E1176" s="4">
        <v>23.061985015869102</v>
      </c>
      <c r="F1176" s="4">
        <v>404.70608520507801</v>
      </c>
      <c r="I1176" s="5">
        <f>B1176/B1175-1</f>
        <v>-1.2268999645141943E-3</v>
      </c>
      <c r="J1176" s="5">
        <f>C1176/C1175-1</f>
        <v>-2.2237107897914887E-2</v>
      </c>
      <c r="K1176" s="5">
        <f>D1176/D1175-1</f>
        <v>-4.1284357973155439E-2</v>
      </c>
      <c r="L1176" s="5">
        <f>E1176/E1175-1</f>
        <v>-4.8345017769268583E-2</v>
      </c>
      <c r="M1176" s="5">
        <f>F1176/F1175-1</f>
        <v>-1.8459076386707074E-2</v>
      </c>
      <c r="N1176" s="5">
        <f>SUMPRODUCT(I1176:M1176,$AJ$13:$AN$13)</f>
        <v>-4.9167975519179445E-2</v>
      </c>
    </row>
    <row r="1177" spans="1:14" x14ac:dyDescent="0.35">
      <c r="A1177" s="3">
        <v>45539</v>
      </c>
      <c r="B1177" s="4">
        <v>38.8894233703613</v>
      </c>
      <c r="C1177" s="4">
        <v>133.102767944335</v>
      </c>
      <c r="D1177" s="4">
        <v>106.26749420166</v>
      </c>
      <c r="E1177" s="4">
        <v>22.854707717895501</v>
      </c>
      <c r="F1177" s="4">
        <v>404.17236328125</v>
      </c>
      <c r="I1177" s="5">
        <f>B1177/B1176-1</f>
        <v>-4.9142140415164848E-3</v>
      </c>
      <c r="J1177" s="5">
        <f>C1177/C1176-1</f>
        <v>-1.7903980917912454E-2</v>
      </c>
      <c r="K1177" s="5">
        <f>D1177/D1176-1</f>
        <v>-1.5437382975017844E-2</v>
      </c>
      <c r="L1177" s="5">
        <f>E1177/E1176-1</f>
        <v>-8.9878342142262202E-3</v>
      </c>
      <c r="M1177" s="5">
        <f>F1177/F1176-1</f>
        <v>-1.3187889763445204E-3</v>
      </c>
      <c r="N1177" s="5">
        <f>SUMPRODUCT(I1177:M1177,$AJ$13:$AN$13)</f>
        <v>-1.0670161063091292E-2</v>
      </c>
    </row>
    <row r="1178" spans="1:14" x14ac:dyDescent="0.35">
      <c r="A1178" s="3">
        <v>45540</v>
      </c>
      <c r="B1178" s="4">
        <v>38.543743133544901</v>
      </c>
      <c r="C1178" s="4">
        <v>132.03469848632801</v>
      </c>
      <c r="D1178" s="4">
        <v>104.41616058349599</v>
      </c>
      <c r="E1178" s="4">
        <v>22.809642791748001</v>
      </c>
      <c r="F1178" s="4">
        <v>403.66824340820301</v>
      </c>
      <c r="I1178" s="5">
        <f>B1178/B1177-1</f>
        <v>-8.8887982093314166E-3</v>
      </c>
      <c r="J1178" s="5">
        <f>C1178/C1177-1</f>
        <v>-8.024397046751619E-3</v>
      </c>
      <c r="K1178" s="5">
        <f>D1178/D1177-1</f>
        <v>-1.7421447942028268E-2</v>
      </c>
      <c r="L1178" s="5">
        <f>E1178/E1177-1</f>
        <v>-1.9718005893469837E-3</v>
      </c>
      <c r="M1178" s="5">
        <f>F1178/F1177-1</f>
        <v>-1.2472893221948667E-3</v>
      </c>
      <c r="N1178" s="5">
        <f>SUMPRODUCT(I1178:M1178,$AJ$13:$AN$13)</f>
        <v>-7.5752074033144396E-3</v>
      </c>
    </row>
    <row r="1179" spans="1:14" x14ac:dyDescent="0.35">
      <c r="A1179" s="3">
        <v>45541</v>
      </c>
      <c r="B1179" s="4">
        <v>37.461269378662102</v>
      </c>
      <c r="C1179" s="4">
        <v>129.81428527832</v>
      </c>
      <c r="D1179" s="4">
        <v>99.388267517089801</v>
      </c>
      <c r="E1179" s="4">
        <v>22.467187881469702</v>
      </c>
      <c r="F1179" s="4">
        <v>397.05560302734301</v>
      </c>
      <c r="I1179" s="5">
        <f>B1179/B1178-1</f>
        <v>-2.8084292465635374E-2</v>
      </c>
      <c r="J1179" s="5">
        <f>C1179/C1178-1</f>
        <v>-1.6816891570649806E-2</v>
      </c>
      <c r="K1179" s="5">
        <f>D1179/D1178-1</f>
        <v>-4.8152441521594369E-2</v>
      </c>
      <c r="L1179" s="5">
        <f>E1179/E1178-1</f>
        <v>-1.5013602510346669E-2</v>
      </c>
      <c r="M1179" s="5">
        <f>F1179/F1178-1</f>
        <v>-1.638137378612925E-2</v>
      </c>
      <c r="N1179" s="5">
        <f>SUMPRODUCT(I1179:M1179,$AJ$13:$AN$13)</f>
        <v>-2.8885690222695271E-2</v>
      </c>
    </row>
    <row r="1180" spans="1:14" x14ac:dyDescent="0.35">
      <c r="A1180" s="3">
        <v>45544</v>
      </c>
      <c r="B1180" s="4">
        <v>38.147483825683501</v>
      </c>
      <c r="C1180" s="4">
        <v>131.44447326660099</v>
      </c>
      <c r="D1180" s="4">
        <v>103.178657531738</v>
      </c>
      <c r="E1180" s="4">
        <v>22.4852085113525</v>
      </c>
      <c r="F1180" s="4">
        <v>401.02911376953102</v>
      </c>
      <c r="I1180" s="5">
        <f>B1180/B1179-1</f>
        <v>1.8317971024555568E-2</v>
      </c>
      <c r="J1180" s="5">
        <f>C1180/C1179-1</f>
        <v>1.2557847426312829E-2</v>
      </c>
      <c r="K1180" s="5">
        <f>D1180/D1179-1</f>
        <v>3.8137197773333131E-2</v>
      </c>
      <c r="L1180" s="5">
        <f>E1180/E1179-1</f>
        <v>8.0208657967650865E-4</v>
      </c>
      <c r="M1180" s="5">
        <f>F1180/F1179-1</f>
        <v>1.0007441557031482E-2</v>
      </c>
      <c r="N1180" s="5">
        <f>SUMPRODUCT(I1180:M1180,$AJ$13:$AN$13)</f>
        <v>1.7865501864635515E-2</v>
      </c>
    </row>
    <row r="1181" spans="1:14" x14ac:dyDescent="0.35">
      <c r="A1181" s="3">
        <v>45545</v>
      </c>
      <c r="B1181" s="4">
        <v>37.963844299316399</v>
      </c>
      <c r="C1181" s="4">
        <v>129.505126953125</v>
      </c>
      <c r="D1181" s="4">
        <v>103.909469604492</v>
      </c>
      <c r="E1181" s="4">
        <v>22.043615341186499</v>
      </c>
      <c r="F1181" s="4">
        <v>409.41110229492102</v>
      </c>
      <c r="I1181" s="5">
        <f>B1181/B1180-1</f>
        <v>-4.8139354932621448E-3</v>
      </c>
      <c r="J1181" s="5">
        <f>C1181/C1180-1</f>
        <v>-1.4754110730411107E-2</v>
      </c>
      <c r="K1181" s="5">
        <f>D1181/D1180-1</f>
        <v>7.0829771411708986E-3</v>
      </c>
      <c r="L1181" s="5">
        <f>E1181/E1180-1</f>
        <v>-1.9639273967285931E-2</v>
      </c>
      <c r="M1181" s="5">
        <f>F1181/F1180-1</f>
        <v>2.090119703929294E-2</v>
      </c>
      <c r="N1181" s="5">
        <f>SUMPRODUCT(I1181:M1181,$AJ$13:$AN$13)</f>
        <v>3.3689188590647614E-3</v>
      </c>
    </row>
    <row r="1182" spans="1:14" x14ac:dyDescent="0.35">
      <c r="A1182" s="3">
        <v>45546</v>
      </c>
      <c r="B1182" s="4">
        <v>37.693229675292898</v>
      </c>
      <c r="C1182" s="4">
        <v>129.17721557617099</v>
      </c>
      <c r="D1182" s="4">
        <v>106.01416015625</v>
      </c>
      <c r="E1182" s="4">
        <v>22.070652008056602</v>
      </c>
      <c r="F1182" s="4">
        <v>418.14889526367102</v>
      </c>
      <c r="I1182" s="5">
        <f>B1182/B1181-1</f>
        <v>-7.1282197316454576E-3</v>
      </c>
      <c r="J1182" s="5">
        <f>C1182/C1181-1</f>
        <v>-2.5320339408083647E-3</v>
      </c>
      <c r="K1182" s="5">
        <f>D1182/D1181-1</f>
        <v>2.0255040852090067E-2</v>
      </c>
      <c r="L1182" s="5">
        <f>E1182/E1181-1</f>
        <v>1.2265078323874246E-3</v>
      </c>
      <c r="M1182" s="5">
        <f>F1182/F1181-1</f>
        <v>2.1342344943190428E-2</v>
      </c>
      <c r="N1182" s="5">
        <f>SUMPRODUCT(I1182:M1182,$AJ$13:$AN$13)</f>
        <v>2.03931927538617E-2</v>
      </c>
    </row>
    <row r="1183" spans="1:14" x14ac:dyDescent="0.35">
      <c r="A1183" s="3">
        <v>45547</v>
      </c>
      <c r="B1183" s="4">
        <v>37.480602264404297</v>
      </c>
      <c r="C1183" s="4">
        <v>130.42329406738199</v>
      </c>
      <c r="D1183" s="4">
        <v>109.27838134765599</v>
      </c>
      <c r="E1183" s="4">
        <v>22.3770637512207</v>
      </c>
      <c r="F1183" s="4">
        <v>422.06307983398398</v>
      </c>
      <c r="I1183" s="5">
        <f>B1183/B1182-1</f>
        <v>-5.6409974077645808E-3</v>
      </c>
      <c r="J1183" s="5">
        <f>C1183/C1182-1</f>
        <v>9.6462714856726528E-3</v>
      </c>
      <c r="K1183" s="5">
        <f>D1183/D1182-1</f>
        <v>3.0790426359978529E-2</v>
      </c>
      <c r="L1183" s="5">
        <f>E1183/E1182-1</f>
        <v>1.3883221168647264E-2</v>
      </c>
      <c r="M1183" s="5">
        <f>F1183/F1182-1</f>
        <v>9.3607435405151929E-3</v>
      </c>
      <c r="N1183" s="5">
        <f>SUMPRODUCT(I1183:M1183,$AJ$13:$AN$13)</f>
        <v>2.696109856218774E-2</v>
      </c>
    </row>
    <row r="1184" spans="1:14" x14ac:dyDescent="0.35">
      <c r="A1184" s="3">
        <v>45548</v>
      </c>
      <c r="B1184" s="4">
        <v>37.354957580566399</v>
      </c>
      <c r="C1184" s="4">
        <v>131.73490905761699</v>
      </c>
      <c r="D1184" s="4">
        <v>111.373321533203</v>
      </c>
      <c r="E1184" s="4">
        <v>22.6113777160644</v>
      </c>
      <c r="F1184" s="4">
        <v>425.611572265625</v>
      </c>
      <c r="I1184" s="5">
        <f>B1184/B1183-1</f>
        <v>-3.3522589352098509E-3</v>
      </c>
      <c r="J1184" s="5">
        <f>C1184/C1183-1</f>
        <v>1.0056600698624907E-2</v>
      </c>
      <c r="K1184" s="5">
        <f>D1184/D1183-1</f>
        <v>1.9170673647536995E-2</v>
      </c>
      <c r="L1184" s="5">
        <f>E1184/E1183-1</f>
        <v>1.0471166702151313E-2</v>
      </c>
      <c r="M1184" s="5">
        <f>F1184/F1183-1</f>
        <v>8.4074931004076703E-3</v>
      </c>
      <c r="N1184" s="5">
        <f>SUMPRODUCT(I1184:M1184,$AJ$13:$AN$13)</f>
        <v>1.8322900775480898E-2</v>
      </c>
    </row>
    <row r="1185" spans="1:14" x14ac:dyDescent="0.35">
      <c r="A1185" s="3">
        <v>45551</v>
      </c>
      <c r="B1185" s="4">
        <v>37.7898750305175</v>
      </c>
      <c r="C1185" s="4">
        <v>133.12150573730401</v>
      </c>
      <c r="D1185" s="4">
        <v>112.445167541503</v>
      </c>
      <c r="E1185" s="4">
        <v>22.692485809326101</v>
      </c>
      <c r="F1185" s="4">
        <v>426.352935791015</v>
      </c>
      <c r="I1185" s="5">
        <f>B1185/B1184-1</f>
        <v>1.1642830781244395E-2</v>
      </c>
      <c r="J1185" s="5">
        <f>C1185/C1184-1</f>
        <v>1.0525658609446875E-2</v>
      </c>
      <c r="K1185" s="5">
        <f>D1185/D1184-1</f>
        <v>9.6239026864297639E-3</v>
      </c>
      <c r="L1185" s="5">
        <f>E1185/E1184-1</f>
        <v>3.5870478252228999E-3</v>
      </c>
      <c r="M1185" s="5">
        <f>F1185/F1184-1</f>
        <v>1.741878214080339E-3</v>
      </c>
      <c r="N1185" s="5">
        <f>SUMPRODUCT(I1185:M1185,$AJ$13:$AN$13)</f>
        <v>3.556740740183255E-3</v>
      </c>
    </row>
    <row r="1186" spans="1:14" x14ac:dyDescent="0.35">
      <c r="A1186" s="3">
        <v>45552</v>
      </c>
      <c r="B1186" s="4">
        <v>38.224796295166001</v>
      </c>
      <c r="C1186" s="4">
        <v>134.35818481445301</v>
      </c>
      <c r="D1186" s="4">
        <v>113.828796386718</v>
      </c>
      <c r="E1186" s="4">
        <v>22.4852085113525</v>
      </c>
      <c r="F1186" s="4">
        <v>430.11886596679602</v>
      </c>
      <c r="I1186" s="5">
        <f>B1186/B1185-1</f>
        <v>1.1508936303633588E-2</v>
      </c>
      <c r="J1186" s="5">
        <f>C1186/C1185-1</f>
        <v>9.2898519311328531E-3</v>
      </c>
      <c r="K1186" s="5">
        <f>D1186/D1185-1</f>
        <v>1.2304920482281378E-2</v>
      </c>
      <c r="L1186" s="5">
        <f>E1186/E1185-1</f>
        <v>-9.1341821127597367E-3</v>
      </c>
      <c r="M1186" s="5">
        <f>F1186/F1185-1</f>
        <v>8.8328937357826653E-3</v>
      </c>
      <c r="N1186" s="5">
        <f>SUMPRODUCT(I1186:M1186,$AJ$13:$AN$13)</f>
        <v>1.4565324362251992E-3</v>
      </c>
    </row>
    <row r="1187" spans="1:14" x14ac:dyDescent="0.35">
      <c r="A1187" s="3">
        <v>45553</v>
      </c>
      <c r="B1187" s="4">
        <v>38.292453765869098</v>
      </c>
      <c r="C1187" s="4">
        <v>134.87345886230401</v>
      </c>
      <c r="D1187" s="4">
        <v>113.020057678222</v>
      </c>
      <c r="E1187" s="4">
        <v>22.638414382934499</v>
      </c>
      <c r="F1187" s="4">
        <v>425.82904052734301</v>
      </c>
      <c r="I1187" s="5">
        <f>B1187/B1186-1</f>
        <v>1.7699890453477529E-3</v>
      </c>
      <c r="J1187" s="5">
        <f>C1187/C1186-1</f>
        <v>3.8350774726718662E-3</v>
      </c>
      <c r="K1187" s="5">
        <f>D1187/D1186-1</f>
        <v>-7.1048691909946227E-3</v>
      </c>
      <c r="L1187" s="5">
        <f>E1187/E1186-1</f>
        <v>6.8136291244373925E-3</v>
      </c>
      <c r="M1187" s="5">
        <f>F1187/F1186-1</f>
        <v>-9.9735812094886578E-3</v>
      </c>
      <c r="N1187" s="5">
        <f>SUMPRODUCT(I1187:M1187,$AJ$13:$AN$13)</f>
        <v>-4.4847810662123639E-3</v>
      </c>
    </row>
    <row r="1188" spans="1:14" x14ac:dyDescent="0.35">
      <c r="A1188" s="3">
        <v>45554</v>
      </c>
      <c r="B1188" s="4">
        <v>39.500572204589801</v>
      </c>
      <c r="C1188" s="4">
        <v>135.838455200195</v>
      </c>
      <c r="D1188" s="4">
        <v>114.754470825195</v>
      </c>
      <c r="E1188" s="4">
        <v>22.404100418090799</v>
      </c>
      <c r="F1188" s="4">
        <v>433.61795043945301</v>
      </c>
      <c r="I1188" s="5">
        <f>B1188/B1187-1</f>
        <v>3.1549778609317736E-2</v>
      </c>
      <c r="J1188" s="5">
        <f>C1188/C1187-1</f>
        <v>7.1548275400588057E-3</v>
      </c>
      <c r="K1188" s="5">
        <f>D1188/D1187-1</f>
        <v>1.534606496053148E-2</v>
      </c>
      <c r="L1188" s="5">
        <f>E1188/E1187-1</f>
        <v>-1.0350281644298076E-2</v>
      </c>
      <c r="M1188" s="5">
        <f>F1188/F1187-1</f>
        <v>1.8291166573478179E-2</v>
      </c>
      <c r="N1188" s="5">
        <f>SUMPRODUCT(I1188:M1188,$AJ$13:$AN$13)</f>
        <v>-9.4891234681045156E-5</v>
      </c>
    </row>
    <row r="1189" spans="1:14" x14ac:dyDescent="0.35">
      <c r="A1189" s="3">
        <v>45555</v>
      </c>
      <c r="B1189" s="4">
        <v>38.920677185058501</v>
      </c>
      <c r="C1189" s="4">
        <v>136.48487854003901</v>
      </c>
      <c r="D1189" s="4">
        <v>114.49138641357401</v>
      </c>
      <c r="E1189" s="4">
        <v>22.404100418090799</v>
      </c>
      <c r="F1189" s="4">
        <v>430.23748779296801</v>
      </c>
      <c r="I1189" s="5">
        <f>B1189/B1188-1</f>
        <v>-1.4680673903349595E-2</v>
      </c>
      <c r="J1189" s="5">
        <f>C1189/C1188-1</f>
        <v>4.7587653944629604E-3</v>
      </c>
      <c r="K1189" s="5">
        <f>D1189/D1188-1</f>
        <v>-2.2925852886529485E-3</v>
      </c>
      <c r="L1189" s="5">
        <f>E1189/E1188-1</f>
        <v>0</v>
      </c>
      <c r="M1189" s="5">
        <f>F1189/F1188-1</f>
        <v>-7.7959471997389729E-3</v>
      </c>
      <c r="N1189" s="5">
        <f>SUMPRODUCT(I1189:M1189,$AJ$13:$AN$13)</f>
        <v>2.9205028730171613E-4</v>
      </c>
    </row>
    <row r="1190" spans="1:14" x14ac:dyDescent="0.35">
      <c r="A1190" s="3">
        <v>45558</v>
      </c>
      <c r="B1190" s="4">
        <v>38.534080505371001</v>
      </c>
      <c r="C1190" s="4">
        <v>138.22750854492099</v>
      </c>
      <c r="D1190" s="4">
        <v>114.559600830078</v>
      </c>
      <c r="E1190" s="4">
        <v>22.764585494995099</v>
      </c>
      <c r="F1190" s="4">
        <v>428.49786376953102</v>
      </c>
      <c r="I1190" s="5">
        <f>B1190/B1189-1</f>
        <v>-9.9329381616184431E-3</v>
      </c>
      <c r="J1190" s="5">
        <f>C1190/C1189-1</f>
        <v>1.2767934613143073E-2</v>
      </c>
      <c r="K1190" s="5">
        <f>D1190/D1189-1</f>
        <v>5.9580391713986991E-4</v>
      </c>
      <c r="L1190" s="5">
        <f>E1190/E1189-1</f>
        <v>1.6090138420073119E-2</v>
      </c>
      <c r="M1190" s="5">
        <f>F1190/F1189-1</f>
        <v>-4.0434041030709134E-3</v>
      </c>
      <c r="N1190" s="5">
        <f>SUMPRODUCT(I1190:M1190,$AJ$13:$AN$13)</f>
        <v>8.9321961212507333E-3</v>
      </c>
    </row>
    <row r="1191" spans="1:14" x14ac:dyDescent="0.35">
      <c r="A1191" s="3">
        <v>45559</v>
      </c>
      <c r="B1191" s="4">
        <v>38.128150939941399</v>
      </c>
      <c r="C1191" s="4">
        <v>138.14317321777301</v>
      </c>
      <c r="D1191" s="4">
        <v>114.306251525878</v>
      </c>
      <c r="E1191" s="4">
        <v>22.890752792358398</v>
      </c>
      <c r="F1191" s="4">
        <v>424.20797729492102</v>
      </c>
      <c r="I1191" s="5">
        <f>B1191/B1190-1</f>
        <v>-1.0534300030151766E-2</v>
      </c>
      <c r="J1191" s="5">
        <f>C1191/C1190-1</f>
        <v>-6.1011970797819615E-4</v>
      </c>
      <c r="K1191" s="5">
        <f>D1191/D1190-1</f>
        <v>-2.2115065203115458E-3</v>
      </c>
      <c r="L1191" s="5">
        <f>E1191/E1190-1</f>
        <v>5.5422620100435971E-3</v>
      </c>
      <c r="M1191" s="5">
        <f>F1191/F1190-1</f>
        <v>-1.0011453585489383E-2</v>
      </c>
      <c r="N1191" s="5">
        <f>SUMPRODUCT(I1191:M1191,$AJ$13:$AN$13)</f>
        <v>1.1605499569603138E-3</v>
      </c>
    </row>
    <row r="1192" spans="1:14" x14ac:dyDescent="0.35">
      <c r="A1192" s="3">
        <v>45560</v>
      </c>
      <c r="B1192" s="4">
        <v>37.934852600097599</v>
      </c>
      <c r="C1192" s="4">
        <v>134.88282775878901</v>
      </c>
      <c r="D1192" s="4">
        <v>117.09303283691401</v>
      </c>
      <c r="E1192" s="4">
        <v>22.350028991699201</v>
      </c>
      <c r="F1192" s="4">
        <v>427.114013671875</v>
      </c>
      <c r="I1192" s="5">
        <f>B1192/B1191-1</f>
        <v>-5.0697013906674249E-3</v>
      </c>
      <c r="J1192" s="5">
        <f>C1192/C1191-1</f>
        <v>-2.3601205785567791E-2</v>
      </c>
      <c r="K1192" s="5">
        <f>D1192/D1191-1</f>
        <v>2.4379955372826778E-2</v>
      </c>
      <c r="L1192" s="5">
        <f>E1192/E1191-1</f>
        <v>-2.3621931771492743E-2</v>
      </c>
      <c r="M1192" s="5">
        <f>F1192/F1191-1</f>
        <v>6.8504991242388513E-3</v>
      </c>
      <c r="N1192" s="5">
        <f>SUMPRODUCT(I1192:M1192,$AJ$13:$AN$13)</f>
        <v>6.1842971487507444E-3</v>
      </c>
    </row>
    <row r="1193" spans="1:14" x14ac:dyDescent="0.35">
      <c r="A1193" s="3">
        <v>45561</v>
      </c>
      <c r="B1193" s="4">
        <v>38.195808410644503</v>
      </c>
      <c r="C1193" s="4">
        <v>133.02780151367099</v>
      </c>
      <c r="D1193" s="4">
        <v>123.25119781494099</v>
      </c>
      <c r="E1193" s="4">
        <v>21.8002910614013</v>
      </c>
      <c r="F1193" s="4">
        <v>426.32321166992102</v>
      </c>
      <c r="I1193" s="5">
        <f>B1193/B1192-1</f>
        <v>6.8790516546315406E-3</v>
      </c>
      <c r="J1193" s="5">
        <f>C1193/C1192-1</f>
        <v>-1.3752871851377191E-2</v>
      </c>
      <c r="K1193" s="5">
        <f>D1193/D1192-1</f>
        <v>5.2592069987665413E-2</v>
      </c>
      <c r="L1193" s="5">
        <f>E1193/E1192-1</f>
        <v>-2.4596743498725426E-2</v>
      </c>
      <c r="M1193" s="5">
        <f>F1193/F1192-1</f>
        <v>-1.8515009497241941E-3</v>
      </c>
      <c r="N1193" s="5">
        <f>SUMPRODUCT(I1193:M1193,$AJ$13:$AN$13)</f>
        <v>1.3732830536276596E-2</v>
      </c>
    </row>
    <row r="1194" spans="1:14" x14ac:dyDescent="0.35">
      <c r="A1194" s="3">
        <v>45562</v>
      </c>
      <c r="B1194" s="4">
        <v>38.079830169677699</v>
      </c>
      <c r="C1194" s="4">
        <v>136.30691528320301</v>
      </c>
      <c r="D1194" s="4">
        <v>117.14173889160099</v>
      </c>
      <c r="E1194" s="4">
        <v>22.521257400512599</v>
      </c>
      <c r="F1194" s="4">
        <v>423.0712890625</v>
      </c>
      <c r="I1194" s="5">
        <f>B1194/B1193-1</f>
        <v>-3.0364127843536259E-3</v>
      </c>
      <c r="J1194" s="5">
        <f>C1194/C1193-1</f>
        <v>2.4649838095648136E-2</v>
      </c>
      <c r="K1194" s="5">
        <f>D1194/D1193-1</f>
        <v>-4.9569164694960755E-2</v>
      </c>
      <c r="L1194" s="5">
        <f>E1194/E1193-1</f>
        <v>3.3071408867004326E-2</v>
      </c>
      <c r="M1194" s="5">
        <f>F1194/F1193-1</f>
        <v>-7.6278338087273356E-3</v>
      </c>
      <c r="N1194" s="5">
        <f>SUMPRODUCT(I1194:M1194,$AJ$13:$AN$13)</f>
        <v>-1.2833923384834585E-2</v>
      </c>
    </row>
    <row r="1195" spans="1:14" x14ac:dyDescent="0.35">
      <c r="A1195" s="3">
        <v>45565</v>
      </c>
      <c r="B1195" s="4">
        <v>38.350448608398402</v>
      </c>
      <c r="C1195" s="4">
        <v>137.97453308105401</v>
      </c>
      <c r="D1195" s="4">
        <v>115.504768371582</v>
      </c>
      <c r="E1195" s="4">
        <v>22.827671051025298</v>
      </c>
      <c r="F1195" s="4">
        <v>425.32492065429602</v>
      </c>
      <c r="I1195" s="5">
        <f>B1195/B1194-1</f>
        <v>7.1066083413415804E-3</v>
      </c>
      <c r="J1195" s="5">
        <f>C1195/C1194-1</f>
        <v>1.2234286091693969E-2</v>
      </c>
      <c r="K1195" s="5">
        <f>D1195/D1194-1</f>
        <v>-1.3974271984589448E-2</v>
      </c>
      <c r="L1195" s="5">
        <f>E1195/E1194-1</f>
        <v>1.3605530324684478E-2</v>
      </c>
      <c r="M1195" s="5">
        <f>F1195/F1194-1</f>
        <v>5.3268365168195331E-3</v>
      </c>
      <c r="N1195" s="5">
        <f>SUMPRODUCT(I1195:M1195,$AJ$13:$AN$13)</f>
        <v>-1.5954823923294331E-3</v>
      </c>
    </row>
    <row r="1196" spans="1:14" x14ac:dyDescent="0.35">
      <c r="A1196" s="3">
        <v>45566</v>
      </c>
      <c r="B1196" s="4">
        <v>37.905860900878899</v>
      </c>
      <c r="C1196" s="4">
        <v>140.25115966796801</v>
      </c>
      <c r="D1196" s="4">
        <v>110.262519836425</v>
      </c>
      <c r="E1196" s="4">
        <v>23.422468185424801</v>
      </c>
      <c r="F1196" s="4">
        <v>415.826080322265</v>
      </c>
      <c r="I1196" s="5">
        <f>B1196/B1195-1</f>
        <v>-1.1592764195778926E-2</v>
      </c>
      <c r="J1196" s="5">
        <f>C1196/C1195-1</f>
        <v>1.6500339128356245E-2</v>
      </c>
      <c r="K1196" s="5">
        <f>D1196/D1195-1</f>
        <v>-4.5385559480042859E-2</v>
      </c>
      <c r="L1196" s="5">
        <f>E1196/E1195-1</f>
        <v>2.6055970977941101E-2</v>
      </c>
      <c r="M1196" s="5">
        <f>F1196/F1195-1</f>
        <v>-2.2333138433126676E-2</v>
      </c>
      <c r="N1196" s="5">
        <f>SUMPRODUCT(I1196:M1196,$AJ$13:$AN$13)</f>
        <v>-1.6104288605395999E-2</v>
      </c>
    </row>
    <row r="1197" spans="1:14" x14ac:dyDescent="0.35">
      <c r="A1197" s="3">
        <v>45567</v>
      </c>
      <c r="B1197" s="4">
        <v>37.915519714355398</v>
      </c>
      <c r="C1197" s="4">
        <v>141.422271728515</v>
      </c>
      <c r="D1197" s="4">
        <v>110.55482482910099</v>
      </c>
      <c r="E1197" s="4">
        <v>23.9631958007812</v>
      </c>
      <c r="F1197" s="4">
        <v>412.30718994140602</v>
      </c>
      <c r="I1197" s="5">
        <f>B1197/B1196-1</f>
        <v>2.5481055559595234E-4</v>
      </c>
      <c r="J1197" s="5">
        <f>C1197/C1196-1</f>
        <v>8.350106076266961E-3</v>
      </c>
      <c r="K1197" s="5">
        <f>D1197/D1196-1</f>
        <v>2.6509914076844332E-3</v>
      </c>
      <c r="L1197" s="5">
        <f>E1197/E1196-1</f>
        <v>2.3085851203882957E-2</v>
      </c>
      <c r="M1197" s="5">
        <f>F1197/F1196-1</f>
        <v>-8.4624090392113605E-3</v>
      </c>
      <c r="N1197" s="5">
        <f>SUMPRODUCT(I1197:M1197,$AJ$13:$AN$13)</f>
        <v>8.9932202541237009E-3</v>
      </c>
    </row>
    <row r="1198" spans="1:14" x14ac:dyDescent="0.35">
      <c r="A1198" s="3">
        <v>45568</v>
      </c>
      <c r="B1198" s="4">
        <v>37.934852600097599</v>
      </c>
      <c r="C1198" s="4">
        <v>141.70333862304599</v>
      </c>
      <c r="D1198" s="4">
        <v>112.708251953125</v>
      </c>
      <c r="E1198" s="4">
        <v>24.107387542724599</v>
      </c>
      <c r="F1198" s="4">
        <v>411.72406005859301</v>
      </c>
      <c r="I1198" s="5">
        <f>B1198/B1197-1</f>
        <v>5.0989372921295129E-4</v>
      </c>
      <c r="J1198" s="5">
        <f>C1198/C1197-1</f>
        <v>1.9874302052689252E-3</v>
      </c>
      <c r="K1198" s="5">
        <f>D1198/D1197-1</f>
        <v>1.947836403660208E-2</v>
      </c>
      <c r="L1198" s="5">
        <f>E1198/E1197-1</f>
        <v>6.0172166993976983E-3</v>
      </c>
      <c r="M1198" s="5">
        <f>F1198/F1197-1</f>
        <v>-1.4143092748294395E-3</v>
      </c>
      <c r="N1198" s="5">
        <f>SUMPRODUCT(I1198:M1198,$AJ$13:$AN$13)</f>
        <v>1.2268410203904666E-2</v>
      </c>
    </row>
    <row r="1199" spans="1:14" x14ac:dyDescent="0.35">
      <c r="A1199" s="3">
        <v>45569</v>
      </c>
      <c r="B1199" s="4">
        <v>38.766036987304602</v>
      </c>
      <c r="C1199" s="4">
        <v>141.22550964355401</v>
      </c>
      <c r="D1199" s="4">
        <v>117.336616516113</v>
      </c>
      <c r="E1199" s="4">
        <v>24.4408359527587</v>
      </c>
      <c r="F1199" s="4">
        <v>411.24954223632801</v>
      </c>
      <c r="I1199" s="5">
        <f>B1199/B1198-1</f>
        <v>2.1910837402459471E-2</v>
      </c>
      <c r="J1199" s="5">
        <f>C1199/C1198-1</f>
        <v>-3.3720375549025627E-3</v>
      </c>
      <c r="K1199" s="5">
        <f>D1199/D1198-1</f>
        <v>4.1065001743731511E-2</v>
      </c>
      <c r="L1199" s="5">
        <f>E1199/E1198-1</f>
        <v>1.3831793654254021E-2</v>
      </c>
      <c r="M1199" s="5">
        <f>F1199/F1198-1</f>
        <v>-1.1525141916590709E-3</v>
      </c>
      <c r="N1199" s="5">
        <f>SUMPRODUCT(I1199:M1199,$AJ$13:$AN$13)</f>
        <v>2.1232991698206801E-2</v>
      </c>
    </row>
    <row r="1200" spans="1:14" x14ac:dyDescent="0.35">
      <c r="A1200" s="3">
        <v>45572</v>
      </c>
      <c r="B1200" s="4">
        <v>38.621059417724602</v>
      </c>
      <c r="C1200" s="4">
        <v>141.58152770996</v>
      </c>
      <c r="D1200" s="4">
        <v>116.04067230224599</v>
      </c>
      <c r="E1200" s="4">
        <v>23.7018432617187</v>
      </c>
      <c r="F1200" s="4">
        <v>404.80496215820301</v>
      </c>
      <c r="I1200" s="5">
        <f>B1200/B1199-1</f>
        <v>-3.7398088854808664E-3</v>
      </c>
      <c r="J1200" s="5">
        <f>C1200/C1199-1</f>
        <v>2.5209189706913993E-3</v>
      </c>
      <c r="K1200" s="5">
        <f>D1200/D1199-1</f>
        <v>-1.1044670047129279E-2</v>
      </c>
      <c r="L1200" s="5">
        <f>E1200/E1199-1</f>
        <v>-3.0235982618122659E-2</v>
      </c>
      <c r="M1200" s="5">
        <f>F1200/F1199-1</f>
        <v>-1.5670728879307982E-2</v>
      </c>
      <c r="N1200" s="5">
        <f>SUMPRODUCT(I1200:M1200,$AJ$13:$AN$13)</f>
        <v>-2.4114346666906046E-2</v>
      </c>
    </row>
    <row r="1201" spans="1:14" x14ac:dyDescent="0.35">
      <c r="A1201" s="3">
        <v>45573</v>
      </c>
      <c r="B1201" s="4">
        <v>38.592071533203097</v>
      </c>
      <c r="C1201" s="4">
        <v>139.36112976074199</v>
      </c>
      <c r="D1201" s="4">
        <v>118.80795288085901</v>
      </c>
      <c r="E1201" s="4">
        <v>22.872726440429599</v>
      </c>
      <c r="F1201" s="4">
        <v>409.91516113281199</v>
      </c>
      <c r="I1201" s="5">
        <f>B1201/B1200-1</f>
        <v>-7.505719666561772E-4</v>
      </c>
      <c r="J1201" s="5">
        <f>C1201/C1200-1</f>
        <v>-1.568282236484031E-2</v>
      </c>
      <c r="K1201" s="5">
        <f>D1201/D1200-1</f>
        <v>2.384750556602433E-2</v>
      </c>
      <c r="L1201" s="5">
        <f>E1201/E1200-1</f>
        <v>-3.4981111474491233E-2</v>
      </c>
      <c r="M1201" s="5">
        <f>F1201/F1200-1</f>
        <v>1.2623854577681337E-2</v>
      </c>
      <c r="N1201" s="5">
        <f>SUMPRODUCT(I1201:M1201,$AJ$13:$AN$13)</f>
        <v>1.0194111918666923E-3</v>
      </c>
    </row>
    <row r="1202" spans="1:14" x14ac:dyDescent="0.35">
      <c r="A1202" s="3">
        <v>45574</v>
      </c>
      <c r="B1202" s="4">
        <v>38.843353271484297</v>
      </c>
      <c r="C1202" s="4">
        <v>140.20429992675699</v>
      </c>
      <c r="D1202" s="4">
        <v>119.20745086669901</v>
      </c>
      <c r="E1202" s="4">
        <v>22.422124862670898</v>
      </c>
      <c r="F1202" s="4">
        <v>412.63336181640602</v>
      </c>
      <c r="I1202" s="5">
        <f>B1202/B1201-1</f>
        <v>6.5112270033238495E-3</v>
      </c>
      <c r="J1202" s="5">
        <f>C1202/C1201-1</f>
        <v>6.0502535209248087E-3</v>
      </c>
      <c r="K1202" s="5">
        <f>D1202/D1201-1</f>
        <v>3.362552557745202E-3</v>
      </c>
      <c r="L1202" s="5">
        <f>E1202/E1201-1</f>
        <v>-1.9700387661797159E-2</v>
      </c>
      <c r="M1202" s="5">
        <f>F1202/F1201-1</f>
        <v>6.6311299052277395E-3</v>
      </c>
      <c r="N1202" s="5">
        <f>SUMPRODUCT(I1202:M1202,$AJ$13:$AN$13)</f>
        <v>-7.3205929841624641E-3</v>
      </c>
    </row>
    <row r="1203" spans="1:14" x14ac:dyDescent="0.35">
      <c r="A1203" s="3">
        <v>45575</v>
      </c>
      <c r="B1203" s="4">
        <v>38.630733489990199</v>
      </c>
      <c r="C1203" s="4">
        <v>141.11308288574199</v>
      </c>
      <c r="D1203" s="4">
        <v>121.60446929931599</v>
      </c>
      <c r="E1203" s="4">
        <v>22.908779144287099</v>
      </c>
      <c r="F1203" s="4">
        <v>411.03210449218699</v>
      </c>
      <c r="I1203" s="5">
        <f>B1203/B1202-1</f>
        <v>-5.4737751400620871E-3</v>
      </c>
      <c r="J1203" s="5">
        <f>C1203/C1202-1</f>
        <v>6.481847985116973E-3</v>
      </c>
      <c r="K1203" s="5">
        <f>D1203/D1202-1</f>
        <v>2.0107958145144877E-2</v>
      </c>
      <c r="L1203" s="5">
        <f>E1203/E1202-1</f>
        <v>2.1704199963064053E-2</v>
      </c>
      <c r="M1203" s="5">
        <f>F1203/F1202-1</f>
        <v>-3.8805813402249534E-3</v>
      </c>
      <c r="N1203" s="5">
        <f>SUMPRODUCT(I1203:M1203,$AJ$13:$AN$13)</f>
        <v>2.0685530953643356E-2</v>
      </c>
    </row>
    <row r="1204" spans="1:14" x14ac:dyDescent="0.35">
      <c r="A1204" s="3">
        <v>45576</v>
      </c>
      <c r="B1204" s="4">
        <v>40.544384002685497</v>
      </c>
      <c r="C1204" s="4">
        <v>141.86257934570301</v>
      </c>
      <c r="D1204" s="4">
        <v>124.45945739746</v>
      </c>
      <c r="E1204" s="4">
        <v>23.016923904418899</v>
      </c>
      <c r="F1204" s="4">
        <v>411.50656127929602</v>
      </c>
      <c r="I1204" s="5">
        <f>B1204/B1203-1</f>
        <v>4.9536996577897119E-2</v>
      </c>
      <c r="J1204" s="5">
        <f>C1204/C1203-1</f>
        <v>5.3113180198032239E-3</v>
      </c>
      <c r="K1204" s="5">
        <f>D1204/D1203-1</f>
        <v>2.3477657643624639E-2</v>
      </c>
      <c r="L1204" s="5">
        <f>E1204/E1203-1</f>
        <v>4.7206688514769279E-3</v>
      </c>
      <c r="M1204" s="5">
        <f>F1204/F1203-1</f>
        <v>1.1543059092553598E-3</v>
      </c>
      <c r="N1204" s="5">
        <f>SUMPRODUCT(I1204:M1204,$AJ$13:$AN$13)</f>
        <v>3.1475993543297263E-4</v>
      </c>
    </row>
    <row r="1205" spans="1:14" x14ac:dyDescent="0.35">
      <c r="A1205" s="3">
        <v>45579</v>
      </c>
      <c r="B1205" s="4">
        <v>40.505729675292898</v>
      </c>
      <c r="C1205" s="4">
        <v>142.19985961914</v>
      </c>
      <c r="D1205" s="4">
        <v>125.06356811523401</v>
      </c>
      <c r="E1205" s="4">
        <v>23.1250686645507</v>
      </c>
      <c r="F1205" s="4">
        <v>414.29391479492102</v>
      </c>
      <c r="I1205" s="5">
        <f>B1205/B1204-1</f>
        <v>-9.5338302315894907E-4</v>
      </c>
      <c r="J1205" s="5">
        <f>C1205/C1204-1</f>
        <v>2.3775140350090762E-3</v>
      </c>
      <c r="K1205" s="5">
        <f>D1205/D1204-1</f>
        <v>4.8538755543885426E-3</v>
      </c>
      <c r="L1205" s="5">
        <f>E1205/E1204-1</f>
        <v>4.6984888415535497E-3</v>
      </c>
      <c r="M1205" s="5">
        <f>F1205/F1204-1</f>
        <v>6.7735335907150862E-3</v>
      </c>
      <c r="N1205" s="5">
        <f>SUMPRODUCT(I1205:M1205,$AJ$13:$AN$13)</f>
        <v>7.183190567996019E-3</v>
      </c>
    </row>
    <row r="1206" spans="1:14" x14ac:dyDescent="0.35">
      <c r="A1206" s="3">
        <v>45580</v>
      </c>
      <c r="B1206" s="4">
        <v>40.728019714355398</v>
      </c>
      <c r="C1206" s="4">
        <v>138.40548706054599</v>
      </c>
      <c r="D1206" s="4">
        <v>122.608108520507</v>
      </c>
      <c r="E1206" s="4">
        <v>22.0075664520263</v>
      </c>
      <c r="F1206" s="4">
        <v>413.89859008789</v>
      </c>
      <c r="I1206" s="5">
        <f>B1206/B1205-1</f>
        <v>5.4878665523234726E-3</v>
      </c>
      <c r="J1206" s="5">
        <f>C1206/C1205-1</f>
        <v>-2.6683377668280661E-2</v>
      </c>
      <c r="K1206" s="5">
        <f>D1206/D1205-1</f>
        <v>-1.9633692143378956E-2</v>
      </c>
      <c r="L1206" s="5">
        <f>E1206/E1205-1</f>
        <v>-4.8324276512850428E-2</v>
      </c>
      <c r="M1206" s="5">
        <f>F1206/F1205-1</f>
        <v>-9.5421316344146412E-4</v>
      </c>
      <c r="N1206" s="5">
        <f>SUMPRODUCT(I1206:M1206,$AJ$13:$AN$13)</f>
        <v>-3.3834279086349658E-2</v>
      </c>
    </row>
    <row r="1207" spans="1:14" x14ac:dyDescent="0.35">
      <c r="A1207" s="3">
        <v>45581</v>
      </c>
      <c r="B1207" s="4">
        <v>41.3659057617187</v>
      </c>
      <c r="C1207" s="4">
        <v>139.34239196777301</v>
      </c>
      <c r="D1207" s="4">
        <v>123.485061645507</v>
      </c>
      <c r="E1207" s="4">
        <v>21.8002910614013</v>
      </c>
      <c r="F1207" s="4">
        <v>411.30886840820301</v>
      </c>
      <c r="I1207" s="5">
        <f>B1207/B1206-1</f>
        <v>1.5662093365626184E-2</v>
      </c>
      <c r="J1207" s="5">
        <f>C1207/C1206-1</f>
        <v>6.7692757500081857E-3</v>
      </c>
      <c r="K1207" s="5">
        <f>D1207/D1206-1</f>
        <v>7.1524888164580247E-3</v>
      </c>
      <c r="L1207" s="5">
        <f>E1207/E1206-1</f>
        <v>-9.4183694083956881E-3</v>
      </c>
      <c r="M1207" s="5">
        <f>F1207/F1206-1</f>
        <v>-6.2568990127196411E-3</v>
      </c>
      <c r="N1207" s="5">
        <f>SUMPRODUCT(I1207:M1207,$AJ$13:$AN$13)</f>
        <v>-7.51824021307317E-3</v>
      </c>
    </row>
    <row r="1208" spans="1:14" x14ac:dyDescent="0.35">
      <c r="A1208" s="3">
        <v>45582</v>
      </c>
      <c r="B1208" s="4">
        <v>41.172603607177699</v>
      </c>
      <c r="C1208" s="4">
        <v>141.656478881835</v>
      </c>
      <c r="D1208" s="4">
        <v>125.87230682373</v>
      </c>
      <c r="E1208" s="4">
        <v>21.917446136474599</v>
      </c>
      <c r="F1208" s="4">
        <v>411.90197753906199</v>
      </c>
      <c r="I1208" s="5">
        <f>B1208/B1207-1</f>
        <v>-4.6729825198192909E-3</v>
      </c>
      <c r="J1208" s="5">
        <f>C1208/C1207-1</f>
        <v>1.6607199585013444E-2</v>
      </c>
      <c r="K1208" s="5">
        <f>D1208/D1207-1</f>
        <v>1.9332258869304786E-2</v>
      </c>
      <c r="L1208" s="5">
        <f>E1208/E1207-1</f>
        <v>5.3740142617053621E-3</v>
      </c>
      <c r="M1208" s="5">
        <f>F1208/F1207-1</f>
        <v>1.4420042367535579E-3</v>
      </c>
      <c r="N1208" s="5">
        <f>SUMPRODUCT(I1208:M1208,$AJ$13:$AN$13)</f>
        <v>1.3865924886693899E-2</v>
      </c>
    </row>
    <row r="1209" spans="1:14" x14ac:dyDescent="0.35">
      <c r="A1209" s="3">
        <v>45583</v>
      </c>
      <c r="B1209" s="4">
        <v>40.901988983154297</v>
      </c>
      <c r="C1209" s="4">
        <v>141.23486328125</v>
      </c>
      <c r="D1209" s="4">
        <v>123.221961975097</v>
      </c>
      <c r="E1209" s="4">
        <v>21.764238357543899</v>
      </c>
      <c r="F1209" s="4">
        <v>413.32531738281199</v>
      </c>
      <c r="I1209" s="5">
        <f>B1209/B1208-1</f>
        <v>-6.5726866973315756E-3</v>
      </c>
      <c r="J1209" s="5">
        <f>C1209/C1208-1</f>
        <v>-2.9763241604833235E-3</v>
      </c>
      <c r="K1209" s="5">
        <f>D1209/D1208-1</f>
        <v>-2.1055821693523935E-2</v>
      </c>
      <c r="L1209" s="5">
        <f>E1209/E1208-1</f>
        <v>-6.9902203923172257E-3</v>
      </c>
      <c r="M1209" s="5">
        <f>F1209/F1208-1</f>
        <v>3.4555304935748321E-3</v>
      </c>
      <c r="N1209" s="5">
        <f>SUMPRODUCT(I1209:M1209,$AJ$13:$AN$13)</f>
        <v>-1.1076691370418001E-2</v>
      </c>
    </row>
    <row r="1210" spans="1:14" x14ac:dyDescent="0.35">
      <c r="A1210" s="3">
        <v>45586</v>
      </c>
      <c r="B1210" s="4">
        <v>40.360744476318303</v>
      </c>
      <c r="C1210" s="4">
        <v>141.356689453125</v>
      </c>
      <c r="D1210" s="4">
        <v>122.442459106445</v>
      </c>
      <c r="E1210" s="4">
        <v>21.926458358764599</v>
      </c>
      <c r="F1210" s="4">
        <v>413.93811035156199</v>
      </c>
      <c r="I1210" s="5">
        <f>B1210/B1209-1</f>
        <v>-1.3232718513002117E-2</v>
      </c>
      <c r="J1210" s="5">
        <f>C1210/C1209-1</f>
        <v>8.6257860874194847E-4</v>
      </c>
      <c r="K1210" s="5">
        <f>D1210/D1209-1</f>
        <v>-6.3260059826797388E-3</v>
      </c>
      <c r="L1210" s="5">
        <f>E1210/E1209-1</f>
        <v>7.453511515346456E-3</v>
      </c>
      <c r="M1210" s="5">
        <f>F1210/F1209-1</f>
        <v>1.4825923866221835E-3</v>
      </c>
      <c r="N1210" s="5">
        <f>SUMPRODUCT(I1210:M1210,$AJ$13:$AN$13)</f>
        <v>4.4829965404988379E-3</v>
      </c>
    </row>
    <row r="1211" spans="1:14" x14ac:dyDescent="0.35">
      <c r="A1211" s="3">
        <v>45587</v>
      </c>
      <c r="B1211" s="4">
        <v>40.882652282714801</v>
      </c>
      <c r="C1211" s="4">
        <v>141.39414978027301</v>
      </c>
      <c r="D1211" s="4">
        <v>117.734069824218</v>
      </c>
      <c r="E1211" s="4">
        <v>22.142747879028299</v>
      </c>
      <c r="F1211" s="4">
        <v>422.56723022460898</v>
      </c>
      <c r="I1211" s="5">
        <f>B1211/B1210-1</f>
        <v>1.2931074814606758E-2</v>
      </c>
      <c r="J1211" s="5">
        <f>C1211/C1210-1</f>
        <v>2.6500569087284376E-4</v>
      </c>
      <c r="K1211" s="5">
        <f>D1211/D1210-1</f>
        <v>-3.8453893498935465E-2</v>
      </c>
      <c r="L1211" s="5">
        <f>E1211/E1210-1</f>
        <v>9.8643162851352884E-3</v>
      </c>
      <c r="M1211" s="5">
        <f>F1211/F1210-1</f>
        <v>2.0846401085703903E-2</v>
      </c>
      <c r="N1211" s="5">
        <f>SUMPRODUCT(I1211:M1211,$AJ$13:$AN$13)</f>
        <v>-1.2197588787500064E-2</v>
      </c>
    </row>
    <row r="1212" spans="1:14" x14ac:dyDescent="0.35">
      <c r="A1212" s="3">
        <v>45588</v>
      </c>
      <c r="B1212" s="4">
        <v>40.921314239501903</v>
      </c>
      <c r="C1212" s="4">
        <v>140.98191833496</v>
      </c>
      <c r="D1212" s="4">
        <v>116.84420776367099</v>
      </c>
      <c r="E1212" s="4">
        <v>21.818311691284102</v>
      </c>
      <c r="F1212" s="4">
        <v>419.690826416015</v>
      </c>
      <c r="I1212" s="5">
        <f>B1212/B1211-1</f>
        <v>9.4568122732696658E-4</v>
      </c>
      <c r="J1212" s="5">
        <f>C1212/C1211-1</f>
        <v>-2.9154773797475109E-3</v>
      </c>
      <c r="K1212" s="5">
        <f>D1212/D1211-1</f>
        <v>-7.5582374912852579E-3</v>
      </c>
      <c r="L1212" s="5">
        <f>E1212/E1211-1</f>
        <v>-1.4652029166238867E-2</v>
      </c>
      <c r="M1212" s="5">
        <f>F1212/F1211-1</f>
        <v>-6.8069731935083144E-3</v>
      </c>
      <c r="N1212" s="5">
        <f>SUMPRODUCT(I1212:M1212,$AJ$13:$AN$13)</f>
        <v>-1.3233452276903521E-2</v>
      </c>
    </row>
    <row r="1213" spans="1:14" x14ac:dyDescent="0.35">
      <c r="A1213" s="3">
        <v>45589</v>
      </c>
      <c r="B1213" s="4">
        <v>41.220928192138601</v>
      </c>
      <c r="C1213" s="4">
        <v>140.95381164550699</v>
      </c>
      <c r="D1213" s="4">
        <v>117.90030670166</v>
      </c>
      <c r="E1213" s="4">
        <v>22.6113777160644</v>
      </c>
      <c r="F1213" s="4">
        <v>419.8193359375</v>
      </c>
      <c r="I1213" s="5">
        <f>B1213/B1212-1</f>
        <v>7.3217089481323328E-3</v>
      </c>
      <c r="J1213" s="5">
        <f>C1213/C1212-1</f>
        <v>-1.9936378923590681E-4</v>
      </c>
      <c r="K1213" s="5">
        <f>D1213/D1212-1</f>
        <v>9.0385219618680512E-3</v>
      </c>
      <c r="L1213" s="5">
        <f>E1213/E1212-1</f>
        <v>3.6348643103174094E-2</v>
      </c>
      <c r="M1213" s="5">
        <f>F1213/F1212-1</f>
        <v>3.0620045375395755E-4</v>
      </c>
      <c r="N1213" s="5">
        <f>SUMPRODUCT(I1213:M1213,$AJ$13:$AN$13)</f>
        <v>1.9681530549432207E-2</v>
      </c>
    </row>
    <row r="1214" spans="1:14" x14ac:dyDescent="0.35">
      <c r="A1214" s="3">
        <v>45590</v>
      </c>
      <c r="B1214" s="4">
        <v>40.486392974853501</v>
      </c>
      <c r="C1214" s="4">
        <v>141.291091918945</v>
      </c>
      <c r="D1214" s="4">
        <v>119.836463928222</v>
      </c>
      <c r="E1214" s="4">
        <v>22.9628505706787</v>
      </c>
      <c r="F1214" s="4">
        <v>423.19976806640602</v>
      </c>
      <c r="I1214" s="5">
        <f>B1214/B1213-1</f>
        <v>-1.7819473008014008E-2</v>
      </c>
      <c r="J1214" s="5">
        <f>C1214/C1213-1</f>
        <v>2.3928425169958967E-3</v>
      </c>
      <c r="K1214" s="5">
        <f>D1214/D1213-1</f>
        <v>1.6421986343609252E-2</v>
      </c>
      <c r="L1214" s="5">
        <f>E1214/E1213-1</f>
        <v>1.5544070734115234E-2</v>
      </c>
      <c r="M1214" s="5">
        <f>F1214/F1213-1</f>
        <v>8.0521115621250416E-3</v>
      </c>
      <c r="N1214" s="5">
        <f>SUMPRODUCT(I1214:M1214,$AJ$13:$AN$13)</f>
        <v>2.3578557152074985E-2</v>
      </c>
    </row>
    <row r="1215" spans="1:14" x14ac:dyDescent="0.35">
      <c r="A1215" s="3">
        <v>45593</v>
      </c>
      <c r="B1215" s="4">
        <v>41.191932678222599</v>
      </c>
      <c r="C1215" s="4">
        <v>141.03811645507801</v>
      </c>
      <c r="D1215" s="4">
        <v>117.988311767578</v>
      </c>
      <c r="E1215" s="4">
        <v>22.2418823242187</v>
      </c>
      <c r="F1215" s="4">
        <v>421.65780639648398</v>
      </c>
      <c r="I1215" s="5">
        <f>B1215/B1214-1</f>
        <v>1.7426588330734072E-2</v>
      </c>
      <c r="J1215" s="5">
        <f>C1215/C1214-1</f>
        <v>-1.7904558626534728E-3</v>
      </c>
      <c r="K1215" s="5">
        <f>D1215/D1214-1</f>
        <v>-1.5422285505278133E-2</v>
      </c>
      <c r="L1215" s="5">
        <f>E1215/E1214-1</f>
        <v>-3.1397157954797028E-2</v>
      </c>
      <c r="M1215" s="5">
        <f>F1215/F1214-1</f>
        <v>-3.6435787216217985E-3</v>
      </c>
      <c r="N1215" s="5">
        <f>SUMPRODUCT(I1215:M1215,$AJ$13:$AN$13)</f>
        <v>-2.8898953200451213E-2</v>
      </c>
    </row>
    <row r="1216" spans="1:14" x14ac:dyDescent="0.35">
      <c r="A1216" s="3">
        <v>45594</v>
      </c>
      <c r="B1216" s="4">
        <v>41.104949951171797</v>
      </c>
      <c r="C1216" s="4">
        <v>139.14564514160099</v>
      </c>
      <c r="D1216" s="4">
        <v>118.93682861328099</v>
      </c>
      <c r="E1216" s="4">
        <v>22.304965972900298</v>
      </c>
      <c r="F1216" s="4">
        <v>426.95584106445301</v>
      </c>
      <c r="I1216" s="5">
        <f>B1216/B1215-1</f>
        <v>-2.1116447176752207E-3</v>
      </c>
      <c r="J1216" s="5">
        <f>C1216/C1215-1</f>
        <v>-1.3418155042362545E-2</v>
      </c>
      <c r="K1216" s="5">
        <f>D1216/D1215-1</f>
        <v>8.0390746464060747E-3</v>
      </c>
      <c r="L1216" s="5">
        <f>E1216/E1215-1</f>
        <v>2.836254942905958E-3</v>
      </c>
      <c r="M1216" s="5">
        <f>F1216/F1215-1</f>
        <v>1.2564773111273242E-2</v>
      </c>
      <c r="N1216" s="5">
        <f>SUMPRODUCT(I1216:M1216,$AJ$13:$AN$13)</f>
        <v>1.0758513743631648E-2</v>
      </c>
    </row>
    <row r="1217" spans="1:14" x14ac:dyDescent="0.35">
      <c r="A1217" s="3">
        <v>45595</v>
      </c>
      <c r="B1217" s="4">
        <v>40.892322540283203</v>
      </c>
      <c r="C1217" s="4">
        <v>138.705307006835</v>
      </c>
      <c r="D1217" s="4">
        <v>126.534782409667</v>
      </c>
      <c r="E1217" s="4">
        <v>22.1517620086669</v>
      </c>
      <c r="F1217" s="4">
        <v>427.52911376953102</v>
      </c>
      <c r="I1217" s="5">
        <f>B1217/B1216-1</f>
        <v>-5.1727933288124861E-3</v>
      </c>
      <c r="J1217" s="5">
        <f>C1217/C1216-1</f>
        <v>-3.1645843771674897E-3</v>
      </c>
      <c r="K1217" s="5">
        <f>D1217/D1216-1</f>
        <v>6.3882263256661131E-2</v>
      </c>
      <c r="L1217" s="5">
        <f>E1217/E1216-1</f>
        <v>-6.8686033603250207E-3</v>
      </c>
      <c r="M1217" s="5">
        <f>F1217/F1216-1</f>
        <v>1.3426978856847516E-3</v>
      </c>
      <c r="N1217" s="5">
        <f>SUMPRODUCT(I1217:M1217,$AJ$13:$AN$13)</f>
        <v>3.2100586296855728E-2</v>
      </c>
    </row>
    <row r="1218" spans="1:14" x14ac:dyDescent="0.35">
      <c r="A1218" s="3">
        <v>45596</v>
      </c>
      <c r="B1218" s="4">
        <v>40.418743133544901</v>
      </c>
      <c r="C1218" s="4">
        <v>139.42669677734301</v>
      </c>
      <c r="D1218" s="4">
        <v>120.892539978027</v>
      </c>
      <c r="E1218" s="4">
        <v>21.1604290008544</v>
      </c>
      <c r="F1218" s="4">
        <v>401.65182495117102</v>
      </c>
      <c r="I1218" s="5">
        <f>B1218/B1217-1</f>
        <v>-1.1581132528527216E-2</v>
      </c>
      <c r="J1218" s="5">
        <f>C1218/C1217-1</f>
        <v>5.2008808175771915E-3</v>
      </c>
      <c r="K1218" s="5">
        <f>D1218/D1217-1</f>
        <v>-4.4590446391038707E-2</v>
      </c>
      <c r="L1218" s="5">
        <f>E1218/E1217-1</f>
        <v>-4.4751880569348867E-2</v>
      </c>
      <c r="M1218" s="5">
        <f>F1218/F1217-1</f>
        <v>-6.052754768020252E-2</v>
      </c>
      <c r="N1218" s="5">
        <f>SUMPRODUCT(I1218:M1218,$AJ$13:$AN$13)</f>
        <v>-6.1167584793811361E-2</v>
      </c>
    </row>
    <row r="1219" spans="1:14" x14ac:dyDescent="0.35">
      <c r="A1219" s="3">
        <v>45597</v>
      </c>
      <c r="B1219" s="4">
        <v>40.360744476318303</v>
      </c>
      <c r="C1219" s="4">
        <v>143.408447265625</v>
      </c>
      <c r="D1219" s="4">
        <v>127.97222137451099</v>
      </c>
      <c r="E1219" s="4">
        <v>20.980190277099599</v>
      </c>
      <c r="F1219" s="4">
        <v>405.62533569335898</v>
      </c>
      <c r="I1219" s="5">
        <f>B1219/B1218-1</f>
        <v>-1.434944600700927E-3</v>
      </c>
      <c r="J1219" s="5">
        <f>C1219/C1218-1</f>
        <v>2.8558020668313144E-2</v>
      </c>
      <c r="K1219" s="5">
        <f>D1219/D1218-1</f>
        <v>5.8561772279503543E-2</v>
      </c>
      <c r="L1219" s="5">
        <f>E1219/E1218-1</f>
        <v>-8.517725408474619E-3</v>
      </c>
      <c r="M1219" s="5">
        <f>F1219/F1218-1</f>
        <v>9.8929234111435616E-3</v>
      </c>
      <c r="N1219" s="5">
        <f>SUMPRODUCT(I1219:M1219,$AJ$13:$AN$13)</f>
        <v>2.9295634978586425E-2</v>
      </c>
    </row>
    <row r="1220" spans="1:14" x14ac:dyDescent="0.35">
      <c r="A1220" s="3">
        <v>45600</v>
      </c>
      <c r="B1220" s="4">
        <v>39.945163726806598</v>
      </c>
      <c r="C1220" s="4">
        <v>144.25164794921801</v>
      </c>
      <c r="D1220" s="4">
        <v>126.97483062744099</v>
      </c>
      <c r="E1220" s="4">
        <v>21.232526779174801</v>
      </c>
      <c r="F1220" s="4">
        <v>403.73739624023398</v>
      </c>
      <c r="I1220" s="5">
        <f>B1220/B1219-1</f>
        <v>-1.0296657182712443E-2</v>
      </c>
      <c r="J1220" s="5">
        <f>C1220/C1219-1</f>
        <v>5.8797141986428603E-3</v>
      </c>
      <c r="K1220" s="5">
        <f>D1220/D1219-1</f>
        <v>-7.7938066273862683E-3</v>
      </c>
      <c r="L1220" s="5">
        <f>E1220/E1219-1</f>
        <v>1.2027369568265334E-2</v>
      </c>
      <c r="M1220" s="5">
        <f>F1220/F1219-1</f>
        <v>-4.6543923344872784E-3</v>
      </c>
      <c r="N1220" s="5">
        <f>SUMPRODUCT(I1220:M1220,$AJ$13:$AN$13)</f>
        <v>2.7923647738227076E-3</v>
      </c>
    </row>
    <row r="1221" spans="1:14" x14ac:dyDescent="0.35">
      <c r="A1221" s="3">
        <v>45601</v>
      </c>
      <c r="B1221" s="4">
        <v>40.476730346679602</v>
      </c>
      <c r="C1221" s="4">
        <v>143.72698974609301</v>
      </c>
      <c r="D1221" s="4">
        <v>130.5048828125</v>
      </c>
      <c r="E1221" s="4">
        <v>21.277587890625</v>
      </c>
      <c r="F1221" s="4">
        <v>406.70275878906199</v>
      </c>
      <c r="I1221" s="5">
        <f>B1221/B1220-1</f>
        <v>1.3307408714319013E-2</v>
      </c>
      <c r="J1221" s="5">
        <f>C1221/C1220-1</f>
        <v>-3.637103704421496E-3</v>
      </c>
      <c r="K1221" s="5">
        <f>D1221/D1220-1</f>
        <v>2.7801196249803262E-2</v>
      </c>
      <c r="L1221" s="5">
        <f>E1221/E1220-1</f>
        <v>2.1222679673902345E-3</v>
      </c>
      <c r="M1221" s="5">
        <f>F1221/F1220-1</f>
        <v>7.3447804846482612E-3</v>
      </c>
      <c r="N1221" s="5">
        <f>SUMPRODUCT(I1221:M1221,$AJ$13:$AN$13)</f>
        <v>1.4190936909854327E-2</v>
      </c>
    </row>
    <row r="1222" spans="1:14" x14ac:dyDescent="0.35">
      <c r="A1222" s="3">
        <v>45602</v>
      </c>
      <c r="B1222" s="4">
        <v>43.888454437255803</v>
      </c>
      <c r="C1222" s="4">
        <v>147.76495361328099</v>
      </c>
      <c r="D1222" s="4">
        <v>135.28662109375</v>
      </c>
      <c r="E1222" s="4">
        <v>20.241191864013601</v>
      </c>
      <c r="F1222" s="4">
        <v>415.32192993164</v>
      </c>
      <c r="I1222" s="5">
        <f>B1222/B1221-1</f>
        <v>8.4288529764017239E-2</v>
      </c>
      <c r="J1222" s="5">
        <f>C1222/C1221-1</f>
        <v>2.8094680576845166E-2</v>
      </c>
      <c r="K1222" s="5">
        <f>D1222/D1221-1</f>
        <v>3.6640301712848933E-2</v>
      </c>
      <c r="L1222" s="5">
        <f>E1222/E1221-1</f>
        <v>-4.8708341938892397E-2</v>
      </c>
      <c r="M1222" s="5">
        <f>F1222/F1221-1</f>
        <v>2.119280225253739E-2</v>
      </c>
      <c r="N1222" s="5">
        <f>SUMPRODUCT(I1222:M1222,$AJ$13:$AN$13)</f>
        <v>-2.1900113395643753E-2</v>
      </c>
    </row>
    <row r="1223" spans="1:14" x14ac:dyDescent="0.35">
      <c r="A1223" s="3">
        <v>45603</v>
      </c>
      <c r="B1223" s="4">
        <v>43.269901275634702</v>
      </c>
      <c r="C1223" s="4">
        <v>146.874908447265</v>
      </c>
      <c r="D1223" s="4">
        <v>134.81723022460901</v>
      </c>
      <c r="E1223" s="4">
        <v>20.583656311035099</v>
      </c>
      <c r="F1223" s="4">
        <v>420.51123046875</v>
      </c>
      <c r="I1223" s="5">
        <f>B1223/B1222-1</f>
        <v>-1.4093755853385126E-2</v>
      </c>
      <c r="J1223" s="5">
        <f>C1223/C1222-1</f>
        <v>-6.0233847353639014E-3</v>
      </c>
      <c r="K1223" s="5">
        <f>D1223/D1222-1</f>
        <v>-3.4696030202108208E-3</v>
      </c>
      <c r="L1223" s="5">
        <f>E1223/E1222-1</f>
        <v>1.6919183876239918E-2</v>
      </c>
      <c r="M1223" s="5">
        <f>F1223/F1222-1</f>
        <v>1.2494646112147567E-2</v>
      </c>
      <c r="N1223" s="5">
        <f>SUMPRODUCT(I1223:M1223,$AJ$13:$AN$13)</f>
        <v>1.4546295552981928E-2</v>
      </c>
    </row>
    <row r="1224" spans="1:14" x14ac:dyDescent="0.35">
      <c r="A1224" s="3">
        <v>45604</v>
      </c>
      <c r="B1224" s="4">
        <v>43.617832183837798</v>
      </c>
      <c r="C1224" s="4">
        <v>147.02479553222599</v>
      </c>
      <c r="D1224" s="4">
        <v>131.25782775878901</v>
      </c>
      <c r="E1224" s="4">
        <v>20.529584884643501</v>
      </c>
      <c r="F1224" s="4">
        <v>417.65463256835898</v>
      </c>
      <c r="I1224" s="5">
        <f>B1224/B1223-1</f>
        <v>8.0409452747935983E-3</v>
      </c>
      <c r="J1224" s="5">
        <f>C1224/C1223-1</f>
        <v>1.0205084486218929E-3</v>
      </c>
      <c r="K1224" s="5">
        <f>D1224/D1223-1</f>
        <v>-2.6401688121688527E-2</v>
      </c>
      <c r="L1224" s="5">
        <f>E1224/E1223-1</f>
        <v>-2.6269106700256284E-3</v>
      </c>
      <c r="M1224" s="5">
        <f>F1224/F1223-1</f>
        <v>-6.79315483966203E-3</v>
      </c>
      <c r="N1224" s="5">
        <f>SUMPRODUCT(I1224:M1224,$AJ$13:$AN$13)</f>
        <v>-1.9602285054674134E-2</v>
      </c>
    </row>
    <row r="1225" spans="1:14" x14ac:dyDescent="0.35">
      <c r="A1225" s="3">
        <v>45607</v>
      </c>
      <c r="B1225" s="4">
        <v>44.536003112792898</v>
      </c>
      <c r="C1225" s="4">
        <v>146.62193298339801</v>
      </c>
      <c r="D1225" s="4">
        <v>135.44306945800699</v>
      </c>
      <c r="E1225" s="4">
        <v>20.556617736816399</v>
      </c>
      <c r="F1225" s="4">
        <v>413.17706298828102</v>
      </c>
      <c r="I1225" s="5">
        <f>B1225/B1224-1</f>
        <v>2.1050356768884004E-2</v>
      </c>
      <c r="J1225" s="5">
        <f>C1225/C1224-1</f>
        <v>-2.7400993646659044E-3</v>
      </c>
      <c r="K1225" s="5">
        <f>D1225/D1224-1</f>
        <v>3.1885654141017516E-2</v>
      </c>
      <c r="L1225" s="5">
        <f>E1225/E1224-1</f>
        <v>1.3167753914555824E-3</v>
      </c>
      <c r="M1225" s="5">
        <f>F1225/F1224-1</f>
        <v>-1.0720746834635198E-2</v>
      </c>
      <c r="N1225" s="5">
        <f>SUMPRODUCT(I1225:M1225,$AJ$13:$AN$13)</f>
        <v>7.637763090537892E-3</v>
      </c>
    </row>
    <row r="1226" spans="1:14" x14ac:dyDescent="0.35">
      <c r="A1226" s="3">
        <v>45608</v>
      </c>
      <c r="B1226" s="4">
        <v>44.323371887207003</v>
      </c>
      <c r="C1226" s="4">
        <v>145.48832702636699</v>
      </c>
      <c r="D1226" s="4">
        <v>133.4482421875</v>
      </c>
      <c r="E1226" s="4">
        <v>20.295265197753899</v>
      </c>
      <c r="F1226" s="4">
        <v>418.13897705078102</v>
      </c>
      <c r="I1226" s="5">
        <f>B1226/B1225-1</f>
        <v>-4.7743670451831921E-3</v>
      </c>
      <c r="J1226" s="5">
        <f>C1226/C1225-1</f>
        <v>-7.7314896480008555E-3</v>
      </c>
      <c r="K1226" s="5">
        <f>D1226/D1225-1</f>
        <v>-1.472816053630166E-2</v>
      </c>
      <c r="L1226" s="5">
        <f>E1226/E1225-1</f>
        <v>-1.2713790877884712E-2</v>
      </c>
      <c r="M1226" s="5">
        <f>F1226/F1225-1</f>
        <v>1.200917114472233E-2</v>
      </c>
      <c r="N1226" s="5">
        <f>SUMPRODUCT(I1226:M1226,$AJ$13:$AN$13)</f>
        <v>-7.9634284666763172E-3</v>
      </c>
    </row>
    <row r="1227" spans="1:14" x14ac:dyDescent="0.35">
      <c r="A1227" s="3">
        <v>45609</v>
      </c>
      <c r="B1227" s="4">
        <v>44.333034515380803</v>
      </c>
      <c r="C1227" s="4">
        <v>148.70181274414</v>
      </c>
      <c r="D1227" s="4">
        <v>131.55120849609301</v>
      </c>
      <c r="E1227" s="4">
        <v>20.4304485321044</v>
      </c>
      <c r="F1227" s="4">
        <v>420.28390502929602</v>
      </c>
      <c r="I1227" s="5">
        <f>B1227/B1226-1</f>
        <v>2.1800300298435715E-4</v>
      </c>
      <c r="J1227" s="5">
        <f>C1227/C1226-1</f>
        <v>2.2087584505598334E-2</v>
      </c>
      <c r="K1227" s="5">
        <f>D1227/D1226-1</f>
        <v>-1.4215501533108132E-2</v>
      </c>
      <c r="L1227" s="5">
        <f>E1227/E1226-1</f>
        <v>6.6608311363904882E-3</v>
      </c>
      <c r="M1227" s="5">
        <f>F1227/F1226-1</f>
        <v>5.1297011190958308E-3</v>
      </c>
      <c r="N1227" s="5">
        <f>SUMPRODUCT(I1227:M1227,$AJ$13:$AN$13)</f>
        <v>-3.3624264553647181E-3</v>
      </c>
    </row>
    <row r="1228" spans="1:14" x14ac:dyDescent="0.35">
      <c r="A1228" s="3">
        <v>45610</v>
      </c>
      <c r="B1228" s="4">
        <v>44.362030029296797</v>
      </c>
      <c r="C1228" s="4">
        <v>151.58741760253901</v>
      </c>
      <c r="D1228" s="4">
        <v>131.45341491699199</v>
      </c>
      <c r="E1228" s="4">
        <v>21.349681854248001</v>
      </c>
      <c r="F1228" s="4">
        <v>421.95437622070301</v>
      </c>
      <c r="I1228" s="5">
        <f>B1228/B1227-1</f>
        <v>6.5403855686740897E-4</v>
      </c>
      <c r="J1228" s="5">
        <f>C1228/C1227-1</f>
        <v>1.9405310568500145E-2</v>
      </c>
      <c r="K1228" s="5">
        <f>D1228/D1227-1</f>
        <v>-7.4338791881134458E-4</v>
      </c>
      <c r="L1228" s="5">
        <f>E1228/E1227-1</f>
        <v>4.4993301086812654E-2</v>
      </c>
      <c r="M1228" s="5">
        <f>F1228/F1227-1</f>
        <v>3.9746256552235515E-3</v>
      </c>
      <c r="N1228" s="5">
        <f>SUMPRODUCT(I1228:M1228,$AJ$13:$AN$13)</f>
        <v>2.113914942637914E-2</v>
      </c>
    </row>
    <row r="1229" spans="1:14" x14ac:dyDescent="0.35">
      <c r="A1229" s="3">
        <v>45611</v>
      </c>
      <c r="B1229" s="4">
        <v>45.18355178833</v>
      </c>
      <c r="C1229" s="4">
        <v>151.23141479492099</v>
      </c>
      <c r="D1229" s="4">
        <v>128.72518920898401</v>
      </c>
      <c r="E1229" s="4">
        <v>21.593009948730401</v>
      </c>
      <c r="F1229" s="4">
        <v>410.20184326171801</v>
      </c>
      <c r="I1229" s="5">
        <f>B1229/B1228-1</f>
        <v>1.8518579030100124E-2</v>
      </c>
      <c r="J1229" s="5">
        <f>C1229/C1228-1</f>
        <v>-2.348498399461163E-3</v>
      </c>
      <c r="K1229" s="5">
        <f>D1229/D1228-1</f>
        <v>-2.0754315966083903E-2</v>
      </c>
      <c r="L1229" s="5">
        <f>E1229/E1228-1</f>
        <v>1.1397270279884131E-2</v>
      </c>
      <c r="M1229" s="5">
        <f>F1229/F1228-1</f>
        <v>-2.7852615404177827E-2</v>
      </c>
      <c r="N1229" s="5">
        <f>SUMPRODUCT(I1229:M1229,$AJ$13:$AN$13)</f>
        <v>-2.0063688179989169E-2</v>
      </c>
    </row>
    <row r="1230" spans="1:14" x14ac:dyDescent="0.35">
      <c r="A1230" s="3">
        <v>45614</v>
      </c>
      <c r="B1230" s="4">
        <v>45.154556274413999</v>
      </c>
      <c r="C1230" s="4">
        <v>152.14945983886699</v>
      </c>
      <c r="D1230" s="4">
        <v>132.99841308593699</v>
      </c>
      <c r="E1230" s="4">
        <v>21.827325820922798</v>
      </c>
      <c r="F1230" s="4">
        <v>410.95306396484301</v>
      </c>
      <c r="I1230" s="5">
        <f>B1230/B1229-1</f>
        <v>-6.4172719426391911E-4</v>
      </c>
      <c r="J1230" s="5">
        <f>C1230/C1229-1</f>
        <v>6.0704652217327126E-3</v>
      </c>
      <c r="K1230" s="5">
        <f>D1230/D1229-1</f>
        <v>3.3196485499162431E-2</v>
      </c>
      <c r="L1230" s="5">
        <f>E1230/E1229-1</f>
        <v>1.0851468727553382E-2</v>
      </c>
      <c r="M1230" s="5">
        <f>F1230/F1229-1</f>
        <v>1.8313440455353103E-3</v>
      </c>
      <c r="N1230" s="5">
        <f>SUMPRODUCT(I1230:M1230,$AJ$13:$AN$13)</f>
        <v>2.2953390188022619E-2</v>
      </c>
    </row>
    <row r="1231" spans="1:14" x14ac:dyDescent="0.35">
      <c r="A1231" s="3">
        <v>45615</v>
      </c>
      <c r="B1231" s="4">
        <v>44.854942321777301</v>
      </c>
      <c r="C1231" s="4">
        <v>151.05155944824199</v>
      </c>
      <c r="D1231" s="4">
        <v>132.890853881835</v>
      </c>
      <c r="E1231" s="4">
        <v>21.96653175354</v>
      </c>
      <c r="F1231" s="4">
        <v>412.95956420898398</v>
      </c>
      <c r="I1231" s="5">
        <f>B1231/B1230-1</f>
        <v>-6.635298347654639E-3</v>
      </c>
      <c r="J1231" s="5">
        <f>C1231/C1230-1</f>
        <v>-7.2159335418457982E-3</v>
      </c>
      <c r="K1231" s="5">
        <f>D1231/D1230-1</f>
        <v>-8.087254697729529E-4</v>
      </c>
      <c r="L1231" s="5">
        <f>E1231/E1230-1</f>
        <v>6.3775990590548837E-3</v>
      </c>
      <c r="M1231" s="5">
        <f>F1231/F1230-1</f>
        <v>4.8825533134670973E-3</v>
      </c>
      <c r="N1231" s="5">
        <f>SUMPRODUCT(I1231:M1231,$AJ$13:$AN$13)</f>
        <v>6.3453135865028975E-3</v>
      </c>
    </row>
    <row r="1232" spans="1:14" x14ac:dyDescent="0.35">
      <c r="A1232" s="3">
        <v>45616</v>
      </c>
      <c r="B1232" s="4">
        <v>44.516670227050703</v>
      </c>
      <c r="C1232" s="4">
        <v>152.68893432617099</v>
      </c>
      <c r="D1232" s="4">
        <v>130.99380493164</v>
      </c>
      <c r="E1232" s="4">
        <v>22.783199310302699</v>
      </c>
      <c r="F1232" s="4">
        <v>410.68615722656199</v>
      </c>
      <c r="I1232" s="5">
        <f>B1232/B1231-1</f>
        <v>-7.5414676113041423E-3</v>
      </c>
      <c r="J1232" s="5">
        <f>C1232/C1231-1</f>
        <v>1.0839840938484668E-2</v>
      </c>
      <c r="K1232" s="5">
        <f>D1232/D1231-1</f>
        <v>-1.4275240882128948E-2</v>
      </c>
      <c r="L1232" s="5">
        <f>E1232/E1231-1</f>
        <v>3.7177810585919513E-2</v>
      </c>
      <c r="M1232" s="5">
        <f>F1232/F1231-1</f>
        <v>-5.5051563868647735E-3</v>
      </c>
      <c r="N1232" s="5">
        <f>SUMPRODUCT(I1232:M1232,$AJ$13:$AN$13)</f>
        <v>9.9258318889965703E-3</v>
      </c>
    </row>
    <row r="1233" spans="1:14" x14ac:dyDescent="0.35">
      <c r="A1233" s="3">
        <v>45617</v>
      </c>
      <c r="B1233" s="4">
        <v>44.903270721435497</v>
      </c>
      <c r="C1233" s="4">
        <v>152.97285461425699</v>
      </c>
      <c r="D1233" s="4">
        <v>135.843978881835</v>
      </c>
      <c r="E1233" s="4">
        <v>23.098731994628899</v>
      </c>
      <c r="F1233" s="4">
        <v>408.913330078125</v>
      </c>
      <c r="I1233" s="5">
        <f>B1233/B1232-1</f>
        <v>8.6843982807562892E-3</v>
      </c>
      <c r="J1233" s="5">
        <f>C1233/C1232-1</f>
        <v>1.859468659853869E-3</v>
      </c>
      <c r="K1233" s="5">
        <f>D1233/D1232-1</f>
        <v>3.7025979608166226E-2</v>
      </c>
      <c r="L1233" s="5">
        <f>E1233/E1232-1</f>
        <v>1.3849358030393777E-2</v>
      </c>
      <c r="M1233" s="5">
        <f>F1233/F1232-1</f>
        <v>-4.3167443490406132E-3</v>
      </c>
      <c r="N1233" s="5">
        <f>SUMPRODUCT(I1233:M1233,$AJ$13:$AN$13)</f>
        <v>2.1735061678248662E-2</v>
      </c>
    </row>
    <row r="1234" spans="1:14" x14ac:dyDescent="0.35">
      <c r="A1234" s="3">
        <v>45618</v>
      </c>
      <c r="B1234" s="4">
        <v>45.425174713134702</v>
      </c>
      <c r="C1234" s="4">
        <v>153.66375732421801</v>
      </c>
      <c r="D1234" s="4">
        <v>141.01686096191401</v>
      </c>
      <c r="E1234" s="4">
        <v>22.894563674926701</v>
      </c>
      <c r="F1234" s="4">
        <v>413.00372314453102</v>
      </c>
      <c r="I1234" s="5">
        <f>B1234/B1233-1</f>
        <v>1.1622850258212081E-2</v>
      </c>
      <c r="J1234" s="5">
        <f>C1234/C1233-1</f>
        <v>4.5165053087570239E-3</v>
      </c>
      <c r="K1234" s="5">
        <f>D1234/D1233-1</f>
        <v>3.8079583082432311E-2</v>
      </c>
      <c r="L1234" s="5">
        <f>E1234/E1233-1</f>
        <v>-8.8389405855556769E-3</v>
      </c>
      <c r="M1234" s="5">
        <f>F1234/F1233-1</f>
        <v>1.0003080764387162E-2</v>
      </c>
      <c r="N1234" s="5">
        <f>SUMPRODUCT(I1234:M1234,$AJ$13:$AN$13)</f>
        <v>1.5528980709101355E-2</v>
      </c>
    </row>
    <row r="1235" spans="1:14" x14ac:dyDescent="0.35">
      <c r="A1235" s="3">
        <v>45621</v>
      </c>
      <c r="B1235" s="4">
        <v>45.908424377441399</v>
      </c>
      <c r="C1235" s="4">
        <v>151.77087402343699</v>
      </c>
      <c r="D1235" s="4">
        <v>140.96797180175699</v>
      </c>
      <c r="E1235" s="4">
        <v>22.6068725585937</v>
      </c>
      <c r="F1235" s="4">
        <v>414.77658081054602</v>
      </c>
      <c r="I1235" s="5">
        <f>B1235/B1234-1</f>
        <v>1.0638366662505394E-2</v>
      </c>
      <c r="J1235" s="5">
        <f>C1235/C1234-1</f>
        <v>-1.2318345807379893E-2</v>
      </c>
      <c r="K1235" s="5">
        <f>D1235/D1234-1</f>
        <v>-3.4669017466093521E-4</v>
      </c>
      <c r="L1235" s="5">
        <f>E1235/E1234-1</f>
        <v>-1.2565913918161753E-2</v>
      </c>
      <c r="M1235" s="5">
        <f>F1235/F1234-1</f>
        <v>4.2925948766678879E-3</v>
      </c>
      <c r="N1235" s="5">
        <f>SUMPRODUCT(I1235:M1235,$AJ$13:$AN$13)</f>
        <v>-7.2912801412648841E-3</v>
      </c>
    </row>
    <row r="1236" spans="1:14" x14ac:dyDescent="0.35">
      <c r="A1236" s="3">
        <v>45622</v>
      </c>
      <c r="B1236" s="4">
        <v>46.150039672851499</v>
      </c>
      <c r="C1236" s="4">
        <v>153.82463073730401</v>
      </c>
      <c r="D1236" s="4">
        <v>138.60154724121</v>
      </c>
      <c r="E1236" s="4">
        <v>22.179977416992099</v>
      </c>
      <c r="F1236" s="4">
        <v>423.888427734375</v>
      </c>
      <c r="I1236" s="5">
        <f>B1236/B1235-1</f>
        <v>5.2629838354640857E-3</v>
      </c>
      <c r="J1236" s="5">
        <f>C1236/C1235-1</f>
        <v>1.3531955502541715E-2</v>
      </c>
      <c r="K1236" s="5">
        <f>D1236/D1235-1</f>
        <v>-1.6786966076768772E-2</v>
      </c>
      <c r="L1236" s="5">
        <f>E1236/E1235-1</f>
        <v>-1.8883423193329918E-2</v>
      </c>
      <c r="M1236" s="5">
        <f>F1236/F1235-1</f>
        <v>2.1968084374539343E-2</v>
      </c>
      <c r="N1236" s="5">
        <f>SUMPRODUCT(I1236:M1236,$AJ$13:$AN$13)</f>
        <v>-1.2191020767943782E-2</v>
      </c>
    </row>
    <row r="1237" spans="1:14" x14ac:dyDescent="0.35">
      <c r="A1237" s="3">
        <v>45623</v>
      </c>
      <c r="B1237" s="4">
        <v>46.1693725585937</v>
      </c>
      <c r="C1237" s="4">
        <v>153.42713928222599</v>
      </c>
      <c r="D1237" s="4">
        <v>121.625938415527</v>
      </c>
      <c r="E1237" s="4">
        <v>22.616155624389599</v>
      </c>
      <c r="F1237" s="4">
        <v>418.93630981445301</v>
      </c>
      <c r="I1237" s="5">
        <f>B1237/B1236-1</f>
        <v>4.1891374047020591E-4</v>
      </c>
      <c r="J1237" s="5">
        <f>C1237/C1236-1</f>
        <v>-2.5840559679732866E-3</v>
      </c>
      <c r="K1237" s="5">
        <f>D1237/D1236-1</f>
        <v>-0.12247777289340167</v>
      </c>
      <c r="L1237" s="5">
        <f>E1237/E1236-1</f>
        <v>1.9665403584376184E-2</v>
      </c>
      <c r="M1237" s="5">
        <f>F1237/F1236-1</f>
        <v>-1.1682597579722453E-2</v>
      </c>
      <c r="N1237" s="5">
        <f>SUMPRODUCT(I1237:M1237,$AJ$13:$AN$13)</f>
        <v>-5.8521056562911677E-2</v>
      </c>
    </row>
    <row r="1238" spans="1:14" x14ac:dyDescent="0.35">
      <c r="A1238" s="3">
        <v>45625</v>
      </c>
      <c r="B1238" s="4">
        <v>45.918083190917898</v>
      </c>
      <c r="C1238" s="4">
        <v>153.25677490234301</v>
      </c>
      <c r="D1238" s="4">
        <v>124.76486206054599</v>
      </c>
      <c r="E1238" s="4">
        <v>22.439826965331999</v>
      </c>
      <c r="F1238" s="4">
        <v>419.40182495117102</v>
      </c>
      <c r="I1238" s="5">
        <f>B1238/B1237-1</f>
        <v>-5.4427719882241821E-3</v>
      </c>
      <c r="J1238" s="5">
        <f>C1238/C1237-1</f>
        <v>-1.1103927289526361E-3</v>
      </c>
      <c r="K1238" s="5">
        <f>D1238/D1237-1</f>
        <v>2.5808011727688207E-2</v>
      </c>
      <c r="L1238" s="5">
        <f>E1238/E1237-1</f>
        <v>-7.7965796657077924E-3</v>
      </c>
      <c r="M1238" s="5">
        <f>F1238/F1237-1</f>
        <v>1.1111835518009539E-3</v>
      </c>
      <c r="N1238" s="5">
        <f>SUMPRODUCT(I1238:M1238,$AJ$13:$AN$13)</f>
        <v>1.1776209491711979E-2</v>
      </c>
    </row>
    <row r="1239" spans="1:14" x14ac:dyDescent="0.35">
      <c r="A1239" s="3">
        <v>45628</v>
      </c>
      <c r="B1239" s="4">
        <v>45.463832855224602</v>
      </c>
      <c r="C1239" s="4">
        <v>153.52178955078099</v>
      </c>
      <c r="D1239" s="4">
        <v>123.05360412597599</v>
      </c>
      <c r="E1239" s="4">
        <v>22.365585327148398</v>
      </c>
      <c r="F1239" s="4">
        <v>426.84976196289</v>
      </c>
      <c r="I1239" s="5">
        <f>B1239/B1238-1</f>
        <v>-9.8926240846033409E-3</v>
      </c>
      <c r="J1239" s="5">
        <f>C1239/C1238-1</f>
        <v>1.7292197921223718E-3</v>
      </c>
      <c r="K1239" s="5">
        <f>D1239/D1238-1</f>
        <v>-1.3715864437373049E-2</v>
      </c>
      <c r="L1239" s="5">
        <f>E1239/E1238-1</f>
        <v>-3.3084764110836717E-3</v>
      </c>
      <c r="M1239" s="5">
        <f>F1239/F1238-1</f>
        <v>1.7758475449137778E-2</v>
      </c>
      <c r="N1239" s="5">
        <f>SUMPRODUCT(I1239:M1239,$AJ$13:$AN$13)</f>
        <v>4.9191463822368178E-5</v>
      </c>
    </row>
    <row r="1240" spans="1:14" x14ac:dyDescent="0.35">
      <c r="A1240" s="3">
        <v>45629</v>
      </c>
      <c r="B1240" s="4">
        <v>45.251201629638601</v>
      </c>
      <c r="C1240" s="4">
        <v>153.24732971191401</v>
      </c>
      <c r="D1240" s="4">
        <v>122.77980041503901</v>
      </c>
      <c r="E1240" s="4">
        <v>22.801759719848601</v>
      </c>
      <c r="F1240" s="4">
        <v>427.06765747070301</v>
      </c>
      <c r="I1240" s="5">
        <f>B1240/B1239-1</f>
        <v>-4.6769313591114026E-3</v>
      </c>
      <c r="J1240" s="5">
        <f>C1240/C1239-1</f>
        <v>-1.7877582046827989E-3</v>
      </c>
      <c r="K1240" s="5">
        <f>D1240/D1239-1</f>
        <v>-2.225076728810671E-3</v>
      </c>
      <c r="L1240" s="5">
        <f>E1240/E1239-1</f>
        <v>1.9502033428597798E-2</v>
      </c>
      <c r="M1240" s="5">
        <f>F1240/F1239-1</f>
        <v>5.1047353713173926E-4</v>
      </c>
      <c r="N1240" s="5">
        <f>SUMPRODUCT(I1240:M1240,$AJ$13:$AN$13)</f>
        <v>9.5356375266916951E-3</v>
      </c>
    </row>
    <row r="1241" spans="1:14" x14ac:dyDescent="0.35">
      <c r="A1241" s="3">
        <v>45630</v>
      </c>
      <c r="B1241" s="4">
        <v>44.8162841796875</v>
      </c>
      <c r="C1241" s="4">
        <v>149.84014892578099</v>
      </c>
      <c r="D1241" s="4">
        <v>123.30785369873</v>
      </c>
      <c r="E1241" s="4">
        <v>22.263500213623001</v>
      </c>
      <c r="F1241" s="4">
        <v>433.22805786132801</v>
      </c>
      <c r="I1241" s="5">
        <f>B1241/B1240-1</f>
        <v>-9.6111801297722455E-3</v>
      </c>
      <c r="J1241" s="5">
        <f>C1241/C1240-1</f>
        <v>-2.223321471596329E-2</v>
      </c>
      <c r="K1241" s="5">
        <f>D1241/D1240-1</f>
        <v>4.3008156219996874E-3</v>
      </c>
      <c r="L1241" s="5">
        <f>E1241/E1240-1</f>
        <v>-2.3606051148633678E-2</v>
      </c>
      <c r="M1241" s="5">
        <f>F1241/F1240-1</f>
        <v>1.4424881591619032E-2</v>
      </c>
      <c r="N1241" s="5">
        <f>SUMPRODUCT(I1241:M1241,$AJ$13:$AN$13)</f>
        <v>-4.641103851164988E-4</v>
      </c>
    </row>
    <row r="1242" spans="1:14" x14ac:dyDescent="0.35">
      <c r="A1242" s="3">
        <v>45631</v>
      </c>
      <c r="B1242" s="4">
        <v>45.425174713134702</v>
      </c>
      <c r="C1242" s="4">
        <v>150.79603576660099</v>
      </c>
      <c r="D1242" s="4">
        <v>122.300666809082</v>
      </c>
      <c r="E1242" s="4">
        <v>22.3841457366943</v>
      </c>
      <c r="F1242" s="4">
        <v>438.37823486328102</v>
      </c>
      <c r="I1242" s="5">
        <f>B1242/B1241-1</f>
        <v>1.3586368093479129E-2</v>
      </c>
      <c r="J1242" s="5">
        <f>C1242/C1241-1</f>
        <v>6.3793772742009036E-3</v>
      </c>
      <c r="K1242" s="5">
        <f>D1242/D1241-1</f>
        <v>-8.1680676407586139E-3</v>
      </c>
      <c r="L1242" s="5">
        <f>E1242/E1241-1</f>
        <v>5.4189827257025147E-3</v>
      </c>
      <c r="M1242" s="5">
        <f>F1242/F1241-1</f>
        <v>1.1887911940370088E-2</v>
      </c>
      <c r="N1242" s="5">
        <f>SUMPRODUCT(I1242:M1242,$AJ$13:$AN$13)</f>
        <v>-1.8880835540022031E-3</v>
      </c>
    </row>
    <row r="1243" spans="1:14" x14ac:dyDescent="0.35">
      <c r="A1243" s="3">
        <v>45632</v>
      </c>
      <c r="B1243" s="4">
        <v>45.434890747070298</v>
      </c>
      <c r="C1243" s="4">
        <v>146.92510986328099</v>
      </c>
      <c r="D1243" s="4">
        <v>120.667640686035</v>
      </c>
      <c r="E1243" s="4">
        <v>21.558193206787099</v>
      </c>
      <c r="F1243" s="4">
        <v>439.31912231445301</v>
      </c>
      <c r="I1243" s="5">
        <f>B1243/B1242-1</f>
        <v>2.1389095357271515E-4</v>
      </c>
      <c r="J1243" s="5">
        <f>C1243/C1242-1</f>
        <v>-2.5669944727932603E-2</v>
      </c>
      <c r="K1243" s="5">
        <f>D1243/D1242-1</f>
        <v>-1.335255289814774E-2</v>
      </c>
      <c r="L1243" s="5">
        <f>E1243/E1242-1</f>
        <v>-3.6898997157314706E-2</v>
      </c>
      <c r="M1243" s="5">
        <f>F1243/F1242-1</f>
        <v>2.1462914358998386E-3</v>
      </c>
      <c r="N1243" s="5">
        <f>SUMPRODUCT(I1243:M1243,$AJ$13:$AN$13)</f>
        <v>-2.2697512814684073E-2</v>
      </c>
    </row>
    <row r="1244" spans="1:14" x14ac:dyDescent="0.35">
      <c r="A1244" s="3">
        <v>45635</v>
      </c>
      <c r="B1244" s="4">
        <v>44.618522644042898</v>
      </c>
      <c r="C1244" s="4">
        <v>148.66654968261699</v>
      </c>
      <c r="D1244" s="4">
        <v>121.068565368652</v>
      </c>
      <c r="E1244" s="4">
        <v>22.096452713012599</v>
      </c>
      <c r="F1244" s="4">
        <v>441.74560546875</v>
      </c>
      <c r="I1244" s="5">
        <f>B1244/B1243-1</f>
        <v>-1.796786763661451E-2</v>
      </c>
      <c r="J1244" s="5">
        <f>C1244/C1243-1</f>
        <v>1.1852567753438903E-2</v>
      </c>
      <c r="K1244" s="5">
        <f>D1244/D1243-1</f>
        <v>3.3225534230851839E-3</v>
      </c>
      <c r="L1244" s="5">
        <f>E1244/E1243-1</f>
        <v>2.4967746650310207E-2</v>
      </c>
      <c r="M1244" s="5">
        <f>F1244/F1243-1</f>
        <v>5.523281439500316E-3</v>
      </c>
      <c r="N1244" s="5">
        <f>SUMPRODUCT(I1244:M1244,$AJ$13:$AN$13)</f>
        <v>2.0049570217245308E-2</v>
      </c>
    </row>
    <row r="1245" spans="1:14" x14ac:dyDescent="0.35">
      <c r="A1245" s="3">
        <v>45636</v>
      </c>
      <c r="B1245" s="4">
        <v>44.463020324707003</v>
      </c>
      <c r="C1245" s="4">
        <v>148.59085083007801</v>
      </c>
      <c r="D1245" s="4">
        <v>114.20400238037099</v>
      </c>
      <c r="E1245" s="4">
        <v>21.929409027099599</v>
      </c>
      <c r="F1245" s="4">
        <v>439.08139038085898</v>
      </c>
      <c r="I1245" s="5">
        <f>B1245/B1244-1</f>
        <v>-3.4851516841214458E-3</v>
      </c>
      <c r="J1245" s="5">
        <f>C1245/C1244-1</f>
        <v>-5.0918550743650481E-4</v>
      </c>
      <c r="K1245" s="5">
        <f>D1245/D1244-1</f>
        <v>-5.6699796246684753E-2</v>
      </c>
      <c r="L1245" s="5">
        <f>E1245/E1244-1</f>
        <v>-7.5597512452588722E-3</v>
      </c>
      <c r="M1245" s="5">
        <f>F1245/F1244-1</f>
        <v>-6.031107168715244E-3</v>
      </c>
      <c r="N1245" s="5">
        <f>SUMPRODUCT(I1245:M1245,$AJ$13:$AN$13)</f>
        <v>-3.4044406643519258E-2</v>
      </c>
    </row>
    <row r="1246" spans="1:14" x14ac:dyDescent="0.35">
      <c r="A1246" s="3">
        <v>45637</v>
      </c>
      <c r="B1246" s="4">
        <v>44.783740997314403</v>
      </c>
      <c r="C1246" s="4">
        <v>147.84315490722599</v>
      </c>
      <c r="D1246" s="4">
        <v>116.06192779541</v>
      </c>
      <c r="E1246" s="4">
        <v>22.1242961883544</v>
      </c>
      <c r="F1246" s="4">
        <v>444.68716430664</v>
      </c>
      <c r="I1246" s="5">
        <f>B1246/B1245-1</f>
        <v>7.2132003238922771E-3</v>
      </c>
      <c r="J1246" s="5">
        <f>C1246/C1245-1</f>
        <v>-5.0319109061905953E-3</v>
      </c>
      <c r="K1246" s="5">
        <f>D1246/D1245-1</f>
        <v>1.6268479005236092E-2</v>
      </c>
      <c r="L1246" s="5">
        <f>E1246/E1245-1</f>
        <v>8.8870229477668872E-3</v>
      </c>
      <c r="M1246" s="5">
        <f>F1246/F1245-1</f>
        <v>1.2767049682790299E-2</v>
      </c>
      <c r="N1246" s="5">
        <f>SUMPRODUCT(I1246:M1246,$AJ$13:$AN$13)</f>
        <v>1.4966552182010567E-2</v>
      </c>
    </row>
    <row r="1247" spans="1:14" x14ac:dyDescent="0.35">
      <c r="A1247" s="3">
        <v>45638</v>
      </c>
      <c r="B1247" s="4">
        <v>44.783740997314403</v>
      </c>
      <c r="C1247" s="4">
        <v>146.42350769042901</v>
      </c>
      <c r="D1247" s="4">
        <v>116.54107666015599</v>
      </c>
      <c r="E1247" s="4">
        <v>21.604600906371999</v>
      </c>
      <c r="F1247" s="4">
        <v>445.251708984375</v>
      </c>
      <c r="I1247" s="5">
        <f>B1247/B1246-1</f>
        <v>0</v>
      </c>
      <c r="J1247" s="5">
        <f>C1247/C1246-1</f>
        <v>-9.6023871899096891E-3</v>
      </c>
      <c r="K1247" s="5">
        <f>D1247/D1246-1</f>
        <v>4.1283896782295937E-3</v>
      </c>
      <c r="L1247" s="5">
        <f>E1247/E1246-1</f>
        <v>-2.3489799519857857E-2</v>
      </c>
      <c r="M1247" s="5">
        <f>F1247/F1246-1</f>
        <v>1.2695322083677851E-3</v>
      </c>
      <c r="N1247" s="5">
        <f>SUMPRODUCT(I1247:M1247,$AJ$13:$AN$13)</f>
        <v>-8.0875488090521898E-3</v>
      </c>
    </row>
    <row r="1248" spans="1:14" x14ac:dyDescent="0.35">
      <c r="A1248" s="3">
        <v>45639</v>
      </c>
      <c r="B1248" s="4">
        <v>44.385269165038999</v>
      </c>
      <c r="C1248" s="4">
        <v>145.628494262695</v>
      </c>
      <c r="D1248" s="4">
        <v>115.82723999023401</v>
      </c>
      <c r="E1248" s="4">
        <v>21.521074295043899</v>
      </c>
      <c r="F1248" s="4">
        <v>442.983642578125</v>
      </c>
      <c r="I1248" s="5">
        <f>B1248/B1247-1</f>
        <v>-8.8976897284954726E-3</v>
      </c>
      <c r="J1248" s="5">
        <f>C1248/C1247-1</f>
        <v>-5.4295477568727657E-3</v>
      </c>
      <c r="K1248" s="5">
        <f>D1248/D1247-1</f>
        <v>-6.1251937117725586E-3</v>
      </c>
      <c r="L1248" s="5">
        <f>E1248/E1247-1</f>
        <v>-3.8661492378443407E-3</v>
      </c>
      <c r="M1248" s="5">
        <f>F1248/F1247-1</f>
        <v>-5.0938971383702736E-3</v>
      </c>
      <c r="N1248" s="5">
        <f>SUMPRODUCT(I1248:M1248,$AJ$13:$AN$13)</f>
        <v>-3.9460878373132613E-3</v>
      </c>
    </row>
    <row r="1249" spans="1:14" x14ac:dyDescent="0.35">
      <c r="A1249" s="3">
        <v>45642</v>
      </c>
      <c r="B1249" s="4">
        <v>44.190902709960902</v>
      </c>
      <c r="C1249" s="4">
        <v>141.36004638671801</v>
      </c>
      <c r="D1249" s="4">
        <v>116.62908172607401</v>
      </c>
      <c r="E1249" s="4">
        <v>20.741529464721602</v>
      </c>
      <c r="F1249" s="4">
        <v>447.26226806640602</v>
      </c>
      <c r="I1249" s="5">
        <f>B1249/B1248-1</f>
        <v>-4.379075732432236E-3</v>
      </c>
      <c r="J1249" s="5">
        <f>C1249/C1248-1</f>
        <v>-2.9310526745385812E-2</v>
      </c>
      <c r="K1249" s="5">
        <f>D1249/D1248-1</f>
        <v>6.9227388644295118E-3</v>
      </c>
      <c r="L1249" s="5">
        <f>E1249/E1248-1</f>
        <v>-3.6222393902604511E-2</v>
      </c>
      <c r="M1249" s="5">
        <f>F1249/F1248-1</f>
        <v>9.6586534513549704E-3</v>
      </c>
      <c r="N1249" s="5">
        <f>SUMPRODUCT(I1249:M1249,$AJ$13:$AN$13)</f>
        <v>-7.8674833569847055E-3</v>
      </c>
    </row>
    <row r="1250" spans="1:14" x14ac:dyDescent="0.35">
      <c r="A1250" s="3">
        <v>45643</v>
      </c>
      <c r="B1250" s="4">
        <v>43.782718658447202</v>
      </c>
      <c r="C1250" s="4">
        <v>140.177001953125</v>
      </c>
      <c r="D1250" s="4">
        <v>115.661003112792</v>
      </c>
      <c r="E1250" s="4">
        <v>21.0477790832519</v>
      </c>
      <c r="F1250" s="4">
        <v>450.10476684570301</v>
      </c>
      <c r="I1250" s="5">
        <f>B1250/B1249-1</f>
        <v>-9.2368344270481462E-3</v>
      </c>
      <c r="J1250" s="5">
        <f>C1250/C1249-1</f>
        <v>-8.369015601173202E-3</v>
      </c>
      <c r="K1250" s="5">
        <f>D1250/D1249-1</f>
        <v>-8.3004907434298669E-3</v>
      </c>
      <c r="L1250" s="5">
        <f>E1250/E1249-1</f>
        <v>1.4765045126068799E-2</v>
      </c>
      <c r="M1250" s="5">
        <f>F1250/F1249-1</f>
        <v>6.3553288131941166E-3</v>
      </c>
      <c r="N1250" s="5">
        <f>SUMPRODUCT(I1250:M1250,$AJ$13:$AN$13)</f>
        <v>7.6457956776830273E-3</v>
      </c>
    </row>
    <row r="1251" spans="1:14" x14ac:dyDescent="0.35">
      <c r="A1251" s="3">
        <v>45644</v>
      </c>
      <c r="B1251" s="4">
        <v>42.276321411132798</v>
      </c>
      <c r="C1251" s="4">
        <v>136.36285400390599</v>
      </c>
      <c r="D1251" s="4">
        <v>110.17521667480401</v>
      </c>
      <c r="E1251" s="4">
        <v>20.305353164672798</v>
      </c>
      <c r="F1251" s="4">
        <v>433.19833374023398</v>
      </c>
      <c r="I1251" s="5">
        <f>B1251/B1250-1</f>
        <v>-3.4406206226386682E-2</v>
      </c>
      <c r="J1251" s="5">
        <f>C1251/C1250-1</f>
        <v>-2.7209512944887049E-2</v>
      </c>
      <c r="K1251" s="5">
        <f>D1251/D1250-1</f>
        <v>-4.7429870832421228E-2</v>
      </c>
      <c r="L1251" s="5">
        <f>E1251/E1250-1</f>
        <v>-3.5273361414642768E-2</v>
      </c>
      <c r="M1251" s="5">
        <f>F1251/F1250-1</f>
        <v>-3.7561106548477441E-2</v>
      </c>
      <c r="N1251" s="5">
        <f>SUMPRODUCT(I1251:M1251,$AJ$13:$AN$13)</f>
        <v>-4.2882113303599458E-2</v>
      </c>
    </row>
    <row r="1252" spans="1:14" x14ac:dyDescent="0.35">
      <c r="A1252" s="3">
        <v>45645</v>
      </c>
      <c r="B1252" s="4">
        <v>42.159694671630803</v>
      </c>
      <c r="C1252" s="4">
        <v>133.58978271484301</v>
      </c>
      <c r="D1252" s="4">
        <v>109.48094177246</v>
      </c>
      <c r="E1252" s="4">
        <v>20.648725509643501</v>
      </c>
      <c r="F1252" s="4">
        <v>432.84176635742102</v>
      </c>
      <c r="I1252" s="5">
        <f>B1252/B1251-1</f>
        <v>-2.7586775672323594E-3</v>
      </c>
      <c r="J1252" s="5">
        <f>C1252/C1251-1</f>
        <v>-2.0335972793467327E-2</v>
      </c>
      <c r="K1252" s="5">
        <f>D1252/D1251-1</f>
        <v>-6.3015524116757371E-3</v>
      </c>
      <c r="L1252" s="5">
        <f>E1252/E1251-1</f>
        <v>1.6910434513796258E-2</v>
      </c>
      <c r="M1252" s="5">
        <f>F1252/F1251-1</f>
        <v>-8.2310423434539537E-4</v>
      </c>
      <c r="N1252" s="5">
        <f>SUMPRODUCT(I1252:M1252,$AJ$13:$AN$13)</f>
        <v>5.8095974107999441E-3</v>
      </c>
    </row>
    <row r="1253" spans="1:14" x14ac:dyDescent="0.35">
      <c r="A1253" s="3">
        <v>45646</v>
      </c>
      <c r="B1253" s="4">
        <v>42.927471160888601</v>
      </c>
      <c r="C1253" s="4">
        <v>135.19873046875</v>
      </c>
      <c r="D1253" s="4">
        <v>113.206581115722</v>
      </c>
      <c r="E1253" s="4">
        <v>20.685846328735298</v>
      </c>
      <c r="F1253" s="4">
        <v>432.41595458984301</v>
      </c>
      <c r="I1253" s="5">
        <f>B1253/B1252-1</f>
        <v>1.82111491849688E-2</v>
      </c>
      <c r="J1253" s="5">
        <f>C1253/C1252-1</f>
        <v>1.2043943190935602E-2</v>
      </c>
      <c r="K1253" s="5">
        <f>D1253/D1252-1</f>
        <v>3.4030026440631023E-2</v>
      </c>
      <c r="L1253" s="5">
        <f>E1253/E1252-1</f>
        <v>1.7977293114028736E-3</v>
      </c>
      <c r="M1253" s="5">
        <f>F1253/F1252-1</f>
        <v>-9.8375850177634394E-4</v>
      </c>
      <c r="N1253" s="5">
        <f>SUMPRODUCT(I1253:M1253,$AJ$13:$AN$13)</f>
        <v>1.2568395506756331E-2</v>
      </c>
    </row>
    <row r="1254" spans="1:14" x14ac:dyDescent="0.35">
      <c r="A1254" s="3">
        <v>45649</v>
      </c>
      <c r="B1254" s="4">
        <v>42.655345916747997</v>
      </c>
      <c r="C1254" s="4">
        <v>135.31231689453099</v>
      </c>
      <c r="D1254" s="4">
        <v>116.18904876708901</v>
      </c>
      <c r="E1254" s="4">
        <v>21.084897994995099</v>
      </c>
      <c r="F1254" s="4">
        <v>431.078857421875</v>
      </c>
      <c r="I1254" s="5">
        <f>B1254/B1253-1</f>
        <v>-6.3391864645532259E-3</v>
      </c>
      <c r="J1254" s="5">
        <f>C1254/C1253-1</f>
        <v>8.401441743364213E-4</v>
      </c>
      <c r="K1254" s="5">
        <f>D1254/D1253-1</f>
        <v>2.634535573791652E-2</v>
      </c>
      <c r="L1254" s="5">
        <f>E1254/E1253-1</f>
        <v>1.9291048570996505E-2</v>
      </c>
      <c r="M1254" s="5">
        <f>F1254/F1253-1</f>
        <v>-3.0921550275273546E-3</v>
      </c>
      <c r="N1254" s="5">
        <f>SUMPRODUCT(I1254:M1254,$AJ$13:$AN$13)</f>
        <v>2.3504103444783004E-2</v>
      </c>
    </row>
    <row r="1255" spans="1:14" x14ac:dyDescent="0.35">
      <c r="A1255" s="3">
        <v>45650</v>
      </c>
      <c r="B1255" s="4">
        <v>43.131561279296797</v>
      </c>
      <c r="C1255" s="4">
        <v>136.13571166992099</v>
      </c>
      <c r="D1255" s="4">
        <v>116.30640411376901</v>
      </c>
      <c r="E1255" s="4">
        <v>21.1498622894287</v>
      </c>
      <c r="F1255" s="4">
        <v>435.11975097656199</v>
      </c>
      <c r="I1255" s="5">
        <f>B1255/B1254-1</f>
        <v>1.1164259773634111E-2</v>
      </c>
      <c r="J1255" s="5">
        <f>C1255/C1254-1</f>
        <v>6.0851428331671897E-3</v>
      </c>
      <c r="K1255" s="5">
        <f>D1255/D1254-1</f>
        <v>1.0100379332242948E-3</v>
      </c>
      <c r="L1255" s="5">
        <f>E1255/E1254-1</f>
        <v>3.0810817509774324E-3</v>
      </c>
      <c r="M1255" s="5">
        <f>F1255/F1254-1</f>
        <v>9.3739080103674155E-3</v>
      </c>
      <c r="N1255" s="5">
        <f>SUMPRODUCT(I1255:M1255,$AJ$13:$AN$13)</f>
        <v>1.6686580719702099E-3</v>
      </c>
    </row>
    <row r="1256" spans="1:14" x14ac:dyDescent="0.35">
      <c r="A1256" s="3">
        <v>45652</v>
      </c>
      <c r="B1256" s="4">
        <v>43.296783447265597</v>
      </c>
      <c r="C1256" s="4">
        <v>136.26821899414</v>
      </c>
      <c r="D1256" s="4">
        <v>116.638862609863</v>
      </c>
      <c r="E1256" s="4">
        <v>21.057060241699201</v>
      </c>
      <c r="F1256" s="4">
        <v>433.91143798828102</v>
      </c>
      <c r="I1256" s="5">
        <f>B1256/B1255-1</f>
        <v>3.8306558600766927E-3</v>
      </c>
      <c r="J1256" s="5">
        <f>C1256/C1255-1</f>
        <v>9.7334727672548915E-4</v>
      </c>
      <c r="K1256" s="5">
        <f>D1256/D1255-1</f>
        <v>2.8584711102304095E-3</v>
      </c>
      <c r="L1256" s="5">
        <f>E1256/E1255-1</f>
        <v>-4.3878322449354412E-3</v>
      </c>
      <c r="M1256" s="5">
        <f>F1256/F1255-1</f>
        <v>-2.7769665375315666E-3</v>
      </c>
      <c r="N1256" s="5">
        <f>SUMPRODUCT(I1256:M1256,$AJ$13:$AN$13)</f>
        <v>-2.6293151429333849E-3</v>
      </c>
    </row>
    <row r="1257" spans="1:14" x14ac:dyDescent="0.35">
      <c r="A1257" s="3">
        <v>45653</v>
      </c>
      <c r="B1257" s="4">
        <v>43.092685699462798</v>
      </c>
      <c r="C1257" s="4">
        <v>136.28713989257801</v>
      </c>
      <c r="D1257" s="4">
        <v>114.732040405273</v>
      </c>
      <c r="E1257" s="4">
        <v>21.400428771972599</v>
      </c>
      <c r="F1257" s="4">
        <v>426.40408325195301</v>
      </c>
      <c r="I1257" s="5">
        <f>B1257/B1256-1</f>
        <v>-4.7139240274368666E-3</v>
      </c>
      <c r="J1257" s="5">
        <f>C1257/C1256-1</f>
        <v>1.3885041264694031E-4</v>
      </c>
      <c r="K1257" s="5">
        <f>D1257/D1256-1</f>
        <v>-1.6348086408969786E-2</v>
      </c>
      <c r="L1257" s="5">
        <f>E1257/E1256-1</f>
        <v>1.6306574912742455E-2</v>
      </c>
      <c r="M1257" s="5">
        <f>F1257/F1256-1</f>
        <v>-1.7301582947741423E-2</v>
      </c>
      <c r="N1257" s="5">
        <f>SUMPRODUCT(I1257:M1257,$AJ$13:$AN$13)</f>
        <v>-5.313391191120018E-3</v>
      </c>
    </row>
    <row r="1258" spans="1:14" x14ac:dyDescent="0.35">
      <c r="A1258" s="3">
        <v>45656</v>
      </c>
      <c r="B1258" s="4">
        <v>42.674785614013601</v>
      </c>
      <c r="C1258" s="4">
        <v>135.406967163085</v>
      </c>
      <c r="D1258" s="4">
        <v>112.277618408203</v>
      </c>
      <c r="E1258" s="4">
        <v>21.641719818115199</v>
      </c>
      <c r="F1258" s="4">
        <v>420.758697509765</v>
      </c>
      <c r="I1258" s="5">
        <f>B1258/B1257-1</f>
        <v>-9.6977034191769729E-3</v>
      </c>
      <c r="J1258" s="5">
        <f>C1258/C1257-1</f>
        <v>-6.4582229122041035E-3</v>
      </c>
      <c r="K1258" s="5">
        <f>D1258/D1257-1</f>
        <v>-2.1392646626000378E-2</v>
      </c>
      <c r="L1258" s="5">
        <f>E1258/E1257-1</f>
        <v>1.1275056622164881E-2</v>
      </c>
      <c r="M1258" s="5">
        <f>F1258/F1257-1</f>
        <v>-1.3239520829945395E-2</v>
      </c>
      <c r="N1258" s="5">
        <f>SUMPRODUCT(I1258:M1258,$AJ$13:$AN$13)</f>
        <v>-7.2765427495590854E-3</v>
      </c>
    </row>
    <row r="1259" spans="1:14" x14ac:dyDescent="0.35">
      <c r="A1259" s="3">
        <v>45657</v>
      </c>
      <c r="B1259" s="4">
        <v>42.713657379150298</v>
      </c>
      <c r="C1259" s="4">
        <v>137.08213806152301</v>
      </c>
      <c r="D1259" s="4">
        <v>112.68832397460901</v>
      </c>
      <c r="E1259" s="4">
        <v>21.985090255737301</v>
      </c>
      <c r="F1259" s="4">
        <v>417.46063232421801</v>
      </c>
      <c r="I1259" s="5">
        <f>B1259/B1258-1</f>
        <v>9.1088366531666409E-4</v>
      </c>
      <c r="J1259" s="5">
        <f>C1259/C1258-1</f>
        <v>1.2371378914501685E-2</v>
      </c>
      <c r="K1259" s="5">
        <f>D1259/D1258-1</f>
        <v>3.6579469018733768E-3</v>
      </c>
      <c r="L1259" s="5">
        <f>E1259/E1258-1</f>
        <v>1.5866134508158769E-2</v>
      </c>
      <c r="M1259" s="5">
        <f>F1259/F1258-1</f>
        <v>-7.8383767348515487E-3</v>
      </c>
      <c r="N1259" s="5">
        <f>SUMPRODUCT(I1259:M1259,$AJ$13:$AN$13)</f>
        <v>6.0310215704035015E-3</v>
      </c>
    </row>
    <row r="1260" spans="1:14" x14ac:dyDescent="0.35">
      <c r="A1260" s="3">
        <v>45659</v>
      </c>
      <c r="B1260" s="4">
        <v>43.044094085693303</v>
      </c>
      <c r="C1260" s="4">
        <v>138.85198974609301</v>
      </c>
      <c r="D1260" s="4">
        <v>113.949752807617</v>
      </c>
      <c r="E1260" s="4">
        <v>22.801759719848601</v>
      </c>
      <c r="F1260" s="4">
        <v>414.568603515625</v>
      </c>
      <c r="I1260" s="5">
        <f>B1260/B1259-1</f>
        <v>7.7360902066958559E-3</v>
      </c>
      <c r="J1260" s="5">
        <f>C1260/C1259-1</f>
        <v>1.291088474105706E-2</v>
      </c>
      <c r="K1260" s="5">
        <f>D1260/D1259-1</f>
        <v>1.1193962147242775E-2</v>
      </c>
      <c r="L1260" s="5">
        <f>E1260/E1259-1</f>
        <v>3.7146514051639157E-2</v>
      </c>
      <c r="M1260" s="5">
        <f>F1260/F1259-1</f>
        <v>-6.9276683468130207E-3</v>
      </c>
      <c r="N1260" s="5">
        <f>SUMPRODUCT(I1260:M1260,$AJ$13:$AN$13)</f>
        <v>1.8210816143423202E-2</v>
      </c>
    </row>
    <row r="1261" spans="1:14" x14ac:dyDescent="0.35">
      <c r="A1261" s="3">
        <v>45660</v>
      </c>
      <c r="B1261" s="4">
        <v>43.549468994140597</v>
      </c>
      <c r="C1261" s="4">
        <v>139.93095397949199</v>
      </c>
      <c r="D1261" s="4">
        <v>117.254913330078</v>
      </c>
      <c r="E1261" s="4">
        <v>23.386419296264599</v>
      </c>
      <c r="F1261" s="4">
        <v>419.292877197265</v>
      </c>
      <c r="I1261" s="5">
        <f>B1261/B1260-1</f>
        <v>1.174086524950857E-2</v>
      </c>
      <c r="J1261" s="5">
        <f>C1261/C1260-1</f>
        <v>7.7706069273619782E-3</v>
      </c>
      <c r="K1261" s="5">
        <f>D1261/D1260-1</f>
        <v>2.9005420731724962E-2</v>
      </c>
      <c r="L1261" s="5">
        <f>E1261/E1260-1</f>
        <v>2.5640984888857465E-2</v>
      </c>
      <c r="M1261" s="5">
        <f>F1261/F1260-1</f>
        <v>1.1395637878935272E-2</v>
      </c>
      <c r="N1261" s="5">
        <f>SUMPRODUCT(I1261:M1261,$AJ$13:$AN$13)</f>
        <v>2.7239718101763694E-2</v>
      </c>
    </row>
    <row r="1262" spans="1:14" x14ac:dyDescent="0.35">
      <c r="A1262" s="3">
        <v>45663</v>
      </c>
      <c r="B1262" s="4">
        <v>44.122871398925703</v>
      </c>
      <c r="C1262" s="4">
        <v>139.37252807617099</v>
      </c>
      <c r="D1262" s="4">
        <v>121.89973449707</v>
      </c>
      <c r="E1262" s="4">
        <v>23.1729717254638</v>
      </c>
      <c r="F1262" s="4">
        <v>423.74972534179602</v>
      </c>
      <c r="I1262" s="5">
        <f>B1262/B1261-1</f>
        <v>1.3166691076353931E-2</v>
      </c>
      <c r="J1262" s="5">
        <f>C1262/C1261-1</f>
        <v>-3.9907246212502745E-3</v>
      </c>
      <c r="K1262" s="5">
        <f>D1262/D1261-1</f>
        <v>3.961301948956808E-2</v>
      </c>
      <c r="L1262" s="5">
        <f>E1262/E1261-1</f>
        <v>-9.1269881077901127E-3</v>
      </c>
      <c r="M1262" s="5">
        <f>F1262/F1261-1</f>
        <v>1.0629439198496682E-2</v>
      </c>
      <c r="N1262" s="5">
        <f>SUMPRODUCT(I1262:M1262,$AJ$13:$AN$13)</f>
        <v>1.6234251587861927E-2</v>
      </c>
    </row>
    <row r="1263" spans="1:14" x14ac:dyDescent="0.35">
      <c r="A1263" s="3">
        <v>45664</v>
      </c>
      <c r="B1263" s="4">
        <v>44.783740997314403</v>
      </c>
      <c r="C1263" s="4">
        <v>141.57772827148401</v>
      </c>
      <c r="D1263" s="4">
        <v>118.58480834960901</v>
      </c>
      <c r="E1263" s="4">
        <v>23.989639282226499</v>
      </c>
      <c r="F1263" s="4">
        <v>418.32229614257801</v>
      </c>
      <c r="I1263" s="5">
        <f>B1263/B1262-1</f>
        <v>1.4977937233812799E-2</v>
      </c>
      <c r="J1263" s="5">
        <f>C1263/C1262-1</f>
        <v>1.5822344803186894E-2</v>
      </c>
      <c r="K1263" s="5">
        <f>D1263/D1262-1</f>
        <v>-2.7193875041136129E-2</v>
      </c>
      <c r="L1263" s="5">
        <f>E1263/E1262-1</f>
        <v>3.5242245424452756E-2</v>
      </c>
      <c r="M1263" s="5">
        <f>F1263/F1262-1</f>
        <v>-1.2808100807240042E-2</v>
      </c>
      <c r="N1263" s="5">
        <f>SUMPRODUCT(I1263:M1263,$AJ$13:$AN$13)</f>
        <v>-6.8206190185739896E-3</v>
      </c>
    </row>
    <row r="1264" spans="1:14" x14ac:dyDescent="0.35">
      <c r="A1264" s="3">
        <v>45665</v>
      </c>
      <c r="B1264" s="4">
        <v>44.910083770751903</v>
      </c>
      <c r="C1264" s="4">
        <v>142.24969482421801</v>
      </c>
      <c r="D1264" s="4">
        <v>116.668197631835</v>
      </c>
      <c r="E1264" s="4">
        <v>23.479221343994102</v>
      </c>
      <c r="F1264" s="4">
        <v>420.49130249023398</v>
      </c>
      <c r="I1264" s="5">
        <f>B1264/B1263-1</f>
        <v>2.8211750654121293E-3</v>
      </c>
      <c r="J1264" s="5">
        <f>C1264/C1263-1</f>
        <v>4.7462730256941921E-3</v>
      </c>
      <c r="K1264" s="5">
        <f>D1264/D1263-1</f>
        <v>-1.6162362991079759E-2</v>
      </c>
      <c r="L1264" s="5">
        <f>E1264/E1263-1</f>
        <v>-2.1276599127964202E-2</v>
      </c>
      <c r="M1264" s="5">
        <f>F1264/F1263-1</f>
        <v>5.1850125313825934E-3</v>
      </c>
      <c r="N1264" s="5">
        <f>SUMPRODUCT(I1264:M1264,$AJ$13:$AN$13)</f>
        <v>-1.7596313601305653E-2</v>
      </c>
    </row>
    <row r="1265" spans="1:14" x14ac:dyDescent="0.35">
      <c r="A1265" s="3">
        <v>45667</v>
      </c>
      <c r="B1265" s="4">
        <v>43.841026306152301</v>
      </c>
      <c r="C1265" s="4">
        <v>144.93759155273401</v>
      </c>
      <c r="D1265" s="4">
        <v>112.228721618652</v>
      </c>
      <c r="E1265" s="4">
        <v>23.4513835906982</v>
      </c>
      <c r="F1265" s="4">
        <v>414.93505859375</v>
      </c>
      <c r="I1265" s="5">
        <f>B1265/B1264-1</f>
        <v>-2.3804397027106794E-2</v>
      </c>
      <c r="J1265" s="5">
        <f>C1265/C1264-1</f>
        <v>1.8895623866451938E-2</v>
      </c>
      <c r="K1265" s="5">
        <f>D1265/D1264-1</f>
        <v>-3.8052152199971934E-2</v>
      </c>
      <c r="L1265" s="5">
        <f>E1265/E1264-1</f>
        <v>-1.1856335816273766E-3</v>
      </c>
      <c r="M1265" s="5">
        <f>F1265/F1264-1</f>
        <v>-1.3213695178898588E-2</v>
      </c>
      <c r="N1265" s="5">
        <f>SUMPRODUCT(I1265:M1265,$AJ$13:$AN$13)</f>
        <v>-1.8515194004933785E-2</v>
      </c>
    </row>
    <row r="1266" spans="1:14" x14ac:dyDescent="0.35">
      <c r="A1266" s="3">
        <v>45670</v>
      </c>
      <c r="B1266" s="4">
        <v>43.792430877685497</v>
      </c>
      <c r="C1266" s="4">
        <v>147.02923583984301</v>
      </c>
      <c r="D1266" s="4">
        <v>107.730583190917</v>
      </c>
      <c r="E1266" s="4">
        <v>23.924678802490199</v>
      </c>
      <c r="F1266" s="4">
        <v>413.19192504882801</v>
      </c>
      <c r="I1266" s="5">
        <f>B1266/B1265-1</f>
        <v>-1.1084464156347895E-3</v>
      </c>
      <c r="J1266" s="5">
        <f>C1266/C1265-1</f>
        <v>1.4431344309650651E-2</v>
      </c>
      <c r="K1266" s="5">
        <f>D1266/D1265-1</f>
        <v>-4.008010037768639E-2</v>
      </c>
      <c r="L1266" s="5">
        <f>E1266/E1265-1</f>
        <v>2.0181973910474493E-2</v>
      </c>
      <c r="M1266" s="5">
        <f>F1266/F1265-1</f>
        <v>-4.2009791865493806E-3</v>
      </c>
      <c r="N1266" s="5">
        <f>SUMPRODUCT(I1266:M1266,$AJ$13:$AN$13)</f>
        <v>-1.2993990732734165E-2</v>
      </c>
    </row>
    <row r="1267" spans="1:14" x14ac:dyDescent="0.35">
      <c r="A1267" s="3">
        <v>45671</v>
      </c>
      <c r="B1267" s="4">
        <v>44.492179870605398</v>
      </c>
      <c r="C1267" s="4">
        <v>148.49618530273401</v>
      </c>
      <c r="D1267" s="4">
        <v>106.64516448974599</v>
      </c>
      <c r="E1267" s="4">
        <v>23.6741123199462</v>
      </c>
      <c r="F1267" s="4">
        <v>411.68649291992102</v>
      </c>
      <c r="I1267" s="5">
        <f>B1267/B1266-1</f>
        <v>1.5978765711232912E-2</v>
      </c>
      <c r="J1267" s="5">
        <f>C1267/C1266-1</f>
        <v>9.9772637360975303E-3</v>
      </c>
      <c r="K1267" s="5">
        <f>D1267/D1266-1</f>
        <v>-1.0075307020732116E-2</v>
      </c>
      <c r="L1267" s="5">
        <f>E1267/E1266-1</f>
        <v>-1.0473138829262707E-2</v>
      </c>
      <c r="M1267" s="5">
        <f>F1267/F1266-1</f>
        <v>-3.6434209810104479E-3</v>
      </c>
      <c r="N1267" s="5">
        <f>SUMPRODUCT(I1267:M1267,$AJ$13:$AN$13)</f>
        <v>-1.6304792818337095E-2</v>
      </c>
    </row>
    <row r="1268" spans="1:14" x14ac:dyDescent="0.35">
      <c r="A1268" s="3">
        <v>45672</v>
      </c>
      <c r="B1268" s="4">
        <v>45.775047302246001</v>
      </c>
      <c r="C1268" s="4">
        <v>149.849609375</v>
      </c>
      <c r="D1268" s="4">
        <v>106.811401367187</v>
      </c>
      <c r="E1268" s="4">
        <v>23.822595596313398</v>
      </c>
      <c r="F1268" s="4">
        <v>422.224517822265</v>
      </c>
      <c r="I1268" s="5">
        <f>B1268/B1267-1</f>
        <v>2.8833548622960503E-2</v>
      </c>
      <c r="J1268" s="5">
        <f>C1268/C1267-1</f>
        <v>9.1142009439961758E-3</v>
      </c>
      <c r="K1268" s="5">
        <f>D1268/D1267-1</f>
        <v>1.5587849504137274E-3</v>
      </c>
      <c r="L1268" s="5">
        <f>E1268/E1267-1</f>
        <v>6.2719680620124674E-3</v>
      </c>
      <c r="M1268" s="5">
        <f>F1268/F1267-1</f>
        <v>2.5597208272737149E-2</v>
      </c>
      <c r="N1268" s="5">
        <f>SUMPRODUCT(I1268:M1268,$AJ$13:$AN$13)</f>
        <v>3.6552347195978711E-3</v>
      </c>
    </row>
    <row r="1269" spans="1:14" x14ac:dyDescent="0.35">
      <c r="A1269" s="3">
        <v>45673</v>
      </c>
      <c r="B1269" s="4">
        <v>45.327991485595703</v>
      </c>
      <c r="C1269" s="4">
        <v>150.84336853027301</v>
      </c>
      <c r="D1269" s="4">
        <v>107.671913146972</v>
      </c>
      <c r="E1269" s="4">
        <v>23.256496429443299</v>
      </c>
      <c r="F1269" s="4">
        <v>420.51104736328102</v>
      </c>
      <c r="I1269" s="5">
        <f>B1269/B1268-1</f>
        <v>-9.7663649301867883E-3</v>
      </c>
      <c r="J1269" s="5">
        <f>C1269/C1268-1</f>
        <v>6.6317100152468722E-3</v>
      </c>
      <c r="K1269" s="5">
        <f>D1269/D1268-1</f>
        <v>8.0563663501316274E-3</v>
      </c>
      <c r="L1269" s="5">
        <f>E1269/E1268-1</f>
        <v>-2.3763118698858499E-2</v>
      </c>
      <c r="M1269" s="5">
        <f>F1269/F1268-1</f>
        <v>-4.0581974439136692E-3</v>
      </c>
      <c r="N1269" s="5">
        <f>SUMPRODUCT(I1269:M1269,$AJ$13:$AN$13)</f>
        <v>-5.6570695808928371E-3</v>
      </c>
    </row>
    <row r="1270" spans="1:14" x14ac:dyDescent="0.35">
      <c r="A1270" s="3">
        <v>45674</v>
      </c>
      <c r="B1270" s="4">
        <v>45.221084594726499</v>
      </c>
      <c r="C1270" s="4">
        <v>152.82144165039</v>
      </c>
      <c r="D1270" s="4">
        <v>107.21231842041</v>
      </c>
      <c r="E1270" s="4">
        <v>23.126571655273398</v>
      </c>
      <c r="F1270" s="4">
        <v>424.91845703125</v>
      </c>
      <c r="I1270" s="5">
        <f>B1270/B1269-1</f>
        <v>-2.3585181554576229E-3</v>
      </c>
      <c r="J1270" s="5">
        <f>C1270/C1269-1</f>
        <v>1.311342447062902E-2</v>
      </c>
      <c r="K1270" s="5">
        <f>D1270/D1269-1</f>
        <v>-4.2684736727456318E-3</v>
      </c>
      <c r="L1270" s="5">
        <f>E1270/E1269-1</f>
        <v>-5.5866013422990468E-3</v>
      </c>
      <c r="M1270" s="5">
        <f>F1270/F1269-1</f>
        <v>1.0481079380921576E-2</v>
      </c>
      <c r="N1270" s="5">
        <f>SUMPRODUCT(I1270:M1270,$AJ$13:$AN$13)</f>
        <v>-1.0791942337924141E-3</v>
      </c>
    </row>
    <row r="1271" spans="1:14" x14ac:dyDescent="0.35">
      <c r="A1271" s="3">
        <v>45678</v>
      </c>
      <c r="B1271" s="4">
        <v>45.347427368163999</v>
      </c>
      <c r="C1271" s="4">
        <v>149.76443481445301</v>
      </c>
      <c r="D1271" s="4">
        <v>109.080024719238</v>
      </c>
      <c r="E1271" s="4">
        <v>22.783199310302699</v>
      </c>
      <c r="F1271" s="4">
        <v>424.39352416992102</v>
      </c>
      <c r="I1271" s="5">
        <f>B1271/B1270-1</f>
        <v>2.7938908270288554E-3</v>
      </c>
      <c r="J1271" s="5">
        <f>C1271/C1270-1</f>
        <v>-2.0003782210944676E-2</v>
      </c>
      <c r="K1271" s="5">
        <f>D1271/D1270-1</f>
        <v>1.7420631568698886E-2</v>
      </c>
      <c r="L1271" s="5">
        <f>E1271/E1270-1</f>
        <v>-1.4847524747249041E-2</v>
      </c>
      <c r="M1271" s="5">
        <f>F1271/F1270-1</f>
        <v>-1.2353731701759685E-3</v>
      </c>
      <c r="N1271" s="5">
        <f>SUMPRODUCT(I1271:M1271,$AJ$13:$AN$13)</f>
        <v>1.5674999592436986E-3</v>
      </c>
    </row>
    <row r="1272" spans="1:14" x14ac:dyDescent="0.35">
      <c r="A1272" s="3">
        <v>45679</v>
      </c>
      <c r="B1272" s="4">
        <v>44.501899719238203</v>
      </c>
      <c r="C1272" s="4">
        <v>148.032455444335</v>
      </c>
      <c r="D1272" s="4">
        <v>113.021850585937</v>
      </c>
      <c r="E1272" s="4">
        <v>22.2727851867675</v>
      </c>
      <c r="F1272" s="4">
        <v>441.92391967773398</v>
      </c>
      <c r="I1272" s="5">
        <f>B1272/B1271-1</f>
        <v>-1.8645548336428841E-2</v>
      </c>
      <c r="J1272" s="5">
        <f>C1272/C1271-1</f>
        <v>-1.1564690724228388E-2</v>
      </c>
      <c r="K1272" s="5">
        <f>D1272/D1271-1</f>
        <v>3.6137009290609479E-2</v>
      </c>
      <c r="L1272" s="5">
        <f>E1272/E1271-1</f>
        <v>-2.24030925851747E-2</v>
      </c>
      <c r="M1272" s="5">
        <f>F1272/F1271-1</f>
        <v>4.1306934506366355E-2</v>
      </c>
      <c r="N1272" s="5">
        <f>SUMPRODUCT(I1272:M1272,$AJ$13:$AN$13)</f>
        <v>2.7917395576875479E-2</v>
      </c>
    </row>
    <row r="1273" spans="1:14" x14ac:dyDescent="0.35">
      <c r="A1273" s="3">
        <v>45680</v>
      </c>
      <c r="B1273" s="4">
        <v>45.0850219726562</v>
      </c>
      <c r="C1273" s="4">
        <v>147.65385437011699</v>
      </c>
      <c r="D1273" s="4">
        <v>112.1382522583</v>
      </c>
      <c r="E1273" s="4">
        <v>22.486228942871001</v>
      </c>
      <c r="F1273" s="4">
        <v>442.42901611328102</v>
      </c>
      <c r="I1273" s="5">
        <f>B1273/B1272-1</f>
        <v>1.31033114787662E-2</v>
      </c>
      <c r="J1273" s="5">
        <f>C1273/C1272-1</f>
        <v>-2.5575545111482523E-3</v>
      </c>
      <c r="K1273" s="5">
        <f>D1273/D1272-1</f>
        <v>-7.8179424868393133E-3</v>
      </c>
      <c r="L1273" s="5">
        <f>E1273/E1272-1</f>
        <v>9.5831641311887594E-3</v>
      </c>
      <c r="M1273" s="5">
        <f>F1273/F1272-1</f>
        <v>1.1429488494656415E-3</v>
      </c>
      <c r="N1273" s="5">
        <f>SUMPRODUCT(I1273:M1273,$AJ$13:$AN$13)</f>
        <v>-2.9168580609681065E-3</v>
      </c>
    </row>
    <row r="1274" spans="1:14" x14ac:dyDescent="0.35">
      <c r="A1274" s="3">
        <v>45681</v>
      </c>
      <c r="B1274" s="4">
        <v>45.211360931396399</v>
      </c>
      <c r="C1274" s="4">
        <v>147.31315612792901</v>
      </c>
      <c r="D1274" s="4">
        <v>111.657188415527</v>
      </c>
      <c r="E1274" s="4">
        <v>22.115015029907202</v>
      </c>
      <c r="F1274" s="4">
        <v>439.80441284179602</v>
      </c>
      <c r="I1274" s="5">
        <f>B1274/B1273-1</f>
        <v>2.8022379320746804E-3</v>
      </c>
      <c r="J1274" s="5">
        <f>C1274/C1273-1</f>
        <v>-2.3074117749338763E-3</v>
      </c>
      <c r="K1274" s="5">
        <f>D1274/D1273-1</f>
        <v>-4.2899174285765396E-3</v>
      </c>
      <c r="L1274" s="5">
        <f>E1274/E1273-1</f>
        <v>-1.6508500109418733E-2</v>
      </c>
      <c r="M1274" s="5">
        <f>F1274/F1273-1</f>
        <v>-5.9322584547958357E-3</v>
      </c>
      <c r="N1274" s="5">
        <f>SUMPRODUCT(I1274:M1274,$AJ$13:$AN$13)</f>
        <v>-1.2663842911262586E-2</v>
      </c>
    </row>
    <row r="1275" spans="1:14" x14ac:dyDescent="0.35">
      <c r="A1275" s="3">
        <v>45684</v>
      </c>
      <c r="B1275" s="4">
        <v>45.765327453613203</v>
      </c>
      <c r="C1275" s="4">
        <v>148.80851745605401</v>
      </c>
      <c r="D1275" s="4">
        <v>101.947425842285</v>
      </c>
      <c r="E1275" s="4">
        <v>21.845888137817301</v>
      </c>
      <c r="F1275" s="4">
        <v>430.39544677734301</v>
      </c>
      <c r="I1275" s="5">
        <f>B1275/B1274-1</f>
        <v>1.2252816787740484E-2</v>
      </c>
      <c r="J1275" s="5">
        <f>C1275/C1274-1</f>
        <v>1.0150901436300819E-2</v>
      </c>
      <c r="K1275" s="5">
        <f>D1275/D1274-1</f>
        <v>-8.6960478864178237E-2</v>
      </c>
      <c r="L1275" s="5">
        <f>E1275/E1274-1</f>
        <v>-1.2169419361729883E-2</v>
      </c>
      <c r="M1275" s="5">
        <f>F1275/F1274-1</f>
        <v>-2.1393523552110327E-2</v>
      </c>
      <c r="N1275" s="5">
        <f>SUMPRODUCT(I1275:M1275,$AJ$13:$AN$13)</f>
        <v>-6.1986838739053959E-2</v>
      </c>
    </row>
    <row r="1276" spans="1:14" x14ac:dyDescent="0.35">
      <c r="A1276" s="3">
        <v>45685</v>
      </c>
      <c r="B1276" s="4">
        <v>45.522365570068303</v>
      </c>
      <c r="C1276" s="4">
        <v>147.84315490722599</v>
      </c>
      <c r="D1276" s="4">
        <v>99.443916320800696</v>
      </c>
      <c r="E1276" s="4">
        <v>21.883007049560501</v>
      </c>
      <c r="F1276" s="4">
        <v>442.91436767578102</v>
      </c>
      <c r="I1276" s="5">
        <f>B1276/B1275-1</f>
        <v>-5.3088636542841794E-3</v>
      </c>
      <c r="J1276" s="5">
        <f>C1276/C1275-1</f>
        <v>-6.4872801996236351E-3</v>
      </c>
      <c r="K1276" s="5">
        <f>D1276/D1275-1</f>
        <v>-2.4556868413306399E-2</v>
      </c>
      <c r="L1276" s="5">
        <f>E1276/E1275-1</f>
        <v>1.6991257809721994E-3</v>
      </c>
      <c r="M1276" s="5">
        <f>F1276/F1275-1</f>
        <v>2.9087019837629624E-2</v>
      </c>
      <c r="N1276" s="5">
        <f>SUMPRODUCT(I1276:M1276,$AJ$13:$AN$13)</f>
        <v>-5.278313710399777E-4</v>
      </c>
    </row>
    <row r="1277" spans="1:14" x14ac:dyDescent="0.35">
      <c r="A1277" s="3">
        <v>45686</v>
      </c>
      <c r="B1277" s="4">
        <v>45.434890747070298</v>
      </c>
      <c r="C1277" s="4">
        <v>147.35101318359301</v>
      </c>
      <c r="D1277" s="4">
        <v>101.220909118652</v>
      </c>
      <c r="E1277" s="4">
        <v>22.179977416992099</v>
      </c>
      <c r="F1277" s="4">
        <v>438.09100341796801</v>
      </c>
      <c r="I1277" s="5">
        <f>B1277/B1276-1</f>
        <v>-1.9215790282990364E-3</v>
      </c>
      <c r="J1277" s="5">
        <f>C1277/C1276-1</f>
        <v>-3.3288096695569536E-3</v>
      </c>
      <c r="K1277" s="5">
        <f>D1277/D1276-1</f>
        <v>1.78692962183713E-2</v>
      </c>
      <c r="L1277" s="5">
        <f>E1277/E1276-1</f>
        <v>1.3570820808996631E-2</v>
      </c>
      <c r="M1277" s="5">
        <f>F1277/F1276-1</f>
        <v>-1.0890060494365805E-2</v>
      </c>
      <c r="N1277" s="5">
        <f>SUMPRODUCT(I1277:M1277,$AJ$13:$AN$13)</f>
        <v>1.2672130231179206E-2</v>
      </c>
    </row>
    <row r="1278" spans="1:14" x14ac:dyDescent="0.35">
      <c r="A1278" s="3">
        <v>45687</v>
      </c>
      <c r="B1278" s="4">
        <v>45.405735015869098</v>
      </c>
      <c r="C1278" s="4">
        <v>147.94728088378901</v>
      </c>
      <c r="D1278" s="4">
        <v>103.42990875244099</v>
      </c>
      <c r="E1278" s="4">
        <v>22.3191814422607</v>
      </c>
      <c r="F1278" s="4">
        <v>411.01296997070301</v>
      </c>
      <c r="I1278" s="5">
        <f>B1278/B1277-1</f>
        <v>-6.417035613336397E-4</v>
      </c>
      <c r="J1278" s="5">
        <f>C1278/C1277-1</f>
        <v>4.0465802529165984E-3</v>
      </c>
      <c r="K1278" s="5">
        <f>D1278/D1277-1</f>
        <v>2.1823550618376597E-2</v>
      </c>
      <c r="L1278" s="5">
        <f>E1278/E1277-1</f>
        <v>6.276112128137612E-3</v>
      </c>
      <c r="M1278" s="5">
        <f>F1278/F1277-1</f>
        <v>-6.1809152062022088E-2</v>
      </c>
      <c r="N1278" s="5">
        <f>SUMPRODUCT(I1278:M1278,$AJ$13:$AN$13)</f>
        <v>-6.2986018075192537E-3</v>
      </c>
    </row>
    <row r="1279" spans="1:14" x14ac:dyDescent="0.35">
      <c r="A1279" s="3">
        <v>45688</v>
      </c>
      <c r="B1279" s="4">
        <v>44.997550964355398</v>
      </c>
      <c r="C1279" s="4">
        <v>141.19915771484301</v>
      </c>
      <c r="D1279" s="4">
        <v>101.711799621582</v>
      </c>
      <c r="E1279" s="4">
        <v>22.263500213623001</v>
      </c>
      <c r="F1279" s="4">
        <v>411.08230590820301</v>
      </c>
      <c r="I1279" s="5">
        <f>B1279/B1278-1</f>
        <v>-8.9897025424440224E-3</v>
      </c>
      <c r="J1279" s="5">
        <f>C1279/C1278-1</f>
        <v>-4.5611674162815974E-2</v>
      </c>
      <c r="K1279" s="5">
        <f>D1279/D1278-1</f>
        <v>-1.6611337586802666E-2</v>
      </c>
      <c r="L1279" s="5">
        <f>E1279/E1278-1</f>
        <v>-2.4947701949439294E-3</v>
      </c>
      <c r="M1279" s="5">
        <f>F1279/F1278-1</f>
        <v>1.6869525432472443E-4</v>
      </c>
      <c r="N1279" s="5">
        <f>SUMPRODUCT(I1279:M1279,$AJ$13:$AN$13)</f>
        <v>-5.6641555492790681E-3</v>
      </c>
    </row>
    <row r="1280" spans="1:14" x14ac:dyDescent="0.35">
      <c r="A1280" s="3">
        <v>45691</v>
      </c>
      <c r="B1280" s="4">
        <v>44.910083770751903</v>
      </c>
      <c r="C1280" s="4">
        <v>141.34112548828099</v>
      </c>
      <c r="D1280" s="4">
        <v>98.265777587890597</v>
      </c>
      <c r="E1280" s="4">
        <v>22.096452713012599</v>
      </c>
      <c r="F1280" s="4">
        <v>406.98202514648398</v>
      </c>
      <c r="I1280" s="5">
        <f>B1280/B1279-1</f>
        <v>-1.9438212020200796E-3</v>
      </c>
      <c r="J1280" s="5">
        <f>C1280/C1279-1</f>
        <v>1.0054434866013651E-3</v>
      </c>
      <c r="K1280" s="5">
        <f>D1280/D1279-1</f>
        <v>-3.3880258205167046E-2</v>
      </c>
      <c r="L1280" s="5">
        <f>E1280/E1279-1</f>
        <v>-7.5032002608550474E-3</v>
      </c>
      <c r="M1280" s="5">
        <f>F1280/F1279-1</f>
        <v>-9.9743547771055097E-3</v>
      </c>
      <c r="N1280" s="5">
        <f>SUMPRODUCT(I1280:M1280,$AJ$13:$AN$13)</f>
        <v>-2.3949095425102776E-2</v>
      </c>
    </row>
    <row r="1281" spans="1:14" x14ac:dyDescent="0.35">
      <c r="A1281" s="3">
        <v>45692</v>
      </c>
      <c r="B1281" s="4">
        <v>45.396018981933501</v>
      </c>
      <c r="C1281" s="4">
        <v>145.01330566406199</v>
      </c>
      <c r="D1281" s="4">
        <v>99.816986083984304</v>
      </c>
      <c r="E1281" s="4">
        <v>22.996648788452099</v>
      </c>
      <c r="F1281" s="4">
        <v>408.41809082031199</v>
      </c>
      <c r="I1281" s="5">
        <f>B1281/B1280-1</f>
        <v>1.0820180466865725E-2</v>
      </c>
      <c r="J1281" s="5">
        <f>C1281/C1280-1</f>
        <v>2.5980974490580788E-2</v>
      </c>
      <c r="K1281" s="5">
        <f>D1281/D1280-1</f>
        <v>1.5785846651508839E-2</v>
      </c>
      <c r="L1281" s="5">
        <f>E1281/E1280-1</f>
        <v>4.0739393201759233E-2</v>
      </c>
      <c r="M1281" s="5">
        <f>F1281/F1280-1</f>
        <v>3.5285727258129729E-3</v>
      </c>
      <c r="N1281" s="5">
        <f>SUMPRODUCT(I1281:M1281,$AJ$13:$AN$13)</f>
        <v>2.4453187160522933E-2</v>
      </c>
    </row>
    <row r="1282" spans="1:14" x14ac:dyDescent="0.35">
      <c r="A1282" s="3">
        <v>45693</v>
      </c>
      <c r="B1282" s="4">
        <v>45.784767150878899</v>
      </c>
      <c r="C1282" s="4">
        <v>144.79562377929599</v>
      </c>
      <c r="D1282" s="4">
        <v>102.54631042480401</v>
      </c>
      <c r="E1282" s="4">
        <v>21.762365341186499</v>
      </c>
      <c r="F1282" s="4">
        <v>409.32931518554602</v>
      </c>
      <c r="I1282" s="5">
        <f>B1282/B1281-1</f>
        <v>8.5634859105181427E-3</v>
      </c>
      <c r="J1282" s="5">
        <f>C1282/C1281-1</f>
        <v>-1.5011166304302881E-3</v>
      </c>
      <c r="K1282" s="5">
        <f>D1282/D1281-1</f>
        <v>2.73432854256217E-2</v>
      </c>
      <c r="L1282" s="5">
        <f>E1282/E1281-1</f>
        <v>-5.3672318024241994E-2</v>
      </c>
      <c r="M1282" s="5">
        <f>F1282/F1281-1</f>
        <v>2.2311067646485494E-3</v>
      </c>
      <c r="N1282" s="5">
        <f>SUMPRODUCT(I1282:M1282,$AJ$13:$AN$13)</f>
        <v>-1.2524041468415953E-2</v>
      </c>
    </row>
    <row r="1283" spans="1:14" x14ac:dyDescent="0.35">
      <c r="A1283" s="3">
        <v>45694</v>
      </c>
      <c r="B1283" s="4">
        <v>46.397041320800703</v>
      </c>
      <c r="C1283" s="4">
        <v>143.76400756835901</v>
      </c>
      <c r="D1283" s="4">
        <v>103.98951721191401</v>
      </c>
      <c r="E1283" s="4">
        <v>21.400428771972599</v>
      </c>
      <c r="F1283" s="4">
        <v>411.83508300781199</v>
      </c>
      <c r="I1283" s="5">
        <f>B1283/B1282-1</f>
        <v>1.3372879409960126E-2</v>
      </c>
      <c r="J1283" s="5">
        <f>C1283/C1282-1</f>
        <v>-7.1246366707147235E-3</v>
      </c>
      <c r="K1283" s="5">
        <f>D1283/D1282-1</f>
        <v>1.4073707587639595E-2</v>
      </c>
      <c r="L1283" s="5">
        <f>E1283/E1282-1</f>
        <v>-1.6631306548691827E-2</v>
      </c>
      <c r="M1283" s="5">
        <f>F1283/F1282-1</f>
        <v>6.1216427197015033E-3</v>
      </c>
      <c r="N1283" s="5">
        <f>SUMPRODUCT(I1283:M1283,$AJ$13:$AN$13)</f>
        <v>-2.0325813463299555E-3</v>
      </c>
    </row>
    <row r="1284" spans="1:14" x14ac:dyDescent="0.35">
      <c r="A1284" s="3">
        <v>45695</v>
      </c>
      <c r="B1284" s="4">
        <v>46.066608428955</v>
      </c>
      <c r="C1284" s="4">
        <v>144.44543457031199</v>
      </c>
      <c r="D1284" s="4">
        <v>104.43132781982401</v>
      </c>
      <c r="E1284" s="4">
        <v>21.855165481567301</v>
      </c>
      <c r="F1284" s="4">
        <v>405.82321166992102</v>
      </c>
      <c r="I1284" s="5">
        <f>B1284/B1283-1</f>
        <v>-7.1218526535131721E-3</v>
      </c>
      <c r="J1284" s="5">
        <f>C1284/C1283-1</f>
        <v>4.7398998781316148E-3</v>
      </c>
      <c r="K1284" s="5">
        <f>D1284/D1283-1</f>
        <v>4.2486071649863177E-3</v>
      </c>
      <c r="L1284" s="5">
        <f>E1284/E1283-1</f>
        <v>2.1248953207435584E-2</v>
      </c>
      <c r="M1284" s="5">
        <f>F1284/F1283-1</f>
        <v>-1.4597763973830613E-2</v>
      </c>
      <c r="N1284" s="5">
        <f>SUMPRODUCT(I1284:M1284,$AJ$13:$AN$13)</f>
        <v>9.1689679265442997E-3</v>
      </c>
    </row>
    <row r="1285" spans="1:14" x14ac:dyDescent="0.35">
      <c r="A1285" s="3">
        <v>45698</v>
      </c>
      <c r="B1285" s="4">
        <v>45.357135772705</v>
      </c>
      <c r="C1285" s="4">
        <v>147.42672729492099</v>
      </c>
      <c r="D1285" s="4">
        <v>110.263061523437</v>
      </c>
      <c r="E1285" s="4">
        <v>22.783199310302699</v>
      </c>
      <c r="F1285" s="4">
        <v>408.26953125</v>
      </c>
      <c r="I1285" s="5">
        <f>B1285/B1284-1</f>
        <v>-1.5401017796744632E-2</v>
      </c>
      <c r="J1285" s="5">
        <f>C1285/C1284-1</f>
        <v>2.0639577384204522E-2</v>
      </c>
      <c r="K1285" s="5">
        <f>D1285/D1284-1</f>
        <v>5.5842761222710147E-2</v>
      </c>
      <c r="L1285" s="5">
        <f>E1285/E1284-1</f>
        <v>4.2462905600879841E-2</v>
      </c>
      <c r="M1285" s="5">
        <f>F1285/F1284-1</f>
        <v>6.028042531161848E-3</v>
      </c>
      <c r="N1285" s="5">
        <f>SUMPRODUCT(I1285:M1285,$AJ$13:$AN$13)</f>
        <v>5.4708499104616941E-2</v>
      </c>
    </row>
    <row r="1286" spans="1:14" x14ac:dyDescent="0.35">
      <c r="A1286" s="3">
        <v>45699</v>
      </c>
      <c r="B1286" s="4">
        <v>45.473770141601499</v>
      </c>
      <c r="C1286" s="4">
        <v>149.00727844238199</v>
      </c>
      <c r="D1286" s="4">
        <v>109.408920288085</v>
      </c>
      <c r="E1286" s="4">
        <v>22.894563674926701</v>
      </c>
      <c r="F1286" s="4">
        <v>407.49703979492102</v>
      </c>
      <c r="I1286" s="5">
        <f>B1286/B1285-1</f>
        <v>2.5714668025109688E-3</v>
      </c>
      <c r="J1286" s="5">
        <f>C1286/C1285-1</f>
        <v>1.0720926771298211E-2</v>
      </c>
      <c r="K1286" s="5">
        <f>D1286/D1285-1</f>
        <v>-7.7463950624158118E-3</v>
      </c>
      <c r="L1286" s="5">
        <f>E1286/E1285-1</f>
        <v>4.8880037920593367E-3</v>
      </c>
      <c r="M1286" s="5">
        <f>F1286/F1285-1</f>
        <v>-1.8921114507708392E-3</v>
      </c>
      <c r="N1286" s="5">
        <f>SUMPRODUCT(I1286:M1286,$AJ$13:$AN$13)</f>
        <v>-3.4763749349949816E-3</v>
      </c>
    </row>
    <row r="1287" spans="1:14" x14ac:dyDescent="0.35">
      <c r="A1287" s="3">
        <v>45700</v>
      </c>
      <c r="B1287" s="4">
        <v>44.910083770751903</v>
      </c>
      <c r="C1287" s="4">
        <v>146.60330200195301</v>
      </c>
      <c r="D1287" s="4">
        <v>110.861946105957</v>
      </c>
      <c r="E1287" s="4">
        <v>21.595319747924801</v>
      </c>
      <c r="F1287" s="4">
        <v>405.120025634765</v>
      </c>
      <c r="I1287" s="5">
        <f>B1287/B1286-1</f>
        <v>-1.2395857416139577E-2</v>
      </c>
      <c r="J1287" s="5">
        <f>C1287/C1286-1</f>
        <v>-1.6133281981648651E-2</v>
      </c>
      <c r="K1287" s="5">
        <f>D1287/D1286-1</f>
        <v>1.3280688759618853E-2</v>
      </c>
      <c r="L1287" s="5">
        <f>E1287/E1286-1</f>
        <v>-5.674901454552661E-2</v>
      </c>
      <c r="M1287" s="5">
        <f>F1287/F1286-1</f>
        <v>-5.8332059574034423E-3</v>
      </c>
      <c r="N1287" s="5">
        <f>SUMPRODUCT(I1287:M1287,$AJ$13:$AN$13)</f>
        <v>-1.7436411479248935E-2</v>
      </c>
    </row>
    <row r="1288" spans="1:14" x14ac:dyDescent="0.35">
      <c r="A1288" s="3">
        <v>45701</v>
      </c>
      <c r="B1288" s="4">
        <v>45.026710510253899</v>
      </c>
      <c r="C1288" s="4">
        <v>147.53082275390599</v>
      </c>
      <c r="D1288" s="4">
        <v>108.250427246093</v>
      </c>
      <c r="E1288" s="4">
        <v>21.725244522094702</v>
      </c>
      <c r="F1288" s="4">
        <v>406.60565185546801</v>
      </c>
      <c r="I1288" s="5">
        <f>B1288/B1287-1</f>
        <v>2.5968942765133285E-3</v>
      </c>
      <c r="J1288" s="5">
        <f>C1288/C1287-1</f>
        <v>6.3267384791962922E-3</v>
      </c>
      <c r="K1288" s="5">
        <f>D1288/D1287-1</f>
        <v>-2.3556494826169061E-2</v>
      </c>
      <c r="L1288" s="5">
        <f>E1288/E1287-1</f>
        <v>6.0163394516252744E-3</v>
      </c>
      <c r="M1288" s="5">
        <f>F1288/F1287-1</f>
        <v>3.6671261026290924E-3</v>
      </c>
      <c r="N1288" s="5">
        <f>SUMPRODUCT(I1288:M1288,$AJ$13:$AN$13)</f>
        <v>-9.1873907272614873E-3</v>
      </c>
    </row>
    <row r="1289" spans="1:14" x14ac:dyDescent="0.35">
      <c r="A1289" s="3">
        <v>45702</v>
      </c>
      <c r="B1289" s="4">
        <v>45.638988494872997</v>
      </c>
      <c r="C1289" s="4">
        <v>148.65045166015599</v>
      </c>
      <c r="D1289" s="4">
        <v>112.29533386230401</v>
      </c>
      <c r="E1289" s="4">
        <v>21.753505706787099</v>
      </c>
      <c r="F1289" s="4">
        <v>404.515869140625</v>
      </c>
      <c r="I1289" s="5">
        <f>B1289/B1288-1</f>
        <v>1.3598106050400016E-2</v>
      </c>
      <c r="J1289" s="5">
        <f>C1289/C1288-1</f>
        <v>7.5891185675662776E-3</v>
      </c>
      <c r="K1289" s="5">
        <f>D1289/D1288-1</f>
        <v>3.7366195396304924E-2</v>
      </c>
      <c r="L1289" s="5">
        <f>E1289/E1288-1</f>
        <v>1.3008454134384451E-3</v>
      </c>
      <c r="M1289" s="5">
        <f>F1289/F1288-1</f>
        <v>-5.1395810788824603E-3</v>
      </c>
      <c r="N1289" s="5">
        <f>SUMPRODUCT(I1289:M1289,$AJ$13:$AN$13)</f>
        <v>1.4165140643644271E-2</v>
      </c>
    </row>
    <row r="1290" spans="1:14" x14ac:dyDescent="0.35">
      <c r="A1290" s="3">
        <v>45706</v>
      </c>
      <c r="B1290" s="4">
        <v>45.221084594726499</v>
      </c>
      <c r="C1290" s="4">
        <v>149.435134887695</v>
      </c>
      <c r="D1290" s="4">
        <v>118.14670562744099</v>
      </c>
      <c r="E1290" s="4">
        <v>21.819454193115199</v>
      </c>
      <c r="F1290" s="4">
        <v>405.714263916015</v>
      </c>
      <c r="I1290" s="5">
        <f>B1290/B1289-1</f>
        <v>-9.1567301101216358E-3</v>
      </c>
      <c r="J1290" s="5">
        <f>C1290/C1289-1</f>
        <v>5.2787140488004258E-3</v>
      </c>
      <c r="K1290" s="5">
        <f>D1290/D1289-1</f>
        <v>5.2106989345718668E-2</v>
      </c>
      <c r="L1290" s="5">
        <f>E1290/E1289-1</f>
        <v>3.0316256706854894E-3</v>
      </c>
      <c r="M1290" s="5">
        <f>F1290/F1289-1</f>
        <v>2.9625408217877069E-3</v>
      </c>
      <c r="N1290" s="5">
        <f>SUMPRODUCT(I1290:M1290,$AJ$13:$AN$13)</f>
        <v>3.2012162496124853E-2</v>
      </c>
    </row>
    <row r="1291" spans="1:14" x14ac:dyDescent="0.35">
      <c r="A1291" s="3">
        <v>45707</v>
      </c>
      <c r="B1291" s="4">
        <v>44.715709686279297</v>
      </c>
      <c r="C1291" s="4">
        <v>150.45904541015599</v>
      </c>
      <c r="D1291" s="4">
        <v>118.755409240722</v>
      </c>
      <c r="E1291" s="4">
        <v>21.734663009643501</v>
      </c>
      <c r="F1291" s="4">
        <v>410.79510498046801</v>
      </c>
      <c r="I1291" s="5">
        <f>B1291/B1290-1</f>
        <v>-1.11756476647209E-2</v>
      </c>
      <c r="J1291" s="5">
        <f>C1291/C1290-1</f>
        <v>6.8518727087207854E-3</v>
      </c>
      <c r="K1291" s="5">
        <f>D1291/D1290-1</f>
        <v>5.1520997563865301E-3</v>
      </c>
      <c r="L1291" s="5">
        <f>E1291/E1290-1</f>
        <v>-3.8860359531106559E-3</v>
      </c>
      <c r="M1291" s="5">
        <f>F1291/F1290-1</f>
        <v>1.252320047959854E-2</v>
      </c>
      <c r="N1291" s="5">
        <f>SUMPRODUCT(I1291:M1291,$AJ$13:$AN$13)</f>
        <v>8.0577734279121058E-3</v>
      </c>
    </row>
    <row r="1292" spans="1:14" x14ac:dyDescent="0.35">
      <c r="A1292" s="3">
        <v>45708</v>
      </c>
      <c r="B1292" s="4">
        <v>44.025684356689403</v>
      </c>
      <c r="C1292" s="4">
        <v>151.95187377929599</v>
      </c>
      <c r="D1292" s="4">
        <v>117.70491027832</v>
      </c>
      <c r="E1292" s="4">
        <v>22.1209297180175</v>
      </c>
      <c r="F1292" s="4">
        <v>412.968505859375</v>
      </c>
      <c r="I1292" s="5">
        <f>B1292/B1291-1</f>
        <v>-1.5431384952425908E-2</v>
      </c>
      <c r="J1292" s="5">
        <f>C1292/C1291-1</f>
        <v>9.9218253383870358E-3</v>
      </c>
      <c r="K1292" s="5">
        <f>D1292/D1291-1</f>
        <v>-8.8459041075981126E-3</v>
      </c>
      <c r="L1292" s="5">
        <f>E1292/E1291-1</f>
        <v>1.777192074257683E-2</v>
      </c>
      <c r="M1292" s="5">
        <f>F1292/F1291-1</f>
        <v>5.2907175683369889E-3</v>
      </c>
      <c r="N1292" s="5">
        <f>SUMPRODUCT(I1292:M1292,$AJ$13:$AN$13)</f>
        <v>9.6034741649765748E-3</v>
      </c>
    </row>
    <row r="1293" spans="1:14" x14ac:dyDescent="0.35">
      <c r="A1293" s="3">
        <v>45709</v>
      </c>
      <c r="B1293" s="4">
        <v>43.549468994140597</v>
      </c>
      <c r="C1293" s="4">
        <v>150.16239929199199</v>
      </c>
      <c r="D1293" s="4">
        <v>115.456649780273</v>
      </c>
      <c r="E1293" s="4">
        <v>21.894823074340799</v>
      </c>
      <c r="F1293" s="4">
        <v>405.10861206054602</v>
      </c>
      <c r="I1293" s="5">
        <f>B1293/B1292-1</f>
        <v>-1.0816762294722837E-2</v>
      </c>
      <c r="J1293" s="5">
        <f>C1293/C1292-1</f>
        <v>-1.1776587170640229E-2</v>
      </c>
      <c r="K1293" s="5">
        <f>D1293/D1292-1</f>
        <v>-1.9100821645680388E-2</v>
      </c>
      <c r="L1293" s="5">
        <f>E1293/E1292-1</f>
        <v>-1.0221389722717578E-2</v>
      </c>
      <c r="M1293" s="5">
        <f>F1293/F1292-1</f>
        <v>-1.9032671226278608E-2</v>
      </c>
      <c r="N1293" s="5">
        <f>SUMPRODUCT(I1293:M1293,$AJ$13:$AN$13)</f>
        <v>-1.7564899072295366E-2</v>
      </c>
    </row>
    <row r="1294" spans="1:14" x14ac:dyDescent="0.35">
      <c r="A1294" s="3">
        <v>45712</v>
      </c>
      <c r="B1294" s="4">
        <v>43.2093086242675</v>
      </c>
      <c r="C1294" s="4">
        <v>151.09063720703099</v>
      </c>
      <c r="D1294" s="4">
        <v>112.05970764160099</v>
      </c>
      <c r="E1294" s="4">
        <v>21.998455047607401</v>
      </c>
      <c r="F1294" s="4">
        <v>400.93060302734301</v>
      </c>
      <c r="I1294" s="5">
        <f>B1294/B1293-1</f>
        <v>-7.8108959243305964E-3</v>
      </c>
      <c r="J1294" s="5">
        <f>C1294/C1293-1</f>
        <v>6.1815602268984193E-3</v>
      </c>
      <c r="K1294" s="5">
        <f>D1294/D1293-1</f>
        <v>-2.9421797229841395E-2</v>
      </c>
      <c r="L1294" s="5">
        <f>E1294/E1293-1</f>
        <v>4.7331724451362689E-3</v>
      </c>
      <c r="M1294" s="5">
        <f>F1294/F1293-1</f>
        <v>-1.0313305885925161E-2</v>
      </c>
      <c r="N1294" s="5">
        <f>SUMPRODUCT(I1294:M1294,$AJ$13:$AN$13)</f>
        <v>-1.4496139949636272E-2</v>
      </c>
    </row>
    <row r="1295" spans="1:14" x14ac:dyDescent="0.35">
      <c r="A1295" s="3">
        <v>45713</v>
      </c>
      <c r="B1295" s="4">
        <v>42.7039375305175</v>
      </c>
      <c r="C1295" s="4">
        <v>149.68392944335901</v>
      </c>
      <c r="D1295" s="4">
        <v>108.633323669433</v>
      </c>
      <c r="E1295" s="4">
        <v>21.4897136688232</v>
      </c>
      <c r="F1295" s="4">
        <v>394.87698364257801</v>
      </c>
      <c r="I1295" s="5">
        <f>B1295/B1294-1</f>
        <v>-1.1695884748921248E-2</v>
      </c>
      <c r="J1295" s="5">
        <f>C1295/C1294-1</f>
        <v>-9.3103569465026181E-3</v>
      </c>
      <c r="K1295" s="5">
        <f>D1295/D1294-1</f>
        <v>-3.0576413630549082E-2</v>
      </c>
      <c r="L1295" s="5">
        <f>E1295/E1294-1</f>
        <v>-2.312623216872367E-2</v>
      </c>
      <c r="M1295" s="5">
        <f>F1295/F1294-1</f>
        <v>-1.5098920708609853E-2</v>
      </c>
      <c r="N1295" s="5">
        <f>SUMPRODUCT(I1295:M1295,$AJ$13:$AN$13)</f>
        <v>-2.8082287335675946E-2</v>
      </c>
    </row>
    <row r="1296" spans="1:14" x14ac:dyDescent="0.35">
      <c r="A1296" s="3">
        <v>45714</v>
      </c>
      <c r="B1296" s="4">
        <v>42.7039375305175</v>
      </c>
      <c r="C1296" s="4">
        <v>148.459060668945</v>
      </c>
      <c r="D1296" s="4">
        <v>113.542190551757</v>
      </c>
      <c r="E1296" s="4">
        <v>21.3201293945312</v>
      </c>
      <c r="F1296" s="4">
        <v>396.69308471679602</v>
      </c>
      <c r="I1296" s="5">
        <f>B1296/B1295-1</f>
        <v>0</v>
      </c>
      <c r="J1296" s="5">
        <f>C1296/C1295-1</f>
        <v>-8.1830346047769842E-3</v>
      </c>
      <c r="K1296" s="5">
        <f>D1296/D1295-1</f>
        <v>4.5187486827352297E-2</v>
      </c>
      <c r="L1296" s="5">
        <f>E1296/E1295-1</f>
        <v>-7.8914161866209254E-3</v>
      </c>
      <c r="M1296" s="5">
        <f>F1296/F1295-1</f>
        <v>4.5991565714091909E-3</v>
      </c>
      <c r="N1296" s="5">
        <f>SUMPRODUCT(I1296:M1296,$AJ$13:$AN$13)</f>
        <v>2.1644991392501138E-2</v>
      </c>
    </row>
    <row r="1297" spans="1:14" x14ac:dyDescent="0.35">
      <c r="A1297" s="3">
        <v>45715</v>
      </c>
      <c r="B1297" s="4">
        <v>42.878871917724602</v>
      </c>
      <c r="C1297" s="4">
        <v>149.92317199707</v>
      </c>
      <c r="D1297" s="4">
        <v>105.864707946777</v>
      </c>
      <c r="E1297" s="4">
        <v>21.602767944335898</v>
      </c>
      <c r="F1297" s="4">
        <v>389.547760009765</v>
      </c>
      <c r="I1297" s="5">
        <f>B1297/B1296-1</f>
        <v>4.0964463073713819E-3</v>
      </c>
      <c r="J1297" s="5">
        <f>C1297/C1296-1</f>
        <v>9.8620543705976171E-3</v>
      </c>
      <c r="K1297" s="5">
        <f>D1297/D1296-1</f>
        <v>-6.7617883428806147E-2</v>
      </c>
      <c r="L1297" s="5">
        <f>E1297/E1296-1</f>
        <v>1.3256887168667797E-2</v>
      </c>
      <c r="M1297" s="5">
        <f>F1297/F1296-1</f>
        <v>-1.801222401477498E-2</v>
      </c>
      <c r="N1297" s="5">
        <f>SUMPRODUCT(I1297:M1297,$AJ$13:$AN$13)</f>
        <v>-3.6537168905283836E-2</v>
      </c>
    </row>
    <row r="1298" spans="1:14" x14ac:dyDescent="0.35">
      <c r="A1298" s="3">
        <v>45716</v>
      </c>
      <c r="B1298" s="4">
        <v>44.803173065185497</v>
      </c>
      <c r="C1298" s="4">
        <v>151.78919982910099</v>
      </c>
      <c r="D1298" s="4">
        <v>100.887115478515</v>
      </c>
      <c r="E1298" s="4">
        <v>22.036138534545898</v>
      </c>
      <c r="F1298" s="4">
        <v>393.973876953125</v>
      </c>
      <c r="I1298" s="5">
        <f>B1298/B1297-1</f>
        <v>4.4877606648636048E-2</v>
      </c>
      <c r="J1298" s="5">
        <f>C1298/C1297-1</f>
        <v>1.2446560509455251E-2</v>
      </c>
      <c r="K1298" s="5">
        <f>D1298/D1297-1</f>
        <v>-4.7018431022021634E-2</v>
      </c>
      <c r="L1298" s="5">
        <f>E1298/E1297-1</f>
        <v>2.0060882537213276E-2</v>
      </c>
      <c r="M1298" s="5">
        <f>F1298/F1297-1</f>
        <v>1.1362193286001743E-2</v>
      </c>
      <c r="N1298" s="5">
        <f>SUMPRODUCT(I1298:M1298,$AJ$13:$AN$13)</f>
        <v>-2.4699110092918936E-2</v>
      </c>
    </row>
    <row r="1299" spans="1:14" x14ac:dyDescent="0.35">
      <c r="A1299" s="3">
        <v>45719</v>
      </c>
      <c r="B1299" s="4">
        <v>44.278366088867102</v>
      </c>
      <c r="C1299" s="4">
        <v>146.49734497070301</v>
      </c>
      <c r="D1299" s="4">
        <v>93.818344116210895</v>
      </c>
      <c r="E1299" s="4">
        <v>21.348396301269499</v>
      </c>
      <c r="F1299" s="4">
        <v>385.538482666015</v>
      </c>
      <c r="I1299" s="5">
        <f>B1299/B1298-1</f>
        <v>-1.1713611791621004E-2</v>
      </c>
      <c r="J1299" s="5">
        <f>C1299/C1298-1</f>
        <v>-3.4863184365923727E-2</v>
      </c>
      <c r="K1299" s="5">
        <f>D1299/D1298-1</f>
        <v>-7.0066145996705353E-2</v>
      </c>
      <c r="L1299" s="5">
        <f>E1299/E1298-1</f>
        <v>-3.1209743585439487E-2</v>
      </c>
      <c r="M1299" s="5">
        <f>F1299/F1298-1</f>
        <v>-2.141104976895114E-2</v>
      </c>
      <c r="N1299" s="5">
        <f>SUMPRODUCT(I1299:M1299,$AJ$13:$AN$13)</f>
        <v>-5.3686842353422054E-2</v>
      </c>
    </row>
    <row r="1300" spans="1:14" x14ac:dyDescent="0.35">
      <c r="A1300" s="3">
        <v>45720</v>
      </c>
      <c r="B1300" s="4">
        <v>41.469661712646399</v>
      </c>
      <c r="C1300" s="4">
        <v>145.45428466796801</v>
      </c>
      <c r="D1300" s="4">
        <v>92.355506896972599</v>
      </c>
      <c r="E1300" s="4">
        <v>21.178813934326101</v>
      </c>
      <c r="F1300" s="4">
        <v>385.65753173828102</v>
      </c>
      <c r="I1300" s="5">
        <f>B1300/B1299-1</f>
        <v>-6.3432882111855826E-2</v>
      </c>
      <c r="J1300" s="5">
        <f>C1300/C1299-1</f>
        <v>-7.1199945838171796E-3</v>
      </c>
      <c r="K1300" s="5">
        <f>D1300/D1299-1</f>
        <v>-1.559223020847933E-2</v>
      </c>
      <c r="L1300" s="5">
        <f>E1300/E1299-1</f>
        <v>-7.9435646851522268E-3</v>
      </c>
      <c r="M1300" s="5">
        <f>F1300/F1299-1</f>
        <v>3.0878648336951642E-4</v>
      </c>
      <c r="N1300" s="5">
        <f>SUMPRODUCT(I1300:M1300,$AJ$13:$AN$13)</f>
        <v>6.851918011812415E-3</v>
      </c>
    </row>
    <row r="1301" spans="1:14" x14ac:dyDescent="0.35">
      <c r="A1301" s="3">
        <v>45721</v>
      </c>
      <c r="B1301" s="4">
        <v>41.1003608703613</v>
      </c>
      <c r="C1301" s="4">
        <v>144.31552124023401</v>
      </c>
      <c r="D1301" s="4">
        <v>95.4775390625</v>
      </c>
      <c r="E1301" s="4">
        <v>21.112865447998001</v>
      </c>
      <c r="F1301" s="4">
        <v>397.97326660156199</v>
      </c>
      <c r="I1301" s="5">
        <f>B1301/B1300-1</f>
        <v>-8.9053256533433434E-3</v>
      </c>
      <c r="J1301" s="5">
        <f>C1301/C1300-1</f>
        <v>-7.829012602368457E-3</v>
      </c>
      <c r="K1301" s="5">
        <f>D1301/D1300-1</f>
        <v>3.3804504684384451E-2</v>
      </c>
      <c r="L1301" s="5">
        <f>E1301/E1300-1</f>
        <v>-3.113889499789857E-3</v>
      </c>
      <c r="M1301" s="5">
        <f>F1301/F1300-1</f>
        <v>3.1934381801828282E-2</v>
      </c>
      <c r="N1301" s="5">
        <f>SUMPRODUCT(I1301:M1301,$AJ$13:$AN$13)</f>
        <v>2.9645676627156572E-2</v>
      </c>
    </row>
    <row r="1302" spans="1:14" x14ac:dyDescent="0.35">
      <c r="A1302" s="3">
        <v>45722</v>
      </c>
      <c r="B1302" s="4">
        <v>40.293701171875</v>
      </c>
      <c r="C1302" s="4">
        <v>146.363357543945</v>
      </c>
      <c r="D1302" s="4">
        <v>91.324638366699205</v>
      </c>
      <c r="E1302" s="4">
        <v>21.075180053710898</v>
      </c>
      <c r="F1302" s="4">
        <v>393.87466430664</v>
      </c>
      <c r="I1302" s="5">
        <f>B1302/B1301-1</f>
        <v>-1.9626584326854601E-2</v>
      </c>
      <c r="J1302" s="5">
        <f>C1302/C1301-1</f>
        <v>1.4189993467868645E-2</v>
      </c>
      <c r="K1302" s="5">
        <f>D1302/D1301-1</f>
        <v>-4.3496101141466292E-2</v>
      </c>
      <c r="L1302" s="5">
        <f>E1302/E1301-1</f>
        <v>-1.7849492945390955E-3</v>
      </c>
      <c r="M1302" s="5">
        <f>F1302/F1301-1</f>
        <v>-1.0298687471953727E-2</v>
      </c>
      <c r="N1302" s="5">
        <f>SUMPRODUCT(I1302:M1302,$AJ$13:$AN$13)</f>
        <v>-2.1710111340722097E-2</v>
      </c>
    </row>
    <row r="1303" spans="1:14" x14ac:dyDescent="0.35">
      <c r="A1303" s="3">
        <v>45723</v>
      </c>
      <c r="B1303" s="4">
        <v>40.489303588867102</v>
      </c>
      <c r="C1303" s="4">
        <v>149.60739135742099</v>
      </c>
      <c r="D1303" s="4">
        <v>89.793067932128906</v>
      </c>
      <c r="E1303" s="4">
        <v>21.8288764953613</v>
      </c>
      <c r="F1303" s="4">
        <v>390.32183837890602</v>
      </c>
      <c r="I1303" s="5">
        <f>B1303/B1302-1</f>
        <v>4.8544167277597694E-3</v>
      </c>
      <c r="J1303" s="5">
        <f>C1303/C1302-1</f>
        <v>2.2164248401461917E-2</v>
      </c>
      <c r="K1303" s="5">
        <f>D1303/D1302-1</f>
        <v>-1.6770615925359889E-2</v>
      </c>
      <c r="L1303" s="5">
        <f>E1303/E1302-1</f>
        <v>3.57622776996247E-2</v>
      </c>
      <c r="M1303" s="5">
        <f>F1303/F1302-1</f>
        <v>-9.0201941117188378E-3</v>
      </c>
      <c r="N1303" s="5">
        <f>SUMPRODUCT(I1303:M1303,$AJ$13:$AN$13)</f>
        <v>2.8348953532132703E-3</v>
      </c>
    </row>
    <row r="1304" spans="1:14" x14ac:dyDescent="0.35">
      <c r="A1304" s="3">
        <v>45726</v>
      </c>
      <c r="B1304" s="4">
        <v>38.953842163085902</v>
      </c>
      <c r="C1304" s="4">
        <v>150.784423828125</v>
      </c>
      <c r="D1304" s="4">
        <v>88.693473815917898</v>
      </c>
      <c r="E1304" s="4">
        <v>22.752151489257798</v>
      </c>
      <c r="F1304" s="4">
        <v>377.27175903320301</v>
      </c>
      <c r="I1304" s="5">
        <f>B1304/B1303-1</f>
        <v>-3.7922643505367448E-2</v>
      </c>
      <c r="J1304" s="5">
        <f>C1304/C1303-1</f>
        <v>7.8674753969341094E-3</v>
      </c>
      <c r="K1304" s="5">
        <f>D1304/D1303-1</f>
        <v>-1.2245868657056569E-2</v>
      </c>
      <c r="L1304" s="5">
        <f>E1304/E1303-1</f>
        <v>4.2296038190178908E-2</v>
      </c>
      <c r="M1304" s="5">
        <f>F1304/F1303-1</f>
        <v>-3.3434151160752101E-2</v>
      </c>
      <c r="N1304" s="5">
        <f>SUMPRODUCT(I1304:M1304,$AJ$13:$AN$13)</f>
        <v>1.2928448591209497E-2</v>
      </c>
    </row>
    <row r="1305" spans="1:14" x14ac:dyDescent="0.35">
      <c r="A1305" s="3">
        <v>45727</v>
      </c>
      <c r="B1305" s="4">
        <v>38.738681793212798</v>
      </c>
      <c r="C1305" s="4">
        <v>147.44471740722599</v>
      </c>
      <c r="D1305" s="4">
        <v>89.901062011718693</v>
      </c>
      <c r="E1305" s="4">
        <v>22.544885635375898</v>
      </c>
      <c r="F1305" s="4">
        <v>377.5595703125</v>
      </c>
      <c r="I1305" s="5">
        <f>B1305/B1304-1</f>
        <v>-5.5234697766731733E-3</v>
      </c>
      <c r="J1305" s="5">
        <f>C1305/C1304-1</f>
        <v>-2.2148882066929221E-2</v>
      </c>
      <c r="K1305" s="5">
        <f>D1305/D1304-1</f>
        <v>1.3615299343299192E-2</v>
      </c>
      <c r="L1305" s="5">
        <f>E1305/E1304-1</f>
        <v>-9.1097254683698559E-3</v>
      </c>
      <c r="M1305" s="5">
        <f>F1305/F1304-1</f>
        <v>7.628752282824447E-4</v>
      </c>
      <c r="N1305" s="5">
        <f>SUMPRODUCT(I1305:M1305,$AJ$13:$AN$13)</f>
        <v>5.410467105490686E-3</v>
      </c>
    </row>
    <row r="1306" spans="1:14" x14ac:dyDescent="0.35">
      <c r="A1306" s="3">
        <v>45728</v>
      </c>
      <c r="B1306" s="4">
        <v>39.032085418701101</v>
      </c>
      <c r="C1306" s="4">
        <v>146.09542846679599</v>
      </c>
      <c r="D1306" s="4">
        <v>92.856201171875</v>
      </c>
      <c r="E1306" s="4">
        <v>22.65793800354</v>
      </c>
      <c r="F1306" s="4">
        <v>380.35809326171801</v>
      </c>
      <c r="I1306" s="5">
        <f>B1306/B1305-1</f>
        <v>7.573918675253033E-3</v>
      </c>
      <c r="J1306" s="5">
        <f>C1306/C1305-1</f>
        <v>-9.1511514563347163E-3</v>
      </c>
      <c r="K1306" s="5">
        <f>D1306/D1305-1</f>
        <v>3.2871015025062844E-2</v>
      </c>
      <c r="L1306" s="5">
        <f>E1306/E1305-1</f>
        <v>5.0145460922945695E-3</v>
      </c>
      <c r="M1306" s="5">
        <f>F1306/F1305-1</f>
        <v>7.4121361747014891E-3</v>
      </c>
      <c r="N1306" s="5">
        <f>SUMPRODUCT(I1306:M1306,$AJ$13:$AN$13)</f>
        <v>2.0043439716839345E-2</v>
      </c>
    </row>
    <row r="1307" spans="1:14" x14ac:dyDescent="0.35">
      <c r="A1307" s="3">
        <v>45729</v>
      </c>
      <c r="B1307" s="4">
        <v>38.797359466552699</v>
      </c>
      <c r="C1307" s="4">
        <v>146.99494934082</v>
      </c>
      <c r="D1307" s="4">
        <v>90.765029907226506</v>
      </c>
      <c r="E1307" s="4">
        <v>22.403568267822202</v>
      </c>
      <c r="F1307" s="4">
        <v>375.89230346679602</v>
      </c>
      <c r="I1307" s="5">
        <f>B1307/B1306-1</f>
        <v>-6.0136666957574247E-3</v>
      </c>
      <c r="J1307" s="5">
        <f>C1307/C1306-1</f>
        <v>6.1570774901313907E-3</v>
      </c>
      <c r="K1307" s="5">
        <f>D1307/D1306-1</f>
        <v>-2.252053431281098E-2</v>
      </c>
      <c r="L1307" s="5">
        <f>E1307/E1306-1</f>
        <v>-1.1226517420872772E-2</v>
      </c>
      <c r="M1307" s="5">
        <f>F1307/F1306-1</f>
        <v>-1.1741014254819993E-2</v>
      </c>
      <c r="N1307" s="5">
        <f>SUMPRODUCT(I1307:M1307,$AJ$13:$AN$13)</f>
        <v>-1.9356010626486491E-2</v>
      </c>
    </row>
    <row r="1308" spans="1:14" x14ac:dyDescent="0.35">
      <c r="A1308" s="3">
        <v>45730</v>
      </c>
      <c r="B1308" s="4">
        <v>39.990520477294901</v>
      </c>
      <c r="C1308" s="4">
        <v>150.25810241699199</v>
      </c>
      <c r="D1308" s="4">
        <v>93.926338195800696</v>
      </c>
      <c r="E1308" s="4">
        <v>22.884048461913999</v>
      </c>
      <c r="F1308" s="4">
        <v>385.60794067382801</v>
      </c>
      <c r="I1308" s="5">
        <f>B1308/B1307-1</f>
        <v>3.0753665382068807E-2</v>
      </c>
      <c r="J1308" s="5">
        <f>C1308/C1307-1</f>
        <v>2.2199082967171213E-2</v>
      </c>
      <c r="K1308" s="5">
        <f>D1308/D1307-1</f>
        <v>3.4829584607700248E-2</v>
      </c>
      <c r="L1308" s="5">
        <f>E1308/E1307-1</f>
        <v>2.1446592272620357E-2</v>
      </c>
      <c r="M1308" s="5">
        <f>F1308/F1307-1</f>
        <v>2.5846863895392813E-2</v>
      </c>
      <c r="N1308" s="5">
        <f>SUMPRODUCT(I1308:M1308,$AJ$13:$AN$13)</f>
        <v>2.7168260285161408E-2</v>
      </c>
    </row>
    <row r="1309" spans="1:14" x14ac:dyDescent="0.35">
      <c r="A1309" s="3">
        <v>45733</v>
      </c>
      <c r="B1309" s="4">
        <v>40.528423309326101</v>
      </c>
      <c r="C1309" s="4">
        <v>151.88488769531199</v>
      </c>
      <c r="D1309" s="4">
        <v>95.880065917968693</v>
      </c>
      <c r="E1309" s="4">
        <v>23.270318984985298</v>
      </c>
      <c r="F1309" s="4">
        <v>385.74685668945301</v>
      </c>
      <c r="I1309" s="5">
        <f>B1309/B1308-1</f>
        <v>1.3450758470037849E-2</v>
      </c>
      <c r="J1309" s="5">
        <f>C1309/C1308-1</f>
        <v>1.0826606034231689E-2</v>
      </c>
      <c r="K1309" s="5">
        <f>D1309/D1308-1</f>
        <v>2.0800637602790495E-2</v>
      </c>
      <c r="L1309" s="5">
        <f>E1309/E1308-1</f>
        <v>1.6879466223564954E-2</v>
      </c>
      <c r="M1309" s="5">
        <f>F1309/F1308-1</f>
        <v>3.6025195794020526E-4</v>
      </c>
      <c r="N1309" s="5">
        <f>SUMPRODUCT(I1309:M1309,$AJ$13:$AN$13)</f>
        <v>1.4592866130700896E-2</v>
      </c>
    </row>
    <row r="1310" spans="1:14" x14ac:dyDescent="0.35">
      <c r="A1310" s="3">
        <v>45734</v>
      </c>
      <c r="B1310" s="4">
        <v>40.733806610107401</v>
      </c>
      <c r="C1310" s="4">
        <v>153.88488769531199</v>
      </c>
      <c r="D1310" s="4">
        <v>94.682304382324205</v>
      </c>
      <c r="E1310" s="4">
        <v>23.279735565185501</v>
      </c>
      <c r="F1310" s="4">
        <v>380.60623168945301</v>
      </c>
      <c r="I1310" s="5">
        <f>B1310/B1309-1</f>
        <v>5.0676360936556808E-3</v>
      </c>
      <c r="J1310" s="5">
        <f>C1310/C1309-1</f>
        <v>1.3167866996827815E-2</v>
      </c>
      <c r="K1310" s="5">
        <f>D1310/D1309-1</f>
        <v>-1.2492289446997762E-2</v>
      </c>
      <c r="L1310" s="5">
        <f>E1310/E1309-1</f>
        <v>4.046605552023852E-4</v>
      </c>
      <c r="M1310" s="5">
        <f>F1310/F1309-1</f>
        <v>-1.3326420969746122E-2</v>
      </c>
      <c r="N1310" s="5">
        <f>SUMPRODUCT(I1310:M1310,$AJ$13:$AN$13)</f>
        <v>-1.2663979598401626E-2</v>
      </c>
    </row>
    <row r="1311" spans="1:14" x14ac:dyDescent="0.35">
      <c r="A1311" s="3">
        <v>45735</v>
      </c>
      <c r="B1311" s="4">
        <v>41.281482696533203</v>
      </c>
      <c r="C1311" s="4">
        <v>156.9853515625</v>
      </c>
      <c r="D1311" s="4">
        <v>96.920753479003906</v>
      </c>
      <c r="E1311" s="4">
        <v>23.694269180297798</v>
      </c>
      <c r="F1311" s="4">
        <v>384.87356567382801</v>
      </c>
      <c r="I1311" s="5">
        <f>B1311/B1310-1</f>
        <v>1.3445246884682405E-2</v>
      </c>
      <c r="J1311" s="5">
        <f>C1311/C1310-1</f>
        <v>2.0147942488848214E-2</v>
      </c>
      <c r="K1311" s="5">
        <f>D1311/D1310-1</f>
        <v>2.3641683747376074E-2</v>
      </c>
      <c r="L1311" s="5">
        <f>E1311/E1310-1</f>
        <v>1.7806629029421872E-2</v>
      </c>
      <c r="M1311" s="5">
        <f>F1311/F1310-1</f>
        <v>1.1211939345903366E-2</v>
      </c>
      <c r="N1311" s="5">
        <f>SUMPRODUCT(I1311:M1311,$AJ$13:$AN$13)</f>
        <v>1.9826517209250882E-2</v>
      </c>
    </row>
    <row r="1312" spans="1:14" x14ac:dyDescent="0.35">
      <c r="A1312" s="3">
        <v>45736</v>
      </c>
      <c r="B1312" s="4">
        <v>41.545547485351499</v>
      </c>
      <c r="C1312" s="4">
        <v>157.67434692382801</v>
      </c>
      <c r="D1312" s="4">
        <v>97.117103576660099</v>
      </c>
      <c r="E1312" s="4">
        <v>23.854429244995099</v>
      </c>
      <c r="F1312" s="4">
        <v>383.90103149414</v>
      </c>
      <c r="I1312" s="5">
        <f>B1312/B1311-1</f>
        <v>6.3966885772848148E-3</v>
      </c>
      <c r="J1312" s="5">
        <f>C1312/C1311-1</f>
        <v>4.388914981368286E-3</v>
      </c>
      <c r="K1312" s="5">
        <f>D1312/D1311-1</f>
        <v>2.0258829054473626E-3</v>
      </c>
      <c r="L1312" s="5">
        <f>E1312/E1311-1</f>
        <v>6.7594431159108126E-3</v>
      </c>
      <c r="M1312" s="5">
        <f>F1312/F1311-1</f>
        <v>-2.5268926380676016E-3</v>
      </c>
      <c r="N1312" s="5">
        <f>SUMPRODUCT(I1312:M1312,$AJ$13:$AN$13)</f>
        <v>1.3753210676866908E-3</v>
      </c>
    </row>
    <row r="1313" spans="1:14" x14ac:dyDescent="0.35">
      <c r="A1313" s="3">
        <v>45737</v>
      </c>
      <c r="B1313" s="4">
        <v>41.5357666015625</v>
      </c>
      <c r="C1313" s="4">
        <v>157.65522766113199</v>
      </c>
      <c r="D1313" s="4">
        <v>95.791709899902301</v>
      </c>
      <c r="E1313" s="4">
        <v>24.184169769287099</v>
      </c>
      <c r="F1313" s="4">
        <v>388.28741455078102</v>
      </c>
      <c r="I1313" s="5">
        <f>B1313/B1312-1</f>
        <v>-2.3542556016253879E-4</v>
      </c>
      <c r="J1313" s="5">
        <f>C1313/C1312-1</f>
        <v>-1.2125791588191159E-4</v>
      </c>
      <c r="K1313" s="5">
        <f>D1313/D1312-1</f>
        <v>-1.3647376496474628E-2</v>
      </c>
      <c r="L1313" s="5">
        <f>E1313/E1312-1</f>
        <v>1.3823031392008023E-2</v>
      </c>
      <c r="M1313" s="5">
        <f>F1313/F1312-1</f>
        <v>1.1425817324765219E-2</v>
      </c>
      <c r="N1313" s="5">
        <f>SUMPRODUCT(I1313:M1313,$AJ$13:$AN$13)</f>
        <v>3.2418947129760514E-3</v>
      </c>
    </row>
    <row r="1314" spans="1:14" x14ac:dyDescent="0.35">
      <c r="A1314" s="3">
        <v>45740</v>
      </c>
      <c r="B1314" s="4">
        <v>42.122570037841797</v>
      </c>
      <c r="C1314" s="4">
        <v>157.91358947753901</v>
      </c>
      <c r="D1314" s="4">
        <v>97.990875244140597</v>
      </c>
      <c r="E1314" s="4">
        <v>24.0616950988769</v>
      </c>
      <c r="F1314" s="4">
        <v>390.09359741210898</v>
      </c>
      <c r="I1314" s="5">
        <f>B1314/B1313-1</f>
        <v>1.4127665968183267E-2</v>
      </c>
      <c r="J1314" s="5">
        <f>C1314/C1313-1</f>
        <v>1.6387773513120152E-3</v>
      </c>
      <c r="K1314" s="5">
        <f>D1314/D1313-1</f>
        <v>2.2957783575805468E-2</v>
      </c>
      <c r="L1314" s="5">
        <f>E1314/E1313-1</f>
        <v>-5.0642495309364266E-3</v>
      </c>
      <c r="M1314" s="5">
        <f>F1314/F1313-1</f>
        <v>4.651664704140801E-3</v>
      </c>
      <c r="N1314" s="5">
        <f>SUMPRODUCT(I1314:M1314,$AJ$13:$AN$13)</f>
        <v>7.0014570212770088E-3</v>
      </c>
    </row>
    <row r="1315" spans="1:14" x14ac:dyDescent="0.35">
      <c r="A1315" s="3">
        <v>45741</v>
      </c>
      <c r="B1315" s="4">
        <v>42.327949523925703</v>
      </c>
      <c r="C1315" s="4">
        <v>158.79397583007801</v>
      </c>
      <c r="D1315" s="4">
        <v>97.058197021484304</v>
      </c>
      <c r="E1315" s="4">
        <v>24.1370639801025</v>
      </c>
      <c r="F1315" s="4">
        <v>392.15777587890602</v>
      </c>
      <c r="I1315" s="5">
        <f>B1315/B1314-1</f>
        <v>4.8757586704561984E-3</v>
      </c>
      <c r="J1315" s="5">
        <f>C1315/C1314-1</f>
        <v>5.5751145639320043E-3</v>
      </c>
      <c r="K1315" s="5">
        <f>D1315/D1314-1</f>
        <v>-9.5180109406366453E-3</v>
      </c>
      <c r="L1315" s="5">
        <f>E1315/E1314-1</f>
        <v>3.132318023143732E-3</v>
      </c>
      <c r="M1315" s="5">
        <f>F1315/F1314-1</f>
        <v>5.2914953757017269E-3</v>
      </c>
      <c r="N1315" s="5">
        <f>SUMPRODUCT(I1315:M1315,$AJ$13:$AN$13)</f>
        <v>-3.3173538333314146E-3</v>
      </c>
    </row>
    <row r="1316" spans="1:14" x14ac:dyDescent="0.35">
      <c r="A1316" s="3">
        <v>45742</v>
      </c>
      <c r="B1316" s="4">
        <v>41.8780708312988</v>
      </c>
      <c r="C1316" s="4">
        <v>160.736557006835</v>
      </c>
      <c r="D1316" s="4">
        <v>94.505592346191406</v>
      </c>
      <c r="E1316" s="4">
        <v>24.466804504394499</v>
      </c>
      <c r="F1316" s="4">
        <v>387.00720214843699</v>
      </c>
      <c r="I1316" s="5">
        <f>B1316/B1315-1</f>
        <v>-1.0628407416064634E-2</v>
      </c>
      <c r="J1316" s="5">
        <f>C1316/C1315-1</f>
        <v>1.2233343025781496E-2</v>
      </c>
      <c r="K1316" s="5">
        <f>D1316/D1315-1</f>
        <v>-2.6299733084139909E-2</v>
      </c>
      <c r="L1316" s="5">
        <f>E1316/E1315-1</f>
        <v>1.3661169583998323E-2</v>
      </c>
      <c r="M1316" s="5">
        <f>F1316/F1315-1</f>
        <v>-1.3133932430449802E-2</v>
      </c>
      <c r="N1316" s="5">
        <f>SUMPRODUCT(I1316:M1316,$AJ$13:$AN$13)</f>
        <v>-9.0245259348855043E-3</v>
      </c>
    </row>
    <row r="1317" spans="1:14" x14ac:dyDescent="0.35">
      <c r="A1317" s="3">
        <v>45743</v>
      </c>
      <c r="B1317" s="4">
        <v>41.623786926269503</v>
      </c>
      <c r="C1317" s="4">
        <v>159.473388671875</v>
      </c>
      <c r="D1317" s="4">
        <v>95.330276489257798</v>
      </c>
      <c r="E1317" s="4">
        <v>24.626964569091701</v>
      </c>
      <c r="F1317" s="4">
        <v>387.61260986328102</v>
      </c>
      <c r="I1317" s="5">
        <f>B1317/B1316-1</f>
        <v>-6.072006183227785E-3</v>
      </c>
      <c r="J1317" s="5">
        <f>C1317/C1316-1</f>
        <v>-7.8586250600495289E-3</v>
      </c>
      <c r="K1317" s="5">
        <f>D1317/D1316-1</f>
        <v>8.7262999214419157E-3</v>
      </c>
      <c r="L1317" s="5">
        <f>E1317/E1316-1</f>
        <v>6.5460148123730466E-3</v>
      </c>
      <c r="M1317" s="5">
        <f>F1317/F1316-1</f>
        <v>1.5643319077349727E-3</v>
      </c>
      <c r="N1317" s="5">
        <f>SUMPRODUCT(I1317:M1317,$AJ$13:$AN$13)</f>
        <v>1.0138339152418234E-2</v>
      </c>
    </row>
    <row r="1318" spans="1:14" x14ac:dyDescent="0.35">
      <c r="A1318" s="3">
        <v>45744</v>
      </c>
      <c r="B1318" s="4">
        <v>40.342605590820298</v>
      </c>
      <c r="C1318" s="4">
        <v>158.9375</v>
      </c>
      <c r="D1318" s="4">
        <v>90.607940673828097</v>
      </c>
      <c r="E1318" s="4">
        <v>24.5233345031738</v>
      </c>
      <c r="F1318" s="4">
        <v>375.92208862304602</v>
      </c>
      <c r="I1318" s="5">
        <f>B1318/B1317-1</f>
        <v>-3.0780028201629839E-2</v>
      </c>
      <c r="J1318" s="5">
        <f>C1318/C1317-1</f>
        <v>-3.3603642359266717E-3</v>
      </c>
      <c r="K1318" s="5">
        <f>D1318/D1317-1</f>
        <v>-4.9536579451354368E-2</v>
      </c>
      <c r="L1318" s="5">
        <f>E1318/E1317-1</f>
        <v>-4.2079918386679349E-3</v>
      </c>
      <c r="M1318" s="5">
        <f>F1318/F1317-1</f>
        <v>-3.0160322297972941E-2</v>
      </c>
      <c r="N1318" s="5">
        <f>SUMPRODUCT(I1318:M1318,$AJ$13:$AN$13)</f>
        <v>-2.8821399577973444E-2</v>
      </c>
    </row>
    <row r="1319" spans="1:14" x14ac:dyDescent="0.35">
      <c r="A1319" s="3">
        <v>45747</v>
      </c>
      <c r="B1319" s="4">
        <v>40.812049865722599</v>
      </c>
      <c r="C1319" s="4">
        <v>160.08581542968699</v>
      </c>
      <c r="D1319" s="4">
        <v>89.488716125488196</v>
      </c>
      <c r="E1319" s="4">
        <v>24.919023513793899</v>
      </c>
      <c r="F1319" s="4">
        <v>372.537994384765</v>
      </c>
      <c r="I1319" s="5">
        <f>B1319/B1318-1</f>
        <v>1.1636439144850907E-2</v>
      </c>
      <c r="J1319" s="5">
        <f>C1319/C1318-1</f>
        <v>7.2249496165912586E-3</v>
      </c>
      <c r="K1319" s="5">
        <f>D1319/D1318-1</f>
        <v>-1.2352389205808167E-2</v>
      </c>
      <c r="L1319" s="5">
        <f>E1319/E1318-1</f>
        <v>1.6135204230439681E-2</v>
      </c>
      <c r="M1319" s="5">
        <f>F1319/F1318-1</f>
        <v>-9.0021159721593857E-3</v>
      </c>
      <c r="N1319" s="5">
        <f>SUMPRODUCT(I1319:M1319,$AJ$13:$AN$13)</f>
        <v>-5.501507557748541E-3</v>
      </c>
    </row>
    <row r="1320" spans="1:14" x14ac:dyDescent="0.35">
      <c r="A1320" s="3">
        <v>45748</v>
      </c>
      <c r="B1320" s="4">
        <v>40.577327728271399</v>
      </c>
      <c r="C1320" s="4">
        <v>161.25329589843699</v>
      </c>
      <c r="D1320" s="4">
        <v>90.283958435058594</v>
      </c>
      <c r="E1320" s="4">
        <v>25.361820220947202</v>
      </c>
      <c r="F1320" s="4">
        <v>379.28634643554602</v>
      </c>
      <c r="I1320" s="5">
        <f>B1320/B1319-1</f>
        <v>-5.7512949784063183E-3</v>
      </c>
      <c r="J1320" s="5">
        <f>C1320/C1319-1</f>
        <v>7.2928414401760566E-3</v>
      </c>
      <c r="K1320" s="5">
        <f>D1320/D1319-1</f>
        <v>8.8865093164958164E-3</v>
      </c>
      <c r="L1320" s="5">
        <f>E1320/E1319-1</f>
        <v>1.7769424508476073E-2</v>
      </c>
      <c r="M1320" s="5">
        <f>F1320/F1319-1</f>
        <v>1.8114533691860668E-2</v>
      </c>
      <c r="N1320" s="5">
        <f>SUMPRODUCT(I1320:M1320,$AJ$13:$AN$13)</f>
        <v>2.0405352676075725E-2</v>
      </c>
    </row>
    <row r="1321" spans="1:14" x14ac:dyDescent="0.35">
      <c r="A1321" s="3">
        <v>45749</v>
      </c>
      <c r="B1321" s="4">
        <v>40.929405212402301</v>
      </c>
      <c r="C1321" s="4">
        <v>159.30113220214801</v>
      </c>
      <c r="D1321" s="4">
        <v>93.592529296875</v>
      </c>
      <c r="E1321" s="4">
        <v>25.2204990386962</v>
      </c>
      <c r="F1321" s="4">
        <v>379.236724853515</v>
      </c>
      <c r="I1321" s="5">
        <f>B1321/B1320-1</f>
        <v>8.6767045501028317E-3</v>
      </c>
      <c r="J1321" s="5">
        <f>C1321/C1320-1</f>
        <v>-1.2106194080637733E-2</v>
      </c>
      <c r="K1321" s="5">
        <f>D1321/D1320-1</f>
        <v>3.6646276029160374E-2</v>
      </c>
      <c r="L1321" s="5">
        <f>E1321/E1320-1</f>
        <v>-5.5722018774614357E-3</v>
      </c>
      <c r="M1321" s="5">
        <f>F1321/F1320-1</f>
        <v>-1.3082881178649863E-4</v>
      </c>
      <c r="N1321" s="5">
        <f>SUMPRODUCT(I1321:M1321,$AJ$13:$AN$13)</f>
        <v>1.4320563078387302E-2</v>
      </c>
    </row>
    <row r="1322" spans="1:14" x14ac:dyDescent="0.35">
      <c r="A1322" s="3">
        <v>45750</v>
      </c>
      <c r="B1322" s="4">
        <v>36.401256561279297</v>
      </c>
      <c r="C1322" s="4">
        <v>149.39685058593699</v>
      </c>
      <c r="D1322" s="4">
        <v>75.822425842285099</v>
      </c>
      <c r="E1322" s="4">
        <v>24.014589309692301</v>
      </c>
      <c r="F1322" s="4">
        <v>370.27532958984301</v>
      </c>
      <c r="I1322" s="5">
        <f>B1322/B1321-1</f>
        <v>-0.11063314083418196</v>
      </c>
      <c r="J1322" s="5">
        <f>C1322/C1321-1</f>
        <v>-6.2173328458474564E-2</v>
      </c>
      <c r="K1322" s="5">
        <f>D1322/D1321-1</f>
        <v>-0.18986668688291597</v>
      </c>
      <c r="L1322" s="5">
        <f>E1322/E1321-1</f>
        <v>-4.7814665647719856E-2</v>
      </c>
      <c r="M1322" s="5">
        <f>F1322/F1321-1</f>
        <v>-2.3630082943927544E-2</v>
      </c>
      <c r="N1322" s="5">
        <f>SUMPRODUCT(I1322:M1322,$AJ$13:$AN$13)</f>
        <v>-9.5060145659263351E-2</v>
      </c>
    </row>
    <row r="1323" spans="1:14" x14ac:dyDescent="0.35">
      <c r="A1323" s="3">
        <v>45751</v>
      </c>
      <c r="B1323" s="4">
        <v>33.633506774902301</v>
      </c>
      <c r="C1323" s="4">
        <v>137.10980224609301</v>
      </c>
      <c r="D1323" s="4">
        <v>70.324485778808594</v>
      </c>
      <c r="E1323" s="4">
        <v>22.054985046386701</v>
      </c>
      <c r="F1323" s="4">
        <v>357.10614013671801</v>
      </c>
      <c r="I1323" s="5">
        <f>B1323/B1322-1</f>
        <v>-7.6034457264343547E-2</v>
      </c>
      <c r="J1323" s="5">
        <f>C1323/C1322-1</f>
        <v>-8.2244359848644533E-2</v>
      </c>
      <c r="K1323" s="5">
        <f>D1323/D1322-1</f>
        <v>-7.2510738114770046E-2</v>
      </c>
      <c r="L1323" s="5">
        <f>E1323/E1322-1</f>
        <v>-8.1600573636073093E-2</v>
      </c>
      <c r="M1323" s="5">
        <f>F1323/F1322-1</f>
        <v>-3.5565938102634642E-2</v>
      </c>
      <c r="N1323" s="5">
        <f>SUMPRODUCT(I1323:M1323,$AJ$13:$AN$13)</f>
        <v>-6.3078764907397944E-2</v>
      </c>
    </row>
    <row r="1324" spans="1:14" x14ac:dyDescent="0.35">
      <c r="A1324" s="3">
        <v>45754</v>
      </c>
      <c r="B1324" s="4">
        <v>34.797328948974602</v>
      </c>
      <c r="C1324" s="4">
        <v>134.11457824707</v>
      </c>
      <c r="D1324" s="4">
        <v>73.633064270019503</v>
      </c>
      <c r="E1324" s="4">
        <v>21.44260597229</v>
      </c>
      <c r="F1324" s="4">
        <v>355.14117431640602</v>
      </c>
      <c r="I1324" s="5">
        <f>B1324/B1323-1</f>
        <v>3.460305765501559E-2</v>
      </c>
      <c r="J1324" s="5">
        <f>C1324/C1323-1</f>
        <v>-2.184544029643487E-2</v>
      </c>
      <c r="K1324" s="5">
        <f>D1324/D1323-1</f>
        <v>4.7047318648263836E-2</v>
      </c>
      <c r="L1324" s="5">
        <f>E1324/E1323-1</f>
        <v>-2.7766016291043805E-2</v>
      </c>
      <c r="M1324" s="5">
        <f>F1324/F1323-1</f>
        <v>-5.502469992702208E-3</v>
      </c>
      <c r="N1324" s="5">
        <f>SUMPRODUCT(I1324:M1324,$AJ$13:$AN$13)</f>
        <v>3.9234995300219859E-4</v>
      </c>
    </row>
    <row r="1325" spans="1:14" x14ac:dyDescent="0.35">
      <c r="A1325" s="3">
        <v>45755</v>
      </c>
      <c r="B1325" s="4">
        <v>34.259429931640597</v>
      </c>
      <c r="C1325" s="4">
        <v>131.03324890136699</v>
      </c>
      <c r="D1325" s="4">
        <v>71.266983032226506</v>
      </c>
      <c r="E1325" s="4">
        <v>20.7642822265625</v>
      </c>
      <c r="F1325" s="4">
        <v>351.86627197265602</v>
      </c>
      <c r="I1325" s="5">
        <f>B1325/B1324-1</f>
        <v>-1.5458054786985476E-2</v>
      </c>
      <c r="J1325" s="5">
        <f>C1325/C1324-1</f>
        <v>-2.2975349779100762E-2</v>
      </c>
      <c r="K1325" s="5">
        <f>D1325/D1324-1</f>
        <v>-3.2133407202997177E-2</v>
      </c>
      <c r="L1325" s="5">
        <f>E1325/E1324-1</f>
        <v>-3.1634389337009128E-2</v>
      </c>
      <c r="M1325" s="5">
        <f>F1325/F1324-1</f>
        <v>-9.2214099084785284E-3</v>
      </c>
      <c r="N1325" s="5">
        <f>SUMPRODUCT(I1325:M1325,$AJ$13:$AN$13)</f>
        <v>-2.9369345747049094E-2</v>
      </c>
    </row>
    <row r="1326" spans="1:14" x14ac:dyDescent="0.35">
      <c r="A1326" s="3">
        <v>45756</v>
      </c>
      <c r="B1326" s="4">
        <v>36.332794189453097</v>
      </c>
      <c r="C1326" s="4">
        <v>139.74136352539</v>
      </c>
      <c r="D1326" s="4">
        <v>82.655570983886705</v>
      </c>
      <c r="E1326" s="4">
        <v>22.073825836181602</v>
      </c>
      <c r="F1326" s="4">
        <v>387.52325439453102</v>
      </c>
      <c r="I1326" s="5">
        <f>B1326/B1325-1</f>
        <v>6.0519520083947009E-2</v>
      </c>
      <c r="J1326" s="5">
        <f>C1326/C1325-1</f>
        <v>6.6457290016352255E-2</v>
      </c>
      <c r="K1326" s="5">
        <f>D1326/D1325-1</f>
        <v>0.15980174082169785</v>
      </c>
      <c r="L1326" s="5">
        <f>E1326/E1325-1</f>
        <v>6.3067126295552001E-2</v>
      </c>
      <c r="M1326" s="5">
        <f>F1326/F1325-1</f>
        <v>0.10133674427495554</v>
      </c>
      <c r="N1326" s="5">
        <f>SUMPRODUCT(I1326:M1326,$AJ$13:$AN$13)</f>
        <v>0.12684373600457993</v>
      </c>
    </row>
    <row r="1327" spans="1:14" x14ac:dyDescent="0.35">
      <c r="A1327" s="3">
        <v>45757</v>
      </c>
      <c r="B1327" s="4">
        <v>35.061389923095703</v>
      </c>
      <c r="C1327" s="4">
        <v>129.167236328125</v>
      </c>
      <c r="D1327" s="4">
        <v>77.501258850097599</v>
      </c>
      <c r="E1327" s="4">
        <v>21.254182815551701</v>
      </c>
      <c r="F1327" s="4">
        <v>378.45272827148398</v>
      </c>
      <c r="I1327" s="5">
        <f>B1327/B1326-1</f>
        <v>-3.4993297232461806E-2</v>
      </c>
      <c r="J1327" s="5">
        <f>C1327/C1326-1</f>
        <v>-7.5669271649433711E-2</v>
      </c>
      <c r="K1327" s="5">
        <f>D1327/D1326-1</f>
        <v>-6.2358919942539837E-2</v>
      </c>
      <c r="L1327" s="5">
        <f>E1327/E1326-1</f>
        <v>-3.7131896695787536E-2</v>
      </c>
      <c r="M1327" s="5">
        <f>F1327/F1326-1</f>
        <v>-2.340640470007127E-2</v>
      </c>
      <c r="N1327" s="5">
        <f>SUMPRODUCT(I1327:M1327,$AJ$13:$AN$13)</f>
        <v>-4.5037932628553767E-2</v>
      </c>
    </row>
    <row r="1328" spans="1:14" x14ac:dyDescent="0.35">
      <c r="A1328" s="3">
        <v>45758</v>
      </c>
      <c r="B1328" s="4">
        <v>35.159191131591797</v>
      </c>
      <c r="C1328" s="4">
        <v>129.78923034667901</v>
      </c>
      <c r="D1328" s="4">
        <v>80.436759948730398</v>
      </c>
      <c r="E1328" s="4">
        <v>21.9042434692382</v>
      </c>
      <c r="F1328" s="4">
        <v>385.498779296875</v>
      </c>
      <c r="I1328" s="5">
        <f>B1328/B1327-1</f>
        <v>2.7894275928768142E-3</v>
      </c>
      <c r="J1328" s="5">
        <f>C1328/C1327-1</f>
        <v>4.815416325653521E-3</v>
      </c>
      <c r="K1328" s="5">
        <f>D1328/D1327-1</f>
        <v>3.7876818288985703E-2</v>
      </c>
      <c r="L1328" s="5">
        <f>E1328/E1327-1</f>
        <v>3.0585069269793319E-2</v>
      </c>
      <c r="M1328" s="5">
        <f>F1328/F1327-1</f>
        <v>1.8618047906729718E-2</v>
      </c>
      <c r="N1328" s="5">
        <f>SUMPRODUCT(I1328:M1328,$AJ$13:$AN$13)</f>
        <v>3.9267276402010609E-2</v>
      </c>
    </row>
    <row r="1329" spans="1:14" x14ac:dyDescent="0.35">
      <c r="A1329" s="3">
        <v>45761</v>
      </c>
      <c r="B1329" s="4">
        <v>35.863349914550703</v>
      </c>
      <c r="C1329" s="4">
        <v>129.492584228515</v>
      </c>
      <c r="D1329" s="4">
        <v>83.637351989746094</v>
      </c>
      <c r="E1329" s="4">
        <v>22.073825836181602</v>
      </c>
      <c r="F1329" s="4">
        <v>384.86364746093699</v>
      </c>
      <c r="I1329" s="5">
        <f>B1329/B1328-1</f>
        <v>2.002772988500845E-2</v>
      </c>
      <c r="J1329" s="5">
        <f>C1329/C1328-1</f>
        <v>-2.2855988695797969E-3</v>
      </c>
      <c r="K1329" s="5">
        <f>D1329/D1328-1</f>
        <v>3.979016612623032E-2</v>
      </c>
      <c r="L1329" s="5">
        <f>E1329/E1328-1</f>
        <v>7.7419869433774657E-3</v>
      </c>
      <c r="M1329" s="5">
        <f>F1329/F1328-1</f>
        <v>-1.6475586176860624E-3</v>
      </c>
      <c r="N1329" s="5">
        <f>SUMPRODUCT(I1329:M1329,$AJ$13:$AN$13)</f>
        <v>1.8067376675016115E-2</v>
      </c>
    </row>
    <row r="1330" spans="1:14" x14ac:dyDescent="0.35">
      <c r="A1330" s="3">
        <v>45762</v>
      </c>
      <c r="B1330" s="4">
        <v>37.154319763183501</v>
      </c>
      <c r="C1330" s="4">
        <v>128.746170043945</v>
      </c>
      <c r="D1330" s="4">
        <v>83.931869506835895</v>
      </c>
      <c r="E1330" s="4">
        <v>21.725240707397401</v>
      </c>
      <c r="F1330" s="4">
        <v>382.79943847656199</v>
      </c>
      <c r="I1330" s="5">
        <f>B1330/B1329-1</f>
        <v>3.599691193680199E-2</v>
      </c>
      <c r="J1330" s="5">
        <f>C1330/C1329-1</f>
        <v>-5.7641461788483506E-3</v>
      </c>
      <c r="K1330" s="5">
        <f>D1330/D1329-1</f>
        <v>3.5213634827404583E-3</v>
      </c>
      <c r="L1330" s="5">
        <f>E1330/E1329-1</f>
        <v>-1.579178577248852E-2</v>
      </c>
      <c r="M1330" s="5">
        <f>F1330/F1329-1</f>
        <v>-5.3634813212243282E-3</v>
      </c>
      <c r="N1330" s="5">
        <f>SUMPRODUCT(I1330:M1330,$AJ$13:$AN$13)</f>
        <v>-1.7558929477801494E-2</v>
      </c>
    </row>
    <row r="1331" spans="1:14" x14ac:dyDescent="0.35">
      <c r="A1331" s="3">
        <v>45763</v>
      </c>
      <c r="B1331" s="4">
        <v>36.508838653564403</v>
      </c>
      <c r="C1331" s="4">
        <v>129.53085327148401</v>
      </c>
      <c r="D1331" s="4">
        <v>81.8406982421875</v>
      </c>
      <c r="E1331" s="4">
        <v>22.083248138427699</v>
      </c>
      <c r="F1331" s="4">
        <v>368.78671264648398</v>
      </c>
      <c r="I1331" s="5">
        <f>B1331/B1330-1</f>
        <v>-1.7372976109731098E-2</v>
      </c>
      <c r="J1331" s="5">
        <f>C1331/C1330-1</f>
        <v>6.0948083136855846E-3</v>
      </c>
      <c r="K1331" s="5">
        <f>D1331/D1330-1</f>
        <v>-2.4915104083057193E-2</v>
      </c>
      <c r="L1331" s="5">
        <f>E1331/E1330-1</f>
        <v>1.64788706303447E-2</v>
      </c>
      <c r="M1331" s="5">
        <f>F1331/F1330-1</f>
        <v>-3.6605920546395998E-2</v>
      </c>
      <c r="N1331" s="5">
        <f>SUMPRODUCT(I1331:M1331,$AJ$13:$AN$13)</f>
        <v>-1.2675993055282917E-2</v>
      </c>
    </row>
    <row r="1332" spans="1:14" x14ac:dyDescent="0.35">
      <c r="A1332" s="3">
        <v>45764</v>
      </c>
      <c r="B1332" s="4">
        <v>36.587074279785099</v>
      </c>
      <c r="C1332" s="4">
        <v>131.93276977539</v>
      </c>
      <c r="D1332" s="4">
        <v>83.254463195800696</v>
      </c>
      <c r="E1332" s="4">
        <v>21.970191955566399</v>
      </c>
      <c r="F1332" s="4">
        <v>364.98577880859301</v>
      </c>
      <c r="I1332" s="5">
        <f>B1332/B1331-1</f>
        <v>2.1429228950031742E-3</v>
      </c>
      <c r="J1332" s="5">
        <f>C1332/C1331-1</f>
        <v>1.8543199888229056E-2</v>
      </c>
      <c r="K1332" s="5">
        <f>D1332/D1331-1</f>
        <v>1.7274595451635788E-2</v>
      </c>
      <c r="L1332" s="5">
        <f>E1332/E1331-1</f>
        <v>-5.1195450122469843E-3</v>
      </c>
      <c r="M1332" s="5">
        <f>F1332/F1331-1</f>
        <v>-1.0306591066187698E-2</v>
      </c>
      <c r="N1332" s="5">
        <f>SUMPRODUCT(I1332:M1332,$AJ$13:$AN$13)</f>
        <v>1.9321241710110173E-3</v>
      </c>
    </row>
    <row r="1333" spans="1:14" x14ac:dyDescent="0.35">
      <c r="A1333" s="3">
        <v>45768</v>
      </c>
      <c r="B1333" s="4">
        <v>36.107852935791001</v>
      </c>
      <c r="C1333" s="4">
        <v>127.971054077148</v>
      </c>
      <c r="D1333" s="4">
        <v>80.888374328613196</v>
      </c>
      <c r="E1333" s="4">
        <v>21.706401824951101</v>
      </c>
      <c r="F1333" s="4">
        <v>356.3916015625</v>
      </c>
      <c r="I1333" s="5">
        <f>B1333/B1332-1</f>
        <v>-1.3098105093876655E-2</v>
      </c>
      <c r="J1333" s="5">
        <f>C1333/C1332-1</f>
        <v>-3.0028291719992328E-2</v>
      </c>
      <c r="K1333" s="5">
        <f>D1333/D1332-1</f>
        <v>-2.8419964244113305E-2</v>
      </c>
      <c r="L1333" s="5">
        <f>E1333/E1332-1</f>
        <v>-1.2006728532404254E-2</v>
      </c>
      <c r="M1333" s="5">
        <f>F1333/F1332-1</f>
        <v>-2.3546608512108658E-2</v>
      </c>
      <c r="N1333" s="5">
        <f>SUMPRODUCT(I1333:M1333,$AJ$13:$AN$13)</f>
        <v>-2.3501443098729535E-2</v>
      </c>
    </row>
    <row r="1334" spans="1:14" x14ac:dyDescent="0.35">
      <c r="A1334" s="3">
        <v>45769</v>
      </c>
      <c r="B1334" s="4">
        <v>37.477054595947202</v>
      </c>
      <c r="C1334" s="4">
        <v>131.38732910156199</v>
      </c>
      <c r="D1334" s="4">
        <v>83.076957702636705</v>
      </c>
      <c r="E1334" s="4">
        <v>21.894823074340799</v>
      </c>
      <c r="F1334" s="4">
        <v>364.033111572265</v>
      </c>
      <c r="I1334" s="5">
        <f>B1334/B1333-1</f>
        <v>3.7919775030406555E-2</v>
      </c>
      <c r="J1334" s="5">
        <f>C1334/C1333-1</f>
        <v>2.6695685591168639E-2</v>
      </c>
      <c r="K1334" s="5">
        <f>D1334/D1333-1</f>
        <v>2.7056834708190314E-2</v>
      </c>
      <c r="L1334" s="5">
        <f>E1334/E1333-1</f>
        <v>8.6804460227540847E-3</v>
      </c>
      <c r="M1334" s="5">
        <f>F1334/F1333-1</f>
        <v>2.1441330200439479E-2</v>
      </c>
      <c r="N1334" s="5">
        <f>SUMPRODUCT(I1334:M1334,$AJ$13:$AN$13)</f>
        <v>1.346463614377952E-2</v>
      </c>
    </row>
    <row r="1335" spans="1:14" x14ac:dyDescent="0.35">
      <c r="A1335" s="3">
        <v>45770</v>
      </c>
      <c r="B1335" s="4">
        <v>37.897598266601499</v>
      </c>
      <c r="C1335" s="4">
        <v>130.79400634765599</v>
      </c>
      <c r="D1335" s="4">
        <v>88.096359252929602</v>
      </c>
      <c r="E1335" s="4">
        <v>21.527397155761701</v>
      </c>
      <c r="F1335" s="4">
        <v>371.54562377929602</v>
      </c>
      <c r="I1335" s="5">
        <f>B1335/B1334-1</f>
        <v>1.1221363983598076E-2</v>
      </c>
      <c r="J1335" s="5">
        <f>C1335/C1334-1</f>
        <v>-4.5158293266419625E-3</v>
      </c>
      <c r="K1335" s="5">
        <f>D1335/D1334-1</f>
        <v>6.041869718266768E-2</v>
      </c>
      <c r="L1335" s="5">
        <f>E1335/E1334-1</f>
        <v>-1.6781406149369404E-2</v>
      </c>
      <c r="M1335" s="5">
        <f>F1335/F1334-1</f>
        <v>2.0636892546901375E-2</v>
      </c>
      <c r="N1335" s="5">
        <f>SUMPRODUCT(I1335:M1335,$AJ$13:$AN$13)</f>
        <v>2.7413388905715014E-2</v>
      </c>
    </row>
    <row r="1336" spans="1:14" x14ac:dyDescent="0.35">
      <c r="A1336" s="3">
        <v>45771</v>
      </c>
      <c r="B1336" s="4">
        <v>38.709339141845703</v>
      </c>
      <c r="C1336" s="4">
        <v>133.08111572265599</v>
      </c>
      <c r="D1336" s="4">
        <v>93.273841857910099</v>
      </c>
      <c r="E1336" s="4">
        <v>21.593345642089801</v>
      </c>
      <c r="F1336" s="4">
        <v>384.35745239257801</v>
      </c>
      <c r="I1336" s="5">
        <f>B1336/B1335-1</f>
        <v>2.1419322394358176E-2</v>
      </c>
      <c r="J1336" s="5">
        <f>C1336/C1335-1</f>
        <v>1.7486346957832133E-2</v>
      </c>
      <c r="K1336" s="5">
        <f>D1336/D1335-1</f>
        <v>5.8770676210530448E-2</v>
      </c>
      <c r="L1336" s="5">
        <f>E1336/E1335-1</f>
        <v>3.0634677221277329E-3</v>
      </c>
      <c r="M1336" s="5">
        <f>F1336/F1335-1</f>
        <v>3.4482517874823371E-2</v>
      </c>
      <c r="N1336" s="5">
        <f>SUMPRODUCT(I1336:M1336,$AJ$13:$AN$13)</f>
        <v>3.6782815984674158E-2</v>
      </c>
    </row>
    <row r="1337" spans="1:14" x14ac:dyDescent="0.35">
      <c r="A1337" s="3">
        <v>45772</v>
      </c>
      <c r="B1337" s="4">
        <v>38.816917419433501</v>
      </c>
      <c r="C1337" s="4">
        <v>132.75573730468699</v>
      </c>
      <c r="D1337" s="4">
        <v>93.757987976074205</v>
      </c>
      <c r="E1337" s="4">
        <v>21.348396301269499</v>
      </c>
      <c r="F1337" s="4">
        <v>388.872955322265</v>
      </c>
      <c r="I1337" s="5">
        <f>B1337/B1336-1</f>
        <v>2.7791297907100443E-3</v>
      </c>
      <c r="J1337" s="5">
        <f>C1337/C1336-1</f>
        <v>-2.4449631054123122E-3</v>
      </c>
      <c r="K1337" s="5">
        <f>D1337/D1336-1</f>
        <v>5.1905883634730809E-3</v>
      </c>
      <c r="L1337" s="5">
        <f>E1337/E1336-1</f>
        <v>-1.1343741950892827E-2</v>
      </c>
      <c r="M1337" s="5">
        <f>F1337/F1336-1</f>
        <v>1.1748186230235769E-2</v>
      </c>
      <c r="N1337" s="5">
        <f>SUMPRODUCT(I1337:M1337,$AJ$13:$AN$13)</f>
        <v>6.0293417486093548E-4</v>
      </c>
    </row>
    <row r="1338" spans="1:14" x14ac:dyDescent="0.35">
      <c r="A1338" s="3">
        <v>45775</v>
      </c>
      <c r="B1338" s="4">
        <v>38.904937744140597</v>
      </c>
      <c r="C1338" s="4">
        <v>134.06674194335901</v>
      </c>
      <c r="D1338" s="4">
        <v>93.343002319335895</v>
      </c>
      <c r="E1338" s="4">
        <v>21.574504852294901</v>
      </c>
      <c r="F1338" s="4">
        <v>388.18817138671801</v>
      </c>
      <c r="I1338" s="5">
        <f>B1338/B1337-1</f>
        <v>2.2675763702717511E-3</v>
      </c>
      <c r="J1338" s="5">
        <f>C1338/C1337-1</f>
        <v>9.8753143576999491E-3</v>
      </c>
      <c r="K1338" s="5">
        <f>D1338/D1337-1</f>
        <v>-4.4261365425654065E-3</v>
      </c>
      <c r="L1338" s="5">
        <f>E1338/E1337-1</f>
        <v>1.0591360017611962E-2</v>
      </c>
      <c r="M1338" s="5">
        <f>F1338/F1337-1</f>
        <v>-1.7609451266146214E-3</v>
      </c>
      <c r="N1338" s="5">
        <f>SUMPRODUCT(I1338:M1338,$AJ$13:$AN$13)</f>
        <v>1.0767313553933463E-3</v>
      </c>
    </row>
    <row r="1339" spans="1:14" x14ac:dyDescent="0.35">
      <c r="A1339" s="3">
        <v>45776</v>
      </c>
      <c r="B1339" s="4">
        <v>39.110324859619098</v>
      </c>
      <c r="C1339" s="4">
        <v>133.301177978515</v>
      </c>
      <c r="D1339" s="4">
        <v>92.661239624023395</v>
      </c>
      <c r="E1339" s="4">
        <v>21.744085311889599</v>
      </c>
      <c r="F1339" s="4">
        <v>391.046295166015</v>
      </c>
      <c r="I1339" s="5">
        <f>B1339/B1338-1</f>
        <v>5.2792043218070628E-3</v>
      </c>
      <c r="J1339" s="5">
        <f>C1339/C1338-1</f>
        <v>-5.710319753779336E-3</v>
      </c>
      <c r="K1339" s="5">
        <f>D1339/D1338-1</f>
        <v>-7.303843655897424E-3</v>
      </c>
      <c r="L1339" s="5">
        <f>E1339/E1338-1</f>
        <v>7.860224869849608E-3</v>
      </c>
      <c r="M1339" s="5">
        <f>F1339/F1338-1</f>
        <v>7.3627276407906006E-3</v>
      </c>
      <c r="N1339" s="5">
        <f>SUMPRODUCT(I1339:M1339,$AJ$13:$AN$13)</f>
        <v>9.8958264242606214E-4</v>
      </c>
    </row>
    <row r="1340" spans="1:14" x14ac:dyDescent="0.35">
      <c r="A1340" s="3">
        <v>45777</v>
      </c>
      <c r="B1340" s="4">
        <v>39.002742767333899</v>
      </c>
      <c r="C1340" s="4">
        <v>130.20072937011699</v>
      </c>
      <c r="D1340" s="4">
        <v>90.665344238281193</v>
      </c>
      <c r="E1340" s="4">
        <v>20.999811172485298</v>
      </c>
      <c r="F1340" s="4">
        <v>392.25704956054602</v>
      </c>
      <c r="I1340" s="5">
        <f>B1340/B1339-1</f>
        <v>-2.7507337939879362E-3</v>
      </c>
      <c r="J1340" s="5">
        <f>C1340/C1339-1</f>
        <v>-2.3258973817153583E-2</v>
      </c>
      <c r="K1340" s="5">
        <f>D1340/D1339-1</f>
        <v>-2.1539700891555325E-2</v>
      </c>
      <c r="L1340" s="5">
        <f>E1340/E1339-1</f>
        <v>-3.4228808833698499E-2</v>
      </c>
      <c r="M1340" s="5">
        <f>F1340/F1339-1</f>
        <v>3.0961919585941189E-3</v>
      </c>
      <c r="N1340" s="5">
        <f>SUMPRODUCT(I1340:M1340,$AJ$13:$AN$13)</f>
        <v>-2.4616941869470828E-2</v>
      </c>
    </row>
    <row r="1341" spans="1:14" x14ac:dyDescent="0.35">
      <c r="A1341" s="3">
        <v>45778</v>
      </c>
      <c r="B1341" s="4">
        <v>39.286361694335902</v>
      </c>
      <c r="C1341" s="4">
        <v>130.39210510253901</v>
      </c>
      <c r="D1341" s="4">
        <v>90.853065490722599</v>
      </c>
      <c r="E1341" s="4">
        <v>21.0280742645263</v>
      </c>
      <c r="F1341" s="4">
        <v>422.16802978515602</v>
      </c>
      <c r="I1341" s="5">
        <f>B1341/B1340-1</f>
        <v>7.2717687751833182E-3</v>
      </c>
      <c r="J1341" s="5">
        <f>C1341/C1340-1</f>
        <v>1.4698514620299363E-3</v>
      </c>
      <c r="K1341" s="5">
        <f>D1341/D1340-1</f>
        <v>2.0704851894461918E-3</v>
      </c>
      <c r="L1341" s="5">
        <f>E1341/E1340-1</f>
        <v>1.3458736275702154E-3</v>
      </c>
      <c r="M1341" s="5">
        <f>F1341/F1340-1</f>
        <v>7.6253518599907588E-2</v>
      </c>
      <c r="N1341" s="5">
        <f>SUMPRODUCT(I1341:M1341,$AJ$13:$AN$13)</f>
        <v>2.5027845298546094E-2</v>
      </c>
    </row>
    <row r="1342" spans="1:14" x14ac:dyDescent="0.35">
      <c r="A1342" s="3">
        <v>45779</v>
      </c>
      <c r="B1342" s="4">
        <v>40.1665649414062</v>
      </c>
      <c r="C1342" s="4">
        <v>132.53564453125</v>
      </c>
      <c r="D1342" s="4">
        <v>93.461570739746094</v>
      </c>
      <c r="E1342" s="4">
        <v>21.9042434692382</v>
      </c>
      <c r="F1342" s="4">
        <v>431.97296142578102</v>
      </c>
      <c r="I1342" s="5">
        <f>B1342/B1341-1</f>
        <v>2.2404804341991325E-2</v>
      </c>
      <c r="J1342" s="5">
        <f>C1342/C1341-1</f>
        <v>1.6439181091718158E-2</v>
      </c>
      <c r="K1342" s="5">
        <f>D1342/D1341-1</f>
        <v>2.8711251898152712E-2</v>
      </c>
      <c r="L1342" s="5">
        <f>E1342/E1341-1</f>
        <v>4.1666640211080574E-2</v>
      </c>
      <c r="M1342" s="5">
        <f>F1342/F1341-1</f>
        <v>2.3225187481900944E-2</v>
      </c>
      <c r="N1342" s="5">
        <f>SUMPRODUCT(I1342:M1342,$AJ$13:$AN$13)</f>
        <v>3.5158106219167568E-2</v>
      </c>
    </row>
    <row r="1343" spans="1:14" x14ac:dyDescent="0.35">
      <c r="A1343" s="3">
        <v>45782</v>
      </c>
      <c r="B1343" s="4">
        <v>40.215461730957003</v>
      </c>
      <c r="C1343" s="4">
        <v>129.66482543945301</v>
      </c>
      <c r="D1343" s="4">
        <v>93.234321594238196</v>
      </c>
      <c r="E1343" s="4">
        <v>21.753505706787099</v>
      </c>
      <c r="F1343" s="4">
        <v>432.85623168945301</v>
      </c>
      <c r="I1343" s="5">
        <f>B1343/B1342-1</f>
        <v>1.2173505407329088E-3</v>
      </c>
      <c r="J1343" s="5">
        <f>C1343/C1342-1</f>
        <v>-2.1660732114371584E-2</v>
      </c>
      <c r="K1343" s="5">
        <f>D1343/D1342-1</f>
        <v>-2.4314714990260056E-3</v>
      </c>
      <c r="L1343" s="5">
        <f>E1343/E1342-1</f>
        <v>-6.8816694200278805E-3</v>
      </c>
      <c r="M1343" s="5">
        <f>F1343/F1342-1</f>
        <v>2.0447350703540756E-3</v>
      </c>
      <c r="N1343" s="5">
        <f>SUMPRODUCT(I1343:M1343,$AJ$13:$AN$13)</f>
        <v>-3.44090100743611E-3</v>
      </c>
    </row>
    <row r="1344" spans="1:14" x14ac:dyDescent="0.35">
      <c r="A1344" s="3">
        <v>45783</v>
      </c>
      <c r="B1344" s="4">
        <v>39.941623687744098</v>
      </c>
      <c r="C1344" s="4">
        <v>129.76054382324199</v>
      </c>
      <c r="D1344" s="4">
        <v>92.829200744628906</v>
      </c>
      <c r="E1344" s="4">
        <v>21.923088073730401</v>
      </c>
      <c r="F1344" s="4">
        <v>430.01794433593699</v>
      </c>
      <c r="I1344" s="5">
        <f>B1344/B1343-1</f>
        <v>-6.8092726385908797E-3</v>
      </c>
      <c r="J1344" s="5">
        <f>C1344/C1343-1</f>
        <v>7.3819853198098251E-4</v>
      </c>
      <c r="K1344" s="5">
        <f>D1344/D1343-1</f>
        <v>-4.3451900832442991E-3</v>
      </c>
      <c r="L1344" s="5">
        <f>E1344/E1343-1</f>
        <v>7.7956339189224622E-3</v>
      </c>
      <c r="M1344" s="5">
        <f>F1344/F1343-1</f>
        <v>-6.5571132993467174E-3</v>
      </c>
      <c r="N1344" s="5">
        <f>SUMPRODUCT(I1344:M1344,$AJ$13:$AN$13)</f>
        <v>1.1349095869109815E-3</v>
      </c>
    </row>
    <row r="1345" spans="1:14" x14ac:dyDescent="0.35">
      <c r="A1345" s="3">
        <v>45784</v>
      </c>
      <c r="B1345" s="4">
        <v>40.029644012451101</v>
      </c>
      <c r="C1345" s="4">
        <v>129.94233703613199</v>
      </c>
      <c r="D1345" s="4">
        <v>94.647254943847599</v>
      </c>
      <c r="E1345" s="4">
        <v>21.565080642700099</v>
      </c>
      <c r="F1345" s="4">
        <v>430.05764770507801</v>
      </c>
      <c r="I1345" s="5">
        <f>B1345/B1344-1</f>
        <v>2.2037242500487775E-3</v>
      </c>
      <c r="J1345" s="5">
        <f>C1345/C1344-1</f>
        <v>1.4009899121387726E-3</v>
      </c>
      <c r="K1345" s="5">
        <f>D1345/D1344-1</f>
        <v>1.9584938625294424E-2</v>
      </c>
      <c r="L1345" s="5">
        <f>E1345/E1344-1</f>
        <v>-1.6330155214734021E-2</v>
      </c>
      <c r="M1345" s="5">
        <f>F1345/F1344-1</f>
        <v>9.2329563600834774E-5</v>
      </c>
      <c r="N1345" s="5">
        <f>SUMPRODUCT(I1345:M1345,$AJ$13:$AN$13)</f>
        <v>1.9145673719304659E-3</v>
      </c>
    </row>
    <row r="1346" spans="1:14" x14ac:dyDescent="0.35">
      <c r="A1346" s="3">
        <v>45785</v>
      </c>
      <c r="B1346" s="4">
        <v>40.684902191162102</v>
      </c>
      <c r="C1346" s="4">
        <v>131.13850402832</v>
      </c>
      <c r="D1346" s="4">
        <v>95.072128295898395</v>
      </c>
      <c r="E1346" s="4">
        <v>21.470870971679599</v>
      </c>
      <c r="F1346" s="4">
        <v>434.84103393554602</v>
      </c>
      <c r="I1346" s="5">
        <f>B1346/B1345-1</f>
        <v>1.6369323157287674E-2</v>
      </c>
      <c r="J1346" s="5">
        <f>C1346/C1345-1</f>
        <v>9.2053676997929657E-3</v>
      </c>
      <c r="K1346" s="5">
        <f>D1346/D1345-1</f>
        <v>4.4890192779798443E-3</v>
      </c>
      <c r="L1346" s="5">
        <f>E1346/E1345-1</f>
        <v>-4.3686213180190725E-3</v>
      </c>
      <c r="M1346" s="5">
        <f>F1346/F1345-1</f>
        <v>1.1122662870881816E-2</v>
      </c>
      <c r="N1346" s="5">
        <f>SUMPRODUCT(I1346:M1346,$AJ$13:$AN$13)</f>
        <v>-1.0242868120125311E-3</v>
      </c>
    </row>
    <row r="1347" spans="1:14" x14ac:dyDescent="0.35">
      <c r="A1347" s="3">
        <v>45786</v>
      </c>
      <c r="B1347" s="4">
        <v>40.8707275390625</v>
      </c>
      <c r="C1347" s="4">
        <v>132.52607727050699</v>
      </c>
      <c r="D1347" s="4">
        <v>94.765823364257798</v>
      </c>
      <c r="E1347" s="4">
        <v>21.696979522705</v>
      </c>
      <c r="F1347" s="4">
        <v>435.39678955078102</v>
      </c>
      <c r="I1347" s="5">
        <f>B1347/B1346-1</f>
        <v>4.5674276670810698E-3</v>
      </c>
      <c r="J1347" s="5">
        <f>C1347/C1346-1</f>
        <v>1.058097507264022E-2</v>
      </c>
      <c r="K1347" s="5">
        <f>D1347/D1346-1</f>
        <v>-3.2218162897044156E-3</v>
      </c>
      <c r="L1347" s="5">
        <f>E1347/E1346-1</f>
        <v>1.0530944521237151E-2</v>
      </c>
      <c r="M1347" s="5">
        <f>F1347/F1346-1</f>
        <v>1.2780661709983487E-3</v>
      </c>
      <c r="N1347" s="5">
        <f>SUMPRODUCT(I1347:M1347,$AJ$13:$AN$13)</f>
        <v>2.0024615170176952E-3</v>
      </c>
    </row>
    <row r="1348" spans="1:14" x14ac:dyDescent="0.35">
      <c r="A1348" s="3">
        <v>45789</v>
      </c>
      <c r="B1348" s="4">
        <v>42.406192779541001</v>
      </c>
      <c r="C1348" s="4">
        <v>135.52128601074199</v>
      </c>
      <c r="D1348" s="4">
        <v>102.186233520507</v>
      </c>
      <c r="E1348" s="4">
        <v>21.7723484039306</v>
      </c>
      <c r="F1348" s="4">
        <v>445.84677124023398</v>
      </c>
      <c r="I1348" s="5">
        <f>B1348/B1347-1</f>
        <v>3.7568825732572808E-2</v>
      </c>
      <c r="J1348" s="5">
        <f>C1348/C1347-1</f>
        <v>2.2600900908892774E-2</v>
      </c>
      <c r="K1348" s="5">
        <f>D1348/D1347-1</f>
        <v>7.8302597844023047E-2</v>
      </c>
      <c r="L1348" s="5">
        <f>E1348/E1347-1</f>
        <v>3.4737038465069148E-3</v>
      </c>
      <c r="M1348" s="5">
        <f>F1348/F1347-1</f>
        <v>2.4001053614186363E-2</v>
      </c>
      <c r="N1348" s="5">
        <f>SUMPRODUCT(I1348:M1348,$AJ$13:$AN$13)</f>
        <v>3.8804734149780071E-2</v>
      </c>
    </row>
    <row r="1349" spans="1:14" x14ac:dyDescent="0.35">
      <c r="A1349" s="3">
        <v>45790</v>
      </c>
      <c r="B1349" s="4">
        <v>43.305950164794901</v>
      </c>
      <c r="C1349" s="4">
        <v>136.21986389160099</v>
      </c>
      <c r="D1349" s="4">
        <v>106.56337738037099</v>
      </c>
      <c r="E1349" s="4">
        <v>22.262248992919901</v>
      </c>
      <c r="F1349" s="4">
        <v>445.72769165039</v>
      </c>
      <c r="I1349" s="5">
        <f>B1349/B1348-1</f>
        <v>2.1217594088946079E-2</v>
      </c>
      <c r="J1349" s="5">
        <f>C1349/C1348-1</f>
        <v>5.1547465451562413E-3</v>
      </c>
      <c r="K1349" s="5">
        <f>D1349/D1348-1</f>
        <v>4.2834966208883385E-2</v>
      </c>
      <c r="L1349" s="5">
        <f>E1349/E1348-1</f>
        <v>2.2501044898806555E-2</v>
      </c>
      <c r="M1349" s="5">
        <f>F1349/F1348-1</f>
        <v>-2.6708635685024351E-4</v>
      </c>
      <c r="N1349" s="5">
        <f>SUMPRODUCT(I1349:M1349,$AJ$13:$AN$13)</f>
        <v>2.6422244253317958E-2</v>
      </c>
    </row>
    <row r="1350" spans="1:14" x14ac:dyDescent="0.35">
      <c r="A1350" s="3">
        <v>45791</v>
      </c>
      <c r="B1350" s="4">
        <v>43.755832672119098</v>
      </c>
      <c r="C1350" s="4">
        <v>135.56912231445301</v>
      </c>
      <c r="D1350" s="4">
        <v>109.69556427001901</v>
      </c>
      <c r="E1350" s="4">
        <v>22.017299652099599</v>
      </c>
      <c r="F1350" s="4">
        <v>449.498779296875</v>
      </c>
      <c r="I1350" s="5">
        <f>B1350/B1349-1</f>
        <v>1.0388468688765196E-2</v>
      </c>
      <c r="J1350" s="5">
        <f>C1350/C1349-1</f>
        <v>-4.7771415897597258E-3</v>
      </c>
      <c r="K1350" s="5">
        <f>D1350/D1349-1</f>
        <v>2.9392714144821808E-2</v>
      </c>
      <c r="L1350" s="5">
        <f>E1350/E1349-1</f>
        <v>-1.1002901858576997E-2</v>
      </c>
      <c r="M1350" s="5">
        <f>F1350/F1349-1</f>
        <v>8.4605190952391496E-3</v>
      </c>
      <c r="N1350" s="5">
        <f>SUMPRODUCT(I1350:M1350,$AJ$13:$AN$13)</f>
        <v>1.0141029980234988E-2</v>
      </c>
    </row>
    <row r="1351" spans="1:14" x14ac:dyDescent="0.35">
      <c r="A1351" s="3">
        <v>45792</v>
      </c>
      <c r="B1351" s="4">
        <v>43.403751373291001</v>
      </c>
      <c r="C1351" s="4">
        <v>136.13371276855401</v>
      </c>
      <c r="D1351" s="4">
        <v>109.54736328125</v>
      </c>
      <c r="E1351" s="4">
        <v>22.205722808837798</v>
      </c>
      <c r="F1351" s="4">
        <v>450.512939453125</v>
      </c>
      <c r="I1351" s="5">
        <f>B1351/B1350-1</f>
        <v>-8.0464997996128051E-3</v>
      </c>
      <c r="J1351" s="5">
        <f>C1351/C1350-1</f>
        <v>4.1645947429787E-3</v>
      </c>
      <c r="K1351" s="5">
        <f>D1351/D1350-1</f>
        <v>-1.3510207979258171E-3</v>
      </c>
      <c r="L1351" s="5">
        <f>E1351/E1350-1</f>
        <v>8.557959409896565E-3</v>
      </c>
      <c r="M1351" s="5">
        <f>F1351/F1350-1</f>
        <v>2.2562022478378463E-3</v>
      </c>
      <c r="N1351" s="5">
        <f>SUMPRODUCT(I1351:M1351,$AJ$13:$AN$13)</f>
        <v>6.2397134440397E-3</v>
      </c>
    </row>
    <row r="1352" spans="1:14" x14ac:dyDescent="0.35">
      <c r="A1352" s="3">
        <v>45793</v>
      </c>
      <c r="B1352" s="4">
        <v>43.706935882568303</v>
      </c>
      <c r="C1352" s="4">
        <v>135.98062133789</v>
      </c>
      <c r="D1352" s="4">
        <v>112.827751159667</v>
      </c>
      <c r="E1352" s="4">
        <v>22.607721328735298</v>
      </c>
      <c r="F1352" s="4">
        <v>451.64633178710898</v>
      </c>
      <c r="I1352" s="5">
        <f>B1352/B1351-1</f>
        <v>6.9852144039297404E-3</v>
      </c>
      <c r="J1352" s="5">
        <f>C1352/C1351-1</f>
        <v>-1.1245666304884328E-3</v>
      </c>
      <c r="K1352" s="5">
        <f>D1352/D1351-1</f>
        <v>2.9944927747781458E-2</v>
      </c>
      <c r="L1352" s="5">
        <f>E1352/E1351-1</f>
        <v>1.8103374673194894E-2</v>
      </c>
      <c r="M1352" s="5">
        <f>F1352/F1351-1</f>
        <v>2.5157819781154167E-3</v>
      </c>
      <c r="N1352" s="5">
        <f>SUMPRODUCT(I1352:M1352,$AJ$13:$AN$13)</f>
        <v>2.2907435285896855E-2</v>
      </c>
    </row>
    <row r="1353" spans="1:14" x14ac:dyDescent="0.35">
      <c r="A1353" s="3">
        <v>45796</v>
      </c>
      <c r="B1353" s="4">
        <v>43.7851753234863</v>
      </c>
      <c r="C1353" s="4">
        <v>134.14028930664</v>
      </c>
      <c r="D1353" s="4">
        <v>112.91667938232401</v>
      </c>
      <c r="E1353" s="4">
        <v>22.119579315185501</v>
      </c>
      <c r="F1353" s="4">
        <v>456.21975708007801</v>
      </c>
      <c r="I1353" s="5">
        <f>B1353/B1352-1</f>
        <v>1.7900921063926933E-3</v>
      </c>
      <c r="J1353" s="5">
        <f>C1353/C1352-1</f>
        <v>-1.3533781601696493E-2</v>
      </c>
      <c r="K1353" s="5">
        <f>D1353/D1352-1</f>
        <v>7.8817686024024169E-4</v>
      </c>
      <c r="L1353" s="5">
        <f>E1353/E1352-1</f>
        <v>-2.1591827254582752E-2</v>
      </c>
      <c r="M1353" s="5">
        <f>F1353/F1352-1</f>
        <v>1.0126120752210088E-2</v>
      </c>
      <c r="N1353" s="5">
        <f>SUMPRODUCT(I1353:M1353,$AJ$13:$AN$13)</f>
        <v>-6.3702779903940018E-3</v>
      </c>
    </row>
    <row r="1354" spans="1:14" x14ac:dyDescent="0.35">
      <c r="A1354" s="3">
        <v>45797</v>
      </c>
      <c r="B1354" s="4">
        <v>43.706935882568303</v>
      </c>
      <c r="C1354" s="4">
        <v>132.95861816406199</v>
      </c>
      <c r="D1354" s="4">
        <v>112.86727905273401</v>
      </c>
      <c r="E1354" s="4">
        <v>22.6460056304931</v>
      </c>
      <c r="F1354" s="4">
        <v>455.523834228515</v>
      </c>
      <c r="I1354" s="5">
        <f>B1354/B1353-1</f>
        <v>-1.7868934026177286E-3</v>
      </c>
      <c r="J1354" s="5">
        <f>C1354/C1353-1</f>
        <v>-8.8092186820676321E-3</v>
      </c>
      <c r="K1354" s="5">
        <f>D1354/D1353-1</f>
        <v>-4.3749364451939332E-4</v>
      </c>
      <c r="L1354" s="5">
        <f>E1354/E1353-1</f>
        <v>2.3799110634360021E-2</v>
      </c>
      <c r="M1354" s="5">
        <f>F1354/F1353-1</f>
        <v>-1.5254114727890622E-3</v>
      </c>
      <c r="N1354" s="5">
        <f>SUMPRODUCT(I1354:M1354,$AJ$13:$AN$13)</f>
        <v>1.1188338685582331E-2</v>
      </c>
    </row>
    <row r="1355" spans="1:14" x14ac:dyDescent="0.35">
      <c r="A1355" s="3">
        <v>45798</v>
      </c>
      <c r="B1355" s="4">
        <v>42.298610687255803</v>
      </c>
      <c r="C1355" s="4">
        <v>131.30230712890599</v>
      </c>
      <c r="D1355" s="4">
        <v>110.59471130371</v>
      </c>
      <c r="E1355" s="4">
        <v>22.607721328735298</v>
      </c>
      <c r="F1355" s="4">
        <v>449.95617675781199</v>
      </c>
      <c r="I1355" s="5">
        <f>B1355/B1354-1</f>
        <v>-3.2222007031020961E-2</v>
      </c>
      <c r="J1355" s="5">
        <f>C1355/C1354-1</f>
        <v>-1.2457342427492857E-2</v>
      </c>
      <c r="K1355" s="5">
        <f>D1355/D1354-1</f>
        <v>-2.0134867856274052E-2</v>
      </c>
      <c r="L1355" s="5">
        <f>E1355/E1354-1</f>
        <v>-1.69055428063003E-3</v>
      </c>
      <c r="M1355" s="5">
        <f>F1355/F1354-1</f>
        <v>-1.2222538212808387E-2</v>
      </c>
      <c r="N1355" s="5">
        <f>SUMPRODUCT(I1355:M1355,$AJ$13:$AN$13)</f>
        <v>-5.6293282152378131E-3</v>
      </c>
    </row>
    <row r="1356" spans="1:14" x14ac:dyDescent="0.35">
      <c r="A1356" s="3">
        <v>45799</v>
      </c>
      <c r="B1356" s="4">
        <v>42.357292175292898</v>
      </c>
      <c r="C1356" s="4">
        <v>131.04078674316401</v>
      </c>
      <c r="D1356" s="4">
        <v>110.614463806152</v>
      </c>
      <c r="E1356" s="4">
        <v>22.492862701416001</v>
      </c>
      <c r="F1356" s="4">
        <v>452.23294067382801</v>
      </c>
      <c r="I1356" s="5">
        <f>B1356/B1355-1</f>
        <v>1.3873147860805624E-3</v>
      </c>
      <c r="J1356" s="5">
        <f>C1356/C1355-1</f>
        <v>-1.9917425021728219E-3</v>
      </c>
      <c r="K1356" s="5">
        <f>D1356/D1355-1</f>
        <v>1.7860259508939436E-4</v>
      </c>
      <c r="L1356" s="5">
        <f>E1356/E1355-1</f>
        <v>-5.0805043838411112E-3</v>
      </c>
      <c r="M1356" s="5">
        <f>F1356/F1355-1</f>
        <v>5.0599681338334701E-3</v>
      </c>
      <c r="N1356" s="5">
        <f>SUMPRODUCT(I1356:M1356,$AJ$13:$AN$13)</f>
        <v>-9.2662025019756857E-4</v>
      </c>
    </row>
    <row r="1357" spans="1:14" x14ac:dyDescent="0.35">
      <c r="A1357" s="3">
        <v>45800</v>
      </c>
      <c r="B1357" s="4">
        <v>42.249710083007798</v>
      </c>
      <c r="C1357" s="4">
        <v>132.25152587890599</v>
      </c>
      <c r="D1357" s="4">
        <v>110.772567749023</v>
      </c>
      <c r="E1357" s="4">
        <v>22.799150466918899</v>
      </c>
      <c r="F1357" s="4">
        <v>447.57995605468699</v>
      </c>
      <c r="I1357" s="5">
        <f>B1357/B1356-1</f>
        <v>-2.5398718086103722E-3</v>
      </c>
      <c r="J1357" s="5">
        <f>C1357/C1356-1</f>
        <v>9.2394067971752758E-3</v>
      </c>
      <c r="K1357" s="5">
        <f>D1357/D1356-1</f>
        <v>1.4293243164660296E-3</v>
      </c>
      <c r="L1357" s="5">
        <f>E1357/E1356-1</f>
        <v>1.3617109105619418E-2</v>
      </c>
      <c r="M1357" s="5">
        <f>F1357/F1356-1</f>
        <v>-1.0288911312404725E-2</v>
      </c>
      <c r="N1357" s="5">
        <f>SUMPRODUCT(I1357:M1357,$AJ$13:$AN$13)</f>
        <v>4.1017892391703031E-3</v>
      </c>
    </row>
    <row r="1358" spans="1:14" x14ac:dyDescent="0.35">
      <c r="A1358" s="3">
        <v>45804</v>
      </c>
      <c r="B1358" s="4">
        <v>43.247272491455</v>
      </c>
      <c r="C1358" s="4">
        <v>133.50102233886699</v>
      </c>
      <c r="D1358" s="4">
        <v>112.63014221191401</v>
      </c>
      <c r="E1358" s="4">
        <v>23.249008178710898</v>
      </c>
      <c r="F1358" s="4">
        <v>458.02926635742102</v>
      </c>
      <c r="I1358" s="5">
        <f>B1358/B1357-1</f>
        <v>2.3611106596644005E-2</v>
      </c>
      <c r="J1358" s="5">
        <f>C1358/C1357-1</f>
        <v>9.4478793470034184E-3</v>
      </c>
      <c r="K1358" s="5">
        <f>D1358/D1357-1</f>
        <v>1.6769264273982509E-2</v>
      </c>
      <c r="L1358" s="5">
        <f>E1358/E1357-1</f>
        <v>1.973133658838444E-2</v>
      </c>
      <c r="M1358" s="5">
        <f>F1358/F1357-1</f>
        <v>2.3346242746977053E-2</v>
      </c>
      <c r="N1358" s="5">
        <f>SUMPRODUCT(I1358:M1358,$AJ$13:$AN$13)</f>
        <v>1.8611433939786023E-2</v>
      </c>
    </row>
    <row r="1359" spans="1:14" x14ac:dyDescent="0.35">
      <c r="A1359" s="3">
        <v>45805</v>
      </c>
      <c r="B1359" s="4">
        <v>43.090793609619098</v>
      </c>
      <c r="C1359" s="4">
        <v>131.74787902832</v>
      </c>
      <c r="D1359" s="4">
        <v>112.412757873535</v>
      </c>
      <c r="E1359" s="4">
        <v>23.009721755981399</v>
      </c>
      <c r="F1359" s="4">
        <v>454.71847534179602</v>
      </c>
      <c r="I1359" s="5">
        <f>B1359/B1358-1</f>
        <v>-3.6182370082834536E-3</v>
      </c>
      <c r="J1359" s="5">
        <f>C1359/C1358-1</f>
        <v>-1.3132059064663748E-2</v>
      </c>
      <c r="K1359" s="5">
        <f>D1359/D1358-1</f>
        <v>-1.9300724842378214E-3</v>
      </c>
      <c r="L1359" s="5">
        <f>E1359/E1358-1</f>
        <v>-1.0292328209880908E-2</v>
      </c>
      <c r="M1359" s="5">
        <f>F1359/F1358-1</f>
        <v>-7.2283394507840493E-3</v>
      </c>
      <c r="N1359" s="5">
        <f>SUMPRODUCT(I1359:M1359,$AJ$13:$AN$13)</f>
        <v>-6.7520193172145365E-3</v>
      </c>
    </row>
    <row r="1360" spans="1:14" x14ac:dyDescent="0.35">
      <c r="A1360" s="3">
        <v>45806</v>
      </c>
      <c r="B1360" s="4">
        <v>43.266834259033203</v>
      </c>
      <c r="C1360" s="4">
        <v>133.57850646972599</v>
      </c>
      <c r="D1360" s="4">
        <v>112.27442932128901</v>
      </c>
      <c r="E1360" s="4">
        <v>22.9044380187988</v>
      </c>
      <c r="F1360" s="4">
        <v>456.03088378906199</v>
      </c>
      <c r="I1360" s="5">
        <f>B1360/B1359-1</f>
        <v>4.0853424749831557E-3</v>
      </c>
      <c r="J1360" s="5">
        <f>C1360/C1359-1</f>
        <v>1.3894929124532496E-2</v>
      </c>
      <c r="K1360" s="5">
        <f>D1360/D1359-1</f>
        <v>-1.2305413981713587E-3</v>
      </c>
      <c r="L1360" s="5">
        <f>E1360/E1359-1</f>
        <v>-4.5756197445208091E-3</v>
      </c>
      <c r="M1360" s="5">
        <f>F1360/F1359-1</f>
        <v>2.8861999642295633E-3</v>
      </c>
      <c r="N1360" s="5">
        <f>SUMPRODUCT(I1360:M1360,$AJ$13:$AN$13)</f>
        <v>-3.4513309917248028E-3</v>
      </c>
    </row>
    <row r="1361" spans="1:14" x14ac:dyDescent="0.35">
      <c r="A1361" s="3">
        <v>45807</v>
      </c>
      <c r="B1361" s="4">
        <v>43.159255981445298</v>
      </c>
      <c r="C1361" s="4">
        <v>132.40650939941401</v>
      </c>
      <c r="D1361" s="4">
        <v>109.942581176757</v>
      </c>
      <c r="E1361" s="4">
        <v>22.483293533325099</v>
      </c>
      <c r="F1361" s="4">
        <v>457.70114135742102</v>
      </c>
      <c r="I1361" s="5">
        <f>B1361/B1360-1</f>
        <v>-2.48639123777461E-3</v>
      </c>
      <c r="J1361" s="5">
        <f>C1361/C1360-1</f>
        <v>-8.7738446946747928E-3</v>
      </c>
      <c r="K1361" s="5">
        <f>D1361/D1360-1</f>
        <v>-2.076918278390083E-2</v>
      </c>
      <c r="L1361" s="5">
        <f>E1361/E1360-1</f>
        <v>-1.8387025480740782E-2</v>
      </c>
      <c r="M1361" s="5">
        <f>F1361/F1360-1</f>
        <v>3.6625974856816512E-3</v>
      </c>
      <c r="N1361" s="5">
        <f>SUMPRODUCT(I1361:M1361,$AJ$13:$AN$13)</f>
        <v>-1.7175381878280872E-2</v>
      </c>
    </row>
    <row r="1362" spans="1:14" x14ac:dyDescent="0.35">
      <c r="A1362" s="3">
        <v>45810</v>
      </c>
      <c r="B1362" s="4">
        <v>43.110355377197202</v>
      </c>
      <c r="C1362" s="4">
        <v>133.51069641113199</v>
      </c>
      <c r="D1362" s="4">
        <v>106.790641784667</v>
      </c>
      <c r="E1362" s="4">
        <v>23.277721405029201</v>
      </c>
      <c r="F1362" s="4">
        <v>459.30187988281199</v>
      </c>
      <c r="I1362" s="5">
        <f>B1362/B1361-1</f>
        <v>-1.1330270445143453E-3</v>
      </c>
      <c r="J1362" s="5">
        <f>C1362/C1361-1</f>
        <v>8.3393710530281773E-3</v>
      </c>
      <c r="K1362" s="5">
        <f>D1362/D1361-1</f>
        <v>-2.866895936363878E-2</v>
      </c>
      <c r="L1362" s="5">
        <f>E1362/E1361-1</f>
        <v>3.5334141349290693E-2</v>
      </c>
      <c r="M1362" s="5">
        <f>F1362/F1361-1</f>
        <v>3.4973444039130275E-3</v>
      </c>
      <c r="N1362" s="5">
        <f>SUMPRODUCT(I1362:M1362,$AJ$13:$AN$13)</f>
        <v>2.8057127025611119E-3</v>
      </c>
    </row>
    <row r="1363" spans="1:14" x14ac:dyDescent="0.35">
      <c r="A1363" s="3">
        <v>45811</v>
      </c>
      <c r="B1363" s="4">
        <v>43.667816162109297</v>
      </c>
      <c r="C1363" s="4">
        <v>135.16700744628901</v>
      </c>
      <c r="D1363" s="4">
        <v>110.565071105957</v>
      </c>
      <c r="E1363" s="4">
        <v>23.229866027831999</v>
      </c>
      <c r="F1363" s="4">
        <v>460.29608154296801</v>
      </c>
      <c r="I1363" s="5">
        <f>B1363/B1362-1</f>
        <v>1.2931018082188217E-2</v>
      </c>
      <c r="J1363" s="5">
        <f>C1363/C1362-1</f>
        <v>1.240583024191988E-2</v>
      </c>
      <c r="K1363" s="5">
        <f>D1363/D1362-1</f>
        <v>3.5344195504515952E-2</v>
      </c>
      <c r="L1363" s="5">
        <f>E1363/E1362-1</f>
        <v>-2.0558445719203178E-3</v>
      </c>
      <c r="M1363" s="5">
        <f>F1363/F1362-1</f>
        <v>2.1645930567706362E-3</v>
      </c>
      <c r="N1363" s="5">
        <f>SUMPRODUCT(I1363:M1363,$AJ$13:$AN$13)</f>
        <v>1.4018962355288433E-2</v>
      </c>
    </row>
    <row r="1364" spans="1:14" x14ac:dyDescent="0.35">
      <c r="A1364" s="3">
        <v>45812</v>
      </c>
      <c r="B1364" s="4">
        <v>43.384189605712798</v>
      </c>
      <c r="C1364" s="4">
        <v>133.05546569824199</v>
      </c>
      <c r="D1364" s="4">
        <v>111.35552978515599</v>
      </c>
      <c r="E1364" s="4">
        <v>23.0001525878906</v>
      </c>
      <c r="F1364" s="4">
        <v>461.19088745117102</v>
      </c>
      <c r="I1364" s="5">
        <f>B1364/B1363-1</f>
        <v>-6.4950936713570329E-3</v>
      </c>
      <c r="J1364" s="5">
        <f>C1364/C1363-1</f>
        <v>-1.5621724472120735E-2</v>
      </c>
      <c r="K1364" s="5">
        <f>D1364/D1363-1</f>
        <v>7.1492621611166651E-3</v>
      </c>
      <c r="L1364" s="5">
        <f>E1364/E1363-1</f>
        <v>-9.8887113540033766E-3</v>
      </c>
      <c r="M1364" s="5">
        <f>F1364/F1363-1</f>
        <v>1.9439789824051701E-3</v>
      </c>
      <c r="N1364" s="5">
        <f>SUMPRODUCT(I1364:M1364,$AJ$13:$AN$13)</f>
        <v>2.141501059880915E-3</v>
      </c>
    </row>
    <row r="1365" spans="1:14" x14ac:dyDescent="0.35">
      <c r="A1365" s="3">
        <v>45813</v>
      </c>
      <c r="B1365" s="4">
        <v>43.403751373291001</v>
      </c>
      <c r="C1365" s="4">
        <v>132.60021972656199</v>
      </c>
      <c r="D1365" s="4">
        <v>110.486030578613</v>
      </c>
      <c r="E1365" s="4">
        <v>23.191579818725501</v>
      </c>
      <c r="F1365" s="4">
        <v>464.97888183593699</v>
      </c>
      <c r="I1365" s="5">
        <f>B1365/B1364-1</f>
        <v>4.5089623099991982E-4</v>
      </c>
      <c r="J1365" s="5">
        <f>C1365/C1364-1</f>
        <v>-3.4214751666982179E-3</v>
      </c>
      <c r="K1365" s="5">
        <f>D1365/D1364-1</f>
        <v>-7.8083163738753569E-3</v>
      </c>
      <c r="L1365" s="5">
        <f>E1365/E1364-1</f>
        <v>8.3228678637412568E-3</v>
      </c>
      <c r="M1365" s="5">
        <f>F1365/F1364-1</f>
        <v>8.2135065714346034E-3</v>
      </c>
      <c r="N1365" s="5">
        <f>SUMPRODUCT(I1365:M1365,$AJ$13:$AN$13)</f>
        <v>2.5487143066553085E-3</v>
      </c>
    </row>
    <row r="1366" spans="1:14" x14ac:dyDescent="0.35">
      <c r="A1366" s="3">
        <v>45814</v>
      </c>
      <c r="B1366" s="4">
        <v>44.239952087402301</v>
      </c>
      <c r="C1366" s="4">
        <v>135.80627441406199</v>
      </c>
      <c r="D1366" s="4">
        <v>112.39299774169901</v>
      </c>
      <c r="E1366" s="4">
        <v>23.469152450561499</v>
      </c>
      <c r="F1366" s="4">
        <v>467.663330078125</v>
      </c>
      <c r="I1366" s="5">
        <f>B1366/B1365-1</f>
        <v>1.9265632293384405E-2</v>
      </c>
      <c r="J1366" s="5">
        <f>C1366/C1365-1</f>
        <v>2.4178351243393736E-2</v>
      </c>
      <c r="K1366" s="5">
        <f>D1366/D1365-1</f>
        <v>1.7259803371514559E-2</v>
      </c>
      <c r="L1366" s="5">
        <f>E1366/E1365-1</f>
        <v>1.1968681478606191E-2</v>
      </c>
      <c r="M1366" s="5">
        <f>F1366/F1365-1</f>
        <v>5.7732691678138437E-3</v>
      </c>
      <c r="N1366" s="5">
        <f>SUMPRODUCT(I1366:M1366,$AJ$13:$AN$13)</f>
        <v>1.0143686111024239E-2</v>
      </c>
    </row>
    <row r="1367" spans="1:14" x14ac:dyDescent="0.35">
      <c r="A1367" s="3">
        <v>45817</v>
      </c>
      <c r="B1367" s="4">
        <v>44.141574859619098</v>
      </c>
      <c r="C1367" s="4">
        <v>136.33898925781199</v>
      </c>
      <c r="D1367" s="4">
        <v>112.85739135742099</v>
      </c>
      <c r="E1367" s="4">
        <v>23.6414375305175</v>
      </c>
      <c r="F1367" s="4">
        <v>470.01962280273398</v>
      </c>
      <c r="I1367" s="5">
        <f>B1367/B1366-1</f>
        <v>-2.2237191303653425E-3</v>
      </c>
      <c r="J1367" s="5">
        <f>C1367/C1366-1</f>
        <v>3.9226084807082451E-3</v>
      </c>
      <c r="K1367" s="5">
        <f>D1367/D1366-1</f>
        <v>4.1318732043187367E-3</v>
      </c>
      <c r="L1367" s="5">
        <f>E1367/E1366-1</f>
        <v>7.3409161374244913E-3</v>
      </c>
      <c r="M1367" s="5">
        <f>F1367/F1366-1</f>
        <v>5.0384380665795536E-3</v>
      </c>
      <c r="N1367" s="5">
        <f>SUMPRODUCT(I1367:M1367,$AJ$13:$AN$13)</f>
        <v>7.77913154362857E-3</v>
      </c>
    </row>
    <row r="1368" spans="1:14" x14ac:dyDescent="0.35">
      <c r="A1368" s="3">
        <v>45818</v>
      </c>
      <c r="B1368" s="4">
        <v>44.358005523681598</v>
      </c>
      <c r="C1368" s="4">
        <v>138.84765625</v>
      </c>
      <c r="D1368" s="4">
        <v>111.898963928222</v>
      </c>
      <c r="E1368" s="4">
        <v>24.1391506195068</v>
      </c>
      <c r="F1368" s="4">
        <v>468.20022583007801</v>
      </c>
      <c r="I1368" s="5">
        <f>B1368/B1367-1</f>
        <v>4.9031024550165725E-3</v>
      </c>
      <c r="J1368" s="5">
        <f>C1368/C1367-1</f>
        <v>1.8400217031418808E-2</v>
      </c>
      <c r="K1368" s="5">
        <f>D1368/D1367-1</f>
        <v>-8.4923762428961158E-3</v>
      </c>
      <c r="L1368" s="5">
        <f>E1368/E1367-1</f>
        <v>2.1052572981098416E-2</v>
      </c>
      <c r="M1368" s="5">
        <f>F1368/F1367-1</f>
        <v>-3.8708957762377816E-3</v>
      </c>
      <c r="N1368" s="5">
        <f>SUMPRODUCT(I1368:M1368,$AJ$13:$AN$13)</f>
        <v>2.1012810436532845E-3</v>
      </c>
    </row>
    <row r="1369" spans="1:14" x14ac:dyDescent="0.35">
      <c r="A1369" s="3">
        <v>45819</v>
      </c>
      <c r="B1369" s="4">
        <v>44.003849029541001</v>
      </c>
      <c r="C1369" s="4">
        <v>140.23272705078099</v>
      </c>
      <c r="D1369" s="4">
        <v>109.912940979003</v>
      </c>
      <c r="E1369" s="4">
        <v>24.8091506958007</v>
      </c>
      <c r="F1369" s="4">
        <v>469.89035034179602</v>
      </c>
      <c r="I1369" s="5">
        <f>B1369/B1368-1</f>
        <v>-7.9840491013853931E-3</v>
      </c>
      <c r="J1369" s="5">
        <f>C1369/C1368-1</f>
        <v>9.9754712336457274E-3</v>
      </c>
      <c r="K1369" s="5">
        <f>D1369/D1368-1</f>
        <v>-1.7748358693409738E-2</v>
      </c>
      <c r="L1369" s="5">
        <f>E1369/E1368-1</f>
        <v>2.7755743640477393E-2</v>
      </c>
      <c r="M1369" s="5">
        <f>F1369/F1368-1</f>
        <v>3.6098327563203192E-3</v>
      </c>
      <c r="N1369" s="5">
        <f>SUMPRODUCT(I1369:M1369,$AJ$13:$AN$13)</f>
        <v>6.9160966961527267E-3</v>
      </c>
    </row>
    <row r="1370" spans="1:14" x14ac:dyDescent="0.35">
      <c r="A1370" s="3">
        <v>45820</v>
      </c>
      <c r="B1370" s="4">
        <v>43.895633697509702</v>
      </c>
      <c r="C1370" s="4">
        <v>140.41676330566401</v>
      </c>
      <c r="D1370" s="4">
        <v>112.04717254638599</v>
      </c>
      <c r="E1370" s="4">
        <v>25.259008407592699</v>
      </c>
      <c r="F1370" s="4">
        <v>476.104248046875</v>
      </c>
      <c r="I1370" s="5">
        <f>B1370/B1369-1</f>
        <v>-2.4592242364673833E-3</v>
      </c>
      <c r="J1370" s="5">
        <f>C1370/C1369-1</f>
        <v>1.3123630892264426E-3</v>
      </c>
      <c r="K1370" s="5">
        <f>D1370/D1369-1</f>
        <v>1.9417473032504073E-2</v>
      </c>
      <c r="L1370" s="5">
        <f>E1370/E1369-1</f>
        <v>1.813273325265996E-2</v>
      </c>
      <c r="M1370" s="5">
        <f>F1370/F1369-1</f>
        <v>1.3224144102042201E-2</v>
      </c>
      <c r="N1370" s="5">
        <f>SUMPRODUCT(I1370:M1370,$AJ$13:$AN$13)</f>
        <v>2.366850055392599E-2</v>
      </c>
    </row>
    <row r="1371" spans="1:14" x14ac:dyDescent="0.35">
      <c r="A1371" s="3">
        <v>45821</v>
      </c>
      <c r="B1371" s="4">
        <v>43.374240875244098</v>
      </c>
      <c r="C1371" s="4">
        <v>141.32723999023401</v>
      </c>
      <c r="D1371" s="4">
        <v>108.25298309326099</v>
      </c>
      <c r="E1371" s="4">
        <v>26.560724258422798</v>
      </c>
      <c r="F1371" s="4">
        <v>472.21682739257801</v>
      </c>
      <c r="I1371" s="5">
        <f>B1371/B1370-1</f>
        <v>-1.1878011053641169E-2</v>
      </c>
      <c r="J1371" s="5">
        <f>C1371/C1370-1</f>
        <v>6.4841024898718569E-3</v>
      </c>
      <c r="K1371" s="5">
        <f>D1371/D1370-1</f>
        <v>-3.3862429250985815E-2</v>
      </c>
      <c r="L1371" s="5">
        <f>E1371/E1370-1</f>
        <v>5.1534717033421273E-2</v>
      </c>
      <c r="M1371" s="5">
        <f>F1371/F1370-1</f>
        <v>-8.1650618960960042E-3</v>
      </c>
      <c r="N1371" s="5">
        <f>SUMPRODUCT(I1371:M1371,$AJ$13:$AN$13)</f>
        <v>6.9440338820421187E-3</v>
      </c>
    </row>
    <row r="1372" spans="1:14" x14ac:dyDescent="0.35">
      <c r="A1372" s="3">
        <v>45824</v>
      </c>
      <c r="B1372" s="4">
        <v>43.689041137695298</v>
      </c>
      <c r="C1372" s="4">
        <v>141.44346618652301</v>
      </c>
      <c r="D1372" s="4">
        <v>112.38311767578099</v>
      </c>
      <c r="E1372" s="4">
        <v>26.436294555663999</v>
      </c>
      <c r="F1372" s="4">
        <v>476.37271118164</v>
      </c>
      <c r="I1372" s="5">
        <f>B1372/B1371-1</f>
        <v>7.2577699597475842E-3</v>
      </c>
      <c r="J1372" s="5">
        <f>C1372/C1371-1</f>
        <v>8.2239061837641181E-4</v>
      </c>
      <c r="K1372" s="5">
        <f>D1372/D1371-1</f>
        <v>3.81526168102162E-2</v>
      </c>
      <c r="L1372" s="5">
        <f>E1372/E1371-1</f>
        <v>-4.6847255198374516E-3</v>
      </c>
      <c r="M1372" s="5">
        <f>F1372/F1371-1</f>
        <v>8.8007956260460762E-3</v>
      </c>
      <c r="N1372" s="5">
        <f>SUMPRODUCT(I1372:M1372,$AJ$13:$AN$13)</f>
        <v>1.8489937746909033E-2</v>
      </c>
    </row>
    <row r="1373" spans="1:14" x14ac:dyDescent="0.35">
      <c r="A1373" s="3">
        <v>45825</v>
      </c>
      <c r="B1373" s="4">
        <v>43.511966705322202</v>
      </c>
      <c r="C1373" s="4">
        <v>144.17491149902301</v>
      </c>
      <c r="D1373" s="4">
        <v>114.546997070312</v>
      </c>
      <c r="E1373" s="4">
        <v>26.876581192016602</v>
      </c>
      <c r="F1373" s="4">
        <v>475.279052734375</v>
      </c>
      <c r="I1373" s="5">
        <f>B1373/B1372-1</f>
        <v>-4.0530629137638385E-3</v>
      </c>
      <c r="J1373" s="5">
        <f>C1373/C1372-1</f>
        <v>1.9311215895246869E-2</v>
      </c>
      <c r="K1373" s="5">
        <f>D1373/D1372-1</f>
        <v>1.9254488034169626E-2</v>
      </c>
      <c r="L1373" s="5">
        <f>E1373/E1372-1</f>
        <v>1.6654627426152313E-2</v>
      </c>
      <c r="M1373" s="5">
        <f>F1373/F1372-1</f>
        <v>-2.295804149973657E-3</v>
      </c>
      <c r="N1373" s="5">
        <f>SUMPRODUCT(I1373:M1373,$AJ$13:$AN$13)</f>
        <v>1.7579894333573615E-2</v>
      </c>
    </row>
    <row r="1374" spans="1:14" x14ac:dyDescent="0.35">
      <c r="A1374" s="3">
        <v>45826</v>
      </c>
      <c r="B1374" s="4">
        <v>44.3284912109375</v>
      </c>
      <c r="C1374" s="4">
        <v>143.53562927246</v>
      </c>
      <c r="D1374" s="4">
        <v>115.169479370117</v>
      </c>
      <c r="E1374" s="4">
        <v>26.627723693847599</v>
      </c>
      <c r="F1374" s="4">
        <v>477.46633911132801</v>
      </c>
      <c r="I1374" s="5">
        <f>B1374/B1373-1</f>
        <v>1.876551595897924E-2</v>
      </c>
      <c r="J1374" s="5">
        <f>C1374/C1373-1</f>
        <v>-4.4340740002281054E-3</v>
      </c>
      <c r="K1374" s="5">
        <f>D1374/D1373-1</f>
        <v>5.4342961031348391E-3</v>
      </c>
      <c r="L1374" s="5">
        <f>E1374/E1373-1</f>
        <v>-9.2592691157803442E-3</v>
      </c>
      <c r="M1374" s="5">
        <f>F1374/F1373-1</f>
        <v>4.6021097802839694E-3</v>
      </c>
      <c r="N1374" s="5">
        <f>SUMPRODUCT(I1374:M1374,$AJ$13:$AN$13)</f>
        <v>-5.2416177062803871E-3</v>
      </c>
    </row>
    <row r="1375" spans="1:14" x14ac:dyDescent="0.35">
      <c r="A1375" s="3">
        <v>45828</v>
      </c>
      <c r="B1375" s="4">
        <v>44.761348724365199</v>
      </c>
      <c r="C1375" s="4">
        <v>144.85292053222599</v>
      </c>
      <c r="D1375" s="4">
        <v>117.94595336914</v>
      </c>
      <c r="E1375" s="4">
        <v>26.579868316650298</v>
      </c>
      <c r="F1375" s="4">
        <v>474.64276123046801</v>
      </c>
      <c r="I1375" s="5">
        <f>B1375/B1374-1</f>
        <v>9.7647698264293759E-3</v>
      </c>
      <c r="J1375" s="5">
        <f>C1375/C1374-1</f>
        <v>9.1774513857147966E-3</v>
      </c>
      <c r="K1375" s="5">
        <f>D1375/D1374-1</f>
        <v>2.4107723801549241E-2</v>
      </c>
      <c r="L1375" s="5">
        <f>E1375/E1374-1</f>
        <v>-1.7972012083165012E-3</v>
      </c>
      <c r="M1375" s="5">
        <f>F1375/F1374-1</f>
        <v>-5.9136689847399948E-3</v>
      </c>
      <c r="N1375" s="5">
        <f>SUMPRODUCT(I1375:M1375,$AJ$13:$AN$13)</f>
        <v>6.6122697378845074E-3</v>
      </c>
    </row>
    <row r="1376" spans="1:14" x14ac:dyDescent="0.35">
      <c r="A1376" s="3">
        <v>45831</v>
      </c>
      <c r="B1376" s="4">
        <v>45.548362731933501</v>
      </c>
      <c r="C1376" s="4">
        <v>142.24740600585901</v>
      </c>
      <c r="D1376" s="4">
        <v>116.61205291748</v>
      </c>
      <c r="E1376" s="4">
        <v>25.354722976684499</v>
      </c>
      <c r="F1376" s="4">
        <v>483.19308471679602</v>
      </c>
      <c r="I1376" s="5">
        <f>B1376/B1375-1</f>
        <v>1.7582446239827076E-2</v>
      </c>
      <c r="J1376" s="5">
        <f>C1376/C1375-1</f>
        <v>-1.798731096890327E-2</v>
      </c>
      <c r="K1376" s="5">
        <f>D1376/D1375-1</f>
        <v>-1.1309421082767002E-2</v>
      </c>
      <c r="L1376" s="5">
        <f>E1376/E1375-1</f>
        <v>-4.6092980046794962E-2</v>
      </c>
      <c r="M1376" s="5">
        <f>F1376/F1375-1</f>
        <v>1.8014229194525333E-2</v>
      </c>
      <c r="N1376" s="5">
        <f>SUMPRODUCT(I1376:M1376,$AJ$13:$AN$13)</f>
        <v>-2.5903951693189087E-2</v>
      </c>
    </row>
    <row r="1377" spans="1:14" x14ac:dyDescent="0.35">
      <c r="A1377" s="3">
        <v>45832</v>
      </c>
      <c r="B1377" s="4">
        <v>45.902515411376903</v>
      </c>
      <c r="C1377" s="4">
        <v>139.04136657714801</v>
      </c>
      <c r="D1377" s="4">
        <v>119.151390075683</v>
      </c>
      <c r="E1377" s="4">
        <v>24.072149276733398</v>
      </c>
      <c r="F1377" s="4">
        <v>487.27932739257801</v>
      </c>
      <c r="I1377" s="5">
        <f>B1377/B1376-1</f>
        <v>7.775310860846929E-3</v>
      </c>
      <c r="J1377" s="5">
        <f>C1377/C1376-1</f>
        <v>-2.2538473767169775E-2</v>
      </c>
      <c r="K1377" s="5">
        <f>D1377/D1376-1</f>
        <v>2.1775940776893377E-2</v>
      </c>
      <c r="L1377" s="5">
        <f>E1377/E1376-1</f>
        <v>-5.0585198707574941E-2</v>
      </c>
      <c r="M1377" s="5">
        <f>F1377/F1376-1</f>
        <v>8.4567490823610481E-3</v>
      </c>
      <c r="N1377" s="5">
        <f>SUMPRODUCT(I1377:M1377,$AJ$13:$AN$13)</f>
        <v>-1.0983507545050191E-2</v>
      </c>
    </row>
    <row r="1378" spans="1:14" x14ac:dyDescent="0.35">
      <c r="A1378" s="3">
        <v>45833</v>
      </c>
      <c r="B1378" s="4">
        <v>46.089431762695298</v>
      </c>
      <c r="C1378" s="4">
        <v>138.73141479492099</v>
      </c>
      <c r="D1378" s="4">
        <v>119.02295684814401</v>
      </c>
      <c r="E1378" s="4">
        <v>24.024293899536101</v>
      </c>
      <c r="F1378" s="4">
        <v>489.42687988281199</v>
      </c>
      <c r="I1378" s="5">
        <f>B1378/B1377-1</f>
        <v>4.072028507441372E-3</v>
      </c>
      <c r="J1378" s="5">
        <f>C1378/C1377-1</f>
        <v>-2.2292055224805152E-3</v>
      </c>
      <c r="K1378" s="5">
        <f>D1378/D1377-1</f>
        <v>-1.0778995314902895E-3</v>
      </c>
      <c r="L1378" s="5">
        <f>E1378/E1377-1</f>
        <v>-1.9879976917370756E-3</v>
      </c>
      <c r="M1378" s="5">
        <f>F1378/F1377-1</f>
        <v>4.4072308622766787E-3</v>
      </c>
      <c r="N1378" s="5">
        <f>SUMPRODUCT(I1378:M1378,$AJ$13:$AN$13)</f>
        <v>-1.122572255524705E-3</v>
      </c>
    </row>
    <row r="1379" spans="1:14" x14ac:dyDescent="0.35">
      <c r="A1379" s="3">
        <v>45834</v>
      </c>
      <c r="B1379" s="4">
        <v>46.689529418945298</v>
      </c>
      <c r="C1379" s="4">
        <v>139.90341186523401</v>
      </c>
      <c r="D1379" s="4">
        <v>124.47710418701099</v>
      </c>
      <c r="E1379" s="4">
        <v>24.110435485839801</v>
      </c>
      <c r="F1379" s="4">
        <v>494.57696533203102</v>
      </c>
      <c r="I1379" s="5">
        <f>B1379/B1378-1</f>
        <v>1.3020287586529067E-2</v>
      </c>
      <c r="J1379" s="5">
        <f>C1379/C1378-1</f>
        <v>8.4479573141058584E-3</v>
      </c>
      <c r="K1379" s="5">
        <f>D1379/D1378-1</f>
        <v>4.5824330728278628E-2</v>
      </c>
      <c r="L1379" s="5">
        <f>E1379/E1378-1</f>
        <v>3.5856032507728397E-3</v>
      </c>
      <c r="M1379" s="5">
        <f>F1379/F1378-1</f>
        <v>1.0522686147626636E-2</v>
      </c>
      <c r="N1379" s="5">
        <f>SUMPRODUCT(I1379:M1379,$AJ$13:$AN$13)</f>
        <v>2.5007520772003137E-2</v>
      </c>
    </row>
    <row r="1380" spans="1:14" x14ac:dyDescent="0.35">
      <c r="A1380" s="3">
        <v>45835</v>
      </c>
      <c r="B1380" s="4">
        <v>46.355052947997997</v>
      </c>
      <c r="C1380" s="4">
        <v>139.27381896972599</v>
      </c>
      <c r="D1380" s="4">
        <v>122.510841369628</v>
      </c>
      <c r="E1380" s="4">
        <v>24.033864974975501</v>
      </c>
      <c r="F1380" s="4">
        <v>493.07568359375</v>
      </c>
      <c r="I1380" s="5">
        <f>B1380/B1379-1</f>
        <v>-7.1638432665714902E-3</v>
      </c>
      <c r="J1380" s="5">
        <f>C1380/C1379-1</f>
        <v>-4.500196865209305E-3</v>
      </c>
      <c r="K1380" s="5">
        <f>D1380/D1379-1</f>
        <v>-1.5796180592608677E-2</v>
      </c>
      <c r="L1380" s="5">
        <f>E1380/E1379-1</f>
        <v>-3.1758244644428668E-3</v>
      </c>
      <c r="M1380" s="5">
        <f>F1380/F1379-1</f>
        <v>-3.035486574416435E-3</v>
      </c>
      <c r="N1380" s="5">
        <f>SUMPRODUCT(I1380:M1380,$AJ$13:$AN$13)</f>
        <v>-8.5032420384786155E-3</v>
      </c>
    </row>
    <row r="1381" spans="1:14" x14ac:dyDescent="0.35">
      <c r="A1381" s="3">
        <v>45838</v>
      </c>
      <c r="B1381" s="4">
        <v>46.551803588867102</v>
      </c>
      <c r="C1381" s="4">
        <v>138.69267272949199</v>
      </c>
      <c r="D1381" s="4">
        <v>121.13742065429599</v>
      </c>
      <c r="E1381" s="4">
        <v>24.062578201293899</v>
      </c>
      <c r="F1381" s="4">
        <v>494.53720092773398</v>
      </c>
      <c r="I1381" s="5">
        <f>B1381/B1380-1</f>
        <v>4.244427055014377E-3</v>
      </c>
      <c r="J1381" s="5">
        <f>C1381/C1380-1</f>
        <v>-4.1726883382176005E-3</v>
      </c>
      <c r="K1381" s="5">
        <f>D1381/D1380-1</f>
        <v>-1.121060552664277E-2</v>
      </c>
      <c r="L1381" s="5">
        <f>E1381/E1380-1</f>
        <v>1.1946986615882782E-3</v>
      </c>
      <c r="M1381" s="5">
        <f>F1381/F1380-1</f>
        <v>2.9640831673787282E-3</v>
      </c>
      <c r="N1381" s="5">
        <f>SUMPRODUCT(I1381:M1381,$AJ$13:$AN$13)</f>
        <v>-5.3795250421064767E-3</v>
      </c>
    </row>
    <row r="1382" spans="1:14" x14ac:dyDescent="0.35">
      <c r="A1382" s="3">
        <v>45839</v>
      </c>
      <c r="B1382" s="4">
        <v>47.368331909179602</v>
      </c>
      <c r="C1382" s="4">
        <v>140.99792480468699</v>
      </c>
      <c r="D1382" s="4">
        <v>120.27780151367099</v>
      </c>
      <c r="E1382" s="4">
        <v>24.1582927703857</v>
      </c>
      <c r="F1382" s="4">
        <v>489.20809936523398</v>
      </c>
      <c r="I1382" s="5">
        <f>B1382/B1381-1</f>
        <v>1.7540208055607298E-2</v>
      </c>
      <c r="J1382" s="5">
        <f>C1382/C1381-1</f>
        <v>1.6621296783941863E-2</v>
      </c>
      <c r="K1382" s="5">
        <f>D1382/D1381-1</f>
        <v>-7.0962311726794347E-3</v>
      </c>
      <c r="L1382" s="5">
        <f>E1382/E1381-1</f>
        <v>3.9777353985557262E-3</v>
      </c>
      <c r="M1382" s="5">
        <f>F1382/F1381-1</f>
        <v>-1.0775936678783293E-2</v>
      </c>
      <c r="N1382" s="5">
        <f>SUMPRODUCT(I1382:M1382,$AJ$13:$AN$13)</f>
        <v>-1.1053252886790248E-2</v>
      </c>
    </row>
    <row r="1383" spans="1:14" x14ac:dyDescent="0.35">
      <c r="A1383" s="3">
        <v>45840</v>
      </c>
      <c r="B1383" s="4">
        <v>47.919239044189403</v>
      </c>
      <c r="C1383" s="4">
        <v>143.33221435546801</v>
      </c>
      <c r="D1383" s="4">
        <v>122.00692749023401</v>
      </c>
      <c r="E1383" s="4">
        <v>24.7995796203613</v>
      </c>
      <c r="F1383" s="4">
        <v>488.25369262695301</v>
      </c>
      <c r="I1383" s="5">
        <f>B1383/B1382-1</f>
        <v>1.1630283626328008E-2</v>
      </c>
      <c r="J1383" s="5">
        <f>C1383/C1382-1</f>
        <v>1.6555488699670828E-2</v>
      </c>
      <c r="K1383" s="5">
        <f>D1383/D1382-1</f>
        <v>1.4376102279908043E-2</v>
      </c>
      <c r="L1383" s="5">
        <f>E1383/E1382-1</f>
        <v>2.6545205659636695E-2</v>
      </c>
      <c r="M1383" s="5">
        <f>F1383/F1382-1</f>
        <v>-1.9509217846542803E-3</v>
      </c>
      <c r="N1383" s="5">
        <f>SUMPRODUCT(I1383:M1383,$AJ$13:$AN$13)</f>
        <v>1.5330945246368856E-2</v>
      </c>
    </row>
    <row r="1384" spans="1:14" x14ac:dyDescent="0.35">
      <c r="A1384" s="3">
        <v>45841</v>
      </c>
      <c r="B1384" s="4">
        <v>48.135669708251903</v>
      </c>
      <c r="C1384" s="4">
        <v>143.70997619628901</v>
      </c>
      <c r="D1384" s="4">
        <v>123.726173400878</v>
      </c>
      <c r="E1384" s="4">
        <v>24.5890083312988</v>
      </c>
      <c r="F1384" s="4">
        <v>495.95895385742102</v>
      </c>
      <c r="I1384" s="5">
        <f>B1384/B1383-1</f>
        <v>4.516571389268309E-3</v>
      </c>
      <c r="J1384" s="5">
        <f>C1384/C1383-1</f>
        <v>2.635568302071567E-3</v>
      </c>
      <c r="K1384" s="5">
        <f>D1384/D1383-1</f>
        <v>1.4091379448774477E-2</v>
      </c>
      <c r="L1384" s="5">
        <f>E1384/E1383-1</f>
        <v>-8.4909217126251102E-3</v>
      </c>
      <c r="M1384" s="5">
        <f>F1384/F1383-1</f>
        <v>1.5781265655179011E-2</v>
      </c>
      <c r="N1384" s="5">
        <f>SUMPRODUCT(I1384:M1384,$AJ$13:$AN$13)</f>
        <v>7.2486267352809526E-3</v>
      </c>
    </row>
    <row r="1385" spans="1:14" x14ac:dyDescent="0.35">
      <c r="A1385" s="3">
        <v>45845</v>
      </c>
      <c r="B1385" s="4">
        <v>47.870048522949197</v>
      </c>
      <c r="C1385" s="4">
        <v>142.77043151855401</v>
      </c>
      <c r="D1385" s="4">
        <v>123.281532287597</v>
      </c>
      <c r="E1385" s="4">
        <v>24.3880081176757</v>
      </c>
      <c r="F1385" s="4">
        <v>494.84539794921801</v>
      </c>
      <c r="I1385" s="5">
        <f>B1385/B1384-1</f>
        <v>-5.5181778276405247E-3</v>
      </c>
      <c r="J1385" s="5">
        <f>C1385/C1384-1</f>
        <v>-6.5377832674031744E-3</v>
      </c>
      <c r="K1385" s="5">
        <f>D1385/D1384-1</f>
        <v>-3.5937514356023659E-3</v>
      </c>
      <c r="L1385" s="5">
        <f>E1385/E1384-1</f>
        <v>-8.1743928390658471E-3</v>
      </c>
      <c r="M1385" s="5">
        <f>F1385/F1384-1</f>
        <v>-2.2452582003855692E-3</v>
      </c>
      <c r="N1385" s="5">
        <f>SUMPRODUCT(I1385:M1385,$AJ$13:$AN$13)</f>
        <v>-4.6306057956603634E-3</v>
      </c>
    </row>
    <row r="1386" spans="1:14" x14ac:dyDescent="0.35">
      <c r="A1386" s="3">
        <v>45846</v>
      </c>
      <c r="B1386" s="4">
        <v>46.384563446044901</v>
      </c>
      <c r="C1386" s="4">
        <v>148.42703247070301</v>
      </c>
      <c r="D1386" s="4">
        <v>122.90606689453099</v>
      </c>
      <c r="E1386" s="4">
        <v>24.981439590454102</v>
      </c>
      <c r="F1386" s="4">
        <v>493.75173950195301</v>
      </c>
      <c r="I1386" s="5">
        <f>B1386/B1385-1</f>
        <v>-3.1031618365545355E-2</v>
      </c>
      <c r="J1386" s="5">
        <f>C1386/C1385-1</f>
        <v>3.9620255342674993E-2</v>
      </c>
      <c r="K1386" s="5">
        <f>D1386/D1385-1</f>
        <v>-3.0455931727885188E-3</v>
      </c>
      <c r="L1386" s="5">
        <f>E1386/E1385-1</f>
        <v>2.4332920914041489E-2</v>
      </c>
      <c r="M1386" s="5">
        <f>F1386/F1385-1</f>
        <v>-2.2101012797076658E-3</v>
      </c>
      <c r="N1386" s="5">
        <f>SUMPRODUCT(I1386:M1386,$AJ$13:$AN$13)</f>
        <v>1.6722412799114409E-2</v>
      </c>
    </row>
    <row r="1387" spans="1:14" x14ac:dyDescent="0.35">
      <c r="A1387" s="3">
        <v>45847</v>
      </c>
      <c r="B1387" s="4">
        <v>46.079597473144503</v>
      </c>
      <c r="C1387" s="4">
        <v>148.21392822265599</v>
      </c>
      <c r="D1387" s="4">
        <v>125.119346618652</v>
      </c>
      <c r="E1387" s="4">
        <v>25.2302951812744</v>
      </c>
      <c r="F1387" s="4">
        <v>500.601959228515</v>
      </c>
      <c r="I1387" s="5">
        <f>B1387/B1386-1</f>
        <v>-6.5747298291410905E-3</v>
      </c>
      <c r="J1387" s="5">
        <f>C1387/C1386-1</f>
        <v>-1.4357509174690586E-3</v>
      </c>
      <c r="K1387" s="5">
        <f>D1387/D1386-1</f>
        <v>1.8007896437043147E-2</v>
      </c>
      <c r="L1387" s="5">
        <f>E1387/E1386-1</f>
        <v>9.9616193021714317E-3</v>
      </c>
      <c r="M1387" s="5">
        <f>F1387/F1386-1</f>
        <v>1.3873813859312856E-2</v>
      </c>
      <c r="N1387" s="5">
        <f>SUMPRODUCT(I1387:M1387,$AJ$13:$AN$13)</f>
        <v>2.0613878257407209E-2</v>
      </c>
    </row>
    <row r="1388" spans="1:14" x14ac:dyDescent="0.35">
      <c r="A1388" s="3">
        <v>45848</v>
      </c>
      <c r="B1388" s="4">
        <v>46.207485198974602</v>
      </c>
      <c r="C1388" s="4">
        <v>149.32780456542901</v>
      </c>
      <c r="D1388" s="4">
        <v>126.384078979492</v>
      </c>
      <c r="E1388" s="4">
        <v>25.53657913208</v>
      </c>
      <c r="F1388" s="4">
        <v>498.58367919921801</v>
      </c>
      <c r="I1388" s="5">
        <f>B1388/B1387-1</f>
        <v>2.7753655162598978E-3</v>
      </c>
      <c r="J1388" s="5">
        <f>C1388/C1387-1</f>
        <v>7.5153283914024538E-3</v>
      </c>
      <c r="K1388" s="5">
        <f>D1388/D1387-1</f>
        <v>1.0108207843306127E-2</v>
      </c>
      <c r="L1388" s="5">
        <f>E1388/E1387-1</f>
        <v>1.2139531012420379E-2</v>
      </c>
      <c r="M1388" s="5">
        <f>F1388/F1387-1</f>
        <v>-4.031706213070696E-3</v>
      </c>
      <c r="N1388" s="5">
        <f>SUMPRODUCT(I1388:M1388,$AJ$13:$AN$13)</f>
        <v>8.5396785916331854E-3</v>
      </c>
    </row>
    <row r="1389" spans="1:14" x14ac:dyDescent="0.35">
      <c r="A1389" s="3">
        <v>45849</v>
      </c>
      <c r="B1389" s="4">
        <v>45.971378326416001</v>
      </c>
      <c r="C1389" s="4">
        <v>150.43200683593699</v>
      </c>
      <c r="D1389" s="4">
        <v>125.3169631958</v>
      </c>
      <c r="E1389" s="4">
        <v>25.938579559326101</v>
      </c>
      <c r="F1389" s="4">
        <v>500.41302490234301</v>
      </c>
      <c r="I1389" s="5">
        <f>B1389/B1388-1</f>
        <v>-5.1097105056009395E-3</v>
      </c>
      <c r="J1389" s="5">
        <f>C1389/C1388-1</f>
        <v>7.3944853988940906E-3</v>
      </c>
      <c r="K1389" s="5">
        <f>D1389/D1388-1</f>
        <v>-8.4434352199153073E-3</v>
      </c>
      <c r="L1389" s="5">
        <f>E1389/E1388-1</f>
        <v>1.5742140917421876E-2</v>
      </c>
      <c r="M1389" s="5">
        <f>F1389/F1388-1</f>
        <v>3.6690846079501238E-3</v>
      </c>
      <c r="N1389" s="5">
        <f>SUMPRODUCT(I1389:M1389,$AJ$13:$AN$13)</f>
        <v>5.4205351178221459E-3</v>
      </c>
    </row>
    <row r="1390" spans="1:14" x14ac:dyDescent="0.35">
      <c r="A1390" s="3">
        <v>45852</v>
      </c>
      <c r="B1390" s="4">
        <v>46.305858612060497</v>
      </c>
      <c r="C1390" s="4">
        <v>146.886947631835</v>
      </c>
      <c r="D1390" s="4">
        <v>124.17079162597599</v>
      </c>
      <c r="E1390" s="4">
        <v>25.249437332153299</v>
      </c>
      <c r="F1390" s="4">
        <v>500.11477661132801</v>
      </c>
      <c r="I1390" s="5">
        <f>B1390/B1389-1</f>
        <v>7.275837658587081E-3</v>
      </c>
      <c r="J1390" s="5">
        <f>C1390/C1389-1</f>
        <v>-2.3565857284402747E-2</v>
      </c>
      <c r="K1390" s="5">
        <f>D1390/D1389-1</f>
        <v>-9.1461805376913397E-3</v>
      </c>
      <c r="L1390" s="5">
        <f>E1390/E1389-1</f>
        <v>-2.6568233067528313E-2</v>
      </c>
      <c r="M1390" s="5">
        <f>F1390/F1389-1</f>
        <v>-5.9600425283334868E-4</v>
      </c>
      <c r="N1390" s="5">
        <f>SUMPRODUCT(I1390:M1390,$AJ$13:$AN$13)</f>
        <v>-1.8707648904782312E-2</v>
      </c>
    </row>
    <row r="1391" spans="1:14" x14ac:dyDescent="0.35">
      <c r="A1391" s="3">
        <v>45853</v>
      </c>
      <c r="B1391" s="4">
        <v>45.400798797607401</v>
      </c>
      <c r="C1391" s="4">
        <v>145.957107543945</v>
      </c>
      <c r="D1391" s="4">
        <v>124.19056701660099</v>
      </c>
      <c r="E1391" s="4">
        <v>24.627292633056602</v>
      </c>
      <c r="F1391" s="4">
        <v>502.89862060546801</v>
      </c>
      <c r="I1391" s="5">
        <f>B1391/B1390-1</f>
        <v>-1.9545254997547334E-2</v>
      </c>
      <c r="J1391" s="5">
        <f>C1391/C1390-1</f>
        <v>-6.3303111874896123E-3</v>
      </c>
      <c r="K1391" s="5">
        <f>D1391/D1390-1</f>
        <v>1.59259600152728E-4</v>
      </c>
      <c r="L1391" s="5">
        <f>E1391/E1390-1</f>
        <v>-2.4639943097046424E-2</v>
      </c>
      <c r="M1391" s="5">
        <f>F1391/F1390-1</f>
        <v>5.5664102008796679E-3</v>
      </c>
      <c r="N1391" s="5">
        <f>SUMPRODUCT(I1391:M1391,$AJ$13:$AN$13)</f>
        <v>-3.7106739592245143E-3</v>
      </c>
    </row>
    <row r="1392" spans="1:14" x14ac:dyDescent="0.35">
      <c r="A1392" s="3">
        <v>45854</v>
      </c>
      <c r="B1392" s="4">
        <v>45.282745361328097</v>
      </c>
      <c r="C1392" s="4">
        <v>145.21128845214801</v>
      </c>
      <c r="D1392" s="4">
        <v>122.09585571289</v>
      </c>
      <c r="E1392" s="4">
        <v>24.646436691284102</v>
      </c>
      <c r="F1392" s="4">
        <v>502.69976806640602</v>
      </c>
      <c r="I1392" s="5">
        <f>B1392/B1391-1</f>
        <v>-2.6002502027678842E-3</v>
      </c>
      <c r="J1392" s="5">
        <f>C1392/C1391-1</f>
        <v>-5.1098511360431198E-3</v>
      </c>
      <c r="K1392" s="5">
        <f>D1392/D1391-1</f>
        <v>-1.6866911505694193E-2</v>
      </c>
      <c r="L1392" s="5">
        <f>E1392/E1391-1</f>
        <v>7.7735131152034675E-4</v>
      </c>
      <c r="M1392" s="5">
        <f>F1392/F1391-1</f>
        <v>-3.9541277489008042E-4</v>
      </c>
      <c r="N1392" s="5">
        <f>SUMPRODUCT(I1392:M1392,$AJ$13:$AN$13)</f>
        <v>-7.6315679629134535E-3</v>
      </c>
    </row>
    <row r="1393" spans="1:14" x14ac:dyDescent="0.35">
      <c r="A1393" s="3">
        <v>45855</v>
      </c>
      <c r="B1393" s="4">
        <v>46.2566719055175</v>
      </c>
      <c r="C1393" s="4">
        <v>146.62544250488199</v>
      </c>
      <c r="D1393" s="4">
        <v>122.402145385742</v>
      </c>
      <c r="E1393" s="4">
        <v>24.627292633056602</v>
      </c>
      <c r="F1393" s="4">
        <v>508.74465942382801</v>
      </c>
      <c r="I1393" s="5">
        <f>B1393/B1392-1</f>
        <v>2.1507674422521772E-2</v>
      </c>
      <c r="J1393" s="5">
        <f>C1393/C1392-1</f>
        <v>9.7385958612989931E-3</v>
      </c>
      <c r="K1393" s="5">
        <f>D1393/D1392-1</f>
        <v>2.5086000754377391E-3</v>
      </c>
      <c r="L1393" s="5">
        <f>E1393/E1392-1</f>
        <v>-7.7674750582790164E-4</v>
      </c>
      <c r="M1393" s="5">
        <f>F1393/F1392-1</f>
        <v>1.2024854080743275E-2</v>
      </c>
      <c r="N1393" s="5">
        <f>SUMPRODUCT(I1393:M1393,$AJ$13:$AN$13)</f>
        <v>-1.5792863746907498E-3</v>
      </c>
    </row>
    <row r="1394" spans="1:14" x14ac:dyDescent="0.35">
      <c r="A1394" s="3">
        <v>45856</v>
      </c>
      <c r="B1394" s="4">
        <v>46.551803588867102</v>
      </c>
      <c r="C1394" s="4">
        <v>145.32751464843699</v>
      </c>
      <c r="D1394" s="4">
        <v>129.67434692382801</v>
      </c>
      <c r="E1394" s="4">
        <v>24.5985813140869</v>
      </c>
      <c r="F1394" s="4">
        <v>507.10415649414</v>
      </c>
      <c r="I1394" s="5">
        <f>B1394/B1393-1</f>
        <v>6.3803051795949806E-3</v>
      </c>
      <c r="J1394" s="5">
        <f>C1394/C1393-1</f>
        <v>-8.8519961765965993E-3</v>
      </c>
      <c r="K1394" s="5">
        <f>D1394/D1393-1</f>
        <v>5.941236989897658E-2</v>
      </c>
      <c r="L1394" s="5">
        <f>E1394/E1393-1</f>
        <v>-1.1658333458531844E-3</v>
      </c>
      <c r="M1394" s="5">
        <f>F1394/F1393-1</f>
        <v>-3.2246096333393703E-3</v>
      </c>
      <c r="N1394" s="5">
        <f>SUMPRODUCT(I1394:M1394,$AJ$13:$AN$13)</f>
        <v>2.7757220135561783E-2</v>
      </c>
    </row>
    <row r="1395" spans="1:14" x14ac:dyDescent="0.35">
      <c r="A1395" s="3">
        <v>45859</v>
      </c>
      <c r="B1395" s="4">
        <v>46.709205627441399</v>
      </c>
      <c r="C1395" s="4">
        <v>144.97882080078099</v>
      </c>
      <c r="D1395" s="4">
        <v>127.42156219482401</v>
      </c>
      <c r="E1395" s="4">
        <v>24.4837226867675</v>
      </c>
      <c r="F1395" s="4">
        <v>507.11413574218699</v>
      </c>
      <c r="I1395" s="5">
        <f>B1395/B1394-1</f>
        <v>3.381223205967121E-3</v>
      </c>
      <c r="J1395" s="5">
        <f>C1395/C1394-1</f>
        <v>-2.3993656569406552E-3</v>
      </c>
      <c r="K1395" s="5">
        <f>D1395/D1394-1</f>
        <v>-1.7372632154664447E-2</v>
      </c>
      <c r="L1395" s="5">
        <f>E1395/E1394-1</f>
        <v>-4.6693191714118898E-3</v>
      </c>
      <c r="M1395" s="5">
        <f>F1395/F1394-1</f>
        <v>1.9678892233754297E-5</v>
      </c>
      <c r="N1395" s="5">
        <f>SUMPRODUCT(I1395:M1395,$AJ$13:$AN$13)</f>
        <v>-1.2119937250963169E-2</v>
      </c>
    </row>
    <row r="1396" spans="1:14" x14ac:dyDescent="0.35">
      <c r="A1396" s="3">
        <v>45860</v>
      </c>
      <c r="B1396" s="4">
        <v>46.994499206542898</v>
      </c>
      <c r="C1396" s="4">
        <v>145.32751464843699</v>
      </c>
      <c r="D1396" s="4">
        <v>123.348945617675</v>
      </c>
      <c r="E1396" s="4">
        <v>24.502866744995099</v>
      </c>
      <c r="F1396" s="4">
        <v>502.35177612304602</v>
      </c>
      <c r="I1396" s="5">
        <f>B1396/B1395-1</f>
        <v>6.1078662175726439E-3</v>
      </c>
      <c r="J1396" s="5">
        <f>C1396/C1395-1</f>
        <v>2.4051364587600599E-3</v>
      </c>
      <c r="K1396" s="5">
        <f>D1396/D1395-1</f>
        <v>-3.1961753623159117E-2</v>
      </c>
      <c r="L1396" s="5">
        <f>E1396/E1395-1</f>
        <v>7.819096169532358E-4</v>
      </c>
      <c r="M1396" s="5">
        <f>F1396/F1395-1</f>
        <v>-9.3911001162904073E-3</v>
      </c>
      <c r="N1396" s="5">
        <f>SUMPRODUCT(I1396:M1396,$AJ$13:$AN$13)</f>
        <v>-2.1258589186956819E-2</v>
      </c>
    </row>
    <row r="1397" spans="1:14" x14ac:dyDescent="0.35">
      <c r="A1397" s="3">
        <v>45861</v>
      </c>
      <c r="B1397" s="4">
        <v>47.358489990234297</v>
      </c>
      <c r="C1397" s="4">
        <v>148.310775756835</v>
      </c>
      <c r="D1397" s="4">
        <v>126.21614074707</v>
      </c>
      <c r="E1397" s="4">
        <v>24.837865829467699</v>
      </c>
      <c r="F1397" s="4">
        <v>502.94830322265602</v>
      </c>
      <c r="I1397" s="5">
        <f>B1397/B1396-1</f>
        <v>7.7453912657232671E-3</v>
      </c>
      <c r="J1397" s="5">
        <f>C1397/C1396-1</f>
        <v>2.0527847845019931E-2</v>
      </c>
      <c r="K1397" s="5">
        <f>D1397/D1396-1</f>
        <v>2.3244585634983661E-2</v>
      </c>
      <c r="L1397" s="5">
        <f>E1397/E1396-1</f>
        <v>1.3671832278197682E-2</v>
      </c>
      <c r="M1397" s="5">
        <f>F1397/F1396-1</f>
        <v>1.1874688773150233E-3</v>
      </c>
      <c r="N1397" s="5">
        <f>SUMPRODUCT(I1397:M1397,$AJ$13:$AN$13)</f>
        <v>1.5975142585476294E-2</v>
      </c>
    </row>
    <row r="1398" spans="1:14" x14ac:dyDescent="0.35">
      <c r="A1398" s="3">
        <v>45862</v>
      </c>
      <c r="B1398" s="4">
        <v>47.6044311523437</v>
      </c>
      <c r="C1398" s="4">
        <v>150.93566894531199</v>
      </c>
      <c r="D1398" s="4">
        <v>127.337226867675</v>
      </c>
      <c r="E1398" s="4">
        <v>24.5794372558593</v>
      </c>
      <c r="F1398" s="4">
        <v>507.92941284179602</v>
      </c>
      <c r="I1398" s="5">
        <f>B1398/B1397-1</f>
        <v>5.1931799801918643E-3</v>
      </c>
      <c r="J1398" s="5">
        <f>C1398/C1397-1</f>
        <v>1.7698600624816763E-2</v>
      </c>
      <c r="K1398" s="5">
        <f>D1398/D1397-1</f>
        <v>8.8822722194588088E-3</v>
      </c>
      <c r="L1398" s="5">
        <f>E1398/E1397-1</f>
        <v>-1.0404620726382929E-2</v>
      </c>
      <c r="M1398" s="5">
        <f>F1398/F1397-1</f>
        <v>9.9038203076209363E-3</v>
      </c>
      <c r="N1398" s="5">
        <f>SUMPRODUCT(I1398:M1398,$AJ$13:$AN$13)</f>
        <v>9.8968712995031174E-4</v>
      </c>
    </row>
    <row r="1399" spans="1:14" x14ac:dyDescent="0.35">
      <c r="A1399" s="3">
        <v>45863</v>
      </c>
      <c r="B1399" s="4">
        <v>47.663459777832003</v>
      </c>
      <c r="C1399" s="4">
        <v>149.97676086425699</v>
      </c>
      <c r="D1399" s="4">
        <v>130.18458557128901</v>
      </c>
      <c r="E1399" s="4">
        <v>24.2731533050537</v>
      </c>
      <c r="F1399" s="4">
        <v>510.74310302734301</v>
      </c>
      <c r="I1399" s="5">
        <f>B1399/B1398-1</f>
        <v>1.2399817424433301E-3</v>
      </c>
      <c r="J1399" s="5">
        <f>C1399/C1398-1</f>
        <v>-6.35309127229855E-3</v>
      </c>
      <c r="K1399" s="5">
        <f>D1399/D1398-1</f>
        <v>2.2360772051152722E-2</v>
      </c>
      <c r="L1399" s="5">
        <f>E1399/E1398-1</f>
        <v>-1.2460983041122642E-2</v>
      </c>
      <c r="M1399" s="5">
        <f>F1399/F1398-1</f>
        <v>5.5395299315406099E-3</v>
      </c>
      <c r="N1399" s="5">
        <f>SUMPRODUCT(I1399:M1399,$AJ$13:$AN$13)</f>
        <v>7.5201430301088008E-3</v>
      </c>
    </row>
    <row r="1400" spans="1:14" x14ac:dyDescent="0.35">
      <c r="A1400" s="3">
        <v>45866</v>
      </c>
      <c r="B1400" s="4">
        <v>47.447029113769503</v>
      </c>
      <c r="C1400" s="4">
        <v>151.37152099609301</v>
      </c>
      <c r="D1400" s="4">
        <v>132.80374145507801</v>
      </c>
      <c r="E1400" s="4">
        <v>24.962293624877901</v>
      </c>
      <c r="F1400" s="4">
        <v>509.5400390625</v>
      </c>
      <c r="I1400" s="5">
        <f>B1400/B1399-1</f>
        <v>-4.5408089356359094E-3</v>
      </c>
      <c r="J1400" s="5">
        <f>C1400/C1399-1</f>
        <v>9.2998416807947848E-3</v>
      </c>
      <c r="K1400" s="5">
        <f>D1400/D1399-1</f>
        <v>2.0118786508366959E-2</v>
      </c>
      <c r="L1400" s="5">
        <f>E1400/E1399-1</f>
        <v>2.8391050440105925E-2</v>
      </c>
      <c r="M1400" s="5">
        <f>F1400/F1399-1</f>
        <v>-2.3555168101381252E-3</v>
      </c>
      <c r="N1400" s="5">
        <f>SUMPRODUCT(I1400:M1400,$AJ$13:$AN$13)</f>
        <v>2.3962936264783161E-2</v>
      </c>
    </row>
    <row r="1401" spans="1:14" x14ac:dyDescent="0.35">
      <c r="A1401" s="3">
        <v>45867</v>
      </c>
      <c r="B1401" s="4">
        <v>47.171577453613203</v>
      </c>
      <c r="C1401" s="4">
        <v>152.09797668457</v>
      </c>
      <c r="D1401" s="4">
        <v>132.45649719238199</v>
      </c>
      <c r="E1401" s="4">
        <v>25.900293350219702</v>
      </c>
      <c r="F1401" s="4">
        <v>509.60964965820301</v>
      </c>
      <c r="I1401" s="5">
        <f>B1401/B1400-1</f>
        <v>-5.8054564279633736E-3</v>
      </c>
      <c r="J1401" s="5">
        <f>C1401/C1400-1</f>
        <v>4.7991569596221861E-3</v>
      </c>
      <c r="K1401" s="5">
        <f>D1401/D1400-1</f>
        <v>-2.614717468735428E-3</v>
      </c>
      <c r="L1401" s="5">
        <f>E1401/E1400-1</f>
        <v>3.7576664205526855E-2</v>
      </c>
      <c r="M1401" s="5">
        <f>F1401/F1400-1</f>
        <v>1.3661457464864135E-4</v>
      </c>
      <c r="N1401" s="5">
        <f>SUMPRODUCT(I1401:M1401,$AJ$13:$AN$13)</f>
        <v>1.7763950389939477E-2</v>
      </c>
    </row>
    <row r="1402" spans="1:14" x14ac:dyDescent="0.35">
      <c r="A1402" s="3">
        <v>45868</v>
      </c>
      <c r="B1402" s="4">
        <v>47.181411743163999</v>
      </c>
      <c r="C1402" s="4">
        <v>148.73695373535099</v>
      </c>
      <c r="D1402" s="4">
        <v>132.48626708984301</v>
      </c>
      <c r="E1402" s="4">
        <v>24.751724243163999</v>
      </c>
      <c r="F1402" s="4">
        <v>510.27575683593699</v>
      </c>
      <c r="I1402" s="5">
        <f>B1402/B1401-1</f>
        <v>2.0847913259780526E-4</v>
      </c>
      <c r="J1402" s="5">
        <f>C1402/C1401-1</f>
        <v>-2.2097749243497833E-2</v>
      </c>
      <c r="K1402" s="5">
        <f>D1402/D1401-1</f>
        <v>2.2475226275830984E-4</v>
      </c>
      <c r="L1402" s="5">
        <f>E1402/E1401-1</f>
        <v>-4.4345795297564106E-2</v>
      </c>
      <c r="M1402" s="5">
        <f>F1402/F1401-1</f>
        <v>1.3070929449250368E-3</v>
      </c>
      <c r="N1402" s="5">
        <f>SUMPRODUCT(I1402:M1402,$AJ$13:$AN$13)</f>
        <v>-1.9503543495572911E-2</v>
      </c>
    </row>
    <row r="1403" spans="1:14" x14ac:dyDescent="0.35">
      <c r="A1403" s="3">
        <v>45869</v>
      </c>
      <c r="B1403" s="4">
        <v>46.502613067626903</v>
      </c>
      <c r="C1403" s="4">
        <v>146.87725830078099</v>
      </c>
      <c r="D1403" s="4">
        <v>131.64299011230401</v>
      </c>
      <c r="E1403" s="4">
        <v>24.646436691284102</v>
      </c>
      <c r="F1403" s="4">
        <v>530.41876220703102</v>
      </c>
      <c r="I1403" s="5">
        <f>B1403/B1402-1</f>
        <v>-1.4386993743048526E-2</v>
      </c>
      <c r="J1403" s="5">
        <f>C1403/C1402-1</f>
        <v>-1.2503250791857545E-2</v>
      </c>
      <c r="K1403" s="5">
        <f>D1403/D1402-1</f>
        <v>-6.3650142468513193E-3</v>
      </c>
      <c r="L1403" s="5">
        <f>E1403/E1402-1</f>
        <v>-4.2537461570570922E-3</v>
      </c>
      <c r="M1403" s="5">
        <f>F1403/F1402-1</f>
        <v>3.9474744981016885E-2</v>
      </c>
      <c r="N1403" s="5">
        <f>SUMPRODUCT(I1403:M1403,$AJ$13:$AN$13)</f>
        <v>1.2455238233565768E-2</v>
      </c>
    </row>
    <row r="1404" spans="1:14" x14ac:dyDescent="0.35">
      <c r="A1404" s="3">
        <v>45870</v>
      </c>
      <c r="B1404" s="4">
        <v>44.918750762939403</v>
      </c>
      <c r="C1404" s="4">
        <v>146.64479064941401</v>
      </c>
      <c r="D1404" s="4">
        <v>126.31534576416</v>
      </c>
      <c r="E1404" s="4">
        <v>24.359294891357401</v>
      </c>
      <c r="F1404" s="4">
        <v>521.08294677734295</v>
      </c>
      <c r="I1404" s="5">
        <f>B1404/B1403-1</f>
        <v>-3.4059640957899595E-2</v>
      </c>
      <c r="J1404" s="5">
        <f>C1404/C1403-1</f>
        <v>-1.5827341418024332E-3</v>
      </c>
      <c r="K1404" s="5">
        <f>D1404/D1403-1</f>
        <v>-4.0470399096822485E-2</v>
      </c>
      <c r="L1404" s="5">
        <f>E1404/E1403-1</f>
        <v>-1.1650438703305288E-2</v>
      </c>
      <c r="M1404" s="5">
        <f>F1404/F1403-1</f>
        <v>-1.7600839364811383E-2</v>
      </c>
      <c r="N1404" s="5">
        <f>SUMPRODUCT(I1404:M1404,$AJ$13:$AN$13)</f>
        <v>-2.2492705284200186E-2</v>
      </c>
    </row>
    <row r="1405" spans="1:14" x14ac:dyDescent="0.35">
      <c r="A1405" s="3">
        <v>45873</v>
      </c>
      <c r="B1405" s="4">
        <v>45.105667114257798</v>
      </c>
      <c r="C1405" s="4">
        <v>146.29609680175699</v>
      </c>
      <c r="D1405" s="4">
        <v>129.202377319335</v>
      </c>
      <c r="E1405" s="4">
        <v>24.1391506195068</v>
      </c>
      <c r="F1405" s="4">
        <v>532.54638671875</v>
      </c>
      <c r="I1405" s="5">
        <f>B1405/B1404-1</f>
        <v>4.1612099211052467E-3</v>
      </c>
      <c r="J1405" s="5">
        <f>C1405/C1404-1</f>
        <v>-2.3778127140612337E-3</v>
      </c>
      <c r="K1405" s="5">
        <f>D1405/D1404-1</f>
        <v>2.2855746763859486E-2</v>
      </c>
      <c r="L1405" s="5">
        <f>E1405/E1404-1</f>
        <v>-9.0373827663092765E-3</v>
      </c>
      <c r="M1405" s="5">
        <f>F1405/F1404-1</f>
        <v>2.1999261369620937E-2</v>
      </c>
      <c r="N1405" s="5">
        <f>SUMPRODUCT(I1405:M1405,$AJ$13:$AN$13)</f>
        <v>1.3900773860654397E-2</v>
      </c>
    </row>
    <row r="1406" spans="1:14" x14ac:dyDescent="0.35">
      <c r="A1406" s="3">
        <v>45874</v>
      </c>
      <c r="B1406" s="4">
        <v>44.820377349853501</v>
      </c>
      <c r="C1406" s="4">
        <v>148.23329162597599</v>
      </c>
      <c r="D1406" s="4">
        <v>129.45040893554599</v>
      </c>
      <c r="E1406" s="4">
        <v>24.091293334960898</v>
      </c>
      <c r="F1406" s="4">
        <v>524.701904296875</v>
      </c>
      <c r="I1406" s="5">
        <f>B1406/B1405-1</f>
        <v>-6.3249206287454562E-3</v>
      </c>
      <c r="J1406" s="5">
        <f>C1406/C1405-1</f>
        <v>1.3241602931102436E-2</v>
      </c>
      <c r="K1406" s="5">
        <f>D1406/D1405-1</f>
        <v>1.9197140281557168E-3</v>
      </c>
      <c r="L1406" s="5">
        <f>E1406/E1405-1</f>
        <v>-1.9825587610869944E-3</v>
      </c>
      <c r="M1406" s="5">
        <f>F1406/F1405-1</f>
        <v>-1.473013922826194E-2</v>
      </c>
      <c r="N1406" s="5">
        <f>SUMPRODUCT(I1406:M1406,$AJ$13:$AN$13)</f>
        <v>-3.4519306212773748E-3</v>
      </c>
    </row>
    <row r="1407" spans="1:14" x14ac:dyDescent="0.35">
      <c r="A1407" s="3">
        <v>45875</v>
      </c>
      <c r="B1407" s="4">
        <v>44.682647705078097</v>
      </c>
      <c r="C1407" s="4">
        <v>147.98146057128901</v>
      </c>
      <c r="D1407" s="4">
        <v>127.12888336181599</v>
      </c>
      <c r="E1407" s="4">
        <v>23.689294815063398</v>
      </c>
      <c r="F1407" s="4">
        <v>521.908203125</v>
      </c>
      <c r="I1407" s="5">
        <f>B1407/B1406-1</f>
        <v>-3.0729247034296803E-3</v>
      </c>
      <c r="J1407" s="5">
        <f>C1407/C1406-1</f>
        <v>-1.6988832395519182E-3</v>
      </c>
      <c r="K1407" s="5">
        <f>D1407/D1406-1</f>
        <v>-1.793370598686872E-2</v>
      </c>
      <c r="L1407" s="5">
        <f>E1407/E1406-1</f>
        <v>-1.6686464869618556E-2</v>
      </c>
      <c r="M1407" s="5">
        <f>F1407/F1406-1</f>
        <v>-5.3243587435015671E-3</v>
      </c>
      <c r="N1407" s="5">
        <f>SUMPRODUCT(I1407:M1407,$AJ$13:$AN$13)</f>
        <v>-1.7968639770470956E-2</v>
      </c>
    </row>
    <row r="1408" spans="1:14" x14ac:dyDescent="0.35">
      <c r="A1408" s="3">
        <v>45876</v>
      </c>
      <c r="B1408" s="4">
        <v>44.190761566162102</v>
      </c>
      <c r="C1408" s="4">
        <v>148.34953308105401</v>
      </c>
      <c r="D1408" s="4">
        <v>132.87318420410099</v>
      </c>
      <c r="E1408" s="4">
        <v>23.727581024169901</v>
      </c>
      <c r="F1408" s="4">
        <v>517.83184814453102</v>
      </c>
      <c r="I1408" s="5">
        <f>B1408/B1407-1</f>
        <v>-1.1008437596684573E-2</v>
      </c>
      <c r="J1408" s="5">
        <f>C1408/C1407-1</f>
        <v>2.4872879909687562E-3</v>
      </c>
      <c r="K1408" s="5">
        <f>D1408/D1407-1</f>
        <v>4.5184860358887802E-2</v>
      </c>
      <c r="L1408" s="5">
        <f>E1408/E1407-1</f>
        <v>1.6161818832258756E-3</v>
      </c>
      <c r="M1408" s="5">
        <f>F1408/F1407-1</f>
        <v>-7.8104826788719661E-3</v>
      </c>
      <c r="N1408" s="5">
        <f>SUMPRODUCT(I1408:M1408,$AJ$13:$AN$13)</f>
        <v>2.477492969568856E-2</v>
      </c>
    </row>
    <row r="1409" spans="1:14" x14ac:dyDescent="0.35">
      <c r="A1409" s="3">
        <v>45877</v>
      </c>
      <c r="B1409" s="4">
        <v>45.263069152832003</v>
      </c>
      <c r="C1409" s="4">
        <v>150.14143371582</v>
      </c>
      <c r="D1409" s="4">
        <v>136.524154663085</v>
      </c>
      <c r="E1409" s="4">
        <v>23.450008392333899</v>
      </c>
      <c r="F1409" s="4">
        <v>519.02496337890602</v>
      </c>
      <c r="I1409" s="5">
        <f>B1409/B1408-1</f>
        <v>2.4265424461274554E-2</v>
      </c>
      <c r="J1409" s="5">
        <f>C1409/C1408-1</f>
        <v>1.207890983914961E-2</v>
      </c>
      <c r="K1409" s="5">
        <f>D1409/D1408-1</f>
        <v>2.747710518757418E-2</v>
      </c>
      <c r="L1409" s="5">
        <f>E1409/E1408-1</f>
        <v>-1.1698311410390017E-2</v>
      </c>
      <c r="M1409" s="5">
        <f>F1409/F1408-1</f>
        <v>2.3040592011676075E-3</v>
      </c>
      <c r="N1409" s="5">
        <f>SUMPRODUCT(I1409:M1409,$AJ$13:$AN$13)</f>
        <v>2.1965159118657413E-3</v>
      </c>
    </row>
    <row r="1410" spans="1:14" x14ac:dyDescent="0.35">
      <c r="A1410" s="3">
        <v>45880</v>
      </c>
      <c r="B1410" s="4">
        <v>45.410636901855398</v>
      </c>
      <c r="C1410" s="4">
        <v>148.63041687011699</v>
      </c>
      <c r="D1410" s="4">
        <v>137.22856140136699</v>
      </c>
      <c r="E1410" s="4">
        <v>23.239437103271399</v>
      </c>
      <c r="F1410" s="4">
        <v>518.75653076171795</v>
      </c>
      <c r="I1410" s="5">
        <f>B1410/B1409-1</f>
        <v>3.260224102902276E-3</v>
      </c>
      <c r="J1410" s="5">
        <f>C1410/C1409-1</f>
        <v>-1.0063956419671505E-2</v>
      </c>
      <c r="K1410" s="5">
        <f>D1410/D1409-1</f>
        <v>5.1595759008384867E-3</v>
      </c>
      <c r="L1410" s="5">
        <f>E1410/E1409-1</f>
        <v>-8.9795826738953144E-3</v>
      </c>
      <c r="M1410" s="5">
        <f>F1410/F1409-1</f>
        <v>-5.1718633231156996E-4</v>
      </c>
      <c r="N1410" s="5">
        <f>SUMPRODUCT(I1410:M1410,$AJ$13:$AN$13)</f>
        <v>-2.2952701185233416E-3</v>
      </c>
    </row>
    <row r="1411" spans="1:14" x14ac:dyDescent="0.35">
      <c r="A1411" s="3">
        <v>45881</v>
      </c>
      <c r="B1411" s="4">
        <v>46.728885650634702</v>
      </c>
      <c r="C1411" s="4">
        <v>149.58932495117099</v>
      </c>
      <c r="D1411" s="4">
        <v>140.52235412597599</v>
      </c>
      <c r="E1411" s="4">
        <v>23.277721405029201</v>
      </c>
      <c r="F1411" s="4">
        <v>526.183349609375</v>
      </c>
      <c r="I1411" s="5">
        <f>B1411/B1410-1</f>
        <v>2.9029514640554144E-2</v>
      </c>
      <c r="J1411" s="5">
        <f>C1411/C1410-1</f>
        <v>6.4516274746908575E-3</v>
      </c>
      <c r="K1411" s="5">
        <f>D1411/D1410-1</f>
        <v>2.4002238972507417E-2</v>
      </c>
      <c r="L1411" s="5">
        <f>E1411/E1410-1</f>
        <v>1.6473850716638427E-3</v>
      </c>
      <c r="M1411" s="5">
        <f>F1411/F1410-1</f>
        <v>1.4316578986970807E-2</v>
      </c>
      <c r="N1411" s="5">
        <f>SUMPRODUCT(I1411:M1411,$AJ$13:$AN$13)</f>
        <v>9.4423660910885332E-3</v>
      </c>
    </row>
    <row r="1412" spans="1:14" x14ac:dyDescent="0.35">
      <c r="A1412" s="3">
        <v>45882</v>
      </c>
      <c r="B1412" s="4">
        <v>46.473106384277301</v>
      </c>
      <c r="C1412" s="4">
        <v>150.97441101074199</v>
      </c>
      <c r="D1412" s="4">
        <v>138.04208374023401</v>
      </c>
      <c r="E1412" s="4">
        <v>23.5361518859863</v>
      </c>
      <c r="F1412" s="4">
        <v>517.57336425781205</v>
      </c>
      <c r="I1412" s="5">
        <f>B1412/B1411-1</f>
        <v>-5.473686410365497E-3</v>
      </c>
      <c r="J1412" s="5">
        <f>C1412/C1411-1</f>
        <v>9.2592573702909853E-3</v>
      </c>
      <c r="K1412" s="5">
        <f>D1412/D1411-1</f>
        <v>-1.7650361760367828E-2</v>
      </c>
      <c r="L1412" s="5">
        <f>E1412/E1411-1</f>
        <v>1.1102052321206424E-2</v>
      </c>
      <c r="M1412" s="5">
        <f>F1412/F1411-1</f>
        <v>-1.6363089706192269E-2</v>
      </c>
      <c r="N1412" s="5">
        <f>SUMPRODUCT(I1412:M1412,$AJ$13:$AN$13)</f>
        <v>-8.1888641103893076E-3</v>
      </c>
    </row>
    <row r="1413" spans="1:14" x14ac:dyDescent="0.35">
      <c r="A1413" s="3">
        <v>45883</v>
      </c>
      <c r="B1413" s="4">
        <v>46.935470581054602</v>
      </c>
      <c r="C1413" s="4">
        <v>150.28672790527301</v>
      </c>
      <c r="D1413" s="4">
        <v>137.76429748535099</v>
      </c>
      <c r="E1413" s="4">
        <v>23.450008392333899</v>
      </c>
      <c r="F1413" s="4">
        <v>519.46234130859295</v>
      </c>
      <c r="I1413" s="5">
        <f>B1413/B1412-1</f>
        <v>9.9490701773645718E-3</v>
      </c>
      <c r="J1413" s="5">
        <f>C1413/C1412-1</f>
        <v>-4.554964651725335E-3</v>
      </c>
      <c r="K1413" s="5">
        <f>D1413/D1412-1</f>
        <v>-2.0123302065314652E-3</v>
      </c>
      <c r="L1413" s="5">
        <f>E1413/E1412-1</f>
        <v>-3.6600500400276736E-3</v>
      </c>
      <c r="M1413" s="5">
        <f>F1413/F1412-1</f>
        <v>3.6496797965823724E-3</v>
      </c>
      <c r="N1413" s="5">
        <f>SUMPRODUCT(I1413:M1413,$AJ$13:$AN$13)</f>
        <v>-4.2669618243489412E-3</v>
      </c>
    </row>
    <row r="1414" spans="1:14" x14ac:dyDescent="0.35">
      <c r="A1414" s="3">
        <v>45884</v>
      </c>
      <c r="B1414" s="4">
        <v>46.177970886230398</v>
      </c>
      <c r="C1414" s="4">
        <v>151.633056640625</v>
      </c>
      <c r="D1414" s="4">
        <v>137.188873291015</v>
      </c>
      <c r="E1414" s="4">
        <v>23.488294601440401</v>
      </c>
      <c r="F1414" s="4">
        <v>517.16571044921795</v>
      </c>
      <c r="I1414" s="5">
        <f>B1414/B1413-1</f>
        <v>-1.6139173325556588E-2</v>
      </c>
      <c r="J1414" s="5">
        <f>C1414/C1413-1</f>
        <v>8.9584007458103354E-3</v>
      </c>
      <c r="K1414" s="5">
        <f>D1414/D1413-1</f>
        <v>-4.1768745955182984E-3</v>
      </c>
      <c r="L1414" s="5">
        <f>E1414/E1413-1</f>
        <v>1.6326735780196611E-3</v>
      </c>
      <c r="M1414" s="5">
        <f>F1414/F1413-1</f>
        <v>-4.4211691141835541E-3</v>
      </c>
      <c r="N1414" s="5">
        <f>SUMPRODUCT(I1414:M1414,$AJ$13:$AN$13)</f>
        <v>1.4853909470708608E-3</v>
      </c>
    </row>
    <row r="1415" spans="1:14" x14ac:dyDescent="0.35">
      <c r="A1415" s="3">
        <v>45887</v>
      </c>
      <c r="B1415" s="4">
        <v>47.142059326171797</v>
      </c>
      <c r="C1415" s="4">
        <v>150.44168090820301</v>
      </c>
      <c r="D1415" s="4">
        <v>137.04005432128901</v>
      </c>
      <c r="E1415" s="4">
        <v>23.373435974121001</v>
      </c>
      <c r="F1415" s="4">
        <v>514.11340332031205</v>
      </c>
      <c r="I1415" s="5">
        <f>B1415/B1414-1</f>
        <v>2.087767005433494E-2</v>
      </c>
      <c r="J1415" s="5">
        <f>C1415/C1414-1</f>
        <v>-7.8569657488708478E-3</v>
      </c>
      <c r="K1415" s="5">
        <f>D1415/D1414-1</f>
        <v>-1.084774341795991E-3</v>
      </c>
      <c r="L1415" s="5">
        <f>E1415/E1414-1</f>
        <v>-4.8900369000121069E-3</v>
      </c>
      <c r="M1415" s="5">
        <f>F1415/F1414-1</f>
        <v>-5.9019905365624847E-3</v>
      </c>
      <c r="N1415" s="5">
        <f>SUMPRODUCT(I1415:M1415,$AJ$13:$AN$13)</f>
        <v>-1.0601942630704372E-2</v>
      </c>
    </row>
    <row r="1416" spans="1:14" x14ac:dyDescent="0.35">
      <c r="A1416" s="3">
        <v>45888</v>
      </c>
      <c r="B1416" s="4">
        <v>47.299468994140597</v>
      </c>
      <c r="C1416" s="4">
        <v>148.86489868164</v>
      </c>
      <c r="D1416" s="4">
        <v>134.13317871093699</v>
      </c>
      <c r="E1416" s="4">
        <v>23.179063796996999</v>
      </c>
      <c r="F1416" s="4">
        <v>506.82580566406199</v>
      </c>
      <c r="I1416" s="5">
        <f>B1416/B1415-1</f>
        <v>3.3390494649310209E-3</v>
      </c>
      <c r="J1416" s="5">
        <f>C1416/C1415-1</f>
        <v>-1.0481019734983832E-2</v>
      </c>
      <c r="K1416" s="5">
        <f>D1416/D1415-1</f>
        <v>-2.1211868491651908E-2</v>
      </c>
      <c r="L1416" s="5">
        <f>E1416/E1415-1</f>
        <v>-8.3159436780800844E-3</v>
      </c>
      <c r="M1416" s="5">
        <f>F1416/F1415-1</f>
        <v>-1.4175078123200735E-2</v>
      </c>
      <c r="N1416" s="5">
        <f>SUMPRODUCT(I1416:M1416,$AJ$13:$AN$13)</f>
        <v>-2.0287566506759058E-2</v>
      </c>
    </row>
    <row r="1417" spans="1:14" x14ac:dyDescent="0.35">
      <c r="A1417" s="3">
        <v>45889</v>
      </c>
      <c r="B1417" s="4">
        <v>47.565078735351499</v>
      </c>
      <c r="C1417" s="4">
        <v>150.05972290039</v>
      </c>
      <c r="D1417" s="4">
        <v>127.466186523437</v>
      </c>
      <c r="E1417" s="4">
        <v>23.694150924682599</v>
      </c>
      <c r="F1417" s="4">
        <v>502.79919433593699</v>
      </c>
      <c r="I1417" s="5">
        <f>B1417/B1416-1</f>
        <v>5.6154909739853931E-3</v>
      </c>
      <c r="J1417" s="5">
        <f>C1417/C1416-1</f>
        <v>8.0262320354325123E-3</v>
      </c>
      <c r="K1417" s="5">
        <f>D1417/D1416-1</f>
        <v>-4.9704273406266264E-2</v>
      </c>
      <c r="L1417" s="5">
        <f>E1417/E1416-1</f>
        <v>2.2222085076289089E-2</v>
      </c>
      <c r="M1417" s="5">
        <f>F1417/F1416-1</f>
        <v>-7.9447638283712818E-3</v>
      </c>
      <c r="N1417" s="5">
        <f>SUMPRODUCT(I1417:M1417,$AJ$13:$AN$13)</f>
        <v>-2.0037184872202504E-2</v>
      </c>
    </row>
    <row r="1418" spans="1:14" x14ac:dyDescent="0.35">
      <c r="A1418" s="3">
        <v>45890</v>
      </c>
      <c r="B1418" s="4">
        <v>47.476543426513601</v>
      </c>
      <c r="C1418" s="4">
        <v>152.34167480468699</v>
      </c>
      <c r="D1418" s="4">
        <v>126.821327209472</v>
      </c>
      <c r="E1418" s="4">
        <v>24.267553329467699</v>
      </c>
      <c r="F1418" s="4">
        <v>502.15185546875</v>
      </c>
      <c r="I1418" s="5">
        <f>B1418/B1417-1</f>
        <v>-1.8613510413911794E-3</v>
      </c>
      <c r="J1418" s="5">
        <f>C1418/C1417-1</f>
        <v>1.5206958004392312E-2</v>
      </c>
      <c r="K1418" s="5">
        <f>D1418/D1417-1</f>
        <v>-5.0590617916260738E-3</v>
      </c>
      <c r="L1418" s="5">
        <f>E1418/E1417-1</f>
        <v>2.4200166809428714E-2</v>
      </c>
      <c r="M1418" s="5">
        <f>F1418/F1417-1</f>
        <v>-1.2874699770391018E-3</v>
      </c>
      <c r="N1418" s="5">
        <f>SUMPRODUCT(I1418:M1418,$AJ$13:$AN$13)</f>
        <v>8.283617185309235E-3</v>
      </c>
    </row>
    <row r="1419" spans="1:14" x14ac:dyDescent="0.35">
      <c r="A1419" s="3">
        <v>45891</v>
      </c>
      <c r="B1419" s="4">
        <v>48.676734924316399</v>
      </c>
      <c r="C1419" s="4">
        <v>154.91741943359301</v>
      </c>
      <c r="D1419" s="4">
        <v>129.80757141113199</v>
      </c>
      <c r="E1419" s="4">
        <v>24.461927413940401</v>
      </c>
      <c r="F1419" s="4">
        <v>505.12951660156199</v>
      </c>
      <c r="I1419" s="5">
        <f>B1419/B1418-1</f>
        <v>2.5279673101318068E-2</v>
      </c>
      <c r="J1419" s="5">
        <f>C1419/C1418-1</f>
        <v>1.6907682236054766E-2</v>
      </c>
      <c r="K1419" s="5">
        <f>D1419/D1418-1</f>
        <v>2.3546861299815758E-2</v>
      </c>
      <c r="L1419" s="5">
        <f>E1419/E1418-1</f>
        <v>8.0096284052120215E-3</v>
      </c>
      <c r="M1419" s="5">
        <f>F1419/F1418-1</f>
        <v>5.9298021114198018E-3</v>
      </c>
      <c r="N1419" s="5">
        <f>SUMPRODUCT(I1419:M1419,$AJ$13:$AN$13)</f>
        <v>1.0118439797596815E-2</v>
      </c>
    </row>
    <row r="1420" spans="1:14" x14ac:dyDescent="0.35">
      <c r="A1420" s="3">
        <v>45894</v>
      </c>
      <c r="B1420" s="4">
        <v>48.676734924316399</v>
      </c>
      <c r="C1420" s="4">
        <v>154.93701171875</v>
      </c>
      <c r="D1420" s="4">
        <v>129.97624206542901</v>
      </c>
      <c r="E1420" s="4">
        <v>24.238399505615199</v>
      </c>
      <c r="F1420" s="4">
        <v>502.17181396484301</v>
      </c>
      <c r="I1420" s="5">
        <f>B1420/B1419-1</f>
        <v>0</v>
      </c>
      <c r="J1420" s="5">
        <f>C1420/C1419-1</f>
        <v>1.2646921972114811E-4</v>
      </c>
      <c r="K1420" s="5">
        <f>D1420/D1419-1</f>
        <v>1.2993899544024856E-3</v>
      </c>
      <c r="L1420" s="5">
        <f>E1420/E1419-1</f>
        <v>-9.1377880631686725E-3</v>
      </c>
      <c r="M1420" s="5">
        <f>F1420/F1419-1</f>
        <v>-5.8553351952543853E-3</v>
      </c>
      <c r="N1420" s="5">
        <f>SUMPRODUCT(I1420:M1420,$AJ$13:$AN$13)</f>
        <v>-5.5532283138205567E-3</v>
      </c>
    </row>
    <row r="1421" spans="1:14" x14ac:dyDescent="0.35">
      <c r="A1421" s="3">
        <v>45895</v>
      </c>
      <c r="B1421" s="4">
        <v>49.434238433837798</v>
      </c>
      <c r="C1421" s="4">
        <v>154.11434936523401</v>
      </c>
      <c r="D1421" s="4">
        <v>129.95639038085901</v>
      </c>
      <c r="E1421" s="4">
        <v>23.801059722900298</v>
      </c>
      <c r="F1421" s="4">
        <v>499.96099853515602</v>
      </c>
      <c r="I1421" s="5">
        <f>B1421/B1420-1</f>
        <v>1.5561921125136768E-2</v>
      </c>
      <c r="J1421" s="5">
        <f>C1421/C1420-1</f>
        <v>-5.3096567720650745E-3</v>
      </c>
      <c r="K1421" s="5">
        <f>D1421/D1420-1</f>
        <v>-1.5273317842201539E-4</v>
      </c>
      <c r="L1421" s="5">
        <f>E1421/E1420-1</f>
        <v>-1.8043261586375925E-2</v>
      </c>
      <c r="M1421" s="5">
        <f>F1421/F1420-1</f>
        <v>-4.4025080026529606E-3</v>
      </c>
      <c r="N1421" s="5">
        <f>SUMPRODUCT(I1421:M1421,$AJ$13:$AN$13)</f>
        <v>-1.4307756465575257E-2</v>
      </c>
    </row>
    <row r="1422" spans="1:14" x14ac:dyDescent="0.35">
      <c r="A1422" s="3">
        <v>45896</v>
      </c>
      <c r="B1422" s="4">
        <v>49.562129974365199</v>
      </c>
      <c r="C1422" s="4">
        <v>155.95556640625</v>
      </c>
      <c r="D1422" s="4">
        <v>131.45448303222599</v>
      </c>
      <c r="E1422" s="4">
        <v>23.9176845550537</v>
      </c>
      <c r="F1422" s="4">
        <v>504.641510009765</v>
      </c>
      <c r="I1422" s="5">
        <f>B1422/B1421-1</f>
        <v>2.5871044963818868E-3</v>
      </c>
      <c r="J1422" s="5">
        <f>C1422/C1421-1</f>
        <v>1.1947083763449662E-2</v>
      </c>
      <c r="K1422" s="5">
        <f>D1422/D1421-1</f>
        <v>1.1527656677571496E-2</v>
      </c>
      <c r="L1422" s="5">
        <f>E1422/E1421-1</f>
        <v>4.899984854085826E-3</v>
      </c>
      <c r="M1422" s="5">
        <f>F1422/F1421-1</f>
        <v>9.3617531933940512E-3</v>
      </c>
      <c r="N1422" s="5">
        <f>SUMPRODUCT(I1422:M1422,$AJ$13:$AN$13)</f>
        <v>1.02793085080174E-2</v>
      </c>
    </row>
    <row r="1423" spans="1:14" x14ac:dyDescent="0.35">
      <c r="A1423" s="3">
        <v>45897</v>
      </c>
      <c r="B1423" s="4">
        <v>49.670341491699197</v>
      </c>
      <c r="C1423" s="4">
        <v>156.033920288085</v>
      </c>
      <c r="D1423" s="4">
        <v>132.99224853515599</v>
      </c>
      <c r="E1423" s="4">
        <v>23.801059722900298</v>
      </c>
      <c r="F1423" s="4">
        <v>507.52951049804602</v>
      </c>
      <c r="I1423" s="5">
        <f>B1423/B1422-1</f>
        <v>2.1833508243080946E-3</v>
      </c>
      <c r="J1423" s="5">
        <f>C1423/C1422-1</f>
        <v>5.0241157555674931E-4</v>
      </c>
      <c r="K1423" s="5">
        <f>D1423/D1422-1</f>
        <v>1.1698083378054225E-2</v>
      </c>
      <c r="L1423" s="5">
        <f>E1423/E1422-1</f>
        <v>-4.8760920767625393E-3</v>
      </c>
      <c r="M1423" s="5">
        <f>F1423/F1422-1</f>
        <v>5.7228754095657308E-3</v>
      </c>
      <c r="N1423" s="5">
        <f>SUMPRODUCT(I1423:M1423,$AJ$13:$AN$13)</f>
        <v>5.0762753717638557E-3</v>
      </c>
    </row>
    <row r="1424" spans="1:14" x14ac:dyDescent="0.35">
      <c r="A1424" s="3">
        <v>45898</v>
      </c>
      <c r="B1424" s="4">
        <v>49.916286468505803</v>
      </c>
      <c r="C1424" s="4">
        <v>157.287506103515</v>
      </c>
      <c r="D1424" s="4">
        <v>121.186141967773</v>
      </c>
      <c r="E1424" s="4">
        <v>23.9176845550537</v>
      </c>
      <c r="F1424" s="4">
        <v>504.59173583984301</v>
      </c>
      <c r="I1424" s="5">
        <f>B1424/B1423-1</f>
        <v>4.9515459209739099E-3</v>
      </c>
      <c r="J1424" s="5">
        <f>C1424/C1423-1</f>
        <v>8.0340596013706023E-3</v>
      </c>
      <c r="K1424" s="5">
        <f>D1424/D1423-1</f>
        <v>-8.8772892385995728E-2</v>
      </c>
      <c r="L1424" s="5">
        <f>E1424/E1423-1</f>
        <v>4.899984854085826E-3</v>
      </c>
      <c r="M1424" s="5">
        <f>F1424/F1423-1</f>
        <v>-5.7883819510714529E-3</v>
      </c>
      <c r="N1424" s="5">
        <f>SUMPRODUCT(I1424:M1424,$AJ$13:$AN$13)</f>
        <v>-4.756091240114866E-2</v>
      </c>
    </row>
    <row r="1425" spans="1:14" x14ac:dyDescent="0.35">
      <c r="A1425" s="3">
        <v>45902</v>
      </c>
      <c r="B1425" s="4">
        <v>49.601474761962798</v>
      </c>
      <c r="C1425" s="4">
        <v>158.49214172363199</v>
      </c>
      <c r="D1425" s="4">
        <v>120.005531311035</v>
      </c>
      <c r="E1425" s="4">
        <v>24.082901000976499</v>
      </c>
      <c r="F1425" s="4">
        <v>503.028228759765</v>
      </c>
      <c r="I1425" s="5">
        <f>B1425/B1424-1</f>
        <v>-6.3067934098348655E-3</v>
      </c>
      <c r="J1425" s="5">
        <f>C1425/C1424-1</f>
        <v>7.6588131502586254E-3</v>
      </c>
      <c r="K1425" s="5">
        <f>D1425/D1424-1</f>
        <v>-9.7421259359172785E-3</v>
      </c>
      <c r="L1425" s="5">
        <f>E1425/E1424-1</f>
        <v>6.9077107168340479E-3</v>
      </c>
      <c r="M1425" s="5">
        <f>F1425/F1424-1</f>
        <v>-3.0985586346865546E-3</v>
      </c>
      <c r="N1425" s="5">
        <f>SUMPRODUCT(I1425:M1425,$AJ$13:$AN$13)</f>
        <v>-1.3067536800883185E-3</v>
      </c>
    </row>
    <row r="1426" spans="1:14" x14ac:dyDescent="0.35">
      <c r="A1426" s="3">
        <v>45903</v>
      </c>
      <c r="B1426" s="4">
        <v>49.247322082519503</v>
      </c>
      <c r="C1426" s="4">
        <v>154.79989624023401</v>
      </c>
      <c r="D1426" s="4">
        <v>123.041389465332</v>
      </c>
      <c r="E1426" s="4">
        <v>23.0332832336425</v>
      </c>
      <c r="F1426" s="4">
        <v>503.25729370117102</v>
      </c>
      <c r="I1426" s="5">
        <f>B1426/B1425-1</f>
        <v>-7.1399626955220841E-3</v>
      </c>
      <c r="J1426" s="5">
        <f>C1426/C1425-1</f>
        <v>-2.3296079182501539E-2</v>
      </c>
      <c r="K1426" s="5">
        <f>D1426/D1425-1</f>
        <v>2.5297651875966887E-2</v>
      </c>
      <c r="L1426" s="5">
        <f>E1426/E1425-1</f>
        <v>-4.3583527054794624E-2</v>
      </c>
      <c r="M1426" s="5">
        <f>F1426/F1425-1</f>
        <v>4.5537194198974618E-4</v>
      </c>
      <c r="N1426" s="5">
        <f>SUMPRODUCT(I1426:M1426,$AJ$13:$AN$13)</f>
        <v>-4.2125838342727106E-3</v>
      </c>
    </row>
    <row r="1427" spans="1:14" x14ac:dyDescent="0.35">
      <c r="A1427" s="3">
        <v>45904</v>
      </c>
      <c r="B1427" s="4">
        <v>49.798229217529297</v>
      </c>
      <c r="C1427" s="4">
        <v>154.43753051757801</v>
      </c>
      <c r="D1427" s="4">
        <v>125.6704788208</v>
      </c>
      <c r="E1427" s="4">
        <v>23.3637180328369</v>
      </c>
      <c r="F1427" s="4">
        <v>505.866455078125</v>
      </c>
      <c r="I1427" s="5">
        <f>B1427/B1426-1</f>
        <v>1.1186539931789419E-2</v>
      </c>
      <c r="J1427" s="5">
        <f>C1427/C1426-1</f>
        <v>-2.3408654104886129E-3</v>
      </c>
      <c r="K1427" s="5">
        <f>D1427/D1426-1</f>
        <v>2.1367520042585131E-2</v>
      </c>
      <c r="L1427" s="5">
        <f>E1427/E1426-1</f>
        <v>1.4345970387398488E-2</v>
      </c>
      <c r="M1427" s="5">
        <f>F1427/F1426-1</f>
        <v>5.1845475656500106E-3</v>
      </c>
      <c r="N1427" s="5">
        <f>SUMPRODUCT(I1427:M1427,$AJ$13:$AN$13)</f>
        <v>1.6402001538683264E-2</v>
      </c>
    </row>
    <row r="1428" spans="1:14" x14ac:dyDescent="0.35">
      <c r="A1428" s="3">
        <v>45905</v>
      </c>
      <c r="B1428" s="4">
        <v>49.234367370605398</v>
      </c>
      <c r="C1428" s="4">
        <v>150.49066162109301</v>
      </c>
      <c r="D1428" s="4">
        <v>123.845001220703</v>
      </c>
      <c r="E1428" s="4">
        <v>23.140188217163001</v>
      </c>
      <c r="F1428" s="4">
        <v>492.95016479492102</v>
      </c>
      <c r="I1428" s="5">
        <f>B1428/B1427-1</f>
        <v>-1.132292966604953E-2</v>
      </c>
      <c r="J1428" s="5">
        <f>C1428/C1427-1</f>
        <v>-2.5556410305562105E-2</v>
      </c>
      <c r="K1428" s="5">
        <f>D1428/D1427-1</f>
        <v>-1.452590630055639E-2</v>
      </c>
      <c r="L1428" s="5">
        <f>E1428/E1427-1</f>
        <v>-9.5673905736979314E-3</v>
      </c>
      <c r="M1428" s="5">
        <f>F1428/F1427-1</f>
        <v>-2.5533004123013514E-2</v>
      </c>
      <c r="N1428" s="5">
        <f>SUMPRODUCT(I1428:M1428,$AJ$13:$AN$13)</f>
        <v>-1.6450849513396634E-2</v>
      </c>
    </row>
    <row r="1429" spans="1:14" x14ac:dyDescent="0.35">
      <c r="A1429" s="3">
        <v>45908</v>
      </c>
      <c r="B1429" s="4">
        <v>48.927700042724602</v>
      </c>
      <c r="C1429" s="4">
        <v>150.823638916015</v>
      </c>
      <c r="D1429" s="4">
        <v>122.02944183349599</v>
      </c>
      <c r="E1429" s="4">
        <v>23.596965789794901</v>
      </c>
      <c r="F1429" s="4">
        <v>496.13690185546801</v>
      </c>
      <c r="I1429" s="5">
        <f>B1429/B1428-1</f>
        <v>-6.2287248574232068E-3</v>
      </c>
      <c r="J1429" s="5">
        <f>C1429/C1428-1</f>
        <v>2.2126110107771879E-3</v>
      </c>
      <c r="K1429" s="5">
        <f>D1429/D1428-1</f>
        <v>-1.465993273294508E-2</v>
      </c>
      <c r="L1429" s="5">
        <f>E1429/E1428-1</f>
        <v>1.973957896734424E-2</v>
      </c>
      <c r="M1429" s="5">
        <f>F1429/F1428-1</f>
        <v>6.4646231772185203E-3</v>
      </c>
      <c r="N1429" s="5">
        <f>SUMPRODUCT(I1429:M1429,$AJ$13:$AN$13)</f>
        <v>5.4788432706612666E-3</v>
      </c>
    </row>
    <row r="1430" spans="1:14" x14ac:dyDescent="0.35">
      <c r="A1430" s="3">
        <v>45909</v>
      </c>
      <c r="B1430" s="4">
        <v>49.748767852783203</v>
      </c>
      <c r="C1430" s="4">
        <v>151.65612792968699</v>
      </c>
      <c r="D1430" s="4">
        <v>120.33293914794901</v>
      </c>
      <c r="E1430" s="4">
        <v>23.548372268676701</v>
      </c>
      <c r="F1430" s="4">
        <v>496.34603881835898</v>
      </c>
      <c r="I1430" s="5">
        <f>B1430/B1429-1</f>
        <v>1.6781246805830374E-2</v>
      </c>
      <c r="J1430" s="5">
        <f>C1430/C1429-1</f>
        <v>5.5196189380866123E-3</v>
      </c>
      <c r="K1430" s="5">
        <f>D1430/D1429-1</f>
        <v>-1.390240469887416E-2</v>
      </c>
      <c r="L1430" s="5">
        <f>E1430/E1429-1</f>
        <v>-2.0593122671396236E-3</v>
      </c>
      <c r="M1430" s="5">
        <f>F1430/F1429-1</f>
        <v>4.2153075513806648E-4</v>
      </c>
      <c r="N1430" s="5">
        <f>SUMPRODUCT(I1430:M1430,$AJ$13:$AN$13)</f>
        <v>-1.3094210231149098E-2</v>
      </c>
    </row>
    <row r="1431" spans="1:14" x14ac:dyDescent="0.35">
      <c r="A1431" s="3">
        <v>45910</v>
      </c>
      <c r="B1431" s="4">
        <v>49.590492248535099</v>
      </c>
      <c r="C1431" s="4">
        <v>154.53546142578099</v>
      </c>
      <c r="D1431" s="4">
        <v>123.46799468994099</v>
      </c>
      <c r="E1431" s="4">
        <v>24.228679656982401</v>
      </c>
      <c r="F1431" s="4">
        <v>498.29791259765602</v>
      </c>
      <c r="I1431" s="5">
        <f>B1431/B1430-1</f>
        <v>-3.1814979763211682E-3</v>
      </c>
      <c r="J1431" s="5">
        <f>C1431/C1430-1</f>
        <v>1.898593571786944E-2</v>
      </c>
      <c r="K1431" s="5">
        <f>D1431/D1430-1</f>
        <v>2.6053178491198148E-2</v>
      </c>
      <c r="L1431" s="5">
        <f>E1431/E1430-1</f>
        <v>2.888978399626474E-2</v>
      </c>
      <c r="M1431" s="5">
        <f>F1431/F1430-1</f>
        <v>3.9324858599534274E-3</v>
      </c>
      <c r="N1431" s="5">
        <f>SUMPRODUCT(I1431:M1431,$AJ$13:$AN$13)</f>
        <v>2.8675866074408307E-2</v>
      </c>
    </row>
    <row r="1432" spans="1:14" x14ac:dyDescent="0.35">
      <c r="A1432" s="3">
        <v>45911</v>
      </c>
      <c r="B1432" s="4">
        <v>50.203819274902301</v>
      </c>
      <c r="C1432" s="4">
        <v>154.98597717285099</v>
      </c>
      <c r="D1432" s="4">
        <v>124.380744934082</v>
      </c>
      <c r="E1432" s="4">
        <v>23.528934478759702</v>
      </c>
      <c r="F1432" s="4">
        <v>498.93527221679602</v>
      </c>
      <c r="I1432" s="5">
        <f>B1432/B1431-1</f>
        <v>1.2367835013481265E-2</v>
      </c>
      <c r="J1432" s="5">
        <f>C1432/C1431-1</f>
        <v>2.9152903994553725E-3</v>
      </c>
      <c r="K1432" s="5">
        <f>D1432/D1431-1</f>
        <v>7.3926060468800792E-3</v>
      </c>
      <c r="L1432" s="5">
        <f>E1432/E1431-1</f>
        <v>-2.8880863015622094E-2</v>
      </c>
      <c r="M1432" s="5">
        <f>F1432/F1431-1</f>
        <v>1.2790734278163018E-3</v>
      </c>
      <c r="N1432" s="5">
        <f>SUMPRODUCT(I1432:M1432,$AJ$13:$AN$13)</f>
        <v>-1.2890826269822743E-2</v>
      </c>
    </row>
    <row r="1433" spans="1:14" x14ac:dyDescent="0.35">
      <c r="A1433" s="3">
        <v>45912</v>
      </c>
      <c r="B1433" s="4">
        <v>50.035648345947202</v>
      </c>
      <c r="C1433" s="4">
        <v>153.86950683593699</v>
      </c>
      <c r="D1433" s="4">
        <v>124.053337097167</v>
      </c>
      <c r="E1433" s="4">
        <v>23.5872478485107</v>
      </c>
      <c r="F1433" s="4">
        <v>507.78845214843699</v>
      </c>
      <c r="I1433" s="5">
        <f>B1433/B1432-1</f>
        <v>-3.3497636511325979E-3</v>
      </c>
      <c r="J1433" s="5">
        <f>C1433/C1432-1</f>
        <v>-7.2036861481270531E-3</v>
      </c>
      <c r="K1433" s="5">
        <f>D1433/D1432-1</f>
        <v>-2.6323032322126405E-3</v>
      </c>
      <c r="L1433" s="5">
        <f>E1433/E1432-1</f>
        <v>2.478368487261573E-3</v>
      </c>
      <c r="M1433" s="5">
        <f>F1433/F1432-1</f>
        <v>1.7744145232117647E-2</v>
      </c>
      <c r="N1433" s="5">
        <f>SUMPRODUCT(I1433:M1433,$AJ$13:$AN$13)</f>
        <v>6.9196269237343389E-3</v>
      </c>
    </row>
    <row r="1434" spans="1:14" x14ac:dyDescent="0.35">
      <c r="A1434" s="3">
        <v>45915</v>
      </c>
      <c r="B1434" s="4">
        <v>50.045543670654297</v>
      </c>
      <c r="C1434" s="4">
        <v>154.06536865234301</v>
      </c>
      <c r="D1434" s="4">
        <v>125.79945373535099</v>
      </c>
      <c r="E1434" s="4">
        <v>23.713588714599599</v>
      </c>
      <c r="F1434" s="4">
        <v>513.225830078125</v>
      </c>
      <c r="I1434" s="5">
        <f>B1434/B1433-1</f>
        <v>1.9776549388694775E-4</v>
      </c>
      <c r="J1434" s="5">
        <f>C1434/C1433-1</f>
        <v>1.2729085862013267E-3</v>
      </c>
      <c r="K1434" s="5">
        <f>D1434/D1433-1</f>
        <v>1.4075531372576666E-2</v>
      </c>
      <c r="L1434" s="5">
        <f>E1434/E1433-1</f>
        <v>5.3563207925029221E-3</v>
      </c>
      <c r="M1434" s="5">
        <f>F1434/F1433-1</f>
        <v>1.0707959006713619E-2</v>
      </c>
      <c r="N1434" s="5">
        <f>SUMPRODUCT(I1434:M1434,$AJ$13:$AN$13)</f>
        <v>1.3309570609767708E-2</v>
      </c>
    </row>
    <row r="1435" spans="1:14" x14ac:dyDescent="0.35">
      <c r="A1435" s="3">
        <v>45916</v>
      </c>
      <c r="B1435" s="4">
        <v>50.114788055419901</v>
      </c>
      <c r="C1435" s="4">
        <v>156.24937438964801</v>
      </c>
      <c r="D1435" s="4">
        <v>126.67251586914</v>
      </c>
      <c r="E1435" s="4">
        <v>24.014869689941399</v>
      </c>
      <c r="F1435" s="4">
        <v>506.93200683593699</v>
      </c>
      <c r="I1435" s="5">
        <f>B1435/B1434-1</f>
        <v>1.3836273859126891E-3</v>
      </c>
      <c r="J1435" s="5">
        <f>C1435/C1434-1</f>
        <v>1.4175838193937862E-2</v>
      </c>
      <c r="K1435" s="5">
        <f>D1435/D1434-1</f>
        <v>6.9401106909867671E-3</v>
      </c>
      <c r="L1435" s="5">
        <f>E1435/E1434-1</f>
        <v>1.2704992861595432E-2</v>
      </c>
      <c r="M1435" s="5">
        <f>F1435/F1434-1</f>
        <v>-1.2263262823755228E-2</v>
      </c>
      <c r="N1435" s="5">
        <f>SUMPRODUCT(I1435:M1435,$AJ$13:$AN$13)</f>
        <v>4.588934173482424E-3</v>
      </c>
    </row>
    <row r="1436" spans="1:14" x14ac:dyDescent="0.35">
      <c r="A1436" s="3">
        <v>45917</v>
      </c>
      <c r="B1436" s="4">
        <v>50.846824645996001</v>
      </c>
      <c r="C1436" s="4">
        <v>156.78804016113199</v>
      </c>
      <c r="D1436" s="4">
        <v>129.3115234375</v>
      </c>
      <c r="E1436" s="4">
        <v>23.985713958740199</v>
      </c>
      <c r="F1436" s="4">
        <v>507.90792846679602</v>
      </c>
      <c r="I1436" s="5">
        <f>B1436/B1435-1</f>
        <v>1.4607197176341957E-2</v>
      </c>
      <c r="J1436" s="5">
        <f>C1436/C1435-1</f>
        <v>3.4474747408630435E-3</v>
      </c>
      <c r="K1436" s="5">
        <f>D1436/D1435-1</f>
        <v>2.0833308237804715E-2</v>
      </c>
      <c r="L1436" s="5">
        <f>E1436/E1435-1</f>
        <v>-1.2140699315729142E-3</v>
      </c>
      <c r="M1436" s="5">
        <f>F1436/F1435-1</f>
        <v>1.9251529153787583E-3</v>
      </c>
      <c r="N1436" s="5">
        <f>SUMPRODUCT(I1436:M1436,$AJ$13:$AN$13)</f>
        <v>6.5855991758723533E-3</v>
      </c>
    </row>
    <row r="1437" spans="1:14" x14ac:dyDescent="0.35">
      <c r="A1437" s="3">
        <v>45918</v>
      </c>
      <c r="B1437" s="4">
        <v>51.5689697265625</v>
      </c>
      <c r="C1437" s="4">
        <v>155.56379699707</v>
      </c>
      <c r="D1437" s="4">
        <v>131.06756591796801</v>
      </c>
      <c r="E1437" s="4">
        <v>23.878808975219702</v>
      </c>
      <c r="F1437" s="4">
        <v>506.34445190429602</v>
      </c>
      <c r="I1437" s="5">
        <f>B1437/B1436-1</f>
        <v>1.4202363384423489E-2</v>
      </c>
      <c r="J1437" s="5">
        <f>C1437/C1436-1</f>
        <v>-7.8082688118547017E-3</v>
      </c>
      <c r="K1437" s="5">
        <f>D1437/D1436-1</f>
        <v>1.3579938073475351E-2</v>
      </c>
      <c r="L1437" s="5">
        <f>E1437/E1436-1</f>
        <v>-4.4570273665562876E-3</v>
      </c>
      <c r="M1437" s="5">
        <f>F1437/F1436-1</f>
        <v>-3.0782676837111111E-3</v>
      </c>
      <c r="N1437" s="5">
        <f>SUMPRODUCT(I1437:M1437,$AJ$13:$AN$13)</f>
        <v>1.0814349731744525E-4</v>
      </c>
    </row>
    <row r="1438" spans="1:14" x14ac:dyDescent="0.35">
      <c r="A1438" s="3">
        <v>45919</v>
      </c>
      <c r="B1438" s="4">
        <v>51.687675476074197</v>
      </c>
      <c r="C1438" s="4">
        <v>152.98806762695301</v>
      </c>
      <c r="D1438" s="4">
        <v>130.89889526367099</v>
      </c>
      <c r="E1438" s="4">
        <v>23.470623016357401</v>
      </c>
      <c r="F1438" s="4">
        <v>515.78515625</v>
      </c>
      <c r="I1438" s="5">
        <f>B1438/B1437-1</f>
        <v>2.3018832864243333E-3</v>
      </c>
      <c r="J1438" s="5">
        <f>C1438/C1437-1</f>
        <v>-1.6557383014799365E-2</v>
      </c>
      <c r="K1438" s="5">
        <f>D1438/D1437-1</f>
        <v>-1.2868985024302448E-3</v>
      </c>
      <c r="L1438" s="5">
        <f>E1438/E1437-1</f>
        <v>-1.7094066931307106E-2</v>
      </c>
      <c r="M1438" s="5">
        <f>F1438/F1437-1</f>
        <v>1.864482628416031E-2</v>
      </c>
      <c r="N1438" s="5">
        <f>SUMPRODUCT(I1438:M1438,$AJ$13:$AN$13)</f>
        <v>-2.5524245713183348E-3</v>
      </c>
    </row>
    <row r="1439" spans="1:14" x14ac:dyDescent="0.35">
      <c r="A1439" s="3">
        <v>45922</v>
      </c>
      <c r="B1439" s="4">
        <v>51.3612251281738</v>
      </c>
      <c r="C1439" s="4">
        <v>152.83135986328099</v>
      </c>
      <c r="D1439" s="4">
        <v>134.61930847167901</v>
      </c>
      <c r="E1439" s="4">
        <v>23.7427463531494</v>
      </c>
      <c r="F1439" s="4">
        <v>512.319580078125</v>
      </c>
      <c r="I1439" s="5">
        <f>B1439/B1438-1</f>
        <v>-6.3158256759198173E-3</v>
      </c>
      <c r="J1439" s="5">
        <f>C1439/C1438-1</f>
        <v>-1.0243136350616133E-3</v>
      </c>
      <c r="K1439" s="5">
        <f>D1439/D1438-1</f>
        <v>2.8422036721654109E-2</v>
      </c>
      <c r="L1439" s="5">
        <f>E1439/E1438-1</f>
        <v>1.1594210200655874E-2</v>
      </c>
      <c r="M1439" s="5">
        <f>F1439/F1438-1</f>
        <v>-6.7190304526624223E-3</v>
      </c>
      <c r="N1439" s="5">
        <f>SUMPRODUCT(I1439:M1439,$AJ$13:$AN$13)</f>
        <v>1.9831760272988136E-2</v>
      </c>
    </row>
    <row r="1440" spans="1:14" x14ac:dyDescent="0.35">
      <c r="A1440" s="3">
        <v>45923</v>
      </c>
      <c r="B1440" s="4">
        <v>51.143596649169901</v>
      </c>
      <c r="C1440" s="4">
        <v>154.173095703125</v>
      </c>
      <c r="D1440" s="4">
        <v>133.27995300292901</v>
      </c>
      <c r="E1440" s="4">
        <v>24.286991119384702</v>
      </c>
      <c r="F1440" s="4">
        <v>507.12124633789</v>
      </c>
      <c r="I1440" s="5">
        <f>B1440/B1439-1</f>
        <v>-4.2372135489525675E-3</v>
      </c>
      <c r="J1440" s="5">
        <f>C1440/C1439-1</f>
        <v>8.7791919213719982E-3</v>
      </c>
      <c r="K1440" s="5">
        <f>D1440/D1439-1</f>
        <v>-9.9492077619145469E-3</v>
      </c>
      <c r="L1440" s="5">
        <f>E1440/E1439-1</f>
        <v>2.2922570040559309E-2</v>
      </c>
      <c r="M1440" s="5">
        <f>F1440/F1439-1</f>
        <v>-1.0146662244379323E-2</v>
      </c>
      <c r="N1440" s="5">
        <f>SUMPRODUCT(I1440:M1440,$AJ$13:$AN$13)</f>
        <v>3.0788251489287893E-3</v>
      </c>
    </row>
    <row r="1441" spans="1:14" x14ac:dyDescent="0.35">
      <c r="A1441" s="3">
        <v>45924</v>
      </c>
      <c r="B1441" s="4">
        <v>51.143596649169901</v>
      </c>
      <c r="C1441" s="4">
        <v>155.89678955078099</v>
      </c>
      <c r="D1441" s="4">
        <v>131.04769897460901</v>
      </c>
      <c r="E1441" s="4">
        <v>24.967300415038999</v>
      </c>
      <c r="F1441" s="4">
        <v>508.03738403320301</v>
      </c>
      <c r="I1441" s="5">
        <f>B1441/B1440-1</f>
        <v>0</v>
      </c>
      <c r="J1441" s="5">
        <f>C1441/C1440-1</f>
        <v>1.1180250612435882E-2</v>
      </c>
      <c r="K1441" s="5">
        <f>D1441/D1440-1</f>
        <v>-1.6748610560141319E-2</v>
      </c>
      <c r="L1441" s="5">
        <f>E1441/E1440-1</f>
        <v>2.8011262997140296E-2</v>
      </c>
      <c r="M1441" s="5">
        <f>F1441/F1440-1</f>
        <v>1.8065456770521848E-3</v>
      </c>
      <c r="N1441" s="5">
        <f>SUMPRODUCT(I1441:M1441,$AJ$13:$AN$13)</f>
        <v>4.6050864021402451E-3</v>
      </c>
    </row>
    <row r="1442" spans="1:14" x14ac:dyDescent="0.35">
      <c r="A1442" s="3">
        <v>45925</v>
      </c>
      <c r="B1442" s="4">
        <v>51.291976928710902</v>
      </c>
      <c r="C1442" s="4">
        <v>157.40504455566401</v>
      </c>
      <c r="D1442" s="4">
        <v>129.92663574218699</v>
      </c>
      <c r="E1442" s="4">
        <v>24.8215217590332</v>
      </c>
      <c r="F1442" s="4">
        <v>504.93032836914</v>
      </c>
      <c r="I1442" s="5">
        <f>B1442/B1441-1</f>
        <v>2.9012484311348175E-3</v>
      </c>
      <c r="J1442" s="5">
        <f>C1442/C1441-1</f>
        <v>9.6747021489607121E-3</v>
      </c>
      <c r="K1442" s="5">
        <f>D1442/D1441-1</f>
        <v>-8.5546197391778156E-3</v>
      </c>
      <c r="L1442" s="5">
        <f>E1442/E1441-1</f>
        <v>-5.8387832718186372E-3</v>
      </c>
      <c r="M1442" s="5">
        <f>F1442/F1441-1</f>
        <v>-6.1158012416265839E-3</v>
      </c>
      <c r="N1442" s="5">
        <f>SUMPRODUCT(I1442:M1442,$AJ$13:$AN$13)</f>
        <v>-1.0381363776315026E-2</v>
      </c>
    </row>
    <row r="1443" spans="1:14" x14ac:dyDescent="0.35">
      <c r="A1443" s="3">
        <v>45926</v>
      </c>
      <c r="B1443" s="4">
        <v>51.648105621337798</v>
      </c>
      <c r="C1443" s="4">
        <v>156.85659790039</v>
      </c>
      <c r="D1443" s="4">
        <v>129.72821044921801</v>
      </c>
      <c r="E1443" s="4">
        <v>24.8215217590332</v>
      </c>
      <c r="F1443" s="4">
        <v>509.34197998046801</v>
      </c>
      <c r="I1443" s="5">
        <f>B1443/B1442-1</f>
        <v>6.9431656557490395E-3</v>
      </c>
      <c r="J1443" s="5">
        <f>C1443/C1442-1</f>
        <v>-3.484301642442289E-3</v>
      </c>
      <c r="K1443" s="5">
        <f>D1443/D1442-1</f>
        <v>-1.5272102739788407E-3</v>
      </c>
      <c r="L1443" s="5">
        <f>E1443/E1442-1</f>
        <v>0</v>
      </c>
      <c r="M1443" s="5">
        <f>F1443/F1442-1</f>
        <v>8.7371491935868129E-3</v>
      </c>
      <c r="N1443" s="5">
        <f>SUMPRODUCT(I1443:M1443,$AJ$13:$AN$13)</f>
        <v>2.2952841994519895E-4</v>
      </c>
    </row>
    <row r="1444" spans="1:14" x14ac:dyDescent="0.35">
      <c r="A1444" s="3">
        <v>45929</v>
      </c>
      <c r="B1444" s="4">
        <v>51.855846405029297</v>
      </c>
      <c r="C1444" s="4">
        <v>152.88034057617099</v>
      </c>
      <c r="D1444" s="4">
        <v>132.84341430664</v>
      </c>
      <c r="E1444" s="4">
        <v>24.063463211059499</v>
      </c>
      <c r="F1444" s="4">
        <v>512.46893310546795</v>
      </c>
      <c r="I1444" s="5">
        <f>B1444/B1443-1</f>
        <v>4.0222343335216681E-3</v>
      </c>
      <c r="J1444" s="5">
        <f>C1444/C1443-1</f>
        <v>-2.5349633853107512E-2</v>
      </c>
      <c r="K1444" s="5">
        <f>D1444/D1443-1</f>
        <v>2.4013310957075484E-2</v>
      </c>
      <c r="L1444" s="5">
        <f>E1444/E1443-1</f>
        <v>-3.0540373605329907E-2</v>
      </c>
      <c r="M1444" s="5">
        <f>F1444/F1443-1</f>
        <v>6.1392016521391035E-3</v>
      </c>
      <c r="N1444" s="5">
        <f>SUMPRODUCT(I1444:M1444,$AJ$13:$AN$13)</f>
        <v>-4.912490055461894E-5</v>
      </c>
    </row>
    <row r="1445" spans="1:14" x14ac:dyDescent="0.35">
      <c r="A1445" s="3">
        <v>45930</v>
      </c>
      <c r="B1445" s="4">
        <v>51.034782409667898</v>
      </c>
      <c r="C1445" s="4">
        <v>152.08702087402301</v>
      </c>
      <c r="D1445" s="4">
        <v>140.65133666992099</v>
      </c>
      <c r="E1445" s="4">
        <v>23.694150924682599</v>
      </c>
      <c r="F1445" s="4">
        <v>515.80511474609295</v>
      </c>
      <c r="I1445" s="5">
        <f>B1445/B1444-1</f>
        <v>-1.5833585840029141E-2</v>
      </c>
      <c r="J1445" s="5">
        <f>C1445/C1444-1</f>
        <v>-5.1891544665464417E-3</v>
      </c>
      <c r="K1445" s="5">
        <f>D1445/D1444-1</f>
        <v>5.8775381557554018E-2</v>
      </c>
      <c r="L1445" s="5">
        <f>E1445/E1444-1</f>
        <v>-1.5347428719535428E-2</v>
      </c>
      <c r="M1445" s="5">
        <f>F1445/F1444-1</f>
        <v>6.5100173397991679E-3</v>
      </c>
      <c r="N1445" s="5">
        <f>SUMPRODUCT(I1445:M1445,$AJ$13:$AN$13)</f>
        <v>3.0355480653813438E-2</v>
      </c>
    </row>
    <row r="1446" spans="1:14" x14ac:dyDescent="0.35">
      <c r="A1446" s="3">
        <v>45931</v>
      </c>
      <c r="B1446" s="4">
        <v>50.134574890136697</v>
      </c>
      <c r="C1446" s="4">
        <v>151.391677856445</v>
      </c>
      <c r="D1446" s="4">
        <v>148.49891662597599</v>
      </c>
      <c r="E1446" s="4">
        <v>23.888526916503899</v>
      </c>
      <c r="F1446" s="4">
        <v>517.557861328125</v>
      </c>
      <c r="I1446" s="5">
        <f>B1446/B1445-1</f>
        <v>-1.7639097827537031E-2</v>
      </c>
      <c r="J1446" s="5">
        <f>C1446/C1445-1</f>
        <v>-4.5720076149955435E-3</v>
      </c>
      <c r="K1446" s="5">
        <f>D1446/D1445-1</f>
        <v>5.5794563648347006E-2</v>
      </c>
      <c r="L1446" s="5">
        <f>E1446/E1445-1</f>
        <v>8.2035432474103498E-3</v>
      </c>
      <c r="M1446" s="5">
        <f>F1446/F1445-1</f>
        <v>3.3980791037615532E-3</v>
      </c>
      <c r="N1446" s="5">
        <f>SUMPRODUCT(I1446:M1446,$AJ$13:$AN$13)</f>
        <v>3.9270223627868729E-2</v>
      </c>
    </row>
    <row r="1447" spans="1:14" x14ac:dyDescent="0.35">
      <c r="A1447" s="3">
        <v>45932</v>
      </c>
      <c r="B1447" s="4">
        <v>49.936725616455</v>
      </c>
      <c r="C1447" s="4">
        <v>150.20663452148401</v>
      </c>
      <c r="D1447" s="4">
        <v>146.20713806152301</v>
      </c>
      <c r="E1447" s="4">
        <v>23.694150924682599</v>
      </c>
      <c r="F1447" s="4">
        <v>513.604248046875</v>
      </c>
      <c r="I1447" s="5">
        <f>B1447/B1446-1</f>
        <v>-3.9463638440190296E-3</v>
      </c>
      <c r="J1447" s="5">
        <f>C1447/C1446-1</f>
        <v>-7.8276649796080733E-3</v>
      </c>
      <c r="K1447" s="5">
        <f>D1447/D1446-1</f>
        <v>-1.5432964876270994E-2</v>
      </c>
      <c r="L1447" s="5">
        <f>E1447/E1446-1</f>
        <v>-8.1367927164655018E-3</v>
      </c>
      <c r="M1447" s="5">
        <f>F1447/F1446-1</f>
        <v>-7.6389783184908078E-3</v>
      </c>
      <c r="N1447" s="5">
        <f>SUMPRODUCT(I1447:M1447,$AJ$13:$AN$13)</f>
        <v>-1.2991472303650541E-2</v>
      </c>
    </row>
    <row r="1448" spans="1:14" x14ac:dyDescent="0.35">
      <c r="A1448" s="3">
        <v>45933</v>
      </c>
      <c r="B1448" s="4">
        <v>50.095001220703097</v>
      </c>
      <c r="C1448" s="4">
        <v>150.38293457031199</v>
      </c>
      <c r="D1448" s="4">
        <v>139.629470825195</v>
      </c>
      <c r="E1448" s="4">
        <v>24.053745269775298</v>
      </c>
      <c r="F1448" s="4">
        <v>515.20751953125</v>
      </c>
      <c r="I1448" s="5">
        <f>B1448/B1447-1</f>
        <v>3.169523077338976E-3</v>
      </c>
      <c r="J1448" s="5">
        <f>C1448/C1447-1</f>
        <v>1.1737167894723122E-3</v>
      </c>
      <c r="K1448" s="5">
        <f>D1448/D1447-1</f>
        <v>-4.4988687443975328E-2</v>
      </c>
      <c r="L1448" s="5">
        <f>E1448/E1447-1</f>
        <v>1.5176502683542203E-2</v>
      </c>
      <c r="M1448" s="5">
        <f>F1448/F1447-1</f>
        <v>3.1216086908780749E-3</v>
      </c>
      <c r="N1448" s="5">
        <f>SUMPRODUCT(I1448:M1448,$AJ$13:$AN$13)</f>
        <v>-1.624541876002784E-2</v>
      </c>
    </row>
    <row r="1449" spans="1:14" x14ac:dyDescent="0.35">
      <c r="A1449" s="3">
        <v>45936</v>
      </c>
      <c r="B1449" s="4">
        <v>49.847694396972599</v>
      </c>
      <c r="C1449" s="4">
        <v>150.84323120117099</v>
      </c>
      <c r="D1449" s="4">
        <v>144.60984802246</v>
      </c>
      <c r="E1449" s="4">
        <v>24.656303405761701</v>
      </c>
      <c r="F1449" s="4">
        <v>526.38116455078102</v>
      </c>
      <c r="I1449" s="5">
        <f>B1449/B1448-1</f>
        <v>-4.9367565167018901E-3</v>
      </c>
      <c r="J1449" s="5">
        <f>C1449/C1448-1</f>
        <v>3.0608302210235472E-3</v>
      </c>
      <c r="K1449" s="5">
        <f>D1449/D1448-1</f>
        <v>3.5668524472888929E-2</v>
      </c>
      <c r="L1449" s="5">
        <f>E1449/E1448-1</f>
        <v>2.5050491273953313E-2</v>
      </c>
      <c r="M1449" s="5">
        <f>F1449/F1448-1</f>
        <v>2.1687659042121776E-2</v>
      </c>
      <c r="N1449" s="5">
        <f>SUMPRODUCT(I1449:M1449,$AJ$13:$AN$13)</f>
        <v>3.8848800749763809E-2</v>
      </c>
    </row>
    <row r="1450" spans="1:14" x14ac:dyDescent="0.35">
      <c r="A1450" s="3">
        <v>45937</v>
      </c>
      <c r="B1450" s="4">
        <v>49.748767852783203</v>
      </c>
      <c r="C1450" s="4">
        <v>151.71487426757801</v>
      </c>
      <c r="D1450" s="4">
        <v>149.67951965332</v>
      </c>
      <c r="E1450" s="4">
        <v>24.67573928833</v>
      </c>
      <c r="F1450" s="4">
        <v>521.81011962890602</v>
      </c>
      <c r="I1450" s="5">
        <f>B1450/B1449-1</f>
        <v>-1.9845761250575356E-3</v>
      </c>
      <c r="J1450" s="5">
        <f>C1450/C1449-1</f>
        <v>5.7784698687908254E-3</v>
      </c>
      <c r="K1450" s="5">
        <f>D1450/D1449-1</f>
        <v>3.5057582178446234E-2</v>
      </c>
      <c r="L1450" s="5">
        <f>E1450/E1449-1</f>
        <v>7.8827236380285548E-4</v>
      </c>
      <c r="M1450" s="5">
        <f>F1450/F1449-1</f>
        <v>-8.6839067005294313E-3</v>
      </c>
      <c r="N1450" s="5">
        <f>SUMPRODUCT(I1450:M1450,$AJ$13:$AN$13)</f>
        <v>1.6105677643280213E-2</v>
      </c>
    </row>
    <row r="1451" spans="1:14" x14ac:dyDescent="0.35">
      <c r="A1451" s="3">
        <v>45938</v>
      </c>
      <c r="B1451" s="4">
        <v>49.303611755371001</v>
      </c>
      <c r="C1451" s="4">
        <v>150.56901550292901</v>
      </c>
      <c r="D1451" s="4">
        <v>163.23173522949199</v>
      </c>
      <c r="E1451" s="4">
        <v>23.937120437621999</v>
      </c>
      <c r="F1451" s="4">
        <v>522.676513671875</v>
      </c>
      <c r="I1451" s="5">
        <f>B1451/B1450-1</f>
        <v>-8.9480828697006132E-3</v>
      </c>
      <c r="J1451" s="5">
        <f>C1451/C1450-1</f>
        <v>-7.5527120869379738E-3</v>
      </c>
      <c r="K1451" s="5">
        <f>D1451/D1450-1</f>
        <v>9.0541549088084539E-2</v>
      </c>
      <c r="L1451" s="5">
        <f>E1451/E1450-1</f>
        <v>-2.9932997835542818E-2</v>
      </c>
      <c r="M1451" s="5">
        <f>F1451/F1450-1</f>
        <v>1.6603626690587792E-3</v>
      </c>
      <c r="N1451" s="5">
        <f>SUMPRODUCT(I1451:M1451,$AJ$13:$AN$13)</f>
        <v>3.6546099830967939E-2</v>
      </c>
    </row>
    <row r="1452" spans="1:14" x14ac:dyDescent="0.35">
      <c r="A1452" s="3">
        <v>45939</v>
      </c>
      <c r="B1452" s="4">
        <v>49.254150390625</v>
      </c>
      <c r="C1452" s="4">
        <v>148.51231384277301</v>
      </c>
      <c r="D1452" s="4">
        <v>154.71943664550699</v>
      </c>
      <c r="E1452" s="4">
        <v>23.4414672851562</v>
      </c>
      <c r="F1452" s="4">
        <v>520.23669433593705</v>
      </c>
      <c r="I1452" s="5">
        <f>B1452/B1451-1</f>
        <v>-1.0031996234153295E-3</v>
      </c>
      <c r="J1452" s="5">
        <f>C1452/C1451-1</f>
        <v>-1.3659527846989095E-2</v>
      </c>
      <c r="K1452" s="5">
        <f>D1452/D1451-1</f>
        <v>-5.214855170177124E-2</v>
      </c>
      <c r="L1452" s="5">
        <f>E1452/E1451-1</f>
        <v>-2.0706465247456451E-2</v>
      </c>
      <c r="M1452" s="5">
        <f>F1452/F1451-1</f>
        <v>-4.6679337450957759E-3</v>
      </c>
      <c r="N1452" s="5">
        <f>SUMPRODUCT(I1452:M1452,$AJ$13:$AN$13)</f>
        <v>-3.7649208830458719E-2</v>
      </c>
    </row>
    <row r="1453" spans="1:14" x14ac:dyDescent="0.35">
      <c r="A1453" s="3">
        <v>45940</v>
      </c>
      <c r="B1453" s="4">
        <v>48.12642288208</v>
      </c>
      <c r="C1453" s="4">
        <v>145.828842163085</v>
      </c>
      <c r="D1453" s="4">
        <v>149.38189697265599</v>
      </c>
      <c r="E1453" s="4">
        <v>22.557065963745099</v>
      </c>
      <c r="F1453" s="4">
        <v>508.84405517578102</v>
      </c>
      <c r="I1453" s="5">
        <f>B1453/B1452-1</f>
        <v>-2.289609098119072E-2</v>
      </c>
      <c r="J1453" s="5">
        <f>C1453/C1452-1</f>
        <v>-1.8069018051452224E-2</v>
      </c>
      <c r="K1453" s="5">
        <f>D1453/D1452-1</f>
        <v>-3.4498184511105423E-2</v>
      </c>
      <c r="L1453" s="5">
        <f>E1453/E1452-1</f>
        <v>-3.7728070118338008E-2</v>
      </c>
      <c r="M1453" s="5">
        <f>F1453/F1452-1</f>
        <v>-2.1898953465207427E-2</v>
      </c>
      <c r="N1453" s="5">
        <f>SUMPRODUCT(I1453:M1453,$AJ$13:$AN$13)</f>
        <v>-3.5692375132579675E-2</v>
      </c>
    </row>
    <row r="1454" spans="1:14" x14ac:dyDescent="0.35">
      <c r="A1454" s="3">
        <v>45943</v>
      </c>
      <c r="B1454" s="4">
        <v>48.334159851074197</v>
      </c>
      <c r="C1454" s="4">
        <v>148.80613708496</v>
      </c>
      <c r="D1454" s="4">
        <v>152.18955993652301</v>
      </c>
      <c r="E1454" s="4">
        <v>22.8583450317382</v>
      </c>
      <c r="F1454" s="4">
        <v>511.92123413085898</v>
      </c>
      <c r="I1454" s="5">
        <f>B1454/B1453-1</f>
        <v>4.3164847199053114E-3</v>
      </c>
      <c r="J1454" s="5">
        <f>C1454/C1453-1</f>
        <v>2.0416365361698441E-2</v>
      </c>
      <c r="K1454" s="5">
        <f>D1454/D1453-1</f>
        <v>1.8795202235120545E-2</v>
      </c>
      <c r="L1454" s="5">
        <f>E1454/E1453-1</f>
        <v>1.3356305668358326E-2</v>
      </c>
      <c r="M1454" s="5">
        <f>F1454/F1453-1</f>
        <v>6.0473909909686263E-3</v>
      </c>
      <c r="N1454" s="5">
        <f>SUMPRODUCT(I1454:M1454,$AJ$13:$AN$13)</f>
        <v>1.6129813827167768E-2</v>
      </c>
    </row>
    <row r="1455" spans="1:14" x14ac:dyDescent="0.35">
      <c r="A1455" s="3">
        <v>45944</v>
      </c>
      <c r="B1455" s="4">
        <v>49.550926208496001</v>
      </c>
      <c r="C1455" s="4">
        <v>149.24684143066401</v>
      </c>
      <c r="D1455" s="4">
        <v>147.596099853515</v>
      </c>
      <c r="E1455" s="4">
        <v>22.4307250976562</v>
      </c>
      <c r="F1455" s="4">
        <v>511.44323730468699</v>
      </c>
      <c r="I1455" s="5">
        <f>B1455/B1454-1</f>
        <v>2.5174045875026474E-2</v>
      </c>
      <c r="J1455" s="5">
        <f>C1455/C1454-1</f>
        <v>2.9616006055743771E-3</v>
      </c>
      <c r="K1455" s="5">
        <f>D1455/D1454-1</f>
        <v>-3.0182491393784816E-2</v>
      </c>
      <c r="L1455" s="5">
        <f>E1455/E1454-1</f>
        <v>-1.8707388198413333E-2</v>
      </c>
      <c r="M1455" s="5">
        <f>F1455/F1454-1</f>
        <v>-9.3373119593975762E-4</v>
      </c>
      <c r="N1455" s="5">
        <f>SUMPRODUCT(I1455:M1455,$AJ$13:$AN$13)</f>
        <v>-3.2145950949037626E-2</v>
      </c>
    </row>
    <row r="1456" spans="1:14" x14ac:dyDescent="0.35">
      <c r="A1456" s="3">
        <v>45945</v>
      </c>
      <c r="B1456" s="4">
        <v>51.717353820800703</v>
      </c>
      <c r="C1456" s="4">
        <v>148.97262573242099</v>
      </c>
      <c r="D1456" s="4">
        <v>152.48718261718699</v>
      </c>
      <c r="E1456" s="4">
        <v>22.421005249023398</v>
      </c>
      <c r="F1456" s="4">
        <v>511.30380249023398</v>
      </c>
      <c r="I1456" s="5">
        <f>B1456/B1455-1</f>
        <v>4.3721233447564511E-2</v>
      </c>
      <c r="J1456" s="5">
        <f>C1456/C1455-1</f>
        <v>-1.8373299938170273E-3</v>
      </c>
      <c r="K1456" s="5">
        <f>D1456/D1455-1</f>
        <v>3.3138292736232478E-2</v>
      </c>
      <c r="L1456" s="5">
        <f>E1456/E1455-1</f>
        <v>-4.3332743772150906E-4</v>
      </c>
      <c r="M1456" s="5">
        <f>F1456/F1455-1</f>
        <v>-2.7263008733446892E-4</v>
      </c>
      <c r="N1456" s="5">
        <f>SUMPRODUCT(I1456:M1456,$AJ$13:$AN$13)</f>
        <v>4.3760859001660095E-3</v>
      </c>
    </row>
    <row r="1457" spans="1:14" x14ac:dyDescent="0.35">
      <c r="A1457" s="3">
        <v>45946</v>
      </c>
      <c r="B1457" s="4">
        <v>49.897151947021399</v>
      </c>
      <c r="C1457" s="4">
        <v>148.58087158203099</v>
      </c>
      <c r="D1457" s="4">
        <v>150.11604309082</v>
      </c>
      <c r="E1457" s="4">
        <v>22.246068954467699</v>
      </c>
      <c r="F1457" s="4">
        <v>509.49133300781199</v>
      </c>
      <c r="I1457" s="5">
        <f>B1457/B1456-1</f>
        <v>-3.5195185741448753E-2</v>
      </c>
      <c r="J1457" s="5">
        <f>C1457/C1456-1</f>
        <v>-2.6297056151353138E-3</v>
      </c>
      <c r="K1457" s="5">
        <f>D1457/D1456-1</f>
        <v>-1.5549762843475423E-2</v>
      </c>
      <c r="L1457" s="5">
        <f>E1457/E1456-1</f>
        <v>-7.8023394853502515E-3</v>
      </c>
      <c r="M1457" s="5">
        <f>F1457/F1456-1</f>
        <v>-3.5447995371726826E-3</v>
      </c>
      <c r="N1457" s="5">
        <f>SUMPRODUCT(I1457:M1457,$AJ$13:$AN$13)</f>
        <v>-2.6610846652223158E-3</v>
      </c>
    </row>
    <row r="1458" spans="1:14" x14ac:dyDescent="0.35">
      <c r="A1458" s="3">
        <v>45947</v>
      </c>
      <c r="B1458" s="4">
        <v>50.728115081787102</v>
      </c>
      <c r="C1458" s="4">
        <v>149.92262268066401</v>
      </c>
      <c r="D1458" s="4">
        <v>148.40962219238199</v>
      </c>
      <c r="E1458" s="4">
        <v>22.469598770141602</v>
      </c>
      <c r="F1458" s="4">
        <v>511.45324707031199</v>
      </c>
      <c r="I1458" s="5">
        <f>B1458/B1457-1</f>
        <v>1.6653518334031947E-2</v>
      </c>
      <c r="J1458" s="5">
        <f>C1458/C1457-1</f>
        <v>9.0304430465817376E-3</v>
      </c>
      <c r="K1458" s="5">
        <f>D1458/D1457-1</f>
        <v>-1.1367345310358545E-2</v>
      </c>
      <c r="L1458" s="5">
        <f>E1458/E1457-1</f>
        <v>1.0048059103449525E-2</v>
      </c>
      <c r="M1458" s="5">
        <f>F1458/F1457-1</f>
        <v>3.8507309847994886E-3</v>
      </c>
      <c r="N1458" s="5">
        <f>SUMPRODUCT(I1458:M1458,$AJ$13:$AN$13)</f>
        <v>-5.0495958869187958E-3</v>
      </c>
    </row>
    <row r="1459" spans="1:14" x14ac:dyDescent="0.35">
      <c r="A1459" s="3">
        <v>45950</v>
      </c>
      <c r="B1459" s="4">
        <v>51.47993850708</v>
      </c>
      <c r="C1459" s="4">
        <v>151.29373168945301</v>
      </c>
      <c r="D1459" s="4">
        <v>146.703201293945</v>
      </c>
      <c r="E1459" s="4">
        <v>22.518192291259702</v>
      </c>
      <c r="F1459" s="4">
        <v>514.64984130859295</v>
      </c>
      <c r="I1459" s="5">
        <f>B1459/B1458-1</f>
        <v>1.4820645791407072E-2</v>
      </c>
      <c r="J1459" s="5">
        <f>C1459/C1458-1</f>
        <v>9.1454443917344808E-3</v>
      </c>
      <c r="K1459" s="5">
        <f>D1459/D1458-1</f>
        <v>-1.1498047587675808E-2</v>
      </c>
      <c r="L1459" s="5">
        <f>E1459/E1458-1</f>
        <v>2.1626341269018745E-3</v>
      </c>
      <c r="M1459" s="5">
        <f>F1459/F1458-1</f>
        <v>6.2500223756356554E-3</v>
      </c>
      <c r="N1459" s="5">
        <f>SUMPRODUCT(I1459:M1459,$AJ$13:$AN$13)</f>
        <v>-7.4743677791026981E-3</v>
      </c>
    </row>
    <row r="1460" spans="1:14" x14ac:dyDescent="0.35">
      <c r="A1460" s="3">
        <v>45951</v>
      </c>
      <c r="B1460" s="4">
        <v>50.965534210205</v>
      </c>
      <c r="C1460" s="4">
        <v>150.61796569824199</v>
      </c>
      <c r="D1460" s="4">
        <v>148.77911376953099</v>
      </c>
      <c r="E1460" s="4">
        <v>22.557065963745099</v>
      </c>
      <c r="F1460" s="4">
        <v>515.51629638671795</v>
      </c>
      <c r="I1460" s="5">
        <f>B1460/B1459-1</f>
        <v>-9.9923253949546487E-3</v>
      </c>
      <c r="J1460" s="5">
        <f>C1460/C1459-1</f>
        <v>-4.4665828760050985E-3</v>
      </c>
      <c r="K1460" s="5">
        <f>D1460/D1459-1</f>
        <v>1.4150423830401326E-2</v>
      </c>
      <c r="L1460" s="5">
        <f>E1460/E1459-1</f>
        <v>1.7263229651203194E-3</v>
      </c>
      <c r="M1460" s="5">
        <f>F1460/F1459-1</f>
        <v>1.6835817454483593E-3</v>
      </c>
      <c r="N1460" s="5">
        <f>SUMPRODUCT(I1460:M1460,$AJ$13:$AN$13)</f>
        <v>1.177301405729363E-2</v>
      </c>
    </row>
    <row r="1461" spans="1:14" x14ac:dyDescent="0.35">
      <c r="A1461" s="3">
        <v>45952</v>
      </c>
      <c r="B1461" s="4">
        <v>50.550052642822202</v>
      </c>
      <c r="C1461" s="4">
        <v>152.36126708984301</v>
      </c>
      <c r="D1461" s="4">
        <v>149.47607421875</v>
      </c>
      <c r="E1461" s="4">
        <v>23.295686721801701</v>
      </c>
      <c r="F1461" s="4">
        <v>518.38439941406205</v>
      </c>
      <c r="I1461" s="5">
        <f>B1461/B1460-1</f>
        <v>-8.1522066592918385E-3</v>
      </c>
      <c r="J1461" s="5">
        <f>C1461/C1460-1</f>
        <v>1.1574325702244925E-2</v>
      </c>
      <c r="K1461" s="5">
        <f>D1461/D1460-1</f>
        <v>4.6845315283881028E-3</v>
      </c>
      <c r="L1461" s="5">
        <f>E1461/E1460-1</f>
        <v>3.2744540413356615E-2</v>
      </c>
      <c r="M1461" s="5">
        <f>F1461/F1460-1</f>
        <v>5.5635545325081193E-3</v>
      </c>
      <c r="N1461" s="5">
        <f>SUMPRODUCT(I1461:M1461,$AJ$13:$AN$13)</f>
        <v>2.157622092634618E-2</v>
      </c>
    </row>
    <row r="1462" spans="1:14" x14ac:dyDescent="0.35">
      <c r="A1462" s="3">
        <v>45953</v>
      </c>
      <c r="B1462" s="4">
        <v>51.202945709228501</v>
      </c>
      <c r="C1462" s="4">
        <v>153.33084106445301</v>
      </c>
      <c r="D1462" s="4">
        <v>153.55819702148401</v>
      </c>
      <c r="E1462" s="4">
        <v>24.267553329467699</v>
      </c>
      <c r="F1462" s="4">
        <v>518.404296875</v>
      </c>
      <c r="I1462" s="5">
        <f>B1462/B1461-1</f>
        <v>1.2915774213323239E-2</v>
      </c>
      <c r="J1462" s="5">
        <f>C1462/C1461-1</f>
        <v>6.3636512949072355E-3</v>
      </c>
      <c r="K1462" s="5">
        <f>D1462/D1461-1</f>
        <v>2.7309539831505303E-2</v>
      </c>
      <c r="L1462" s="5">
        <f>E1462/E1461-1</f>
        <v>4.1718736145110347E-2</v>
      </c>
      <c r="M1462" s="5">
        <f>F1462/F1461-1</f>
        <v>3.8383602902536396E-5</v>
      </c>
      <c r="N1462" s="5">
        <f>SUMPRODUCT(I1462:M1462,$AJ$13:$AN$13)</f>
        <v>2.9781602900195735E-2</v>
      </c>
    </row>
    <row r="1463" spans="1:14" x14ac:dyDescent="0.35">
      <c r="A1463" s="3">
        <v>45954</v>
      </c>
      <c r="B1463" s="4">
        <v>52.004234313964801</v>
      </c>
      <c r="C1463" s="4">
        <v>152.351470947265</v>
      </c>
      <c r="D1463" s="4">
        <v>157.94898986816401</v>
      </c>
      <c r="E1463" s="4">
        <v>23.538652420043899</v>
      </c>
      <c r="F1463" s="4">
        <v>521.441650390625</v>
      </c>
      <c r="I1463" s="5">
        <f>B1463/B1462-1</f>
        <v>1.5649267705937442E-2</v>
      </c>
      <c r="J1463" s="5">
        <f>C1463/C1462-1</f>
        <v>-6.3873002351583219E-3</v>
      </c>
      <c r="K1463" s="5">
        <f>D1463/D1462-1</f>
        <v>2.8593672834447803E-2</v>
      </c>
      <c r="L1463" s="5">
        <f>E1463/E1462-1</f>
        <v>-3.0036027922877073E-2</v>
      </c>
      <c r="M1463" s="5">
        <f>F1463/F1462-1</f>
        <v>5.8590438658292499E-3</v>
      </c>
      <c r="N1463" s="5">
        <f>SUMPRODUCT(I1463:M1463,$AJ$13:$AN$13)</f>
        <v>-1.5061143645913118E-3</v>
      </c>
    </row>
    <row r="1464" spans="1:14" x14ac:dyDescent="0.35">
      <c r="A1464" s="3">
        <v>45957</v>
      </c>
      <c r="B1464" s="4">
        <v>52.449390411376903</v>
      </c>
      <c r="C1464" s="4">
        <v>152.07723999023401</v>
      </c>
      <c r="D1464" s="4">
        <v>161.48353576660099</v>
      </c>
      <c r="E1464" s="4">
        <v>23.674715042114201</v>
      </c>
      <c r="F1464" s="4">
        <v>529.31896972656205</v>
      </c>
      <c r="I1464" s="5">
        <f>B1464/B1463-1</f>
        <v>8.559997148012366E-3</v>
      </c>
      <c r="J1464" s="5">
        <f>C1464/C1463-1</f>
        <v>-1.7999889028043059E-3</v>
      </c>
      <c r="K1464" s="5">
        <f>D1464/D1463-1</f>
        <v>2.2377768299671752E-2</v>
      </c>
      <c r="L1464" s="5">
        <f>E1464/E1463-1</f>
        <v>5.780391317322886E-3</v>
      </c>
      <c r="M1464" s="5">
        <f>F1464/F1463-1</f>
        <v>1.5106808844356667E-2</v>
      </c>
      <c r="N1464" s="5">
        <f>SUMPRODUCT(I1464:M1464,$AJ$13:$AN$13)</f>
        <v>1.6982090217387495E-2</v>
      </c>
    </row>
    <row r="1465" spans="1:14" x14ac:dyDescent="0.35">
      <c r="A1465" s="3">
        <v>45958</v>
      </c>
      <c r="B1465" s="4">
        <v>52.301002502441399</v>
      </c>
      <c r="C1465" s="4">
        <v>150.95097351074199</v>
      </c>
      <c r="D1465" s="4">
        <v>164.16181945800699</v>
      </c>
      <c r="E1465" s="4">
        <v>23.412311553955</v>
      </c>
      <c r="F1465" s="4">
        <v>539.82525634765602</v>
      </c>
      <c r="I1465" s="5">
        <f>B1465/B1464-1</f>
        <v>-2.8291636522684849E-3</v>
      </c>
      <c r="J1465" s="5">
        <f>C1465/C1464-1</f>
        <v>-7.4058845331775869E-3</v>
      </c>
      <c r="K1465" s="5">
        <f>D1465/D1464-1</f>
        <v>1.658549076654503E-2</v>
      </c>
      <c r="L1465" s="5">
        <f>E1465/E1464-1</f>
        <v>-1.1083702071700507E-2</v>
      </c>
      <c r="M1465" s="5">
        <f>F1465/F1464-1</f>
        <v>1.9848687128143805E-2</v>
      </c>
      <c r="N1465" s="5">
        <f>SUMPRODUCT(I1465:M1465,$AJ$13:$AN$13)</f>
        <v>1.1147914201935796E-2</v>
      </c>
    </row>
    <row r="1466" spans="1:14" x14ac:dyDescent="0.35">
      <c r="A1466" s="3">
        <v>45959</v>
      </c>
      <c r="B1466" s="4">
        <v>52.014125823974602</v>
      </c>
      <c r="C1466" s="4">
        <v>151.90097045898401</v>
      </c>
      <c r="D1466" s="4">
        <v>162.88740539550699</v>
      </c>
      <c r="E1466" s="4">
        <v>23.4900608062744</v>
      </c>
      <c r="F1466" s="4">
        <v>539.307373046875</v>
      </c>
      <c r="I1466" s="5">
        <f>B1466/B1465-1</f>
        <v>-5.4851085971708846E-3</v>
      </c>
      <c r="J1466" s="5">
        <f>C1466/C1465-1</f>
        <v>6.2934138558199404E-3</v>
      </c>
      <c r="K1466" s="5">
        <f>D1466/D1465-1</f>
        <v>-7.7631575155999721E-3</v>
      </c>
      <c r="L1466" s="5">
        <f>E1466/E1465-1</f>
        <v>3.3208703950577956E-3</v>
      </c>
      <c r="M1466" s="5">
        <f>F1466/F1465-1</f>
        <v>-9.5935359580046065E-4</v>
      </c>
      <c r="N1466" s="5">
        <f>SUMPRODUCT(I1466:M1466,$AJ$13:$AN$13)</f>
        <v>-1.4306499903671416E-3</v>
      </c>
    </row>
    <row r="1467" spans="1:14" x14ac:dyDescent="0.35">
      <c r="A1467" s="3">
        <v>45960</v>
      </c>
      <c r="B1467" s="4">
        <v>52.459278106689403</v>
      </c>
      <c r="C1467" s="4">
        <v>150.35354614257801</v>
      </c>
      <c r="D1467" s="4">
        <v>160.308670043945</v>
      </c>
      <c r="E1467" s="4">
        <v>23.295686721801701</v>
      </c>
      <c r="F1467" s="4">
        <v>523.582763671875</v>
      </c>
      <c r="I1467" s="5">
        <f>B1467/B1466-1</f>
        <v>8.5582959563961225E-3</v>
      </c>
      <c r="J1467" s="5">
        <f>C1467/C1466-1</f>
        <v>-1.0187060107188839E-2</v>
      </c>
      <c r="K1467" s="5">
        <f>D1467/D1466-1</f>
        <v>-1.5831398046402434E-2</v>
      </c>
      <c r="L1467" s="5">
        <f>E1467/E1466-1</f>
        <v>-8.2747373910918576E-3</v>
      </c>
      <c r="M1467" s="5">
        <f>F1467/F1466-1</f>
        <v>-2.9157045056072861E-2</v>
      </c>
      <c r="N1467" s="5">
        <f>SUMPRODUCT(I1467:M1467,$AJ$13:$AN$13)</f>
        <v>-2.3990620757509948E-2</v>
      </c>
    </row>
    <row r="1468" spans="1:14" x14ac:dyDescent="0.35">
      <c r="A1468" s="3">
        <v>45961</v>
      </c>
      <c r="B1468" s="4">
        <v>52.874763488769503</v>
      </c>
      <c r="C1468" s="4">
        <v>154.46691894531199</v>
      </c>
      <c r="D1468" s="4">
        <v>161.30430603027301</v>
      </c>
      <c r="E1468" s="4">
        <v>23.285966873168899</v>
      </c>
      <c r="F1468" s="4">
        <v>515.66564941406205</v>
      </c>
      <c r="I1468" s="5">
        <f>B1468/B1467-1</f>
        <v>7.9201505829931129E-3</v>
      </c>
      <c r="J1468" s="5">
        <f>C1468/C1467-1</f>
        <v>2.7358003241462203E-2</v>
      </c>
      <c r="K1468" s="5">
        <f>D1468/D1467-1</f>
        <v>6.2107432246496508E-3</v>
      </c>
      <c r="L1468" s="5">
        <f>E1468/E1467-1</f>
        <v>-4.1723812433080987E-4</v>
      </c>
      <c r="M1468" s="5">
        <f>F1468/F1467-1</f>
        <v>-1.5121036839124358E-2</v>
      </c>
      <c r="N1468" s="5">
        <f>SUMPRODUCT(I1468:M1468,$AJ$13:$AN$13)</f>
        <v>-5.1992228106197014E-3</v>
      </c>
    </row>
    <row r="1469" spans="1:14" x14ac:dyDescent="0.35">
      <c r="A1469" s="3">
        <v>45964</v>
      </c>
      <c r="B1469" s="4">
        <v>52.9835815429687</v>
      </c>
      <c r="C1469" s="4">
        <v>150.86280822753901</v>
      </c>
      <c r="D1469" s="4">
        <v>159.41259765625</v>
      </c>
      <c r="E1469" s="4">
        <v>23.3151245117187</v>
      </c>
      <c r="F1469" s="4">
        <v>514.888916015625</v>
      </c>
      <c r="I1469" s="5">
        <f>B1469/B1468-1</f>
        <v>2.0580338713440671E-3</v>
      </c>
      <c r="J1469" s="5">
        <f>C1469/C1468-1</f>
        <v>-2.3332573358629594E-2</v>
      </c>
      <c r="K1469" s="5">
        <f>D1469/D1468-1</f>
        <v>-1.172757516881151E-2</v>
      </c>
      <c r="L1469" s="5">
        <f>E1469/E1468-1</f>
        <v>1.2521549441606439E-3</v>
      </c>
      <c r="M1469" s="5">
        <f>F1469/F1468-1</f>
        <v>-1.5062732980558602E-3</v>
      </c>
      <c r="N1469" s="5">
        <f>SUMPRODUCT(I1469:M1469,$AJ$13:$AN$13)</f>
        <v>-5.855109876977304E-3</v>
      </c>
    </row>
    <row r="1470" spans="1:14" x14ac:dyDescent="0.35">
      <c r="A1470" s="3">
        <v>45965</v>
      </c>
      <c r="B1470" s="4">
        <v>52.963794708251903</v>
      </c>
      <c r="C1470" s="4">
        <v>150.22621154785099</v>
      </c>
      <c r="D1470" s="4">
        <v>153.96641540527301</v>
      </c>
      <c r="E1470" s="4">
        <v>23.295686721801701</v>
      </c>
      <c r="F1470" s="4">
        <v>512.20013427734295</v>
      </c>
      <c r="I1470" s="5">
        <f>B1470/B1469-1</f>
        <v>-3.7345219293549725E-4</v>
      </c>
      <c r="J1470" s="5">
        <f>C1470/C1469-1</f>
        <v>-4.2197058848849611E-3</v>
      </c>
      <c r="K1470" s="5">
        <f>D1470/D1469-1</f>
        <v>-3.4164064390449833E-2</v>
      </c>
      <c r="L1470" s="5">
        <f>E1470/E1469-1</f>
        <v>-8.3369873951255613E-4</v>
      </c>
      <c r="M1470" s="5">
        <f>F1470/F1469-1</f>
        <v>-5.2220617975012873E-3</v>
      </c>
      <c r="N1470" s="5">
        <f>SUMPRODUCT(I1470:M1470,$AJ$13:$AN$13)</f>
        <v>-1.967600026949259E-2</v>
      </c>
    </row>
    <row r="1471" spans="1:14" x14ac:dyDescent="0.35">
      <c r="A1471" s="3">
        <v>45966</v>
      </c>
      <c r="B1471" s="4">
        <v>51.885524749755803</v>
      </c>
      <c r="C1471" s="4">
        <v>149.51129150390599</v>
      </c>
      <c r="D1471" s="4">
        <v>151.74613952636699</v>
      </c>
      <c r="E1471" s="4">
        <v>23.140188217163001</v>
      </c>
      <c r="F1471" s="4">
        <v>505.05978393554602</v>
      </c>
      <c r="I1471" s="5">
        <f>B1471/B1470-1</f>
        <v>-2.0358623554745048E-2</v>
      </c>
      <c r="J1471" s="5">
        <f>C1471/C1470-1</f>
        <v>-4.7589567531447496E-3</v>
      </c>
      <c r="K1471" s="5">
        <f>D1471/D1470-1</f>
        <v>-1.4420520689929495E-2</v>
      </c>
      <c r="L1471" s="5">
        <f>E1471/E1470-1</f>
        <v>-6.6749912331699468E-3</v>
      </c>
      <c r="M1471" s="5">
        <f>F1471/F1470-1</f>
        <v>-1.3940547578870088E-2</v>
      </c>
      <c r="N1471" s="5">
        <f>SUMPRODUCT(I1471:M1471,$AJ$13:$AN$13)</f>
        <v>-9.2401896867178764E-3</v>
      </c>
    </row>
    <row r="1472" spans="1:14" x14ac:dyDescent="0.35">
      <c r="A1472" s="3">
        <v>45967</v>
      </c>
      <c r="B1472" s="4">
        <v>52.716484069824197</v>
      </c>
      <c r="C1472" s="4">
        <v>149.78550720214801</v>
      </c>
      <c r="D1472" s="4">
        <v>148.53019714355401</v>
      </c>
      <c r="E1472" s="4">
        <v>23.3637180328369</v>
      </c>
      <c r="F1472" s="4">
        <v>495.04144287109301</v>
      </c>
      <c r="I1472" s="5">
        <f>B1472/B1471-1</f>
        <v>1.6015243636372967E-2</v>
      </c>
      <c r="J1472" s="5">
        <f>C1472/C1471-1</f>
        <v>1.834080192096188E-3</v>
      </c>
      <c r="K1472" s="5">
        <f>D1472/D1471-1</f>
        <v>-2.119291069183471E-2</v>
      </c>
      <c r="L1472" s="5">
        <f>E1472/E1471-1</f>
        <v>9.6598097464093424E-3</v>
      </c>
      <c r="M1472" s="5">
        <f>F1472/F1471-1</f>
        <v>-1.9835950877711395E-2</v>
      </c>
      <c r="N1472" s="5">
        <f>SUMPRODUCT(I1472:M1472,$AJ$13:$AN$13)</f>
        <v>-1.7838988251169502E-2</v>
      </c>
    </row>
    <row r="1473" spans="1:14" x14ac:dyDescent="0.35">
      <c r="A1473" s="3">
        <v>45968</v>
      </c>
      <c r="B1473" s="4">
        <v>52.627452850341797</v>
      </c>
      <c r="C1473" s="4">
        <v>151.82261657714801</v>
      </c>
      <c r="D1473" s="4">
        <v>146.06100463867099</v>
      </c>
      <c r="E1473" s="4">
        <v>23.655277252197202</v>
      </c>
      <c r="F1473" s="4">
        <v>494.762603759765</v>
      </c>
      <c r="I1473" s="5">
        <f>B1473/B1472-1</f>
        <v>-1.688868691707035E-3</v>
      </c>
      <c r="J1473" s="5">
        <f>C1473/C1472-1</f>
        <v>1.3600176766439542E-2</v>
      </c>
      <c r="K1473" s="5">
        <f>D1473/D1472-1</f>
        <v>-1.6624178465854622E-2</v>
      </c>
      <c r="L1473" s="5">
        <f>E1473/E1472-1</f>
        <v>1.2479144755578986E-2</v>
      </c>
      <c r="M1473" s="5">
        <f>F1473/F1472-1</f>
        <v>-5.6326417786523031E-4</v>
      </c>
      <c r="N1473" s="5">
        <f>SUMPRODUCT(I1473:M1473,$AJ$13:$AN$13)</f>
        <v>-2.9700710996779863E-3</v>
      </c>
    </row>
    <row r="1474" spans="1:14" x14ac:dyDescent="0.35">
      <c r="A1474" s="3">
        <v>45971</v>
      </c>
      <c r="B1474" s="4">
        <v>52.845085144042898</v>
      </c>
      <c r="C1474" s="4">
        <v>152.43960571289</v>
      </c>
      <c r="D1474" s="4">
        <v>142.06848144531199</v>
      </c>
      <c r="E1474" s="4">
        <v>23.528934478759702</v>
      </c>
      <c r="F1474" s="4">
        <v>503.90457153320301</v>
      </c>
      <c r="I1474" s="5">
        <f>B1474/B1473-1</f>
        <v>4.1353377736139674E-3</v>
      </c>
      <c r="J1474" s="5">
        <f>C1474/C1473-1</f>
        <v>4.0638815853135668E-3</v>
      </c>
      <c r="K1474" s="5">
        <f>D1474/D1473-1</f>
        <v>-2.7334627768964115E-2</v>
      </c>
      <c r="L1474" s="5">
        <f>E1474/E1473-1</f>
        <v>-5.3409973635276664E-3</v>
      </c>
      <c r="M1474" s="5">
        <f>F1474/F1473-1</f>
        <v>1.8477483350534119E-2</v>
      </c>
      <c r="N1474" s="5">
        <f>SUMPRODUCT(I1474:M1474,$AJ$13:$AN$13)</f>
        <v>-1.1884813645379147E-2</v>
      </c>
    </row>
    <row r="1475" spans="1:14" x14ac:dyDescent="0.35">
      <c r="A1475" s="3">
        <v>45972</v>
      </c>
      <c r="B1475" s="4">
        <v>53.052825927734297</v>
      </c>
      <c r="C1475" s="4">
        <v>153.01744079589801</v>
      </c>
      <c r="D1475" s="4">
        <v>138.15557861328099</v>
      </c>
      <c r="E1475" s="4">
        <v>24.024587631225501</v>
      </c>
      <c r="F1475" s="4">
        <v>506.573486328125</v>
      </c>
      <c r="I1475" s="5">
        <f>B1475/B1474-1</f>
        <v>3.9311278073475009E-3</v>
      </c>
      <c r="J1475" s="5">
        <f>C1475/C1474-1</f>
        <v>3.7905836892304645E-3</v>
      </c>
      <c r="K1475" s="5">
        <f>D1475/D1474-1</f>
        <v>-2.7542371060939597E-2</v>
      </c>
      <c r="L1475" s="5">
        <f>E1475/E1474-1</f>
        <v>2.1065686289926999E-2</v>
      </c>
      <c r="M1475" s="5">
        <f>F1475/F1474-1</f>
        <v>5.2964687079568584E-3</v>
      </c>
      <c r="N1475" s="5">
        <f>SUMPRODUCT(I1475:M1475,$AJ$13:$AN$13)</f>
        <v>-3.9893365254225592E-3</v>
      </c>
    </row>
    <row r="1476" spans="1:14" x14ac:dyDescent="0.35">
      <c r="A1476" s="3">
        <v>45973</v>
      </c>
      <c r="B1476" s="4">
        <v>53.527656555175703</v>
      </c>
      <c r="C1476" s="4">
        <v>150.15766906738199</v>
      </c>
      <c r="D1476" s="4">
        <v>140.09710693359301</v>
      </c>
      <c r="E1476" s="4">
        <v>23.558090209960898</v>
      </c>
      <c r="F1476" s="4">
        <v>509.02331542968699</v>
      </c>
      <c r="I1476" s="5">
        <f>B1476/B1475-1</f>
        <v>8.9501476903077748E-3</v>
      </c>
      <c r="J1476" s="5">
        <f>C1476/C1475-1</f>
        <v>-1.8689188066676188E-2</v>
      </c>
      <c r="K1476" s="5">
        <f>D1476/D1475-1</f>
        <v>1.4053202482301907E-2</v>
      </c>
      <c r="L1476" s="5">
        <f>E1476/E1475-1</f>
        <v>-1.9417499622689904E-2</v>
      </c>
      <c r="M1476" s="5">
        <f>F1476/F1475-1</f>
        <v>4.8360784124716893E-3</v>
      </c>
      <c r="N1476" s="5">
        <f>SUMPRODUCT(I1476:M1476,$AJ$13:$AN$13)</f>
        <v>-2.1165745873332072E-3</v>
      </c>
    </row>
    <row r="1477" spans="1:14" x14ac:dyDescent="0.35">
      <c r="A1477" s="3">
        <v>45974</v>
      </c>
      <c r="B1477" s="4">
        <v>52.301002502441399</v>
      </c>
      <c r="C1477" s="4">
        <v>152.37104797363199</v>
      </c>
      <c r="D1477" s="4">
        <v>133.35658264160099</v>
      </c>
      <c r="E1477" s="4">
        <v>23.713588714599599</v>
      </c>
      <c r="F1477" s="4">
        <v>501.205810546875</v>
      </c>
      <c r="I1477" s="5">
        <f>B1477/B1476-1</f>
        <v>-2.2916266686733855E-2</v>
      </c>
      <c r="J1477" s="5">
        <f>C1477/C1476-1</f>
        <v>1.4740365377253983E-2</v>
      </c>
      <c r="K1477" s="5">
        <f>D1477/D1476-1</f>
        <v>-4.8113229741332697E-2</v>
      </c>
      <c r="L1477" s="5">
        <f>E1477/E1476-1</f>
        <v>6.6006413615375958E-3</v>
      </c>
      <c r="M1477" s="5">
        <f>F1477/F1476-1</f>
        <v>-1.5357852274827333E-2</v>
      </c>
      <c r="N1477" s="5">
        <f>SUMPRODUCT(I1477:M1477,$AJ$13:$AN$13)</f>
        <v>-2.0952506855595781E-2</v>
      </c>
    </row>
    <row r="1478" spans="1:14" x14ac:dyDescent="0.35">
      <c r="A1478" s="3">
        <v>45975</v>
      </c>
      <c r="B1478" s="4">
        <v>52.043800354003899</v>
      </c>
      <c r="C1478" s="4">
        <v>154.36897277832</v>
      </c>
      <c r="D1478" s="4">
        <v>133.17736816406199</v>
      </c>
      <c r="E1478" s="4">
        <v>24.1181926727294</v>
      </c>
      <c r="F1478" s="4">
        <v>508.06726074218699</v>
      </c>
      <c r="I1478" s="5">
        <f>B1478/B1477-1</f>
        <v>-4.9177288413447817E-3</v>
      </c>
      <c r="J1478" s="5">
        <f>C1478/C1477-1</f>
        <v>1.3112233795450123E-2</v>
      </c>
      <c r="K1478" s="5">
        <f>D1478/D1477-1</f>
        <v>-1.3438742504421342E-3</v>
      </c>
      <c r="L1478" s="5">
        <f>E1478/E1477-1</f>
        <v>1.7062114174253962E-2</v>
      </c>
      <c r="M1478" s="5">
        <f>F1478/F1477-1</f>
        <v>1.368988557380324E-2</v>
      </c>
      <c r="N1478" s="5">
        <f>SUMPRODUCT(I1478:M1478,$AJ$13:$AN$13)</f>
        <v>1.2838409265115969E-2</v>
      </c>
    </row>
    <row r="1479" spans="1:14" x14ac:dyDescent="0.35">
      <c r="A1479" s="3">
        <v>45978</v>
      </c>
      <c r="B1479" s="4">
        <v>50.9259643554687</v>
      </c>
      <c r="C1479" s="4">
        <v>151.62672424316401</v>
      </c>
      <c r="D1479" s="4">
        <v>121.94650268554599</v>
      </c>
      <c r="E1479" s="4">
        <v>23.960300445556602</v>
      </c>
      <c r="F1479" s="4">
        <v>505.38839721679602</v>
      </c>
      <c r="I1479" s="5">
        <f>B1479/B1478-1</f>
        <v>-2.1478754259520505E-2</v>
      </c>
      <c r="J1479" s="5">
        <f>C1479/C1478-1</f>
        <v>-1.7764246828888108E-2</v>
      </c>
      <c r="K1479" s="5">
        <f>D1479/D1478-1</f>
        <v>-8.4330135317591037E-2</v>
      </c>
      <c r="L1479" s="5">
        <f>E1479/E1478-1</f>
        <v>-6.5466027788777525E-3</v>
      </c>
      <c r="M1479" s="5">
        <f>F1479/F1478-1</f>
        <v>-5.272655280872951E-3</v>
      </c>
      <c r="N1479" s="5">
        <f>SUMPRODUCT(I1479:M1479,$AJ$13:$AN$13)</f>
        <v>-4.1934714319837731E-2</v>
      </c>
    </row>
    <row r="1480" spans="1:14" x14ac:dyDescent="0.35">
      <c r="A1480" s="3">
        <v>45979</v>
      </c>
      <c r="B1480" s="4">
        <v>51.084239959716797</v>
      </c>
      <c r="C1480" s="4">
        <v>152.13179016113199</v>
      </c>
      <c r="D1480" s="4">
        <v>122.15559387207</v>
      </c>
      <c r="E1480" s="4">
        <v>23.960300445556602</v>
      </c>
      <c r="F1480" s="4">
        <v>491.74517822265602</v>
      </c>
      <c r="I1480" s="5">
        <f>B1480/B1479-1</f>
        <v>3.1079549744668089E-3</v>
      </c>
      <c r="J1480" s="5">
        <f>C1480/C1479-1</f>
        <v>3.330982189907461E-3</v>
      </c>
      <c r="K1480" s="5">
        <f>D1480/D1479-1</f>
        <v>1.7146140473021099E-3</v>
      </c>
      <c r="L1480" s="5">
        <f>E1480/E1479-1</f>
        <v>0</v>
      </c>
      <c r="M1480" s="5">
        <f>F1480/F1479-1</f>
        <v>-2.6995512895179319E-2</v>
      </c>
      <c r="N1480" s="5">
        <f>SUMPRODUCT(I1480:M1480,$AJ$13:$AN$13)</f>
        <v>-9.1329800482627174E-3</v>
      </c>
    </row>
    <row r="1481" spans="1:14" x14ac:dyDescent="0.35">
      <c r="A1481" s="3">
        <v>45980</v>
      </c>
      <c r="B1481" s="4">
        <v>51.460151672363203</v>
      </c>
      <c r="C1481" s="4">
        <v>150.23039245605401</v>
      </c>
      <c r="D1481" s="4">
        <v>118.86000061035099</v>
      </c>
      <c r="E1481" s="4">
        <v>22.963598251342699</v>
      </c>
      <c r="F1481" s="4">
        <v>485.10275268554602</v>
      </c>
      <c r="I1481" s="5">
        <f>B1481/B1480-1</f>
        <v>7.3586631208144571E-3</v>
      </c>
      <c r="J1481" s="5">
        <f>C1481/C1480-1</f>
        <v>-1.2498358844420965E-2</v>
      </c>
      <c r="K1481" s="5">
        <f>D1481/D1480-1</f>
        <v>-2.6978652039221229E-2</v>
      </c>
      <c r="L1481" s="5">
        <f>E1481/E1480-1</f>
        <v>-4.1598067456568133E-2</v>
      </c>
      <c r="M1481" s="5">
        <f>F1481/F1480-1</f>
        <v>-1.3507861045263581E-2</v>
      </c>
      <c r="N1481" s="5">
        <f>SUMPRODUCT(I1481:M1481,$AJ$13:$AN$13)</f>
        <v>-3.9715013962507192E-2</v>
      </c>
    </row>
    <row r="1482" spans="1:14" x14ac:dyDescent="0.35">
      <c r="A1482" s="3">
        <v>45981</v>
      </c>
      <c r="B1482" s="4">
        <v>50.451126098632798</v>
      </c>
      <c r="C1482" s="4">
        <v>148.85385131835901</v>
      </c>
      <c r="D1482" s="4">
        <v>116.888633728027</v>
      </c>
      <c r="E1482" s="4">
        <v>22.736627578735298</v>
      </c>
      <c r="F1482" s="4">
        <v>477.34048461914</v>
      </c>
      <c r="I1482" s="5">
        <f>B1482/B1481-1</f>
        <v>-1.9607901277762907E-2</v>
      </c>
      <c r="J1482" s="5">
        <f>C1482/C1481-1</f>
        <v>-9.1628672147526791E-3</v>
      </c>
      <c r="K1482" s="5">
        <f>D1482/D1481-1</f>
        <v>-1.6585620664655409E-2</v>
      </c>
      <c r="L1482" s="5">
        <f>E1482/E1481-1</f>
        <v>-9.8839332635567434E-3</v>
      </c>
      <c r="M1482" s="5">
        <f>F1482/F1481-1</f>
        <v>-1.6001286373729773E-2</v>
      </c>
      <c r="N1482" s="5">
        <f>SUMPRODUCT(I1482:M1482,$AJ$13:$AN$13)</f>
        <v>-1.2628117590795063E-2</v>
      </c>
    </row>
    <row r="1483" spans="1:14" x14ac:dyDescent="0.35">
      <c r="A1483" s="3">
        <v>45982</v>
      </c>
      <c r="B1483" s="4">
        <v>51.005104064941399</v>
      </c>
      <c r="C1483" s="4">
        <v>148.52705383300699</v>
      </c>
      <c r="D1483" s="4">
        <v>121.97637176513599</v>
      </c>
      <c r="E1483" s="4">
        <v>22.677415847778299</v>
      </c>
      <c r="F1483" s="4">
        <v>471.04486083984301</v>
      </c>
      <c r="I1483" s="5">
        <f>B1483/B1482-1</f>
        <v>1.0980487635212866E-2</v>
      </c>
      <c r="J1483" s="5">
        <f>C1483/C1482-1</f>
        <v>-2.1954251264422187E-3</v>
      </c>
      <c r="K1483" s="5">
        <f>D1483/D1482-1</f>
        <v>4.352637099811596E-2</v>
      </c>
      <c r="L1483" s="5">
        <f>E1483/E1482-1</f>
        <v>-2.6042442201225091E-3</v>
      </c>
      <c r="M1483" s="5">
        <f>F1483/F1482-1</f>
        <v>-1.3188958368616333E-2</v>
      </c>
      <c r="N1483" s="5">
        <f>SUMPRODUCT(I1483:M1483,$AJ$13:$AN$13)</f>
        <v>1.393664359087227E-2</v>
      </c>
    </row>
    <row r="1484" spans="1:14" x14ac:dyDescent="0.35">
      <c r="A1484" s="3">
        <v>45985</v>
      </c>
      <c r="B1484" s="4">
        <v>51.371120452880803</v>
      </c>
      <c r="C1484" s="4">
        <v>148.29928588867099</v>
      </c>
      <c r="D1484" s="4">
        <v>126.66585540771401</v>
      </c>
      <c r="E1484" s="4">
        <v>22.3813667297363</v>
      </c>
      <c r="F1484" s="4">
        <v>472.92059326171801</v>
      </c>
      <c r="I1484" s="5">
        <f>B1484/B1483-1</f>
        <v>7.176073741039346E-3</v>
      </c>
      <c r="J1484" s="5">
        <f>C1484/C1483-1</f>
        <v>-1.5335114947616635E-3</v>
      </c>
      <c r="K1484" s="5">
        <f>D1484/D1483-1</f>
        <v>3.844583647403077E-2</v>
      </c>
      <c r="L1484" s="5">
        <f>E1484/E1483-1</f>
        <v>-1.3054799542823736E-2</v>
      </c>
      <c r="M1484" s="5">
        <f>F1484/F1483-1</f>
        <v>3.9820674797952371E-3</v>
      </c>
      <c r="N1484" s="5">
        <f>SUMPRODUCT(I1484:M1484,$AJ$13:$AN$13)</f>
        <v>1.3222772253225282E-2</v>
      </c>
    </row>
    <row r="1485" spans="1:14" x14ac:dyDescent="0.35">
      <c r="A1485" s="3">
        <v>45986</v>
      </c>
      <c r="B1485" s="4">
        <v>51.915199279785099</v>
      </c>
      <c r="C1485" s="4">
        <v>147.09109497070301</v>
      </c>
      <c r="D1485" s="4">
        <v>125.371520996093</v>
      </c>
      <c r="E1485" s="4">
        <v>22.223474502563398</v>
      </c>
      <c r="F1485" s="4">
        <v>475.90374755859301</v>
      </c>
      <c r="I1485" s="5">
        <f>B1485/B1484-1</f>
        <v>1.0591141912182689E-2</v>
      </c>
      <c r="J1485" s="5">
        <f>C1485/C1484-1</f>
        <v>-8.1469773150153468E-3</v>
      </c>
      <c r="K1485" s="5">
        <f>D1485/D1484-1</f>
        <v>-1.0218495011578232E-2</v>
      </c>
      <c r="L1485" s="5">
        <f>E1485/E1484-1</f>
        <v>-7.0546284808926663E-3</v>
      </c>
      <c r="M1485" s="5">
        <f>F1485/F1484-1</f>
        <v>6.3079390903666432E-3</v>
      </c>
      <c r="N1485" s="5">
        <f>SUMPRODUCT(I1485:M1485,$AJ$13:$AN$13)</f>
        <v>-9.3058603044831635E-3</v>
      </c>
    </row>
    <row r="1486" spans="1:14" x14ac:dyDescent="0.35">
      <c r="A1486" s="3">
        <v>45987</v>
      </c>
      <c r="B1486" s="4">
        <v>52.419712066650298</v>
      </c>
      <c r="C1486" s="4">
        <v>148.061599731445</v>
      </c>
      <c r="D1486" s="4">
        <v>132.67953491210901</v>
      </c>
      <c r="E1486" s="4">
        <v>22.253076553344702</v>
      </c>
      <c r="F1486" s="4">
        <v>484.39437866210898</v>
      </c>
      <c r="I1486" s="5">
        <f>B1486/B1485-1</f>
        <v>9.7180169558097607E-3</v>
      </c>
      <c r="J1486" s="5">
        <f>C1486/C1485-1</f>
        <v>6.5979844730592596E-3</v>
      </c>
      <c r="K1486" s="5">
        <f>D1486/D1485-1</f>
        <v>5.8290861097902269E-2</v>
      </c>
      <c r="L1486" s="5">
        <f>E1486/E1485-1</f>
        <v>1.3320172225044224E-3</v>
      </c>
      <c r="M1486" s="5">
        <f>F1486/F1485-1</f>
        <v>1.7841067961900325E-2</v>
      </c>
      <c r="N1486" s="5">
        <f>SUMPRODUCT(I1486:M1486,$AJ$13:$AN$13)</f>
        <v>3.3905843864879541E-2</v>
      </c>
    </row>
    <row r="1487" spans="1:14" x14ac:dyDescent="0.35">
      <c r="A1487" s="3">
        <v>45989</v>
      </c>
      <c r="B1487" s="4">
        <v>53.072612762451101</v>
      </c>
      <c r="C1487" s="4">
        <v>149.665924072265</v>
      </c>
      <c r="D1487" s="4">
        <v>132.76916503906199</v>
      </c>
      <c r="E1487" s="4">
        <v>22.6083374023437</v>
      </c>
      <c r="F1487" s="4">
        <v>490.88958740234301</v>
      </c>
      <c r="I1487" s="5">
        <f>B1487/B1486-1</f>
        <v>1.245525147048987E-2</v>
      </c>
      <c r="J1487" s="5">
        <f>C1487/C1486-1</f>
        <v>1.0835519430628437E-2</v>
      </c>
      <c r="K1487" s="5">
        <f>D1487/D1486-1</f>
        <v>6.7553844692302967E-4</v>
      </c>
      <c r="L1487" s="5">
        <f>E1487/E1486-1</f>
        <v>1.5964572275989575E-2</v>
      </c>
      <c r="M1487" s="5">
        <f>F1487/F1486-1</f>
        <v>1.3408926747196626E-2</v>
      </c>
      <c r="N1487" s="5">
        <f>SUMPRODUCT(I1487:M1487,$AJ$13:$AN$13)</f>
        <v>8.3332669715038415E-3</v>
      </c>
    </row>
    <row r="1488" spans="1:14" x14ac:dyDescent="0.35">
      <c r="A1488" s="3">
        <v>45992</v>
      </c>
      <c r="B1488" s="4">
        <v>52.667022705078097</v>
      </c>
      <c r="C1488" s="4">
        <v>151.062240600585</v>
      </c>
      <c r="D1488" s="4">
        <v>131.51463317871</v>
      </c>
      <c r="E1488" s="4">
        <v>22.509654998779201</v>
      </c>
      <c r="F1488" s="4">
        <v>485.63156127929602</v>
      </c>
      <c r="I1488" s="5">
        <f>B1488/B1487-1</f>
        <v>-7.6421724174084993E-3</v>
      </c>
      <c r="J1488" s="5">
        <f>C1488/C1487-1</f>
        <v>9.3295553879437776E-3</v>
      </c>
      <c r="K1488" s="5">
        <f>D1488/D1487-1</f>
        <v>-9.44897002239109E-3</v>
      </c>
      <c r="L1488" s="5">
        <f>E1488/E1487-1</f>
        <v>-4.3648677834341454E-3</v>
      </c>
      <c r="M1488" s="5">
        <f>F1488/F1487-1</f>
        <v>-1.0711219504310643E-2</v>
      </c>
      <c r="N1488" s="5">
        <f>SUMPRODUCT(I1488:M1488,$AJ$13:$AN$13)</f>
        <v>-8.6328063231494879E-3</v>
      </c>
    </row>
    <row r="1489" spans="1:14" x14ac:dyDescent="0.35">
      <c r="A1489" s="3">
        <v>45993</v>
      </c>
      <c r="B1489" s="4">
        <v>52.617557525634702</v>
      </c>
      <c r="C1489" s="4">
        <v>148.79443359375</v>
      </c>
      <c r="D1489" s="4">
        <v>135.35783386230401</v>
      </c>
      <c r="E1489" s="4">
        <v>22.489919662475501</v>
      </c>
      <c r="F1489" s="4">
        <v>488.88415527343699</v>
      </c>
      <c r="I1489" s="5">
        <f>B1489/B1488-1</f>
        <v>-9.3920591867113767E-4</v>
      </c>
      <c r="J1489" s="5">
        <f>C1489/C1488-1</f>
        <v>-1.5012401496355299E-2</v>
      </c>
      <c r="K1489" s="5">
        <f>D1489/D1488-1</f>
        <v>2.9222608851226628E-2</v>
      </c>
      <c r="L1489" s="5">
        <f>E1489/E1488-1</f>
        <v>-8.7674983489394176E-4</v>
      </c>
      <c r="M1489" s="5">
        <f>F1489/F1488-1</f>
        <v>6.6976577584303421E-3</v>
      </c>
      <c r="N1489" s="5">
        <f>SUMPRODUCT(I1489:M1489,$AJ$13:$AN$13)</f>
        <v>1.7806533462736886E-2</v>
      </c>
    </row>
    <row r="1490" spans="1:14" x14ac:dyDescent="0.35">
      <c r="A1490" s="3">
        <v>45994</v>
      </c>
      <c r="B1490" s="4">
        <v>53.507877349853501</v>
      </c>
      <c r="C1490" s="4">
        <v>150.12145996093699</v>
      </c>
      <c r="D1490" s="4">
        <v>133.04794311523401</v>
      </c>
      <c r="E1490" s="4">
        <v>23.0918865203857</v>
      </c>
      <c r="F1490" s="4">
        <v>476.64208984375</v>
      </c>
      <c r="I1490" s="5">
        <f>B1490/B1489-1</f>
        <v>1.6920584422510432E-2</v>
      </c>
      <c r="J1490" s="5">
        <f>C1490/C1489-1</f>
        <v>8.9185215813256669E-3</v>
      </c>
      <c r="K1490" s="5">
        <f>D1490/D1489-1</f>
        <v>-1.7065068796977001E-2</v>
      </c>
      <c r="L1490" s="5">
        <f>E1490/E1489-1</f>
        <v>2.6766074176537868E-2</v>
      </c>
      <c r="M1490" s="5">
        <f>F1490/F1489-1</f>
        <v>-2.504083083412656E-2</v>
      </c>
      <c r="N1490" s="5">
        <f>SUMPRODUCT(I1490:M1490,$AJ$13:$AN$13)</f>
        <v>-9.9293253131987214E-3</v>
      </c>
    </row>
    <row r="1491" spans="1:14" x14ac:dyDescent="0.35">
      <c r="A1491" s="3">
        <v>45995</v>
      </c>
      <c r="B1491" s="4">
        <v>53.577121734619098</v>
      </c>
      <c r="C1491" s="4">
        <v>150.78495788574199</v>
      </c>
      <c r="D1491" s="4">
        <v>138.38459777832</v>
      </c>
      <c r="E1491" s="4">
        <v>23.062282562255799</v>
      </c>
      <c r="F1491" s="4">
        <v>479.74499511718699</v>
      </c>
      <c r="I1491" s="5">
        <f>B1491/B1490-1</f>
        <v>1.2940970226280601E-3</v>
      </c>
      <c r="J1491" s="5">
        <f>C1491/C1490-1</f>
        <v>4.4197406884909363E-3</v>
      </c>
      <c r="K1491" s="5">
        <f>D1491/D1490-1</f>
        <v>4.0110764121049636E-2</v>
      </c>
      <c r="L1491" s="5">
        <f>E1491/E1490-1</f>
        <v>-1.2820069119846567E-3</v>
      </c>
      <c r="M1491" s="5">
        <f>F1491/F1490-1</f>
        <v>6.5099271330699704E-3</v>
      </c>
      <c r="N1491" s="5">
        <f>SUMPRODUCT(I1491:M1491,$AJ$13:$AN$13)</f>
        <v>2.1941096744875575E-2</v>
      </c>
    </row>
    <row r="1492" spans="1:14" x14ac:dyDescent="0.35">
      <c r="A1492" s="3">
        <v>45996</v>
      </c>
      <c r="B1492" s="4">
        <v>53.646728515625</v>
      </c>
      <c r="C1492" s="4">
        <v>148.54685974121</v>
      </c>
      <c r="D1492" s="4">
        <v>138.30494689941401</v>
      </c>
      <c r="E1492" s="4">
        <v>22.6872844696044</v>
      </c>
      <c r="F1492" s="4">
        <v>482.05972290039</v>
      </c>
      <c r="I1492" s="5">
        <f>B1492/B1491-1</f>
        <v>1.2991885109223666E-3</v>
      </c>
      <c r="J1492" s="5">
        <f>C1492/C1491-1</f>
        <v>-1.484298020116781E-2</v>
      </c>
      <c r="K1492" s="5">
        <f>D1492/D1491-1</f>
        <v>-5.7557618539016975E-4</v>
      </c>
      <c r="L1492" s="5">
        <f>E1492/E1491-1</f>
        <v>-1.6260233202810892E-2</v>
      </c>
      <c r="M1492" s="5">
        <f>F1492/F1491-1</f>
        <v>4.8249128323634149E-3</v>
      </c>
      <c r="N1492" s="5">
        <f>SUMPRODUCT(I1492:M1492,$AJ$13:$AN$13)</f>
        <v>-6.1751045932873566E-3</v>
      </c>
    </row>
    <row r="1493" spans="1:14" x14ac:dyDescent="0.35">
      <c r="A1493" s="3">
        <v>45999</v>
      </c>
      <c r="B1493" s="4">
        <v>53.597007751464801</v>
      </c>
      <c r="C1493" s="4">
        <v>147.26936340332</v>
      </c>
      <c r="D1493" s="4">
        <v>139.79840087890599</v>
      </c>
      <c r="E1493" s="4">
        <v>22.7859687805175</v>
      </c>
      <c r="F1493" s="4">
        <v>489.90182495117102</v>
      </c>
      <c r="I1493" s="5">
        <f>B1493/B1492-1</f>
        <v>-9.2681819629913953E-4</v>
      </c>
      <c r="J1493" s="5">
        <f>C1493/C1492-1</f>
        <v>-8.5999551933685359E-3</v>
      </c>
      <c r="K1493" s="5">
        <f>D1493/D1492-1</f>
        <v>1.0798268702406855E-2</v>
      </c>
      <c r="L1493" s="5">
        <f>E1493/E1492-1</f>
        <v>4.3497630157243172E-3</v>
      </c>
      <c r="M1493" s="5">
        <f>F1493/F1492-1</f>
        <v>1.6267905569039787E-2</v>
      </c>
      <c r="N1493" s="5">
        <f>SUMPRODUCT(I1493:M1493,$AJ$13:$AN$13)</f>
        <v>1.3638843274804364E-2</v>
      </c>
    </row>
    <row r="1494" spans="1:14" x14ac:dyDescent="0.35">
      <c r="A1494" s="3">
        <v>46000</v>
      </c>
      <c r="B1494" s="4">
        <v>53.2390327453613</v>
      </c>
      <c r="C1494" s="4">
        <v>147.051498413085</v>
      </c>
      <c r="D1494" s="4">
        <v>137.61795043945301</v>
      </c>
      <c r="E1494" s="4">
        <v>22.677415847778299</v>
      </c>
      <c r="F1494" s="4">
        <v>490.89953613281199</v>
      </c>
      <c r="I1494" s="5">
        <f>B1494/B1493-1</f>
        <v>-6.6790110329194574E-3</v>
      </c>
      <c r="J1494" s="5">
        <f>C1494/C1493-1</f>
        <v>-1.4793639708915451E-3</v>
      </c>
      <c r="K1494" s="5">
        <f>D1494/D1493-1</f>
        <v>-1.5597105730427496E-2</v>
      </c>
      <c r="L1494" s="5">
        <f>E1494/E1493-1</f>
        <v>-4.7640253431758817E-3</v>
      </c>
      <c r="M1494" s="5">
        <f>F1494/F1493-1</f>
        <v>2.0365533068598118E-3</v>
      </c>
      <c r="N1494" s="5">
        <f>SUMPRODUCT(I1494:M1494,$AJ$13:$AN$13)</f>
        <v>-7.6865795668302674E-3</v>
      </c>
    </row>
    <row r="1495" spans="1:14" x14ac:dyDescent="0.35">
      <c r="A1495" s="3">
        <v>46001</v>
      </c>
      <c r="B1495" s="4">
        <v>53.775997161865199</v>
      </c>
      <c r="C1495" s="4">
        <v>149.94320678710901</v>
      </c>
      <c r="D1495" s="4">
        <v>140.01745605468699</v>
      </c>
      <c r="E1495" s="4">
        <v>22.6971530914306</v>
      </c>
      <c r="F1495" s="4">
        <v>477.47018432617102</v>
      </c>
      <c r="I1495" s="5">
        <f>B1495/B1494-1</f>
        <v>1.0085916081010726E-2</v>
      </c>
      <c r="J1495" s="5">
        <f>C1495/C1494-1</f>
        <v>1.9664596452467764E-2</v>
      </c>
      <c r="K1495" s="5">
        <f>D1495/D1494-1</f>
        <v>1.743599296146825E-2</v>
      </c>
      <c r="L1495" s="5">
        <f>E1495/E1494-1</f>
        <v>8.7034800546881286E-4</v>
      </c>
      <c r="M1495" s="5">
        <f>F1495/F1494-1</f>
        <v>-2.7356619467262422E-2</v>
      </c>
      <c r="N1495" s="5">
        <f>SUMPRODUCT(I1495:M1495,$AJ$13:$AN$13)</f>
        <v>-3.2144756815629715E-3</v>
      </c>
    </row>
    <row r="1496" spans="1:14" x14ac:dyDescent="0.35">
      <c r="A1496" s="3">
        <v>46002</v>
      </c>
      <c r="B1496" s="4">
        <v>54.253299713134702</v>
      </c>
      <c r="C1496" s="4">
        <v>149.25988769531199</v>
      </c>
      <c r="D1496" s="4">
        <v>137.99629211425699</v>
      </c>
      <c r="E1496" s="4">
        <v>22.460313796996999</v>
      </c>
      <c r="F1496" s="4">
        <v>482.36901855468699</v>
      </c>
      <c r="I1496" s="5">
        <f>B1496/B1495-1</f>
        <v>8.875754545895731E-3</v>
      </c>
      <c r="J1496" s="5">
        <f>C1496/C1495-1</f>
        <v>-4.5571860602341419E-3</v>
      </c>
      <c r="K1496" s="5">
        <f>D1496/D1495-1</f>
        <v>-1.4435085434208905E-2</v>
      </c>
      <c r="L1496" s="5">
        <f>E1496/E1495-1</f>
        <v>-1.0434757763651881E-2</v>
      </c>
      <c r="M1496" s="5">
        <f>F1496/F1495-1</f>
        <v>1.0259979343902881E-2</v>
      </c>
      <c r="N1496" s="5">
        <f>SUMPRODUCT(I1496:M1496,$AJ$13:$AN$13)</f>
        <v>-1.1382042528600709E-2</v>
      </c>
    </row>
    <row r="1497" spans="1:14" x14ac:dyDescent="0.35">
      <c r="A1497" s="3">
        <v>46003</v>
      </c>
      <c r="B1497" s="4">
        <v>54.83003616333</v>
      </c>
      <c r="C1497" s="4">
        <v>148.53695678710901</v>
      </c>
      <c r="D1497" s="4">
        <v>129.41383361816401</v>
      </c>
      <c r="E1497" s="4">
        <v>22.756362915038999</v>
      </c>
      <c r="F1497" s="4">
        <v>477.44027709960898</v>
      </c>
      <c r="I1497" s="5">
        <f>B1497/B1496-1</f>
        <v>1.0630440051477175E-2</v>
      </c>
      <c r="J1497" s="5">
        <f>C1497/C1496-1</f>
        <v>-4.8434373049959234E-3</v>
      </c>
      <c r="K1497" s="5">
        <f>D1497/D1496-1</f>
        <v>-6.2193399290663254E-2</v>
      </c>
      <c r="L1497" s="5">
        <f>E1497/E1496-1</f>
        <v>1.3180987617438467E-2</v>
      </c>
      <c r="M1497" s="5">
        <f>F1497/F1496-1</f>
        <v>-1.0217781958397509E-2</v>
      </c>
      <c r="N1497" s="5">
        <f>SUMPRODUCT(I1497:M1497,$AJ$13:$AN$13)</f>
        <v>-3.2552492238991371E-2</v>
      </c>
    </row>
    <row r="1498" spans="1:14" x14ac:dyDescent="0.35">
      <c r="A1498" s="3">
        <v>46006</v>
      </c>
      <c r="B1498" s="4">
        <v>55.018970489501903</v>
      </c>
      <c r="C1498" s="4">
        <v>148.34880065917901</v>
      </c>
      <c r="D1498" s="4">
        <v>129.94151306152301</v>
      </c>
      <c r="E1498" s="4">
        <v>22.578731536865199</v>
      </c>
      <c r="F1498" s="4">
        <v>473.73870849609301</v>
      </c>
      <c r="I1498" s="5">
        <f>B1498/B1497-1</f>
        <v>3.4458180113012826E-3</v>
      </c>
      <c r="J1498" s="5">
        <f>C1498/C1497-1</f>
        <v>-1.2667293850625594E-3</v>
      </c>
      <c r="K1498" s="5">
        <f>D1498/D1497-1</f>
        <v>4.0774577848912141E-3</v>
      </c>
      <c r="L1498" s="5">
        <f>E1498/E1497-1</f>
        <v>-7.8057894768591707E-3</v>
      </c>
      <c r="M1498" s="5">
        <f>F1498/F1497-1</f>
        <v>-7.7529458260257034E-3</v>
      </c>
      <c r="N1498" s="5">
        <f>SUMPRODUCT(I1498:M1498,$AJ$13:$AN$13)</f>
        <v>-5.0692015965807767E-3</v>
      </c>
    </row>
    <row r="1499" spans="1:14" x14ac:dyDescent="0.35">
      <c r="A1499" s="3">
        <v>46007</v>
      </c>
      <c r="B1499" s="4">
        <v>54.5018920898437</v>
      </c>
      <c r="C1499" s="4">
        <v>145.32833862304599</v>
      </c>
      <c r="D1499" s="4">
        <v>133.16741943359301</v>
      </c>
      <c r="E1499" s="4">
        <v>22.114921569824201</v>
      </c>
      <c r="F1499" s="4">
        <v>475.30514526367102</v>
      </c>
      <c r="I1499" s="5">
        <f>B1499/B1498-1</f>
        <v>-9.3981838456403954E-3</v>
      </c>
      <c r="J1499" s="5">
        <f>C1499/C1498-1</f>
        <v>-2.0360542334766252E-2</v>
      </c>
      <c r="K1499" s="5">
        <f>D1499/D1498-1</f>
        <v>2.4825833531295194E-2</v>
      </c>
      <c r="L1499" s="5">
        <f>E1499/E1498-1</f>
        <v>-2.0541896531420134E-2</v>
      </c>
      <c r="M1499" s="5">
        <f>F1499/F1498-1</f>
        <v>3.306541643073091E-3</v>
      </c>
      <c r="N1499" s="5">
        <f>SUMPRODUCT(I1499:M1499,$AJ$13:$AN$13)</f>
        <v>7.8174605902201488E-3</v>
      </c>
    </row>
    <row r="1500" spans="1:14" x14ac:dyDescent="0.35">
      <c r="A1500" s="3">
        <v>46008</v>
      </c>
      <c r="B1500" s="4">
        <v>54.243354797363203</v>
      </c>
      <c r="C1500" s="4">
        <v>148.071517944335</v>
      </c>
      <c r="D1500" s="4">
        <v>127.33293914794901</v>
      </c>
      <c r="E1500" s="4">
        <v>22.588600158691399</v>
      </c>
      <c r="F1500" s="4">
        <v>475.03573608398398</v>
      </c>
      <c r="I1500" s="5">
        <f>B1500/B1499-1</f>
        <v>-4.7436388456809642E-3</v>
      </c>
      <c r="J1500" s="5">
        <f>C1500/C1499-1</f>
        <v>1.8875735780647052E-2</v>
      </c>
      <c r="K1500" s="5">
        <f>D1500/D1499-1</f>
        <v>-4.3813121185798054E-2</v>
      </c>
      <c r="L1500" s="5">
        <f>E1500/E1499-1</f>
        <v>2.1418958569291657E-2</v>
      </c>
      <c r="M1500" s="5">
        <f>F1500/F1499-1</f>
        <v>-5.6681309338146857E-4</v>
      </c>
      <c r="N1500" s="5">
        <f>SUMPRODUCT(I1500:M1500,$AJ$13:$AN$13)</f>
        <v>-1.2239964623067905E-2</v>
      </c>
    </row>
    <row r="1501" spans="1:14" x14ac:dyDescent="0.35">
      <c r="A1501" s="3">
        <v>46009</v>
      </c>
      <c r="B1501" s="4">
        <v>53.954982757568303</v>
      </c>
      <c r="C1501" s="4">
        <v>146.25924682617099</v>
      </c>
      <c r="D1501" s="4">
        <v>122.404502868652</v>
      </c>
      <c r="E1501" s="4">
        <v>22.351760864257798</v>
      </c>
      <c r="F1501" s="4">
        <v>482.87786865234301</v>
      </c>
      <c r="I1501" s="5">
        <f>B1501/B1500-1</f>
        <v>-5.3162648378252131E-3</v>
      </c>
      <c r="J1501" s="5">
        <f>C1501/C1500-1</f>
        <v>-1.2239160800967097E-2</v>
      </c>
      <c r="K1501" s="5">
        <f>D1501/D1500-1</f>
        <v>-3.8705116777133508E-2</v>
      </c>
      <c r="L1501" s="5">
        <f>E1501/E1500-1</f>
        <v>-1.0484903569488058E-2</v>
      </c>
      <c r="M1501" s="5">
        <f>F1501/F1500-1</f>
        <v>1.6508510776487295E-2</v>
      </c>
      <c r="N1501" s="5">
        <f>SUMPRODUCT(I1501:M1501,$AJ$13:$AN$13)</f>
        <v>-1.7598721559480474E-2</v>
      </c>
    </row>
    <row r="1502" spans="1:14" x14ac:dyDescent="0.35">
      <c r="A1502" s="3">
        <v>46010</v>
      </c>
      <c r="B1502" s="4">
        <v>54.9593086242675</v>
      </c>
      <c r="C1502" s="4">
        <v>146.31864929199199</v>
      </c>
      <c r="D1502" s="4">
        <v>125.869338989257</v>
      </c>
      <c r="E1502" s="4">
        <v>22.519523620605401</v>
      </c>
      <c r="F1502" s="4">
        <v>484.81344604492102</v>
      </c>
      <c r="I1502" s="5">
        <f>B1502/B1501-1</f>
        <v>1.8614144892082685E-2</v>
      </c>
      <c r="J1502" s="5">
        <f>C1502/C1501-1</f>
        <v>4.0614502747704506E-4</v>
      </c>
      <c r="K1502" s="5">
        <f>D1502/D1501-1</f>
        <v>2.8306443303993456E-2</v>
      </c>
      <c r="L1502" s="5">
        <f>E1502/E1501-1</f>
        <v>7.5055722619092879E-3</v>
      </c>
      <c r="M1502" s="5">
        <f>F1502/F1501-1</f>
        <v>4.0084201787502494E-3</v>
      </c>
      <c r="N1502" s="5">
        <f>SUMPRODUCT(I1502:M1502,$AJ$13:$AN$13)</f>
        <v>1.4187648738452298E-2</v>
      </c>
    </row>
    <row r="1503" spans="1:14" x14ac:dyDescent="0.35">
      <c r="A1503" s="3">
        <v>46013</v>
      </c>
      <c r="B1503" s="4">
        <v>55.565879821777301</v>
      </c>
      <c r="C1503" s="4">
        <v>148.34880065917901</v>
      </c>
      <c r="D1503" s="4">
        <v>126.05851745605401</v>
      </c>
      <c r="E1503" s="4">
        <v>22.2925510406494</v>
      </c>
      <c r="F1503" s="4">
        <v>483.81573486328102</v>
      </c>
      <c r="I1503" s="5">
        <f>B1503/B1502-1</f>
        <v>1.1036732679019945E-2</v>
      </c>
      <c r="J1503" s="5">
        <f>C1503/C1502-1</f>
        <v>1.3874864051920399E-2</v>
      </c>
      <c r="K1503" s="5">
        <f>D1503/D1502-1</f>
        <v>1.5029749764010614E-3</v>
      </c>
      <c r="L1503" s="5">
        <f>E1503/E1502-1</f>
        <v>-1.0078924571402581E-2</v>
      </c>
      <c r="M1503" s="5">
        <f>F1503/F1502-1</f>
        <v>-2.0579280335132344E-3</v>
      </c>
      <c r="N1503" s="5">
        <f>SUMPRODUCT(I1503:M1503,$AJ$13:$AN$13)</f>
        <v>-8.2608620420419037E-3</v>
      </c>
    </row>
    <row r="1504" spans="1:14" x14ac:dyDescent="0.35">
      <c r="A1504" s="3">
        <v>46014</v>
      </c>
      <c r="B1504" s="4">
        <v>55.655372619628899</v>
      </c>
      <c r="C1504" s="4">
        <v>149.05191040039</v>
      </c>
      <c r="D1504" s="4">
        <v>127.06411743164</v>
      </c>
      <c r="E1504" s="4">
        <v>22.736627578735298</v>
      </c>
      <c r="F1504" s="4">
        <v>485.74133300781199</v>
      </c>
      <c r="I1504" s="5">
        <f>B1504/B1503-1</f>
        <v>1.6105710579701338E-3</v>
      </c>
      <c r="J1504" s="5">
        <f>C1504/C1503-1</f>
        <v>4.739571456505054E-3</v>
      </c>
      <c r="K1504" s="5">
        <f>D1504/D1503-1</f>
        <v>7.977247360033024E-3</v>
      </c>
      <c r="L1504" s="5">
        <f>E1504/E1503-1</f>
        <v>1.9920400194493038E-2</v>
      </c>
      <c r="M1504" s="5">
        <f>F1504/F1503-1</f>
        <v>3.9800238102531971E-3</v>
      </c>
      <c r="N1504" s="5">
        <f>SUMPRODUCT(I1504:M1504,$AJ$13:$AN$13)</f>
        <v>1.4169906037354834E-2</v>
      </c>
    </row>
    <row r="1505" spans="1:14" x14ac:dyDescent="0.35">
      <c r="A1505" s="3">
        <v>46015</v>
      </c>
      <c r="B1505" s="4">
        <v>55.933795928955</v>
      </c>
      <c r="C1505" s="4">
        <v>149.04202270507801</v>
      </c>
      <c r="D1505" s="4">
        <v>127.82080841064401</v>
      </c>
      <c r="E1505" s="4">
        <v>22.845176696777301</v>
      </c>
      <c r="F1505" s="4">
        <v>486.90863037109301</v>
      </c>
      <c r="I1505" s="5">
        <f>B1505/B1504-1</f>
        <v>5.0026313044198023E-3</v>
      </c>
      <c r="J1505" s="5">
        <f>C1505/C1504-1</f>
        <v>-6.6337259854165609E-5</v>
      </c>
      <c r="K1505" s="5">
        <f>D1505/D1504-1</f>
        <v>5.9551901378538386E-3</v>
      </c>
      <c r="L1505" s="5">
        <f>E1505/E1504-1</f>
        <v>4.7741960704641428E-3</v>
      </c>
      <c r="M1505" s="5">
        <f>F1505/F1504-1</f>
        <v>2.4031254578498196E-3</v>
      </c>
      <c r="N1505" s="5">
        <f>SUMPRODUCT(I1505:M1505,$AJ$13:$AN$13)</f>
        <v>4.6895784526464115E-3</v>
      </c>
    </row>
    <row r="1506" spans="1:14" x14ac:dyDescent="0.35">
      <c r="A1506" s="3">
        <v>46017</v>
      </c>
      <c r="B1506" s="4">
        <v>55.854244232177699</v>
      </c>
      <c r="C1506" s="4">
        <v>148.56666564941401</v>
      </c>
      <c r="D1506" s="4">
        <v>128.67706298828099</v>
      </c>
      <c r="E1506" s="4">
        <v>22.736627578735298</v>
      </c>
      <c r="F1506" s="4">
        <v>486.599365234375</v>
      </c>
      <c r="I1506" s="5">
        <f>B1506/B1505-1</f>
        <v>-1.4222474168987809E-3</v>
      </c>
      <c r="J1506" s="5">
        <f>C1506/C1505-1</f>
        <v>-3.189416293716274E-3</v>
      </c>
      <c r="K1506" s="5">
        <f>D1506/D1505-1</f>
        <v>6.6988668612244506E-3</v>
      </c>
      <c r="L1506" s="5">
        <f>E1506/E1505-1</f>
        <v>-4.7515114232982159E-3</v>
      </c>
      <c r="M1506" s="5">
        <f>F1506/F1505-1</f>
        <v>-6.3516051560286169E-4</v>
      </c>
      <c r="N1506" s="5">
        <f>SUMPRODUCT(I1506:M1506,$AJ$13:$AN$13)</f>
        <v>1.5713928742852438E-3</v>
      </c>
    </row>
    <row r="1507" spans="1:14" x14ac:dyDescent="0.35">
      <c r="A1507" s="3">
        <v>46020</v>
      </c>
      <c r="B1507" s="4">
        <v>55.038856506347599</v>
      </c>
      <c r="C1507" s="4">
        <v>149.52726745605401</v>
      </c>
      <c r="D1507" s="4">
        <v>126.904808044433</v>
      </c>
      <c r="E1507" s="4">
        <v>23.022808074951101</v>
      </c>
      <c r="F1507" s="4">
        <v>485.99075317382801</v>
      </c>
      <c r="I1507" s="5">
        <f>B1507/B1506-1</f>
        <v>-1.459849178946282E-2</v>
      </c>
      <c r="J1507" s="5">
        <f>C1507/C1506-1</f>
        <v>6.4657963644874084E-3</v>
      </c>
      <c r="K1507" s="5">
        <f>D1507/D1506-1</f>
        <v>-1.3772889298921953E-2</v>
      </c>
      <c r="L1507" s="5">
        <f>E1507/E1506-1</f>
        <v>1.2586760953214426E-2</v>
      </c>
      <c r="M1507" s="5">
        <f>F1507/F1506-1</f>
        <v>-1.2507456935416661E-3</v>
      </c>
      <c r="N1507" s="5">
        <f>SUMPRODUCT(I1507:M1507,$AJ$13:$AN$13)</f>
        <v>2.3025206868629903E-3</v>
      </c>
    </row>
    <row r="1508" spans="1:14" x14ac:dyDescent="0.35">
      <c r="A1508" s="3">
        <v>46021</v>
      </c>
      <c r="B1508" s="4">
        <v>54.969249725341797</v>
      </c>
      <c r="C1508" s="4">
        <v>150.83447265625</v>
      </c>
      <c r="D1508" s="4">
        <v>127.36280822753901</v>
      </c>
      <c r="E1508" s="4">
        <v>23.2892532348632</v>
      </c>
      <c r="F1508" s="4">
        <v>486.36990356445301</v>
      </c>
      <c r="I1508" s="5">
        <f>B1508/B1507-1</f>
        <v>-1.264684359817192E-3</v>
      </c>
      <c r="J1508" s="5">
        <f>C1508/C1507-1</f>
        <v>8.742252984594856E-3</v>
      </c>
      <c r="K1508" s="5">
        <f>D1508/D1507-1</f>
        <v>3.6090057592275127E-3</v>
      </c>
      <c r="L1508" s="5">
        <f>E1508/E1507-1</f>
        <v>1.1573095646920217E-2</v>
      </c>
      <c r="M1508" s="5">
        <f>F1508/F1507-1</f>
        <v>7.8015968030031857E-4</v>
      </c>
      <c r="N1508" s="5">
        <f>SUMPRODUCT(I1508:M1508,$AJ$13:$AN$13)</f>
        <v>7.6266759413132976E-3</v>
      </c>
    </row>
    <row r="1509" spans="1:14" x14ac:dyDescent="0.35">
      <c r="A1509" s="3">
        <v>46022</v>
      </c>
      <c r="B1509" s="4">
        <v>54.690822601318303</v>
      </c>
      <c r="C1509" s="4">
        <v>150.93351745605401</v>
      </c>
      <c r="D1509" s="4">
        <v>125.33168792724599</v>
      </c>
      <c r="E1509" s="4">
        <v>23.3188571929931</v>
      </c>
      <c r="F1509" s="4">
        <v>482.51867675781199</v>
      </c>
      <c r="I1509" s="5">
        <f>B1509/B1508-1</f>
        <v>-5.0651432467184732E-3</v>
      </c>
      <c r="J1509" s="5">
        <f>C1509/C1508-1</f>
        <v>6.5664564644807299E-4</v>
      </c>
      <c r="K1509" s="5">
        <f>D1509/D1508-1</f>
        <v>-1.5947515044300253E-2</v>
      </c>
      <c r="L1509" s="5">
        <f>E1509/E1508-1</f>
        <v>1.2711424377311875E-3</v>
      </c>
      <c r="M1509" s="5">
        <f>F1509/F1508-1</f>
        <v>-7.9183082226440549E-3</v>
      </c>
      <c r="N1509" s="5">
        <f>SUMPRODUCT(I1509:M1509,$AJ$13:$AN$13)</f>
        <v>-8.91116950629719E-3</v>
      </c>
    </row>
    <row r="1510" spans="1:14" x14ac:dyDescent="0.35">
      <c r="A1510" s="3">
        <v>46024</v>
      </c>
      <c r="B1510" s="4">
        <v>55.635486602783203</v>
      </c>
      <c r="C1510" s="4">
        <v>154.38969421386699</v>
      </c>
      <c r="D1510" s="4">
        <v>127.24333190917901</v>
      </c>
      <c r="E1510" s="4">
        <v>24.226743698120099</v>
      </c>
      <c r="F1510" s="4">
        <v>471.86300659179602</v>
      </c>
      <c r="I1510" s="5">
        <f>B1510/B1509-1</f>
        <v>1.7272806597758761E-2</v>
      </c>
      <c r="J1510" s="5">
        <f>C1510/C1509-1</f>
        <v>2.2898669666393312E-2</v>
      </c>
      <c r="K1510" s="5">
        <f>D1510/D1509-1</f>
        <v>1.5252678820081744E-2</v>
      </c>
      <c r="L1510" s="5">
        <f>E1510/E1509-1</f>
        <v>3.8933576273189052E-2</v>
      </c>
      <c r="M1510" s="5">
        <f>F1510/F1509-1</f>
        <v>-2.2083435687121233E-2</v>
      </c>
      <c r="N1510" s="5">
        <f>SUMPRODUCT(I1510:M1510,$AJ$13:$AN$13)</f>
        <v>1.3011009865613807E-2</v>
      </c>
    </row>
    <row r="1511" spans="1:14" x14ac:dyDescent="0.35">
      <c r="A1511" s="3">
        <v>46027</v>
      </c>
      <c r="B1511" s="4">
        <v>56.570198059082003</v>
      </c>
      <c r="C1511" s="4">
        <v>162.2626953125</v>
      </c>
      <c r="D1511" s="4">
        <v>123.469841003417</v>
      </c>
      <c r="E1511" s="4">
        <v>23.8221416473388</v>
      </c>
      <c r="F1511" s="4">
        <v>471.773193359375</v>
      </c>
      <c r="I1511" s="5">
        <f>B1511/B1510-1</f>
        <v>1.6800634152304594E-2</v>
      </c>
      <c r="J1511" s="5">
        <f>C1511/C1510-1</f>
        <v>5.0994343493724337E-2</v>
      </c>
      <c r="K1511" s="5">
        <f>D1511/D1510-1</f>
        <v>-2.9655706504568502E-2</v>
      </c>
      <c r="L1511" s="5">
        <f>E1511/E1510-1</f>
        <v>-1.6700636941674341E-2</v>
      </c>
      <c r="M1511" s="5">
        <f>F1511/F1510-1</f>
        <v>-1.9033751569064172E-4</v>
      </c>
      <c r="N1511" s="5">
        <f>SUMPRODUCT(I1511:M1511,$AJ$13:$AN$13)</f>
        <v>-2.9837606101402004E-2</v>
      </c>
    </row>
    <row r="1512" spans="1:14" x14ac:dyDescent="0.35">
      <c r="A1512" s="3">
        <v>46028</v>
      </c>
      <c r="B1512" s="4">
        <v>56.928176879882798</v>
      </c>
      <c r="C1512" s="4">
        <v>155.02349853515599</v>
      </c>
      <c r="D1512" s="4">
        <v>123.39019012451099</v>
      </c>
      <c r="E1512" s="4">
        <v>22.864913940429599</v>
      </c>
      <c r="F1512" s="4">
        <v>477.420318603515</v>
      </c>
      <c r="I1512" s="5">
        <f>B1512/B1511-1</f>
        <v>6.3280460928725191E-3</v>
      </c>
      <c r="J1512" s="5">
        <f>C1512/C1511-1</f>
        <v>-4.4614054779517298E-2</v>
      </c>
      <c r="K1512" s="5">
        <f>D1512/D1511-1</f>
        <v>-6.4510392383032578E-4</v>
      </c>
      <c r="L1512" s="5">
        <f>E1512/E1511-1</f>
        <v>-4.0182269129280135E-2</v>
      </c>
      <c r="M1512" s="5">
        <f>F1512/F1511-1</f>
        <v>1.1970000253571644E-2</v>
      </c>
      <c r="N1512" s="5">
        <f>SUMPRODUCT(I1512:M1512,$AJ$13:$AN$13)</f>
        <v>-1.5481305675118191E-2</v>
      </c>
    </row>
    <row r="1513" spans="1:14" x14ac:dyDescent="0.35">
      <c r="A1513" s="3">
        <v>46029</v>
      </c>
      <c r="B1513" s="4">
        <v>55.327224731445298</v>
      </c>
      <c r="C1513" s="4">
        <v>153.69648742675699</v>
      </c>
      <c r="D1513" s="4">
        <v>119.546997070312</v>
      </c>
      <c r="E1513" s="4">
        <v>22.746494293212798</v>
      </c>
      <c r="F1513" s="4">
        <v>482.36901855468699</v>
      </c>
      <c r="I1513" s="5">
        <f>B1513/B1512-1</f>
        <v>-2.8122315454005786E-2</v>
      </c>
      <c r="J1513" s="5">
        <f>C1513/C1512-1</f>
        <v>-8.560064254375388E-3</v>
      </c>
      <c r="K1513" s="5">
        <f>D1513/D1512-1</f>
        <v>-3.1146666119250543E-2</v>
      </c>
      <c r="L1513" s="5">
        <f>E1513/E1512-1</f>
        <v>-5.1790987503964603E-3</v>
      </c>
      <c r="M1513" s="5">
        <f>F1513/F1512-1</f>
        <v>1.0365499243197851E-2</v>
      </c>
      <c r="N1513" s="5">
        <f>SUMPRODUCT(I1513:M1513,$AJ$13:$AN$13)</f>
        <v>-6.7608394117657459E-3</v>
      </c>
    </row>
    <row r="1514" spans="1:14" x14ac:dyDescent="0.35">
      <c r="A1514" s="3">
        <v>46030</v>
      </c>
      <c r="B1514" s="4">
        <v>55.864192962646399</v>
      </c>
      <c r="C1514" s="4">
        <v>157.70724487304599</v>
      </c>
      <c r="D1514" s="4">
        <v>117.983840942382</v>
      </c>
      <c r="E1514" s="4">
        <v>23.397804260253899</v>
      </c>
      <c r="F1514" s="4">
        <v>477.02120971679602</v>
      </c>
      <c r="I1514" s="5">
        <f>B1514/B1513-1</f>
        <v>9.7053165743901104E-3</v>
      </c>
      <c r="J1514" s="5">
        <f>C1514/C1513-1</f>
        <v>2.6095309746101414E-2</v>
      </c>
      <c r="K1514" s="5">
        <f>D1514/D1513-1</f>
        <v>-1.3075662009398914E-2</v>
      </c>
      <c r="L1514" s="5">
        <f>E1514/E1513-1</f>
        <v>2.8633421864724173E-2</v>
      </c>
      <c r="M1514" s="5">
        <f>F1514/F1513-1</f>
        <v>-1.1086551233979502E-2</v>
      </c>
      <c r="N1514" s="5">
        <f>SUMPRODUCT(I1514:M1514,$AJ$13:$AN$13)</f>
        <v>-7.9423888672860944E-4</v>
      </c>
    </row>
    <row r="1515" spans="1:14" x14ac:dyDescent="0.35">
      <c r="A1515" s="3">
        <v>46031</v>
      </c>
      <c r="B1515" s="4">
        <v>55.536045074462798</v>
      </c>
      <c r="C1515" s="4">
        <v>160.53955078125</v>
      </c>
      <c r="D1515" s="4">
        <v>120.094604492187</v>
      </c>
      <c r="E1515" s="4">
        <v>23.190568923950099</v>
      </c>
      <c r="F1515" s="4">
        <v>478.18856811523398</v>
      </c>
      <c r="I1515" s="5">
        <f>B1515/B1514-1</f>
        <v>-5.8740289760028652E-3</v>
      </c>
      <c r="J1515" s="5">
        <f>C1515/C1514-1</f>
        <v>1.7959263130137071E-2</v>
      </c>
      <c r="K1515" s="5">
        <f>D1515/D1514-1</f>
        <v>1.7890276608606204E-2</v>
      </c>
      <c r="L1515" s="5">
        <f>E1515/E1514-1</f>
        <v>-8.8570420539774153E-3</v>
      </c>
      <c r="M1515" s="5">
        <f>F1515/F1514-1</f>
        <v>2.4471834263533054E-3</v>
      </c>
      <c r="N1515" s="5">
        <f>SUMPRODUCT(I1515:M1515,$AJ$13:$AN$13)</f>
        <v>7.1044097056549866E-3</v>
      </c>
    </row>
    <row r="1516" spans="1:14" x14ac:dyDescent="0.35">
      <c r="A1516" s="3">
        <v>46034</v>
      </c>
      <c r="B1516" s="4">
        <v>54.879756927490199</v>
      </c>
      <c r="C1516" s="4">
        <v>160.76730346679599</v>
      </c>
      <c r="D1516" s="4">
        <v>119.945259094238</v>
      </c>
      <c r="E1516" s="4">
        <v>23.575433731079102</v>
      </c>
      <c r="F1516" s="4">
        <v>476.09332275390602</v>
      </c>
      <c r="I1516" s="5">
        <f>B1516/B1515-1</f>
        <v>-1.1817336760164499E-2</v>
      </c>
      <c r="J1516" s="5">
        <f>C1516/C1515-1</f>
        <v>1.4186702556326924E-3</v>
      </c>
      <c r="K1516" s="5">
        <f>D1516/D1515-1</f>
        <v>-1.2435645929349537E-3</v>
      </c>
      <c r="L1516" s="5">
        <f>E1516/E1515-1</f>
        <v>1.6595746675776235E-2</v>
      </c>
      <c r="M1516" s="5">
        <f>F1516/F1515-1</f>
        <v>-4.3816299699223071E-3</v>
      </c>
      <c r="N1516" s="5">
        <f>SUMPRODUCT(I1516:M1516,$AJ$13:$AN$13)</f>
        <v>9.0145676429030062E-3</v>
      </c>
    </row>
    <row r="1517" spans="1:14" x14ac:dyDescent="0.35">
      <c r="A1517" s="3">
        <v>46035</v>
      </c>
      <c r="B1517" s="4">
        <v>54.233409881591797</v>
      </c>
      <c r="C1517" s="4">
        <v>162.28248596191401</v>
      </c>
      <c r="D1517" s="4">
        <v>119.138786315917</v>
      </c>
      <c r="E1517" s="4">
        <v>24.187271118163999</v>
      </c>
      <c r="F1517" s="4">
        <v>469.59817504882801</v>
      </c>
      <c r="I1517" s="5">
        <f>B1517/B1516-1</f>
        <v>-1.1777512913411559E-2</v>
      </c>
      <c r="J1517" s="5">
        <f>C1517/C1516-1</f>
        <v>9.4246930964476672E-3</v>
      </c>
      <c r="K1517" s="5">
        <f>D1517/D1516-1</f>
        <v>-6.7236736525565499E-3</v>
      </c>
      <c r="L1517" s="5">
        <f>E1517/E1516-1</f>
        <v>2.5952327921684004E-2</v>
      </c>
      <c r="M1517" s="5">
        <f>F1517/F1516-1</f>
        <v>-1.3642593572847472E-2</v>
      </c>
      <c r="N1517" s="5">
        <f>SUMPRODUCT(I1517:M1517,$AJ$13:$AN$13)</f>
        <v>7.1657520784154955E-3</v>
      </c>
    </row>
    <row r="1518" spans="1:14" x14ac:dyDescent="0.35">
      <c r="A1518" s="3">
        <v>46036</v>
      </c>
      <c r="B1518" s="4">
        <v>52.184989929199197</v>
      </c>
      <c r="C1518" s="4">
        <v>165.619857788085</v>
      </c>
      <c r="D1518" s="4">
        <v>118.173011779785</v>
      </c>
      <c r="E1518" s="4">
        <v>24.621477127075099</v>
      </c>
      <c r="F1518" s="4">
        <v>458.333892822265</v>
      </c>
      <c r="I1518" s="5">
        <f>B1518/B1517-1</f>
        <v>-3.777044365945148E-2</v>
      </c>
      <c r="J1518" s="5">
        <f>C1518/C1517-1</f>
        <v>2.0565200282637086E-2</v>
      </c>
      <c r="K1518" s="5">
        <f>D1518/D1517-1</f>
        <v>-8.1062982593349542E-3</v>
      </c>
      <c r="L1518" s="5">
        <f>E1518/E1517-1</f>
        <v>1.7951839493998367E-2</v>
      </c>
      <c r="M1518" s="5">
        <f>F1518/F1517-1</f>
        <v>-2.3987065591538514E-2</v>
      </c>
      <c r="N1518" s="5">
        <f>SUMPRODUCT(I1518:M1518,$AJ$13:$AN$13)</f>
        <v>6.4045681824615053E-3</v>
      </c>
    </row>
    <row r="1519" spans="1:14" x14ac:dyDescent="0.35">
      <c r="A1519" s="3">
        <v>46037</v>
      </c>
      <c r="B1519" s="4">
        <v>52.2943725585937</v>
      </c>
      <c r="C1519" s="4">
        <v>164.55030822753901</v>
      </c>
      <c r="D1519" s="4">
        <v>119.138786315917</v>
      </c>
      <c r="E1519" s="4">
        <v>24.374769210815401</v>
      </c>
      <c r="F1519" s="4">
        <v>455.62008666992102</v>
      </c>
      <c r="I1519" s="5">
        <f>B1519/B1518-1</f>
        <v>2.0960553895459366E-3</v>
      </c>
      <c r="J1519" s="5">
        <f>C1519/C1518-1</f>
        <v>-6.4578582232240889E-3</v>
      </c>
      <c r="K1519" s="5">
        <f>D1519/D1518-1</f>
        <v>8.1725473658209591E-3</v>
      </c>
      <c r="L1519" s="5">
        <f>E1519/E1518-1</f>
        <v>-1.0020029057818181E-2</v>
      </c>
      <c r="M1519" s="5">
        <f>F1519/F1518-1</f>
        <v>-5.9210243773011317E-3</v>
      </c>
      <c r="N1519" s="5">
        <f>SUMPRODUCT(I1519:M1519,$AJ$13:$AN$13)</f>
        <v>-2.7992328089641509E-3</v>
      </c>
    </row>
    <row r="1520" spans="1:14" x14ac:dyDescent="0.35">
      <c r="A1520" s="3">
        <v>46038</v>
      </c>
      <c r="B1520" s="4">
        <v>52.672237396240199</v>
      </c>
      <c r="C1520" s="4">
        <v>164.64933776855401</v>
      </c>
      <c r="D1520" s="4">
        <v>120.004997253417</v>
      </c>
      <c r="E1520" s="4">
        <v>25.035947799682599</v>
      </c>
      <c r="F1520" s="4">
        <v>458.81277465820301</v>
      </c>
      <c r="I1520" s="5">
        <f>B1520/B1519-1</f>
        <v>7.2257265774269275E-3</v>
      </c>
      <c r="J1520" s="5">
        <f>C1520/C1519-1</f>
        <v>6.0181923742175236E-4</v>
      </c>
      <c r="K1520" s="5">
        <f>D1520/D1519-1</f>
        <v>7.2706040097059166E-3</v>
      </c>
      <c r="L1520" s="5">
        <f>E1520/E1519-1</f>
        <v>2.7125532272683994E-2</v>
      </c>
      <c r="M1520" s="5">
        <f>F1520/F1519-1</f>
        <v>7.0073468701017383E-3</v>
      </c>
      <c r="N1520" s="5">
        <f>SUMPRODUCT(I1520:M1520,$AJ$13:$AN$13)</f>
        <v>1.6691467902141419E-2</v>
      </c>
    </row>
    <row r="1521" spans="1:14" x14ac:dyDescent="0.35">
      <c r="A1521" s="3">
        <v>46042</v>
      </c>
      <c r="B1521" s="4">
        <v>51.807125091552699</v>
      </c>
      <c r="C1521" s="4">
        <v>163.698638916015</v>
      </c>
      <c r="D1521" s="4">
        <v>111.06999969482401</v>
      </c>
      <c r="E1521" s="4">
        <v>24.512926101684499</v>
      </c>
      <c r="F1521" s="4">
        <v>453.48492431640602</v>
      </c>
      <c r="I1521" s="5">
        <f>B1521/B1520-1</f>
        <v>-1.6424445731808901E-2</v>
      </c>
      <c r="J1521" s="5">
        <f>C1521/C1520-1</f>
        <v>-5.7740824556209436E-3</v>
      </c>
      <c r="K1521" s="5">
        <f>D1521/D1520-1</f>
        <v>-7.445521239190378E-2</v>
      </c>
      <c r="L1521" s="5">
        <f>E1521/E1520-1</f>
        <v>-2.0890828746844226E-2</v>
      </c>
      <c r="M1521" s="5">
        <f>F1521/F1520-1</f>
        <v>-1.161225370362895E-2</v>
      </c>
      <c r="N1521" s="5">
        <f>SUMPRODUCT(I1521:M1521,$AJ$13:$AN$13)</f>
        <v>-4.7467853925057465E-2</v>
      </c>
    </row>
    <row r="1522" spans="1:14" x14ac:dyDescent="0.35">
      <c r="A1522" s="3">
        <v>46043</v>
      </c>
      <c r="B1522" s="4">
        <v>51.777294158935497</v>
      </c>
      <c r="C1522" s="4">
        <v>165.11477661132801</v>
      </c>
      <c r="D1522" s="4">
        <v>113.26000213623</v>
      </c>
      <c r="E1522" s="4">
        <v>25.331996917724599</v>
      </c>
      <c r="F1522" s="4">
        <v>443.0986328125</v>
      </c>
      <c r="I1522" s="5">
        <f>B1522/B1521-1</f>
        <v>-5.7580752771912991E-4</v>
      </c>
      <c r="J1522" s="5">
        <f>C1522/C1521-1</f>
        <v>8.650882528348669E-3</v>
      </c>
      <c r="K1522" s="5">
        <f>D1522/D1521-1</f>
        <v>1.9717317434259973E-2</v>
      </c>
      <c r="L1522" s="5">
        <f>E1522/E1521-1</f>
        <v>3.3413832875048399E-2</v>
      </c>
      <c r="M1522" s="5">
        <f>F1522/F1521-1</f>
        <v>-2.290327847075091E-2</v>
      </c>
      <c r="N1522" s="5">
        <f>SUMPRODUCT(I1522:M1522,$AJ$13:$AN$13)</f>
        <v>1.8111463009456045E-2</v>
      </c>
    </row>
    <row r="1523" spans="1:14" x14ac:dyDescent="0.35">
      <c r="A1523" s="3">
        <v>46044</v>
      </c>
      <c r="B1523" s="4">
        <v>52.155158996582003</v>
      </c>
      <c r="C1523" s="4">
        <v>165.04547119140599</v>
      </c>
      <c r="D1523" s="4">
        <v>117.169998168945</v>
      </c>
      <c r="E1523" s="4">
        <v>24.355031967163001</v>
      </c>
      <c r="F1523" s="4">
        <v>450.11264038085898</v>
      </c>
      <c r="I1523" s="5">
        <f>B1523/B1522-1</f>
        <v>7.2978869171227423E-3</v>
      </c>
      <c r="J1523" s="5">
        <f>C1523/C1522-1</f>
        <v>-4.1974086962037749E-4</v>
      </c>
      <c r="K1523" s="5">
        <f>D1523/D1522-1</f>
        <v>3.4522302304144548E-2</v>
      </c>
      <c r="L1523" s="5">
        <f>E1523/E1522-1</f>
        <v>-3.856644044820734E-2</v>
      </c>
      <c r="M1523" s="5">
        <f>F1523/F1522-1</f>
        <v>1.5829449808586915E-2</v>
      </c>
      <c r="N1523" s="5">
        <f>SUMPRODUCT(I1523:M1523,$AJ$13:$AN$13)</f>
        <v>3.1452670668952213E-3</v>
      </c>
    </row>
    <row r="1524" spans="1:14" x14ac:dyDescent="0.35">
      <c r="A1524" s="3">
        <v>46045</v>
      </c>
      <c r="B1524" s="4">
        <v>51.429264068603501</v>
      </c>
      <c r="C1524" s="4">
        <v>165.104888916015</v>
      </c>
      <c r="D1524" s="4">
        <v>115.430000305175</v>
      </c>
      <c r="E1524" s="4">
        <v>25.2727870941162</v>
      </c>
      <c r="F1524" s="4">
        <v>464.888916015625</v>
      </c>
      <c r="I1524" s="5">
        <f>B1524/B1523-1</f>
        <v>-1.3917988976432261E-2</v>
      </c>
      <c r="J1524" s="5">
        <f>C1524/C1523-1</f>
        <v>3.6000820973813852E-4</v>
      </c>
      <c r="K1524" s="5">
        <f>D1524/D1523-1</f>
        <v>-1.4850199632683525E-2</v>
      </c>
      <c r="L1524" s="5">
        <f>E1524/E1523-1</f>
        <v>3.7682361829398436E-2</v>
      </c>
      <c r="M1524" s="5">
        <f>F1524/F1523-1</f>
        <v>3.2827950848621335E-2</v>
      </c>
      <c r="N1524" s="5">
        <f>SUMPRODUCT(I1524:M1524,$AJ$13:$AN$13)</f>
        <v>2.485475320909844E-2</v>
      </c>
    </row>
    <row r="1525" spans="1:14" x14ac:dyDescent="0.35">
      <c r="A1525" s="3">
        <v>46048</v>
      </c>
      <c r="B1525" s="4">
        <v>51.727577209472599</v>
      </c>
      <c r="C1525" s="4">
        <v>165.87731933593699</v>
      </c>
      <c r="D1525" s="4">
        <v>115.930000305175</v>
      </c>
      <c r="E1525" s="4">
        <v>25.292522430419901</v>
      </c>
      <c r="F1525" s="4">
        <v>469.20904541015602</v>
      </c>
      <c r="I1525" s="5">
        <f>B1525/B1524-1</f>
        <v>5.800455174143071E-3</v>
      </c>
      <c r="J1525" s="5">
        <f>C1525/C1524-1</f>
        <v>4.6784224561327026E-3</v>
      </c>
      <c r="K1525" s="5">
        <f>D1525/D1524-1</f>
        <v>4.331629547588145E-3</v>
      </c>
      <c r="L1525" s="5">
        <f>E1525/E1524-1</f>
        <v>7.8089275354575882E-4</v>
      </c>
      <c r="M1525" s="5">
        <f>F1525/F1524-1</f>
        <v>9.2928208131033418E-3</v>
      </c>
      <c r="N1525" s="5">
        <f>SUMPRODUCT(I1525:M1525,$AJ$13:$AN$13)</f>
        <v>3.8936251672848968E-3</v>
      </c>
    </row>
    <row r="1526" spans="1:14" x14ac:dyDescent="0.35">
      <c r="A1526" s="3">
        <v>46049</v>
      </c>
      <c r="B1526" s="4">
        <v>51.876731872558501</v>
      </c>
      <c r="C1526" s="4">
        <v>167.41230773925699</v>
      </c>
      <c r="D1526" s="4">
        <v>114.66000366210901</v>
      </c>
      <c r="E1526" s="4">
        <v>25.953701019287099</v>
      </c>
      <c r="F1526" s="4">
        <v>479.485595703125</v>
      </c>
      <c r="I1526" s="5">
        <f>B1526/B1525-1</f>
        <v>2.8834650902340719E-3</v>
      </c>
      <c r="J1526" s="5">
        <f>C1526/C1525-1</f>
        <v>9.2537569901967043E-3</v>
      </c>
      <c r="K1526" s="5">
        <f>D1526/D1525-1</f>
        <v>-1.0954857584083877E-2</v>
      </c>
      <c r="L1526" s="5">
        <f>E1526/E1525-1</f>
        <v>2.6141267273207314E-2</v>
      </c>
      <c r="M1526" s="5">
        <f>F1526/F1525-1</f>
        <v>2.1901858869719293E-2</v>
      </c>
      <c r="N1526" s="5">
        <f>SUMPRODUCT(I1526:M1526,$AJ$13:$AN$13)</f>
        <v>1.2689904081695656E-2</v>
      </c>
    </row>
    <row r="1527" spans="1:14" x14ac:dyDescent="0.35">
      <c r="A1527" s="3">
        <v>46050</v>
      </c>
      <c r="B1527" s="4">
        <v>51.518756866455</v>
      </c>
      <c r="C1527" s="4">
        <v>168.28378295898401</v>
      </c>
      <c r="D1527" s="4">
        <v>117.31999969482401</v>
      </c>
      <c r="E1527" s="4">
        <v>25.8944911956787</v>
      </c>
      <c r="F1527" s="4">
        <v>480.533203125</v>
      </c>
      <c r="I1527" s="5">
        <f>B1527/B1526-1</f>
        <v>-6.9004926328610772E-3</v>
      </c>
      <c r="J1527" s="5">
        <f>C1527/C1526-1</f>
        <v>5.2055624314333304E-3</v>
      </c>
      <c r="K1527" s="5">
        <f>D1527/D1526-1</f>
        <v>2.3198987857646847E-2</v>
      </c>
      <c r="L1527" s="5">
        <f>E1527/E1526-1</f>
        <v>-2.2813634003256977E-3</v>
      </c>
      <c r="M1527" s="5">
        <f>F1527/F1526-1</f>
        <v>2.1848569201308177E-3</v>
      </c>
      <c r="N1527" s="5">
        <f>SUMPRODUCT(I1527:M1527,$AJ$13:$AN$13)</f>
        <v>1.3568109714153093E-2</v>
      </c>
    </row>
    <row r="1528" spans="1:14" x14ac:dyDescent="0.35">
      <c r="A1528" s="3">
        <v>46051</v>
      </c>
      <c r="B1528" s="4">
        <v>52.781620025634702</v>
      </c>
      <c r="C1528" s="4">
        <v>169.53158569335901</v>
      </c>
      <c r="D1528" s="4">
        <v>118.48999786376901</v>
      </c>
      <c r="E1528" s="4">
        <v>26.555667877197202</v>
      </c>
      <c r="F1528" s="4">
        <v>432.51281738281199</v>
      </c>
      <c r="I1528" s="5">
        <f>B1528/B1527-1</f>
        <v>2.4512686951147611E-2</v>
      </c>
      <c r="J1528" s="5">
        <f>C1528/C1527-1</f>
        <v>7.4148721429629916E-3</v>
      </c>
      <c r="K1528" s="5">
        <f>D1528/D1527-1</f>
        <v>9.9727085917868941E-3</v>
      </c>
      <c r="L1528" s="5">
        <f>E1528/E1527-1</f>
        <v>2.5533488050494713E-2</v>
      </c>
      <c r="M1528" s="5">
        <f>F1528/F1527-1</f>
        <v>-9.9931462446095742E-2</v>
      </c>
      <c r="N1528" s="5">
        <f>SUMPRODUCT(I1528:M1528,$AJ$13:$AN$13)</f>
        <v>-2.3590816747207498E-2</v>
      </c>
    </row>
    <row r="1529" spans="1:14" x14ac:dyDescent="0.35">
      <c r="A1529" s="3">
        <v>46052</v>
      </c>
      <c r="B1529" s="4">
        <v>52.900943756103501</v>
      </c>
      <c r="C1529" s="4">
        <v>175.186264038085</v>
      </c>
      <c r="D1529" s="4">
        <v>114.44000244140599</v>
      </c>
      <c r="E1529" s="4">
        <v>26.4964599609375</v>
      </c>
      <c r="F1529" s="4">
        <v>429.31011962890602</v>
      </c>
      <c r="I1529" s="5">
        <f>B1529/B1528-1</f>
        <v>2.2607061020645247E-3</v>
      </c>
      <c r="J1529" s="5">
        <f>C1529/C1528-1</f>
        <v>3.3354718659647897E-2</v>
      </c>
      <c r="K1529" s="5">
        <f>D1529/D1528-1</f>
        <v>-3.4180061569579867E-2</v>
      </c>
      <c r="L1529" s="5">
        <f>E1529/E1528-1</f>
        <v>-2.2295773743481462E-3</v>
      </c>
      <c r="M1529" s="5">
        <f>F1529/F1528-1</f>
        <v>-7.4048620646339769E-3</v>
      </c>
      <c r="N1529" s="5">
        <f>SUMPRODUCT(I1529:M1529,$AJ$13:$AN$13)</f>
        <v>-2.3058554843299099E-2</v>
      </c>
    </row>
    <row r="1530" spans="1:14" x14ac:dyDescent="0.35">
      <c r="A1530" s="3">
        <v>46055</v>
      </c>
      <c r="B1530" s="4">
        <v>53.726276397705</v>
      </c>
      <c r="C1530" s="4">
        <v>172.34407043457</v>
      </c>
      <c r="D1530" s="4">
        <v>119.16000366210901</v>
      </c>
      <c r="E1530" s="4">
        <v>25.608310699462798</v>
      </c>
      <c r="F1530" s="4">
        <v>422.40588378906199</v>
      </c>
      <c r="I1530" s="5">
        <f>B1530/B1529-1</f>
        <v>1.5601472922801563E-2</v>
      </c>
      <c r="J1530" s="5">
        <f>C1530/C1529-1</f>
        <v>-1.6223838205129515E-2</v>
      </c>
      <c r="K1530" s="5">
        <f>D1530/D1529-1</f>
        <v>4.1244329954638781E-2</v>
      </c>
      <c r="L1530" s="5">
        <f>E1530/E1529-1</f>
        <v>-3.351954422530623E-2</v>
      </c>
      <c r="M1530" s="5">
        <f>F1530/F1529-1</f>
        <v>-1.6082164207571026E-2</v>
      </c>
      <c r="N1530" s="5">
        <f>SUMPRODUCT(I1530:M1530,$AJ$13:$AN$13)</f>
        <v>-3.5402463070275435E-3</v>
      </c>
    </row>
    <row r="1531" spans="1:14" x14ac:dyDescent="0.35">
      <c r="A1531" s="3">
        <v>46056</v>
      </c>
      <c r="B1531" s="4">
        <v>54.143917083740199</v>
      </c>
      <c r="C1531" s="4">
        <v>176.31521606445301</v>
      </c>
      <c r="D1531" s="4">
        <v>117.150001525878</v>
      </c>
      <c r="E1531" s="4">
        <v>25.9931735992431</v>
      </c>
      <c r="F1531" s="4">
        <v>410.27355957031199</v>
      </c>
      <c r="I1531" s="5">
        <f>B1531/B1530-1</f>
        <v>7.7734902553761032E-3</v>
      </c>
      <c r="J1531" s="5">
        <f>C1531/C1530-1</f>
        <v>2.3041962626678458E-2</v>
      </c>
      <c r="K1531" s="5">
        <f>D1531/D1530-1</f>
        <v>-1.6868093944765072E-2</v>
      </c>
      <c r="L1531" s="5">
        <f>E1531/E1530-1</f>
        <v>1.5028828113538006E-2</v>
      </c>
      <c r="M1531" s="5">
        <f>F1531/F1530-1</f>
        <v>-2.8721958392058156E-2</v>
      </c>
      <c r="N1531" s="5">
        <f>SUMPRODUCT(I1531:M1531,$AJ$13:$AN$13)</f>
        <v>-1.4357982542733013E-2</v>
      </c>
    </row>
    <row r="1532" spans="1:14" x14ac:dyDescent="0.35">
      <c r="A1532" s="3">
        <v>46057</v>
      </c>
      <c r="B1532" s="4">
        <v>55.068691253662102</v>
      </c>
      <c r="C1532" s="4">
        <v>179.47430419921801</v>
      </c>
      <c r="D1532" s="4">
        <v>122.040000915527</v>
      </c>
      <c r="E1532" s="4">
        <v>26.437250137329102</v>
      </c>
      <c r="F1532" s="4">
        <v>413.24679565429602</v>
      </c>
      <c r="I1532" s="5">
        <f>B1532/B1531-1</f>
        <v>1.7079927344222812E-2</v>
      </c>
      <c r="J1532" s="5">
        <f>C1532/C1531-1</f>
        <v>1.7917274556781271E-2</v>
      </c>
      <c r="K1532" s="5">
        <f>D1532/D1531-1</f>
        <v>4.17413514806384E-2</v>
      </c>
      <c r="L1532" s="5">
        <f>E1532/E1531-1</f>
        <v>1.7084352412393811E-2</v>
      </c>
      <c r="M1532" s="5">
        <f>F1532/F1531-1</f>
        <v>7.2469600212550223E-3</v>
      </c>
      <c r="N1532" s="5">
        <f>SUMPRODUCT(I1532:M1532,$AJ$13:$AN$13)</f>
        <v>2.6610427220964857E-2</v>
      </c>
    </row>
    <row r="1533" spans="1:14" x14ac:dyDescent="0.35">
      <c r="A1533" s="3">
        <v>46058</v>
      </c>
      <c r="B1533" s="4">
        <v>54.631160736083899</v>
      </c>
      <c r="C1533" s="4">
        <v>177.49368286132801</v>
      </c>
      <c r="D1533" s="4">
        <v>115.389999389648</v>
      </c>
      <c r="E1533" s="4">
        <v>26.111593246459901</v>
      </c>
      <c r="F1533" s="4">
        <v>392.77352905273398</v>
      </c>
      <c r="I1533" s="5">
        <f>B1533/B1532-1</f>
        <v>-7.9451773343007792E-3</v>
      </c>
      <c r="J1533" s="5">
        <f>C1533/C1532-1</f>
        <v>-1.1035681941920172E-2</v>
      </c>
      <c r="K1533" s="5">
        <f>D1533/D1532-1</f>
        <v>-5.4490343133330232E-2</v>
      </c>
      <c r="L1533" s="5">
        <f>E1533/E1532-1</f>
        <v>-1.2318107563289216E-2</v>
      </c>
      <c r="M1533" s="5">
        <f>F1533/F1532-1</f>
        <v>-4.9542469093188268E-2</v>
      </c>
      <c r="N1533" s="5">
        <f>SUMPRODUCT(I1533:M1533,$AJ$13:$AN$13)</f>
        <v>-4.8017407265385642E-2</v>
      </c>
    </row>
    <row r="1534" spans="1:14" x14ac:dyDescent="0.35">
      <c r="A1534" s="3">
        <v>46059</v>
      </c>
      <c r="B1534" s="4">
        <v>56.212223052978501</v>
      </c>
      <c r="C1534" s="4">
        <v>179.10789489746</v>
      </c>
      <c r="D1534" s="4">
        <v>121.050003051757</v>
      </c>
      <c r="E1534" s="4">
        <v>27.157636642456001</v>
      </c>
      <c r="F1534" s="4">
        <v>400.22650146484301</v>
      </c>
      <c r="I1534" s="5">
        <f>B1534/B1533-1</f>
        <v>2.8940668578002704E-2</v>
      </c>
      <c r="J1534" s="5">
        <f>C1534/C1533-1</f>
        <v>9.0944759842137568E-3</v>
      </c>
      <c r="K1534" s="5">
        <f>D1534/D1533-1</f>
        <v>4.9051076280851369E-2</v>
      </c>
      <c r="L1534" s="5">
        <f>E1534/E1533-1</f>
        <v>4.0060496735024653E-2</v>
      </c>
      <c r="M1534" s="5">
        <f>F1534/F1533-1</f>
        <v>1.897524110161819E-2</v>
      </c>
      <c r="N1534" s="5">
        <f>SUMPRODUCT(I1534:M1534,$AJ$13:$AN$13)</f>
        <v>4.1928703445346868E-2</v>
      </c>
    </row>
    <row r="1535" spans="1:14" x14ac:dyDescent="0.35">
      <c r="A1535" s="3">
        <v>46062</v>
      </c>
      <c r="B1535" s="4">
        <v>56.092899322509702</v>
      </c>
      <c r="C1535" s="4">
        <v>180.8310546875</v>
      </c>
      <c r="D1535" s="4">
        <v>120.91000366210901</v>
      </c>
      <c r="E1535" s="4">
        <v>27.295793533325099</v>
      </c>
      <c r="F1535" s="4">
        <v>412.65814208984301</v>
      </c>
      <c r="I1535" s="5">
        <f>B1535/B1534-1</f>
        <v>-2.1227363727697179E-3</v>
      </c>
      <c r="J1535" s="5">
        <f>C1535/C1534-1</f>
        <v>9.6207919311792622E-3</v>
      </c>
      <c r="K1535" s="5">
        <f>D1535/D1534-1</f>
        <v>-1.1565418101487923E-3</v>
      </c>
      <c r="L1535" s="5">
        <f>E1535/E1534-1</f>
        <v>5.0872206844800871E-3</v>
      </c>
      <c r="M1535" s="5">
        <f>F1535/F1534-1</f>
        <v>3.1061512867088359E-2</v>
      </c>
      <c r="N1535" s="5">
        <f>SUMPRODUCT(I1535:M1535,$AJ$13:$AN$13)</f>
        <v>1.2449559949175654E-2</v>
      </c>
    </row>
    <row r="1536" spans="1:14" x14ac:dyDescent="0.35">
      <c r="A1536" s="3">
        <v>46063</v>
      </c>
      <c r="B1536" s="4">
        <v>55.0786323547363</v>
      </c>
      <c r="C1536" s="4">
        <v>180.49433898925699</v>
      </c>
      <c r="D1536" s="4">
        <v>126.01000213623</v>
      </c>
      <c r="E1536" s="4">
        <v>27.493160247802699</v>
      </c>
      <c r="F1536" s="4">
        <v>412.328857421875</v>
      </c>
      <c r="I1536" s="5">
        <f>B1536/B1535-1</f>
        <v>-1.808191375421353E-2</v>
      </c>
      <c r="J1536" s="5">
        <f>C1536/C1535-1</f>
        <v>-1.8620457577096516E-3</v>
      </c>
      <c r="K1536" s="5">
        <f>D1536/D1535-1</f>
        <v>4.2180120086451112E-2</v>
      </c>
      <c r="L1536" s="5">
        <f>E1536/E1535-1</f>
        <v>7.230664103486717E-3</v>
      </c>
      <c r="M1536" s="5">
        <f>F1536/F1535-1</f>
        <v>-7.9795994403597525E-4</v>
      </c>
      <c r="N1536" s="5">
        <f>SUMPRODUCT(I1536:M1536,$AJ$13:$AN$13)</f>
        <v>3.0364587036241741E-2</v>
      </c>
    </row>
    <row r="1537" spans="1:14" x14ac:dyDescent="0.35">
      <c r="A1537" s="3">
        <v>46064</v>
      </c>
      <c r="B1537" s="4">
        <v>53.547286987304602</v>
      </c>
      <c r="C1537" s="4">
        <v>184.01985168457</v>
      </c>
      <c r="D1537" s="4">
        <v>124.16000366210901</v>
      </c>
      <c r="E1537" s="4">
        <v>28.203680038452099</v>
      </c>
      <c r="F1537" s="4">
        <v>403.449127197265</v>
      </c>
      <c r="I1537" s="5">
        <f>B1537/B1536-1</f>
        <v>-2.7802893825848884E-2</v>
      </c>
      <c r="J1537" s="5">
        <f>C1537/C1536-1</f>
        <v>1.9532538887675921E-2</v>
      </c>
      <c r="K1537" s="5">
        <f>D1537/D1536-1</f>
        <v>-1.4681362136006904E-2</v>
      </c>
      <c r="L1537" s="5">
        <f>E1537/E1536-1</f>
        <v>2.5843511049486789E-2</v>
      </c>
      <c r="M1537" s="5">
        <f>F1537/F1536-1</f>
        <v>-2.1535553635831706E-2</v>
      </c>
      <c r="N1537" s="5">
        <f>SUMPRODUCT(I1537:M1537,$AJ$13:$AN$13)</f>
        <v>4.6385482803977399E-3</v>
      </c>
    </row>
    <row r="1538" spans="1:14" x14ac:dyDescent="0.35">
      <c r="A1538" s="3">
        <v>46065</v>
      </c>
      <c r="B1538" s="4">
        <v>52.224765777587798</v>
      </c>
      <c r="C1538" s="4">
        <v>180.63298034667901</v>
      </c>
      <c r="D1538" s="4">
        <v>112.81999969482401</v>
      </c>
      <c r="E1538" s="4">
        <v>27.246452331542901</v>
      </c>
      <c r="F1538" s="4">
        <v>400.92489624023398</v>
      </c>
      <c r="I1538" s="5">
        <f>B1538/B1537-1</f>
        <v>-2.4698192646629424E-2</v>
      </c>
      <c r="J1538" s="5">
        <f>C1538/C1537-1</f>
        <v>-1.8404923745381829E-2</v>
      </c>
      <c r="K1538" s="5">
        <f>D1538/D1537-1</f>
        <v>-9.1333792145704695E-2</v>
      </c>
      <c r="L1538" s="5">
        <f>E1538/E1537-1</f>
        <v>-3.3939815853964439E-2</v>
      </c>
      <c r="M1538" s="5">
        <f>F1538/F1537-1</f>
        <v>-6.2566276312622238E-3</v>
      </c>
      <c r="N1538" s="5">
        <f>SUMPRODUCT(I1538:M1538,$AJ$13:$AN$13)</f>
        <v>-5.7757580737406479E-2</v>
      </c>
    </row>
    <row r="1539" spans="1:14" x14ac:dyDescent="0.35">
      <c r="A1539" s="3">
        <v>46066</v>
      </c>
      <c r="B1539" s="4">
        <v>52.254596710205</v>
      </c>
      <c r="C1539" s="4">
        <v>181.96000671386699</v>
      </c>
      <c r="D1539" s="4">
        <v>117.48999786376901</v>
      </c>
      <c r="E1539" s="4">
        <v>27.7299995422363</v>
      </c>
      <c r="F1539" s="4">
        <v>400.40609741210898</v>
      </c>
      <c r="I1539" s="5">
        <f>B1539/B1538-1</f>
        <v>5.7120280336420137E-4</v>
      </c>
      <c r="J1539" s="5">
        <f>C1539/C1538-1</f>
        <v>7.3465341968066422E-3</v>
      </c>
      <c r="K1539" s="5">
        <f>D1539/D1538-1</f>
        <v>4.1393353851952197E-2</v>
      </c>
      <c r="L1539" s="5">
        <f>E1539/E1538-1</f>
        <v>1.7747162265731031E-2</v>
      </c>
      <c r="M1539" s="5">
        <f>F1539/F1538-1</f>
        <v>-1.2940050193693819E-3</v>
      </c>
      <c r="N1539" s="5">
        <f>SUMPRODUCT(I1539:M1539,$AJ$13:$AN$13)</f>
        <v>2.900672058504758E-2</v>
      </c>
    </row>
    <row r="1540" spans="1:14" x14ac:dyDescent="0.35">
      <c r="A1540" s="3">
        <v>46070</v>
      </c>
      <c r="B1540" s="4">
        <v>52.443531036376903</v>
      </c>
      <c r="C1540" s="4">
        <v>180.55000305175699</v>
      </c>
      <c r="D1540" s="4">
        <v>116.08999633789</v>
      </c>
      <c r="E1540" s="4">
        <v>27.319999694824201</v>
      </c>
      <c r="F1540" s="4">
        <v>395.95623779296801</v>
      </c>
      <c r="I1540" s="5">
        <f>B1540/B1539-1</f>
        <v>3.6156498770758549E-3</v>
      </c>
      <c r="J1540" s="5">
        <f>C1540/C1539-1</f>
        <v>-7.7489756544537602E-3</v>
      </c>
      <c r="K1540" s="5">
        <f>D1540/D1539-1</f>
        <v>-1.191592094079641E-2</v>
      </c>
      <c r="L1540" s="5">
        <f>E1540/E1539-1</f>
        <v>-1.4785425682666054E-2</v>
      </c>
      <c r="M1540" s="5">
        <f>F1540/F1539-1</f>
        <v>-1.1113366274642544E-2</v>
      </c>
      <c r="N1540" s="5">
        <f>SUMPRODUCT(I1540:M1540,$AJ$13:$AN$13)</f>
        <v>-1.7617079114594883E-2</v>
      </c>
    </row>
    <row r="1541" spans="1:14" x14ac:dyDescent="0.35">
      <c r="A1541" s="3">
        <v>46071</v>
      </c>
      <c r="B1541" s="4">
        <v>53.060043334960902</v>
      </c>
      <c r="C1541" s="4">
        <v>183.86999511718699</v>
      </c>
      <c r="D1541" s="4">
        <v>116.77999877929599</v>
      </c>
      <c r="E1541" s="4">
        <v>28.25</v>
      </c>
      <c r="F1541" s="4">
        <v>398.69000244140602</v>
      </c>
      <c r="I1541" s="5">
        <f>B1541/B1540-1</f>
        <v>1.1755735862948757E-2</v>
      </c>
      <c r="J1541" s="5">
        <f>C1541/C1540-1</f>
        <v>1.8388213842778445E-2</v>
      </c>
      <c r="K1541" s="5">
        <f>D1541/D1540-1</f>
        <v>5.9436856160945961E-3</v>
      </c>
      <c r="L1541" s="5">
        <f>E1541/E1540-1</f>
        <v>3.4041007158283065E-2</v>
      </c>
      <c r="M1541" s="5">
        <f>F1541/F1540-1</f>
        <v>6.9042090703654857E-3</v>
      </c>
      <c r="N1541" s="5">
        <f>SUMPRODUCT(I1541:M1541,$AJ$13:$AN$13)</f>
        <v>1.7304573624631791E-2</v>
      </c>
    </row>
    <row r="1542" spans="1:14" x14ac:dyDescent="0.35">
      <c r="A1542" s="3">
        <v>46072</v>
      </c>
      <c r="B1542" s="4">
        <v>52.473361968994098</v>
      </c>
      <c r="C1542" s="4">
        <v>184.77999877929599</v>
      </c>
      <c r="D1542" s="4">
        <v>119.059997558593</v>
      </c>
      <c r="E1542" s="4">
        <v>28.850000381469702</v>
      </c>
      <c r="F1542" s="4">
        <v>398.45999145507801</v>
      </c>
      <c r="I1542" s="5">
        <f>B1542/B1541-1</f>
        <v>-1.1056933411515812E-2</v>
      </c>
      <c r="J1542" s="5">
        <f>C1542/C1541-1</f>
        <v>4.9491689034364406E-3</v>
      </c>
      <c r="K1542" s="5">
        <f>D1542/D1541-1</f>
        <v>1.9523880828308693E-2</v>
      </c>
      <c r="L1542" s="5">
        <f>E1542/E1541-1</f>
        <v>2.1238951556449726E-2</v>
      </c>
      <c r="M1542" s="5">
        <f>F1542/F1541-1</f>
        <v>-5.7691686503180684E-4</v>
      </c>
      <c r="N1542" s="5">
        <f>SUMPRODUCT(I1542:M1542,$AJ$13:$AN$13)</f>
        <v>2.293254032180924E-2</v>
      </c>
    </row>
    <row r="1543" spans="1:14" x14ac:dyDescent="0.35">
      <c r="A1543" s="3">
        <v>46073</v>
      </c>
      <c r="B1543" s="4">
        <v>52.761730194091797</v>
      </c>
      <c r="C1543" s="4">
        <v>183.92999267578099</v>
      </c>
      <c r="D1543" s="4">
        <v>122.26999664306599</v>
      </c>
      <c r="E1543" s="4">
        <v>28.819999694824201</v>
      </c>
      <c r="F1543" s="4">
        <v>397.23001098632801</v>
      </c>
      <c r="I1543" s="5">
        <f>B1543/B1542-1</f>
        <v>5.4955164730647876E-3</v>
      </c>
      <c r="J1543" s="5">
        <f>C1543/C1542-1</f>
        <v>-4.6000980037360639E-3</v>
      </c>
      <c r="K1543" s="5">
        <f>D1543/D1542-1</f>
        <v>2.6961188898842803E-2</v>
      </c>
      <c r="L1543" s="5">
        <f>E1543/E1542-1</f>
        <v>-1.0398851386070884E-3</v>
      </c>
      <c r="M1543" s="5">
        <f>F1543/F1542-1</f>
        <v>-3.0868355547025716E-3</v>
      </c>
      <c r="N1543" s="5">
        <f>SUMPRODUCT(I1543:M1543,$AJ$13:$AN$13)</f>
        <v>1.1082245136950469E-2</v>
      </c>
    </row>
    <row r="1544" spans="1:14" x14ac:dyDescent="0.35">
      <c r="A1544" s="3">
        <v>46076</v>
      </c>
      <c r="B1544" s="4">
        <v>50.782917022705</v>
      </c>
      <c r="C1544" s="4">
        <v>184.91000366210901</v>
      </c>
      <c r="D1544" s="4">
        <v>119.139999389648</v>
      </c>
      <c r="E1544" s="4">
        <v>29.030000686645501</v>
      </c>
      <c r="F1544" s="4">
        <v>384.47000122070301</v>
      </c>
      <c r="I1544" s="5">
        <f>B1544/B1543-1</f>
        <v>-3.750470585607113E-2</v>
      </c>
      <c r="J1544" s="5">
        <f>C1544/C1543-1</f>
        <v>5.328173899596278E-3</v>
      </c>
      <c r="K1544" s="5">
        <f>D1544/D1543-1</f>
        <v>-2.5599062234009651E-2</v>
      </c>
      <c r="L1544" s="5">
        <f>E1544/E1543-1</f>
        <v>7.286641014746964E-3</v>
      </c>
      <c r="M1544" s="5">
        <f>F1544/F1543-1</f>
        <v>-3.2122471647954565E-2</v>
      </c>
      <c r="N1544" s="5">
        <f>SUMPRODUCT(I1544:M1544,$AJ$13:$AN$13)</f>
        <v>-9.9820813094004049E-3</v>
      </c>
    </row>
    <row r="1545" spans="1:14" x14ac:dyDescent="0.35">
      <c r="A1545" s="3">
        <v>46077</v>
      </c>
      <c r="B1545" s="4">
        <v>50.126625061035099</v>
      </c>
      <c r="C1545" s="4">
        <v>185.33999633789</v>
      </c>
      <c r="D1545" s="4">
        <v>119.77999877929599</v>
      </c>
      <c r="E1545" s="4">
        <v>29.120000839233398</v>
      </c>
      <c r="F1545" s="4">
        <v>389</v>
      </c>
      <c r="I1545" s="5">
        <f>B1545/B1544-1</f>
        <v>-1.2923478999374405E-2</v>
      </c>
      <c r="J1545" s="5">
        <f>C1545/C1544-1</f>
        <v>2.3254159713648193E-3</v>
      </c>
      <c r="K1545" s="5">
        <f>D1545/D1544-1</f>
        <v>5.3718263633264485E-3</v>
      </c>
      <c r="L1545" s="5">
        <f>E1545/E1544-1</f>
        <v>3.1002463127498547E-3</v>
      </c>
      <c r="M1545" s="5">
        <f>F1545/F1544-1</f>
        <v>1.1782450555086532E-2</v>
      </c>
      <c r="N1545" s="5">
        <f>SUMPRODUCT(I1545:M1545,$AJ$13:$AN$13)</f>
        <v>1.1842910812990128E-2</v>
      </c>
    </row>
    <row r="1546" spans="1:14" x14ac:dyDescent="0.35">
      <c r="A1546" s="3">
        <v>46078</v>
      </c>
      <c r="B1546" s="4">
        <v>51.399429321288999</v>
      </c>
      <c r="C1546" s="4">
        <v>184.22000122070301</v>
      </c>
      <c r="D1546" s="4">
        <v>123.480003356933</v>
      </c>
      <c r="E1546" s="4">
        <v>29.159999847412099</v>
      </c>
      <c r="F1546" s="4">
        <v>400.600006103515</v>
      </c>
      <c r="I1546" s="5">
        <f>B1546/B1545-1</f>
        <v>2.5391780489991245E-2</v>
      </c>
      <c r="J1546" s="5">
        <f>C1546/C1545-1</f>
        <v>-6.0429218696278486E-3</v>
      </c>
      <c r="K1546" s="5">
        <f>D1546/D1545-1</f>
        <v>3.0890003467561877E-2</v>
      </c>
      <c r="L1546" s="5">
        <f>E1546/E1545-1</f>
        <v>1.3735922742423856E-3</v>
      </c>
      <c r="M1546" s="5">
        <f>F1546/F1545-1</f>
        <v>2.9820067104151748E-2</v>
      </c>
      <c r="N1546" s="5">
        <f>SUMPRODUCT(I1546:M1546,$AJ$13:$AN$13)</f>
        <v>1.9541006576835194E-2</v>
      </c>
    </row>
    <row r="1547" spans="1:14" x14ac:dyDescent="0.35">
      <c r="A1547" s="3">
        <v>46079</v>
      </c>
      <c r="B1547" s="4">
        <v>52.0060005187988</v>
      </c>
      <c r="C1547" s="4">
        <v>184.16000366210901</v>
      </c>
      <c r="D1547" s="4">
        <v>121.449996948242</v>
      </c>
      <c r="E1547" s="4">
        <v>28.9500007629394</v>
      </c>
      <c r="F1547" s="4">
        <v>401.72000122070301</v>
      </c>
      <c r="I1547" s="5">
        <f>B1547/B1546-1</f>
        <v>1.1801127084859919E-2</v>
      </c>
      <c r="J1547" s="5">
        <f>C1547/C1546-1</f>
        <v>-3.2568428073198596E-4</v>
      </c>
      <c r="K1547" s="5">
        <f>D1547/D1546-1</f>
        <v>-1.6439960750754379E-2</v>
      </c>
      <c r="L1547" s="5">
        <f>E1547/E1546-1</f>
        <v>-7.2016147315355772E-3</v>
      </c>
      <c r="M1547" s="5">
        <f>F1547/F1546-1</f>
        <v>2.795794059220702E-3</v>
      </c>
      <c r="N1547" s="5">
        <f>SUMPRODUCT(I1547:M1547,$AJ$13:$AN$13)</f>
        <v>-1.4393288077063736E-2</v>
      </c>
    </row>
    <row r="1548" spans="1:14" x14ac:dyDescent="0.35">
      <c r="A1548" s="3">
        <v>46080</v>
      </c>
      <c r="B1548" s="4">
        <v>49.549888610839801</v>
      </c>
      <c r="C1548" s="4">
        <v>186.759994506835</v>
      </c>
      <c r="D1548" s="4">
        <v>148.08000183105401</v>
      </c>
      <c r="E1548" s="4">
        <v>29.829999923706001</v>
      </c>
      <c r="F1548" s="4">
        <v>392.739990234375</v>
      </c>
      <c r="I1548" s="5">
        <f>B1548/B1547-1</f>
        <v>-4.7227471512084063E-2</v>
      </c>
      <c r="J1548" s="5">
        <f>C1548/C1547-1</f>
        <v>1.4118108128930995E-2</v>
      </c>
      <c r="K1548" s="5">
        <f>D1548/D1547-1</f>
        <v>0.21926723385724611</v>
      </c>
      <c r="L1548" s="5">
        <f>E1548/E1547-1</f>
        <v>3.0397206824710699E-2</v>
      </c>
      <c r="M1548" s="5">
        <f>F1548/F1547-1</f>
        <v>-2.2353905603506252E-2</v>
      </c>
      <c r="N1548" s="5">
        <f>SUMPRODUCT(I1548:M1548,$AJ$13:$AN$13)</f>
        <v>0.13409878456702048</v>
      </c>
    </row>
    <row r="1549" spans="1:14" x14ac:dyDescent="0.35">
      <c r="A1549" s="3">
        <v>46083</v>
      </c>
      <c r="B1549" s="4">
        <v>49.530002593994098</v>
      </c>
      <c r="C1549" s="4">
        <v>189.600006103515</v>
      </c>
      <c r="D1549" s="4">
        <v>153.55000305175699</v>
      </c>
      <c r="E1549" s="4">
        <v>32.069999694824197</v>
      </c>
      <c r="F1549" s="4">
        <v>398.54998779296801</v>
      </c>
      <c r="I1549" s="5">
        <f>B1549/B1548-1</f>
        <v>-4.0133323006807942E-4</v>
      </c>
      <c r="J1549" s="5">
        <f>C1549/C1548-1</f>
        <v>1.5206744914399106E-2</v>
      </c>
      <c r="K1549" s="5">
        <f>D1549/D1548-1</f>
        <v>3.6939499953165589E-2</v>
      </c>
      <c r="L1549" s="5">
        <f>E1549/E1548-1</f>
        <v>7.5092181590589391E-2</v>
      </c>
      <c r="M1549" s="5">
        <f>F1549/F1548-1</f>
        <v>1.4793496213934887E-2</v>
      </c>
      <c r="N1549" s="5">
        <f>SUMPRODUCT(I1549:M1549,$AJ$13:$AN$13)</f>
        <v>5.8880273828111188E-2</v>
      </c>
    </row>
    <row r="1550" spans="1:14" x14ac:dyDescent="0.35">
      <c r="A1550" s="3">
        <v>46084</v>
      </c>
      <c r="B1550" s="4">
        <v>49.689102172851499</v>
      </c>
      <c r="C1550" s="4">
        <v>188.77000427246</v>
      </c>
      <c r="D1550" s="4">
        <v>145.17999267578099</v>
      </c>
      <c r="E1550" s="4">
        <v>31.25</v>
      </c>
      <c r="F1550" s="4">
        <v>403.92999267578102</v>
      </c>
      <c r="I1550" s="5">
        <f>B1550/B1549-1</f>
        <v>3.2121859585101387E-3</v>
      </c>
      <c r="J1550" s="5">
        <f>C1550/C1549-1</f>
        <v>-4.3776466473416376E-3</v>
      </c>
      <c r="K1550" s="5">
        <f>D1550/D1549-1</f>
        <v>-5.4509998108920432E-2</v>
      </c>
      <c r="L1550" s="5">
        <f>E1550/E1549-1</f>
        <v>-2.5569058391869515E-2</v>
      </c>
      <c r="M1550" s="5">
        <f>F1550/F1549-1</f>
        <v>1.3498946299322689E-2</v>
      </c>
      <c r="N1550" s="5">
        <f>SUMPRODUCT(I1550:M1550,$AJ$13:$AN$13)</f>
        <v>-3.6605490713368487E-2</v>
      </c>
    </row>
    <row r="1551" spans="1:14" x14ac:dyDescent="0.35">
      <c r="A1551" s="3">
        <v>46085</v>
      </c>
      <c r="B1551" s="4">
        <v>50.017242431640597</v>
      </c>
      <c r="C1551" s="4">
        <v>186.02999877929599</v>
      </c>
      <c r="D1551" s="4">
        <v>147.100006103515</v>
      </c>
      <c r="E1551" s="4">
        <v>31.579999923706001</v>
      </c>
      <c r="F1551" s="4">
        <v>405.20001220703102</v>
      </c>
      <c r="I1551" s="5">
        <f>B1551/B1550-1</f>
        <v>6.6038677383948308E-3</v>
      </c>
      <c r="J1551" s="5">
        <f>C1551/C1550-1</f>
        <v>-1.4515047047460095E-2</v>
      </c>
      <c r="K1551" s="5">
        <f>D1551/D1550-1</f>
        <v>1.3225055273434316E-2</v>
      </c>
      <c r="L1551" s="5">
        <f>E1551/E1550-1</f>
        <v>1.0559997558591938E-2</v>
      </c>
      <c r="M1551" s="5">
        <f>F1551/F1550-1</f>
        <v>3.1441575378865494E-3</v>
      </c>
      <c r="N1551" s="5">
        <f>SUMPRODUCT(I1551:M1551,$AJ$13:$AN$13)</f>
        <v>1.1436055741500653E-2</v>
      </c>
    </row>
    <row r="1552" spans="1:14" x14ac:dyDescent="0.35">
      <c r="A1552" s="3">
        <v>46086</v>
      </c>
      <c r="B1552" s="4">
        <v>49.530002593994098</v>
      </c>
      <c r="C1552" s="4">
        <v>189.89999389648401</v>
      </c>
      <c r="D1552" s="4">
        <v>146.52000427246</v>
      </c>
      <c r="E1552" s="4">
        <v>31.7600002288818</v>
      </c>
      <c r="F1552" s="4">
        <v>410.67999267578102</v>
      </c>
      <c r="I1552" s="5">
        <f>B1552/B1551-1</f>
        <v>-9.7414374315500929E-3</v>
      </c>
      <c r="J1552" s="5">
        <f>C1552/C1551-1</f>
        <v>2.0803070163857518E-2</v>
      </c>
      <c r="K1552" s="5">
        <f>D1552/D1551-1</f>
        <v>-3.9429082732114207E-3</v>
      </c>
      <c r="L1552" s="5">
        <f>E1552/E1551-1</f>
        <v>5.6998196836814952E-3</v>
      </c>
      <c r="M1552" s="5">
        <f>F1552/F1551-1</f>
        <v>1.3524136978431578E-2</v>
      </c>
      <c r="N1552" s="5">
        <f>SUMPRODUCT(I1552:M1552,$AJ$13:$AN$13)</f>
        <v>7.2638058896530282E-3</v>
      </c>
    </row>
    <row r="1553" spans="1:14" x14ac:dyDescent="0.35">
      <c r="A1553" s="3">
        <v>46087</v>
      </c>
      <c r="B1553" s="4">
        <v>48.639999389648402</v>
      </c>
      <c r="C1553" s="4">
        <v>189.94000244140599</v>
      </c>
      <c r="D1553" s="4">
        <v>146.47999572753901</v>
      </c>
      <c r="E1553" s="4">
        <v>33.590000152587798</v>
      </c>
      <c r="F1553" s="4">
        <v>408.95999145507801</v>
      </c>
      <c r="I1553" s="5">
        <f>B1553/B1552-1</f>
        <v>-1.7968971486660434E-2</v>
      </c>
      <c r="J1553" s="5">
        <f>C1553/C1552-1</f>
        <v>2.1068218118958093E-4</v>
      </c>
      <c r="K1553" s="5">
        <f>D1553/D1552-1</f>
        <v>-2.730585841821398E-4</v>
      </c>
      <c r="L1553" s="5">
        <f>E1553/E1552-1</f>
        <v>5.7619644537717507E-2</v>
      </c>
      <c r="M1553" s="5">
        <f>F1553/F1552-1</f>
        <v>-4.1881787556690142E-3</v>
      </c>
      <c r="N1553" s="5">
        <f>SUMPRODUCT(I1553:M1553,$AJ$13:$AN$13)</f>
        <v>3.057189778267436E-2</v>
      </c>
    </row>
    <row r="1554" spans="1:14" x14ac:dyDescent="0.35">
      <c r="A1554" s="3">
        <v>46090</v>
      </c>
      <c r="B1554" s="4">
        <v>47.900001525878899</v>
      </c>
      <c r="C1554" s="4">
        <v>189.44000244140599</v>
      </c>
      <c r="D1554" s="4">
        <v>146.509994506835</v>
      </c>
      <c r="E1554" s="4">
        <v>32.430000305175703</v>
      </c>
      <c r="F1554" s="4">
        <v>409.41000366210898</v>
      </c>
      <c r="I1554" s="5">
        <f>B1554/B1553-1</f>
        <v>-1.5213772061168807E-2</v>
      </c>
      <c r="J1554" s="5">
        <f>C1554/C1553-1</f>
        <v>-2.6324102009751549E-3</v>
      </c>
      <c r="K1554" s="5">
        <f>D1554/D1553-1</f>
        <v>2.0479778926119074E-4</v>
      </c>
      <c r="L1554" s="5">
        <f>E1554/E1553-1</f>
        <v>-3.4534082826514267E-2</v>
      </c>
      <c r="M1554" s="5">
        <f>F1554/F1553-1</f>
        <v>1.1003819846284735E-3</v>
      </c>
      <c r="N1554" s="5">
        <f>SUMPRODUCT(I1554:M1554,$AJ$13:$AN$13)</f>
        <v>-1.1175795234772209E-2</v>
      </c>
    </row>
    <row r="1555" spans="1:14" x14ac:dyDescent="0.35">
      <c r="A1555" s="3">
        <v>46091</v>
      </c>
      <c r="B1555" s="4">
        <v>48.560001373291001</v>
      </c>
      <c r="C1555" s="4">
        <v>186.28999328613199</v>
      </c>
      <c r="D1555" s="4">
        <v>143.80000305175699</v>
      </c>
      <c r="E1555" s="4">
        <v>32.439998626708899</v>
      </c>
      <c r="F1555" s="4">
        <v>405.760009765625</v>
      </c>
      <c r="I1555" s="5">
        <f>B1555/B1554-1</f>
        <v>1.377870201226461E-2</v>
      </c>
      <c r="J1555" s="5">
        <f>C1555/C1554-1</f>
        <v>-1.6628004194881196E-2</v>
      </c>
      <c r="K1555" s="5">
        <f>D1555/D1554-1</f>
        <v>-1.8496973289775065E-2</v>
      </c>
      <c r="L1555" s="5">
        <f>E1555/E1554-1</f>
        <v>3.0830470055831505E-4</v>
      </c>
      <c r="M1555" s="5">
        <f>F1555/F1554-1</f>
        <v>-8.9152533251150023E-3</v>
      </c>
      <c r="N1555" s="5">
        <f>SUMPRODUCT(I1555:M1555,$AJ$13:$AN$13)</f>
        <v>-1.5905136724361373E-2</v>
      </c>
    </row>
    <row r="1556" spans="1:14" x14ac:dyDescent="0.35">
      <c r="A1556" s="3">
        <v>46092</v>
      </c>
      <c r="B1556" s="4">
        <v>48.520000457763601</v>
      </c>
      <c r="C1556" s="4">
        <v>191.78999328613199</v>
      </c>
      <c r="D1556" s="4">
        <v>147.36999511718699</v>
      </c>
      <c r="E1556" s="4">
        <v>33.529998779296797</v>
      </c>
      <c r="F1556" s="4">
        <v>404.88000488281199</v>
      </c>
      <c r="I1556" s="5">
        <f>B1556/B1555-1</f>
        <v>-8.2374205922908228E-4</v>
      </c>
      <c r="J1556" s="5">
        <f>C1556/C1555-1</f>
        <v>2.9523861711413968E-2</v>
      </c>
      <c r="K1556" s="5">
        <f>D1556/D1555-1</f>
        <v>2.4826091722300436E-2</v>
      </c>
      <c r="L1556" s="5">
        <f>E1556/E1555-1</f>
        <v>3.3600499344363932E-2</v>
      </c>
      <c r="M1556" s="5">
        <f>F1556/F1555-1</f>
        <v>-2.1687816976377894E-3</v>
      </c>
      <c r="N1556" s="5">
        <f>SUMPRODUCT(I1556:M1556,$AJ$13:$AN$13)</f>
        <v>2.7172829128057525E-2</v>
      </c>
    </row>
    <row r="1557" spans="1:14" x14ac:dyDescent="0.35">
      <c r="A1557" s="3">
        <v>46093</v>
      </c>
      <c r="B1557" s="4">
        <v>47.130001068115199</v>
      </c>
      <c r="C1557" s="4">
        <v>196.97000122070301</v>
      </c>
      <c r="D1557" s="4">
        <v>149.91000366210901</v>
      </c>
      <c r="E1557" s="4">
        <v>34.369998931884702</v>
      </c>
      <c r="F1557" s="4">
        <v>401.85998535156199</v>
      </c>
      <c r="I1557" s="5">
        <f>B1557/B1556-1</f>
        <v>-2.8647967364682669E-2</v>
      </c>
      <c r="J1557" s="5">
        <f>C1557/C1556-1</f>
        <v>2.7008749757047923E-2</v>
      </c>
      <c r="K1557" s="5">
        <f>D1557/D1556-1</f>
        <v>1.7235588173170724E-2</v>
      </c>
      <c r="L1557" s="5">
        <f>E1557/E1556-1</f>
        <v>2.5052197529651155E-2</v>
      </c>
      <c r="M1557" s="5">
        <f>F1557/F1556-1</f>
        <v>-7.4590483472358748E-3</v>
      </c>
      <c r="N1557" s="5">
        <f>SUMPRODUCT(I1557:M1557,$AJ$13:$AN$13)</f>
        <v>2.5588756518164484E-2</v>
      </c>
    </row>
    <row r="1558" spans="1:14" x14ac:dyDescent="0.35">
      <c r="A1558" s="3">
        <v>46094</v>
      </c>
      <c r="B1558" s="4">
        <v>46.720001220703097</v>
      </c>
      <c r="C1558" s="4">
        <v>196.82000732421801</v>
      </c>
      <c r="D1558" s="4">
        <v>151.61999511718699</v>
      </c>
      <c r="E1558" s="4">
        <v>35.25</v>
      </c>
      <c r="F1558" s="4">
        <v>395.54998779296801</v>
      </c>
      <c r="I1558" s="5">
        <f>B1558/B1557-1</f>
        <v>-8.6993388101040958E-3</v>
      </c>
      <c r="J1558" s="5">
        <f>C1558/C1557-1</f>
        <v>-7.6150629819482507E-4</v>
      </c>
      <c r="K1558" s="5">
        <f>D1558/D1557-1</f>
        <v>1.1406786827463655E-2</v>
      </c>
      <c r="L1558" s="5">
        <f>E1558/E1557-1</f>
        <v>2.5603756050714521E-2</v>
      </c>
      <c r="M1558" s="5">
        <f>F1558/F1557-1</f>
        <v>-1.5701980263284399E-2</v>
      </c>
      <c r="N1558" s="5">
        <f>SUMPRODUCT(I1558:M1558,$AJ$13:$AN$13)</f>
        <v>1.5198452431407047E-2</v>
      </c>
    </row>
    <row r="1559" spans="1:14" x14ac:dyDescent="0.35">
      <c r="A1559" s="3">
        <v>46097</v>
      </c>
      <c r="B1559" s="4">
        <v>47.060001373291001</v>
      </c>
      <c r="C1559" s="4">
        <v>196.83999633789</v>
      </c>
      <c r="D1559" s="4">
        <v>156.53999328613199</v>
      </c>
      <c r="E1559" s="4">
        <v>35.630001068115199</v>
      </c>
      <c r="F1559" s="4">
        <v>399.95001220703102</v>
      </c>
      <c r="I1559" s="5">
        <f>B1559/B1558-1</f>
        <v>7.2774003361377737E-3</v>
      </c>
      <c r="J1559" s="5">
        <f>C1559/C1558-1</f>
        <v>1.0155986651838589E-4</v>
      </c>
      <c r="K1559" s="5">
        <f>D1559/D1558-1</f>
        <v>3.2449533883326831E-2</v>
      </c>
      <c r="L1559" s="5">
        <f>E1559/E1558-1</f>
        <v>1.0780172145111955E-2</v>
      </c>
      <c r="M1559" s="5">
        <f>F1559/F1558-1</f>
        <v>1.1123813803189941E-2</v>
      </c>
      <c r="N1559" s="5">
        <f>SUMPRODUCT(I1559:M1559,$AJ$13:$AN$13)</f>
        <v>2.3540505417245446E-2</v>
      </c>
    </row>
    <row r="1560" spans="1:14" x14ac:dyDescent="0.35">
      <c r="A1560" s="3">
        <v>46098</v>
      </c>
      <c r="B1560" s="4">
        <v>47.279998779296797</v>
      </c>
      <c r="C1560" s="4">
        <v>197.97000122070301</v>
      </c>
      <c r="D1560" s="4">
        <v>153.009994506835</v>
      </c>
      <c r="E1560" s="4">
        <v>36.939998626708899</v>
      </c>
      <c r="F1560" s="4">
        <v>399.41000366210898</v>
      </c>
      <c r="I1560" s="5">
        <f>B1560/B1559-1</f>
        <v>4.6748278705035506E-3</v>
      </c>
      <c r="J1560" s="5">
        <f>C1560/C1559-1</f>
        <v>5.7407280219274881E-3</v>
      </c>
      <c r="K1560" s="5">
        <f>D1560/D1559-1</f>
        <v>-2.2550140096433191E-2</v>
      </c>
      <c r="L1560" s="5">
        <f>E1560/E1559-1</f>
        <v>3.6766699952922588E-2</v>
      </c>
      <c r="M1560" s="5">
        <f>F1560/F1559-1</f>
        <v>-1.3501900948624801E-3</v>
      </c>
      <c r="N1560" s="5">
        <f>SUMPRODUCT(I1560:M1560,$AJ$13:$AN$13)</f>
        <v>3.4471142443715935E-3</v>
      </c>
    </row>
    <row r="1561" spans="1:14" x14ac:dyDescent="0.35">
      <c r="A1561" s="3">
        <v>46099</v>
      </c>
      <c r="B1561" s="4">
        <v>46.830001831054602</v>
      </c>
      <c r="C1561" s="4">
        <v>198.61000061035099</v>
      </c>
      <c r="D1561" s="4">
        <v>149.21000671386699</v>
      </c>
      <c r="E1561" s="4">
        <v>38.529998779296797</v>
      </c>
      <c r="F1561" s="4">
        <v>391.79000854492102</v>
      </c>
      <c r="I1561" s="5">
        <f>B1561/B1560-1</f>
        <v>-9.5177021967107756E-3</v>
      </c>
      <c r="J1561" s="5">
        <f>C1561/C1560-1</f>
        <v>3.2328099494958185E-3</v>
      </c>
      <c r="K1561" s="5">
        <f>D1561/D1560-1</f>
        <v>-2.4834899218287743E-2</v>
      </c>
      <c r="L1561" s="5">
        <f>E1561/E1560-1</f>
        <v>4.3042777793669718E-2</v>
      </c>
      <c r="M1561" s="5">
        <f>F1561/F1560-1</f>
        <v>-1.9078127856893334E-2</v>
      </c>
      <c r="N1561" s="5">
        <f>SUMPRODUCT(I1561:M1561,$AJ$13:$AN$13)</f>
        <v>3.4549274760736362E-3</v>
      </c>
    </row>
    <row r="1562" spans="1:14" x14ac:dyDescent="0.35">
      <c r="A1562" s="3">
        <v>46100</v>
      </c>
      <c r="B1562" s="4">
        <v>47.009998321533203</v>
      </c>
      <c r="C1562" s="4">
        <v>201.44000244140599</v>
      </c>
      <c r="D1562" s="4">
        <v>156.759994506835</v>
      </c>
      <c r="E1562" s="4">
        <v>40.509998321533203</v>
      </c>
      <c r="F1562" s="4">
        <v>389.01998901367102</v>
      </c>
      <c r="I1562" s="5">
        <f>B1562/B1561-1</f>
        <v>3.8436148503253609E-3</v>
      </c>
      <c r="J1562" s="5">
        <f>C1562/C1561-1</f>
        <v>1.4249039939369101E-2</v>
      </c>
      <c r="K1562" s="5">
        <f>D1562/D1561-1</f>
        <v>5.0599741661068842E-2</v>
      </c>
      <c r="L1562" s="5">
        <f>E1562/E1561-1</f>
        <v>5.1388518166793018E-2</v>
      </c>
      <c r="M1562" s="5">
        <f>F1562/F1561-1</f>
        <v>-7.0701637888562763E-3</v>
      </c>
      <c r="N1562" s="5">
        <f>SUMPRODUCT(I1562:M1562,$AJ$13:$AN$13)</f>
        <v>4.6417310507387156E-2</v>
      </c>
    </row>
    <row r="1563" spans="1:14" x14ac:dyDescent="0.35">
      <c r="A1563" s="3">
        <v>46101</v>
      </c>
      <c r="B1563" s="4">
        <v>47.159999847412102</v>
      </c>
      <c r="C1563" s="4">
        <v>201.72999572753901</v>
      </c>
      <c r="D1563" s="4">
        <v>157.669998168945</v>
      </c>
      <c r="E1563" s="4">
        <v>41.599998474121001</v>
      </c>
      <c r="F1563" s="4">
        <v>381.86999511718699</v>
      </c>
      <c r="I1563" s="5">
        <f>B1563/B1562-1</f>
        <v>3.1908430383880138E-3</v>
      </c>
      <c r="J1563" s="5">
        <f>C1563/C1562-1</f>
        <v>1.4396012838480132E-3</v>
      </c>
      <c r="K1563" s="5">
        <f>D1563/D1562-1</f>
        <v>5.8050758739363051E-3</v>
      </c>
      <c r="L1563" s="5">
        <f>E1563/E1562-1</f>
        <v>2.6906941440390186E-2</v>
      </c>
      <c r="M1563" s="5">
        <f>F1563/F1562-1</f>
        <v>-1.8379502592173358E-2</v>
      </c>
      <c r="N1563" s="5">
        <f>SUMPRODUCT(I1563:M1563,$AJ$13:$AN$13)</f>
        <v>8.4853900901797653E-3</v>
      </c>
    </row>
  </sheetData>
  <phoneticPr fontId="20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0bc216-f025-47a8-acf5-96fc18c0de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899EE64737114A802C66399BE179E0" ma:contentTypeVersion="9" ma:contentTypeDescription="Create a new document." ma:contentTypeScope="" ma:versionID="ce93c48b31887be93a6a77b8fbb8b958">
  <xsd:schema xmlns:xsd="http://www.w3.org/2001/XMLSchema" xmlns:xs="http://www.w3.org/2001/XMLSchema" xmlns:p="http://schemas.microsoft.com/office/2006/metadata/properties" xmlns:ns3="770bc216-f025-47a8-acf5-96fc18c0dee8" targetNamespace="http://schemas.microsoft.com/office/2006/metadata/properties" ma:root="true" ma:fieldsID="fba48be69e83e0cdf4b6abc20133585a" ns3:_="">
    <xsd:import namespace="770bc216-f025-47a8-acf5-96fc18c0dee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bc216-f025-47a8-acf5-96fc18c0dee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D12918-8AD9-44E1-B14C-AF5F0A9150A3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elements/1.1/"/>
    <ds:schemaRef ds:uri="770bc216-f025-47a8-acf5-96fc18c0dee8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F8E61A6-00EA-4D04-9910-824C76D391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B61E96-4352-4016-B554-307CE3DB3E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0bc216-f025-47a8-acf5-96fc18c0de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4</vt:i4>
      </vt:variant>
    </vt:vector>
  </HeadingPairs>
  <TitlesOfParts>
    <vt:vector size="5" baseType="lpstr">
      <vt:lpstr>Mandatory Assigment </vt:lpstr>
      <vt:lpstr>Diagram 1</vt:lpstr>
      <vt:lpstr>Diagram 2</vt:lpstr>
      <vt:lpstr>Diagram 3</vt:lpstr>
      <vt:lpstr>Diagram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Nikolai Paulsen Fjørtoft</cp:lastModifiedBy>
  <dcterms:created xsi:type="dcterms:W3CDTF">2026-03-26T11:38:18Z</dcterms:created>
  <dcterms:modified xsi:type="dcterms:W3CDTF">2026-03-26T15:01:11Z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0x010100F0899EE64737114A802C66399BE179E0</vt:lpwstr>
  </property>
</Properties>
</file>